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225" windowHeight="13140" tabRatio="816" firstSheet="6" activeTab="10"/>
  </bookViews>
  <sheets>
    <sheet name="版本记录" sheetId="13" r:id="rId1"/>
    <sheet name="控制器源地址" sheetId="41" r:id="rId2"/>
    <sheet name="屏蔽故障码列表" sheetId="15" r:id="rId3"/>
    <sheet name="HCU故障代码31PCAN" sheetId="24" r:id="rId4"/>
    <sheet name="电池冷却系统(TMS)82-PCAN" sheetId="25" r:id="rId5"/>
    <sheet name="低压转向(LSCU)4D-BCAN" sheetId="26" r:id="rId6"/>
    <sheet name="高压转向故障代码表(HSCU)2E BCAN" sheetId="7" r:id="rId7"/>
    <sheet name="IC" sheetId="20" r:id="rId8"/>
    <sheet name="SCU 05 PCAN" sheetId="27" r:id="rId9"/>
    <sheet name="再生制动故障代码表(ABS河南焦作)0BPCAN" sheetId="9" r:id="rId10"/>
    <sheet name="电池管理系统（BMS）故障代码表F4 PCAN" sheetId="2" r:id="rId11"/>
    <sheet name="电机故障代码表EF_PCAN" sheetId="14" r:id="rId12"/>
    <sheet name="空压机故障代码表30 BCAN" sheetId="4" r:id="rId13"/>
    <sheet name="自动变速箱故障代码表03 PCAN" sheetId="5" r:id="rId14"/>
    <sheet name="DCDC故障代码表（1A）BCAN" sheetId="6" r:id="rId15"/>
    <sheet name="高压配电盒故障代码表1E BCAN" sheetId="8" r:id="rId16"/>
    <sheet name="ABS KNORR故障码 ）0B PCAN" sheetId="16" r:id="rId17"/>
    <sheet name="EBS(KNORR) ）0B PCAN" sheetId="17" r:id="rId18"/>
    <sheet name="BCM（32） BCAN" sheetId="18" r:id="rId19"/>
    <sheet name="DCM （EC）BCAN" sheetId="19" r:id="rId20"/>
    <sheet name="TPMS(SENSATA)33  BCAN" sheetId="21" r:id="rId21"/>
    <sheet name="环景影像41BCAN" sheetId="22" r:id="rId22"/>
    <sheet name="疲劳驾驶E7 BCAN" sheetId="23" r:id="rId23"/>
    <sheet name="FCU故障码（F5）PCAN" sheetId="28" r:id="rId24"/>
    <sheet name="燃电DCDC（F5）" sheetId="30" r:id="rId25"/>
    <sheet name="氢系统故障（F6）PCAN" sheetId="29" r:id="rId26"/>
    <sheet name="冷却系统故障ATS(A7和A8)-pcan" sheetId="31" r:id="rId27"/>
    <sheet name="电机2故障代码表F0-PCAN" sheetId="32" r:id="rId28"/>
    <sheet name="外挂DCDC（84）PCAN" sheetId="33" r:id="rId29"/>
    <sheet name="外挂DCDC2（85）PCAN" sheetId="34" r:id="rId30"/>
    <sheet name="Knorr EPB（50）PCAN" sheetId="42" r:id="rId31"/>
    <sheet name="科密瑞立 EPB（50）PCAN" sheetId="45" r:id="rId32"/>
    <sheet name="Knorr  ECAS（2F）PCAN" sheetId="37" r:id="rId33"/>
    <sheet name="瑞立ECAS（2F）" sheetId="38" r:id="rId34"/>
    <sheet name="换电系统（0xDB）" sheetId="39" r:id="rId35"/>
    <sheet name="燃料电池冷却系统(FTS)8F-PCAN" sheetId="40" r:id="rId36"/>
  </sheets>
  <definedNames>
    <definedName name="_xlnm._FilterDatabase" localSheetId="10" hidden="1">'电池管理系统（BMS）故障代码表F4 PCAN'!$A$1:$L$136</definedName>
    <definedName name="_xlnm._FilterDatabase" localSheetId="13" hidden="1">'自动变速箱故障代码表03 PCAN'!$A$1:$I$81</definedName>
    <definedName name="_xlnm._FilterDatabase" localSheetId="23" hidden="1">'FCU故障码（F5）PCAN'!$A$1:$J$81</definedName>
    <definedName name="_xlnm._FilterDatabase" localSheetId="31" hidden="1">'科密瑞立 EPB（50）PCAN'!$A$1:$I$136</definedName>
    <definedName name="_xlnm._FilterDatabase" localSheetId="16" hidden="1">'ABS KNORR故障码 ）0B PCAN'!$A$1:$B$211</definedName>
    <definedName name="_xlnm._FilterDatabase" localSheetId="18" hidden="1">'BCM（32） BCAN'!$A$2:$C$87</definedName>
    <definedName name="_xlnm._FilterDatabase" localSheetId="19" hidden="1">'DCM （EC）BCAN'!$A$1:$I$27</definedName>
    <definedName name="_xlnm._FilterDatabase" localSheetId="3" hidden="1">HCU故障代码31PCAN!$A$1:$F$67</definedName>
    <definedName name="_xlnm._FilterDatabase" localSheetId="7" hidden="1">IC!$A$1:$G$45</definedName>
    <definedName name="_xlnm._FilterDatabase" localSheetId="20" hidden="1">'TPMS(SENSATA)33  BCAN'!$A$2:$G$38</definedName>
    <definedName name="_xlnm.Print_Area" localSheetId="31">'科密瑞立 EPB（50）PCAN'!$A$1:$I$140</definedName>
  </definedNames>
  <calcPr calcId="144525"/>
</workbook>
</file>

<file path=xl/comments1.xml><?xml version="1.0" encoding="utf-8"?>
<comments xmlns="http://schemas.openxmlformats.org/spreadsheetml/2006/main">
  <authors>
    <author>作者</author>
  </authors>
  <commentList>
    <comment ref="B1" authorId="0">
      <text>
        <r>
          <rPr>
            <b/>
            <sz val="9"/>
            <rFont val="宋体"/>
            <charset val="134"/>
          </rPr>
          <t>作者:</t>
        </r>
        <r>
          <rPr>
            <sz val="9"/>
            <rFont val="宋体"/>
            <charset val="134"/>
          </rPr>
          <t xml:space="preserve">
历史故障使用</t>
        </r>
      </text>
    </comment>
  </commentList>
</comments>
</file>

<file path=xl/comments2.xml><?xml version="1.0" encoding="utf-8"?>
<comments xmlns="http://schemas.openxmlformats.org/spreadsheetml/2006/main">
  <authors>
    <author>GU Ye 顾晔(DFCV技术中心客车开发部车型室)</author>
  </authors>
  <commentList>
    <comment ref="D15" authorId="0">
      <text>
        <r>
          <rPr>
            <b/>
            <sz val="9"/>
            <rFont val="宋体"/>
            <charset val="134"/>
          </rPr>
          <t>GU Ye 顾晔(DFCV技术中心客车开发部车型室):</t>
        </r>
        <r>
          <rPr>
            <sz val="9"/>
            <rFont val="宋体"/>
            <charset val="134"/>
          </rPr>
          <t xml:space="preserve">
有使能信号丢失</t>
        </r>
      </text>
    </comment>
  </commentList>
</comments>
</file>

<file path=xl/sharedStrings.xml><?xml version="1.0" encoding="utf-8"?>
<sst xmlns="http://schemas.openxmlformats.org/spreadsheetml/2006/main" count="10163" uniqueCount="6978">
  <si>
    <t>版本</t>
  </si>
  <si>
    <t>日期</t>
  </si>
  <si>
    <t>设计</t>
  </si>
  <si>
    <t>更改记录</t>
  </si>
  <si>
    <t>V1.0</t>
  </si>
  <si>
    <t xml:space="preserve"> </t>
  </si>
  <si>
    <t>原始版本</t>
  </si>
  <si>
    <t>V1.1</t>
  </si>
  <si>
    <t>“仪表：环境温度传感器短路到电源或开路（171,3）”改为“仪表：环境温度传感器或线路故障(171,3)”</t>
  </si>
  <si>
    <t>V1.2</t>
  </si>
  <si>
    <t>电机故障码增加3个，同时更改超速报警描述</t>
  </si>
  <si>
    <t>V1.3</t>
  </si>
  <si>
    <t>电机故障描述更改，“保护”改为“停机”等</t>
  </si>
  <si>
    <t>V1.4</t>
  </si>
  <si>
    <t>氢系统故障码描述更改</t>
  </si>
  <si>
    <t>V1.5</t>
  </si>
  <si>
    <t>电池冷却系统(TMS)源地址改为0x82.
BMS系统故障码更新，更改描述和新增故障。</t>
  </si>
  <si>
    <t>V1.6</t>
  </si>
  <si>
    <t>“电机转速超速报警保护”和“电机转速超速停机保护”两个故障增加蜂鸣</t>
  </si>
  <si>
    <t>V1.7</t>
  </si>
  <si>
    <t>根据便函DM22041306，电机控制器、高压配电盒、高压转向、电动空压机、DCDC故障清单增加故障。见故障列表后面备注。高压转向缩写更新，由“HSST”改为“HSCU”，低压转向由“LSST”改为“LSCU”。</t>
  </si>
  <si>
    <t>V1.8</t>
  </si>
  <si>
    <t>BMS中增加三个换电系统故障，便函DM22052520</t>
  </si>
  <si>
    <t>V1.9</t>
  </si>
  <si>
    <t>BMS中增加换电系统故障，赵鹏辉邮件20220429；
自动变速箱故障更新；普刚邮件20220610
增加瑞立EPB故障清单；</t>
  </si>
  <si>
    <t>V1.10</t>
  </si>
  <si>
    <t>1、增加Knorr和瑞立ECAS故障清单。
2、DCDC故障清单中v1.7新增故障有误，重新更改。
3、电机系统新增7个故障。DM22070514。
4、自动变速箱故障清单有误，修正。DM22070520
5、增加换电系统故障清单，源地址0xDB</t>
  </si>
  <si>
    <t>V1.11</t>
  </si>
  <si>
    <t xml:space="preserve">新能源仪表净化：
根据便函DM22102706，删除BMS热管理机组故障522240-12，故障清单更新，仪表故障暂不删除
根据便函DM22101803，删除电机控制器故障521718-11，故障清单更新，仪表故障暂不删除。
DM22102707，删除原有油泵控制器过温故障；删除原有气泵控制器过温故障。
DM22102811，TMS故障清单更新、ATS故障清单更新、新增FTS故障清单。
FCU故障码（F5）
DM22102513，FCU故障码（F5）系统删除故障，仪表暂不处理；氢系统故障（F6）系统删除故障，仪表暂不处理。
</t>
  </si>
  <si>
    <t>V1.12</t>
  </si>
  <si>
    <t>仅针对KT1D车型，AMT故障码清单更新.胡蜜DM22120917</t>
  </si>
  <si>
    <t>V1.13</t>
  </si>
  <si>
    <t>针对10×4车型，IC故障码清单更新</t>
  </si>
  <si>
    <t>V1.14</t>
  </si>
  <si>
    <t>1.新能源故障码净化（DM23030203）故障等级A、B显示，C、D仪表不显示
2.补充EBS故障码列表 新增785-792行（2022.11.01已通知）</t>
  </si>
  <si>
    <t>V1.15</t>
  </si>
  <si>
    <t>新增科密瑞立EPB故障码清单(徐冕 20230323邮件)，原瑞立EPB更新为Knorr EPB</t>
  </si>
  <si>
    <t>V1.16</t>
  </si>
  <si>
    <t>新能源仪表净化：
1.定义故障等级C、D类
  仪表不进行点灯（DM1报文有点灯要求也不响应）
2.定义故障等级A、B类
  仪表响应点灯，Stop/Warning/Amber
  如A、B等级Light列没有标注点灯，则DM1报文有点灯要求也不响应
3.定义“B提示类”
  仪表仅显示文字提醒（文字显示位置同故障码显示位置），不显示（SPN，FMI）</t>
  </si>
  <si>
    <t>控制器</t>
  </si>
  <si>
    <t>源地址</t>
  </si>
  <si>
    <t>can通道</t>
  </si>
  <si>
    <t>整车控制器（HCU）</t>
  </si>
  <si>
    <t>0x31</t>
  </si>
  <si>
    <t>PCAN</t>
  </si>
  <si>
    <t>电池冷却系统(TMS)</t>
  </si>
  <si>
    <t>0x82</t>
  </si>
  <si>
    <t>低压转向(LSCU)</t>
  </si>
  <si>
    <t>0x4D</t>
  </si>
  <si>
    <t>BCAN</t>
  </si>
  <si>
    <t>高压转向故障代码表(HSCU)</t>
  </si>
  <si>
    <t>0x2E</t>
  </si>
  <si>
    <t>组合仪表（IC）</t>
  </si>
  <si>
    <t>0x17</t>
  </si>
  <si>
    <t>SCU</t>
  </si>
  <si>
    <t>0x05</t>
  </si>
  <si>
    <t>再生制动(ABS河南焦作)</t>
  </si>
  <si>
    <t>0x0B</t>
  </si>
  <si>
    <t>电池管理系统（BMS）
换电系统（PECU）</t>
  </si>
  <si>
    <t xml:space="preserve">0xF4 </t>
  </si>
  <si>
    <t>电机控制器（MCU）</t>
  </si>
  <si>
    <t>0xEF 0xF0</t>
  </si>
  <si>
    <t>空压机</t>
  </si>
  <si>
    <t xml:space="preserve">0x30 </t>
  </si>
  <si>
    <t>自动变速箱（AMT）</t>
  </si>
  <si>
    <t>0x03</t>
  </si>
  <si>
    <t>DCDC</t>
  </si>
  <si>
    <t>0x1A</t>
  </si>
  <si>
    <t>高压配电盒（PDU）</t>
  </si>
  <si>
    <t>0x1E</t>
  </si>
  <si>
    <t>ABS KNORR</t>
  </si>
  <si>
    <t>EBS KNORR</t>
  </si>
  <si>
    <t>BCM</t>
  </si>
  <si>
    <t>0x32</t>
  </si>
  <si>
    <t>DCM</t>
  </si>
  <si>
    <t>0xEC</t>
  </si>
  <si>
    <t>TPMS</t>
  </si>
  <si>
    <t>0x33</t>
  </si>
  <si>
    <t>环景影像（HJYX）</t>
  </si>
  <si>
    <t>0x41</t>
  </si>
  <si>
    <t>疲劳驾驶（DFMS）</t>
  </si>
  <si>
    <t>0xE7</t>
  </si>
  <si>
    <t>燃料电池控制器（FCU）</t>
  </si>
  <si>
    <t>0xF5</t>
  </si>
  <si>
    <t>氢管理系统（HMS）</t>
  </si>
  <si>
    <t>0xF6</t>
  </si>
  <si>
    <t>燃电DCDC</t>
  </si>
  <si>
    <t>冷却系统（ATS）</t>
  </si>
  <si>
    <t>0xA7 0xA8</t>
  </si>
  <si>
    <t>外挂DCDC</t>
  </si>
  <si>
    <t>0x84 0x85</t>
  </si>
  <si>
    <t>Knorr EPB</t>
  </si>
  <si>
    <t>0x50</t>
  </si>
  <si>
    <t>科密瑞立EPB</t>
  </si>
  <si>
    <t>V1.15新增</t>
  </si>
  <si>
    <t>空气悬架（ECAS）KNORR/瑞立</t>
  </si>
  <si>
    <t>0x2F</t>
  </si>
  <si>
    <t>换电系统</t>
  </si>
  <si>
    <t>0xDB</t>
  </si>
  <si>
    <t>燃料电池冷却系统（FTS）</t>
  </si>
  <si>
    <t>0x8F</t>
  </si>
  <si>
    <t>序号</t>
  </si>
  <si>
    <t>电控系统</t>
  </si>
  <si>
    <t>故障描述</t>
  </si>
  <si>
    <t>SPN</t>
  </si>
  <si>
    <t>FMI</t>
  </si>
  <si>
    <t>BMS</t>
  </si>
  <si>
    <t>单体温度轻微低</t>
  </si>
  <si>
    <t xml:space="preserve"> BMS</t>
  </si>
  <si>
    <t>电池总电压轻微高</t>
  </si>
  <si>
    <t>单体轻微过压</t>
  </si>
  <si>
    <t>单体压差轻微大</t>
  </si>
  <si>
    <t>充电电流轻微大</t>
  </si>
  <si>
    <t>TCU</t>
  </si>
  <si>
    <t>换挡数据或离合器数据错误</t>
  </si>
  <si>
    <t>变速箱其他故障</t>
  </si>
  <si>
    <t>故障等级</t>
  </si>
  <si>
    <t>Light</t>
  </si>
  <si>
    <t>SPN(DEC)</t>
  </si>
  <si>
    <t>FMI(DEC)</t>
  </si>
  <si>
    <t>菜单中显示</t>
  </si>
  <si>
    <t>仪表界面显示</t>
  </si>
  <si>
    <t>C</t>
  </si>
  <si>
    <t>HCU:蓄电池电压信号超上限(168,16)</t>
  </si>
  <si>
    <t>A</t>
  </si>
  <si>
    <t>STOP</t>
  </si>
  <si>
    <t xml:space="preserve">HCU:蓄电池电压信号超下限(168,18)          </t>
  </si>
  <si>
    <t>HCU:蓄电池电压信号超下限(168,18)       </t>
  </si>
  <si>
    <t>HCU:蓄电池电压信号不合理(168,2)</t>
  </si>
  <si>
    <t>HCU:DC/DC输出电压信号超上限(169,16)</t>
  </si>
  <si>
    <t xml:space="preserve">HCU:DC/DC输出电压信号超下限(169,18)          </t>
  </si>
  <si>
    <t>HCU:DC/DC输出电压信号不合理(169,2)</t>
  </si>
  <si>
    <t>HCU:T15信号电压故障-过高(158,16)</t>
  </si>
  <si>
    <t>B</t>
  </si>
  <si>
    <t>Warn</t>
  </si>
  <si>
    <t>HCU:T15信号电压故障-过低(158,18)</t>
  </si>
  <si>
    <t>HCU:T15信号电压故障-合理性(158,2)</t>
  </si>
  <si>
    <t>9E</t>
  </si>
  <si>
    <t>HCU:制动灯开关故障-合理性(597,2)</t>
  </si>
  <si>
    <t>HCU:CAN2通讯故障(21003,12)</t>
  </si>
  <si>
    <t>520B</t>
  </si>
  <si>
    <t>HCU:CAN1通讯故障(21004,12)</t>
  </si>
  <si>
    <t>520C</t>
  </si>
  <si>
    <t>HCU:ABS制动灯继电器对地短路(21005,4)</t>
  </si>
  <si>
    <t>HCU:ABS制动灯继电器对电源短路(21005,3)</t>
  </si>
  <si>
    <t>HCU:ABS制动灯继电器控制线路故障-超温(21005,6)</t>
  </si>
  <si>
    <t>HCU:ABS制动灯继电器控制线路故障(21005,6)</t>
  </si>
  <si>
    <t>HCU:制动踏板行程传感器2 5V电源故障-过高(21006,16)</t>
  </si>
  <si>
    <t>HCU:制动踏板传感器电源故障(21006,16)</t>
  </si>
  <si>
    <t>HCU:制动踏板行程传感器2 5V电源故障-过低(21006,18)</t>
  </si>
  <si>
    <t>HCU:制动踏板传感器电源故障(21006,18)</t>
  </si>
  <si>
    <t>HCU:制动踏板行程传感器2 5V电源故障-开路(21006,5)</t>
  </si>
  <si>
    <t>HCU:制动踏板传感器电源故障(21006,5)</t>
  </si>
  <si>
    <t>520E</t>
  </si>
  <si>
    <t>HCU:制动踏板行程传感器2 5V电源故障-对地短路(21006,6)</t>
  </si>
  <si>
    <t>HCU:制动踏板传感器电源故障(21006,6)</t>
  </si>
  <si>
    <r>
      <rPr>
        <sz val="11"/>
        <color rgb="FF000000"/>
        <rFont val="宋体"/>
        <charset val="134"/>
        <scheme val="minor"/>
      </rPr>
      <t>HCU:</t>
    </r>
    <r>
      <rPr>
        <sz val="11"/>
        <color rgb="FF000000"/>
        <rFont val="宋体"/>
        <charset val="134"/>
        <scheme val="minor"/>
      </rPr>
      <t>制动踏板行程传感器</t>
    </r>
    <r>
      <rPr>
        <sz val="11"/>
        <color rgb="FF000000"/>
        <rFont val="Arial"/>
        <charset val="134"/>
      </rPr>
      <t>2</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(21007,16)</t>
    </r>
  </si>
  <si>
    <r>
      <rPr>
        <sz val="11"/>
        <color rgb="FF000000"/>
        <rFont val="宋体"/>
        <charset val="134"/>
        <scheme val="minor"/>
      </rPr>
      <t>HCU:</t>
    </r>
    <r>
      <rPr>
        <sz val="11"/>
        <color rgb="FF000000"/>
        <rFont val="宋体"/>
        <charset val="134"/>
        <scheme val="minor"/>
      </rPr>
      <t>制动踏板传感器</t>
    </r>
    <r>
      <rPr>
        <sz val="11"/>
        <color rgb="FF000000"/>
        <rFont val="宋体"/>
        <charset val="134"/>
        <scheme val="minor"/>
      </rPr>
      <t>故障</t>
    </r>
    <r>
      <rPr>
        <sz val="11"/>
        <color rgb="FF000000"/>
        <rFont val="宋体"/>
        <charset val="134"/>
        <scheme val="minor"/>
      </rPr>
      <t>(21007,16)</t>
    </r>
  </si>
  <si>
    <t>520F</t>
  </si>
  <si>
    <t>HCU:制动踏板行程传感器2信号故障-超量程最小值(21007,18)</t>
  </si>
  <si>
    <t>HCU:制动踏板传感器故障(21007,18)</t>
  </si>
  <si>
    <t>HCU:电源线开路或信号线短路到地(21007,5)</t>
  </si>
  <si>
    <t>这条为新增请注意</t>
  </si>
  <si>
    <t>2020.03.07</t>
  </si>
  <si>
    <t>仪表软件未增加</t>
  </si>
  <si>
    <t>HCU:制动踏板行程传感器2信号故障-合理性(21007,2)</t>
  </si>
  <si>
    <t>HCU:制动踏板传感器故障(21007,2)</t>
  </si>
  <si>
    <t>HCU:电子加速踏板1电源5V电源故障-过高(21008,16)</t>
  </si>
  <si>
    <t>HCU:电子加速踏板电源故障(21008,16)</t>
  </si>
  <si>
    <t>HCU:电子加速踏板1电源5V电源故障-过低(21008,18)</t>
  </si>
  <si>
    <t>HCU:电子加速踏板电源故障(21008,18)</t>
  </si>
  <si>
    <t>HCU:电子加速踏板1电源5V电源故障-开路(21008,5)</t>
  </si>
  <si>
    <t>HCU:电子加速踏板电源故障(21008,5)</t>
  </si>
  <si>
    <t>HCU:电子加速踏板1电源5V电源故障-对地短路(21008,6)</t>
  </si>
  <si>
    <t>HCU:电子加速踏板电源故障(21008,6)</t>
  </si>
  <si>
    <r>
      <rPr>
        <sz val="11"/>
        <color rgb="FF000000"/>
        <rFont val="宋体"/>
        <charset val="134"/>
        <scheme val="minor"/>
      </rPr>
      <t>HCU:</t>
    </r>
    <r>
      <rPr>
        <sz val="11"/>
        <color rgb="FF000000"/>
        <rFont val="宋体"/>
        <charset val="134"/>
        <scheme val="minor"/>
      </rPr>
      <t>电子加速踏板</t>
    </r>
    <r>
      <rPr>
        <sz val="11"/>
        <color rgb="FF000000"/>
        <rFont val="Arial"/>
        <charset val="134"/>
      </rPr>
      <t>1</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(91,16)</t>
    </r>
  </si>
  <si>
    <r>
      <rPr>
        <sz val="11"/>
        <color rgb="FF000000"/>
        <rFont val="宋体"/>
        <charset val="134"/>
        <scheme val="minor"/>
      </rPr>
      <t>HCU:</t>
    </r>
    <r>
      <rPr>
        <sz val="11"/>
        <color rgb="FF000000"/>
        <rFont val="宋体"/>
        <charset val="134"/>
        <scheme val="minor"/>
      </rPr>
      <t>电子加速踏板</t>
    </r>
    <r>
      <rPr>
        <sz val="11"/>
        <color rgb="FF000000"/>
        <rFont val="宋体"/>
        <charset val="134"/>
        <scheme val="minor"/>
      </rPr>
      <t>信号故障</t>
    </r>
    <r>
      <rPr>
        <sz val="11"/>
        <color rgb="FF000000"/>
        <rFont val="宋体"/>
        <charset val="134"/>
        <scheme val="minor"/>
      </rPr>
      <t>(91,16)</t>
    </r>
  </si>
  <si>
    <t>HCU:电子加速踏板1信号故障-超量程最小值(91,18)</t>
  </si>
  <si>
    <t>HCU:电子加速踏板信号故障(91,18)</t>
  </si>
  <si>
    <t>HCU:电子加速踏板1信号故障-合理性(91,2)</t>
  </si>
  <si>
    <t>HCU:电子加速踏板信号故障(91,2)</t>
  </si>
  <si>
    <t>HCU:电子加速踏板2电源5V电源故障-过高(21009,16)</t>
  </si>
  <si>
    <t>HCU:电子加速踏板电源故障(21009,16)</t>
  </si>
  <si>
    <t>HCU:电子加速踏板2电源5V电源故障-过低(21009,18)</t>
  </si>
  <si>
    <t>HCU:电子加速踏板电源故障(21009,18)</t>
  </si>
  <si>
    <t>HCU:电子加速踏板2电源5V电源故障-开路(21009,5)</t>
  </si>
  <si>
    <t>HCU:电子加速踏板电源故障(21009,5)</t>
  </si>
  <si>
    <t>HCU:电子加速踏板2电源5V电源故障-对地短路(21009,6)</t>
  </si>
  <si>
    <t>HCU:电子加速踏板电源故障(21009,6)</t>
  </si>
  <si>
    <r>
      <rPr>
        <sz val="11"/>
        <color rgb="FF000000"/>
        <rFont val="宋体"/>
        <charset val="134"/>
        <scheme val="minor"/>
      </rPr>
      <t>HCU:</t>
    </r>
    <r>
      <rPr>
        <sz val="11"/>
        <color rgb="FF000000"/>
        <rFont val="宋体"/>
        <charset val="134"/>
        <scheme val="minor"/>
      </rPr>
      <t>电子加速踏板</t>
    </r>
    <r>
      <rPr>
        <sz val="11"/>
        <color rgb="FF000000"/>
        <rFont val="Arial"/>
        <charset val="134"/>
      </rPr>
      <t>2</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(29,16)</t>
    </r>
  </si>
  <si>
    <r>
      <rPr>
        <sz val="11"/>
        <color rgb="FF000000"/>
        <rFont val="宋体"/>
        <charset val="134"/>
        <scheme val="minor"/>
      </rPr>
      <t>HCU:</t>
    </r>
    <r>
      <rPr>
        <sz val="11"/>
        <color rgb="FF000000"/>
        <rFont val="宋体"/>
        <charset val="134"/>
        <scheme val="minor"/>
      </rPr>
      <t>电子加速踏板</t>
    </r>
    <r>
      <rPr>
        <sz val="11"/>
        <color rgb="FF000000"/>
        <rFont val="宋体"/>
        <charset val="134"/>
        <scheme val="minor"/>
      </rPr>
      <t>信号故障</t>
    </r>
    <r>
      <rPr>
        <sz val="11"/>
        <color rgb="FF000000"/>
        <rFont val="宋体"/>
        <charset val="134"/>
        <scheme val="minor"/>
      </rPr>
      <t>(29,16)</t>
    </r>
  </si>
  <si>
    <t>HCU:电子加速踏板2信号故障-超量程最小值(29,18)</t>
  </si>
  <si>
    <t>HCU:电子加速踏板信号故障(29,18)</t>
  </si>
  <si>
    <t>HCU:电子加速踏板2信号故障-合理性(29,2)</t>
  </si>
  <si>
    <t>HCU:电子加速踏板信号故障(29,2)</t>
  </si>
  <si>
    <t>HCU:DCDC使能信号对地短路(21012,4)</t>
  </si>
  <si>
    <t>HCU:DCDC使能信号对电短路(21012,3)</t>
  </si>
  <si>
    <t>HCU:DCDC使能信号控制线路故障-超温(21012,6)</t>
  </si>
  <si>
    <t>HCU:DCDC使能信号控制线路故障(21012,6)</t>
  </si>
  <si>
    <t>HCU:空调使能继电器对地短路(21013,4)</t>
  </si>
  <si>
    <t>HCU:空调使能继电器对电短路(21013,3)</t>
  </si>
  <si>
    <t>HCU:空调使能继电器控制线路故障-超温(21013,6)</t>
  </si>
  <si>
    <t>HCU:空调使能继电器控制线路故障(21013,6)</t>
  </si>
  <si>
    <t>HCU:PTC使能继电器对地短路(21014,4)</t>
  </si>
  <si>
    <t>HCU:PTC使能继电器对电短路(21014,3)</t>
  </si>
  <si>
    <t>HCU:PTC使能继电器控制线路故障-超温(21014,6)</t>
  </si>
  <si>
    <t>HCU:PTC使能继电器控制线路故障(21014,6)</t>
  </si>
  <si>
    <t>HCU:紧急切断继电器对地短路(21015,4)</t>
  </si>
  <si>
    <t>HCU:紧急切断继电器对电短路(21015,3)</t>
  </si>
  <si>
    <t>HCU:紧急切断继电器控制线路故障-超温(21015,6)</t>
  </si>
  <si>
    <t>HCU:紧急切断继电器控制线路故障(21015,6)</t>
  </si>
  <si>
    <t>HCU:下电数据不能保存(630,12)</t>
  </si>
  <si>
    <t>HCU:静态RAM检测不能通过(21016,12)</t>
  </si>
  <si>
    <t>HCU:非正常复位发生(21017,12)</t>
  </si>
  <si>
    <t>HCU:内部SPI通讯故障(21018,12)</t>
  </si>
  <si>
    <t>HCU:高压配电盒正极继电器使能信号对地短路(21019,4)</t>
  </si>
  <si>
    <t>HCU:PDU正极继电器使能信号对地短路(21019,4)</t>
  </si>
  <si>
    <t>HCU:高压配电盒正极继电器使能信号对电短路(21019,3)</t>
  </si>
  <si>
    <t>HCU:PDU正极继电器使能信号对电短路(21019,3)</t>
  </si>
  <si>
    <t>HCU:高压配电盒正极继电器使能信号控制线路故障-超温(21019,6)</t>
  </si>
  <si>
    <t>HCU:PDU正极继电器线路故障(21019,6)</t>
  </si>
  <si>
    <t>HCU:倒车灯输出对地短路或者过温(21022,4)</t>
  </si>
  <si>
    <t>HCU:倒车灯输出对电短路或者开路(21022,3)</t>
  </si>
  <si>
    <t>HCU:倒车灯输出控制线路故障-超温(21022,6)</t>
  </si>
  <si>
    <t>HCU:倒车灯输出控制线路故障(21022,6)</t>
  </si>
  <si>
    <t>HCU:制动踏板行程传感器1 5V电源故障-过高(21056,16)</t>
  </si>
  <si>
    <t>HCU:制动踏板传感器电源故障21056,16)</t>
  </si>
  <si>
    <t>HCU:制动踏板行程传感器1 5V电源故障-过低(21056,18)</t>
  </si>
  <si>
    <t>HCU:制动踏板传感器电源故障(21056,18)</t>
  </si>
  <si>
    <t>HCU:制动踏板行程传感器1 5V电源故障-开路(21056,5)</t>
  </si>
  <si>
    <t>HCU:制动踏板传感器电源故障(21056,5)</t>
  </si>
  <si>
    <t>HCU:制动踏板行程传感器1 5V电源故障-对地短路(21056,6)</t>
  </si>
  <si>
    <t>HCU:制动踏板传感器电源故障(21056,6)</t>
  </si>
  <si>
    <r>
      <rPr>
        <sz val="11"/>
        <color rgb="FF000000"/>
        <rFont val="宋体"/>
        <charset val="134"/>
        <scheme val="minor"/>
      </rPr>
      <t>HCU:</t>
    </r>
    <r>
      <rPr>
        <sz val="11"/>
        <color rgb="FF000000"/>
        <rFont val="宋体"/>
        <charset val="134"/>
        <scheme val="minor"/>
      </rPr>
      <t>制动踏板行程传感器</t>
    </r>
    <r>
      <rPr>
        <sz val="11"/>
        <color rgb="FF000000"/>
        <rFont val="Arial"/>
        <charset val="134"/>
      </rPr>
      <t>1</t>
    </r>
    <r>
      <rPr>
        <sz val="11"/>
        <color rgb="FF000000"/>
        <rFont val="宋体"/>
        <charset val="134"/>
        <scheme val="minor"/>
      </rPr>
      <t>信号故障</t>
    </r>
    <r>
      <rPr>
        <sz val="11"/>
        <color rgb="FF000000"/>
        <rFont val="Arial"/>
        <charset val="134"/>
      </rPr>
      <t>-</t>
    </r>
    <r>
      <rPr>
        <sz val="11"/>
        <color rgb="FF000000"/>
        <rFont val="宋体"/>
        <charset val="134"/>
        <scheme val="minor"/>
      </rPr>
      <t>超量程最大值</t>
    </r>
    <r>
      <rPr>
        <sz val="11"/>
        <color rgb="FF000000"/>
        <rFont val="宋体"/>
        <charset val="134"/>
        <scheme val="minor"/>
      </rPr>
      <t>(21067,16)</t>
    </r>
  </si>
  <si>
    <r>
      <rPr>
        <sz val="11"/>
        <color rgb="FF000000"/>
        <rFont val="宋体"/>
        <charset val="134"/>
        <scheme val="minor"/>
      </rPr>
      <t>HCU:</t>
    </r>
    <r>
      <rPr>
        <sz val="11"/>
        <color rgb="FF000000"/>
        <rFont val="宋体"/>
        <charset val="134"/>
        <scheme val="minor"/>
      </rPr>
      <t>制动踏板传感器</t>
    </r>
    <r>
      <rPr>
        <sz val="11"/>
        <color rgb="FF000000"/>
        <rFont val="宋体"/>
        <charset val="134"/>
        <scheme val="minor"/>
      </rPr>
      <t>信号故障</t>
    </r>
    <r>
      <rPr>
        <sz val="11"/>
        <color rgb="FF000000"/>
        <rFont val="宋体"/>
        <charset val="134"/>
        <scheme val="minor"/>
      </rPr>
      <t>(21067,16)</t>
    </r>
  </si>
  <si>
    <t>HCU:制动踏板行程传感器1信号故障-超量程最小值(21067,18)</t>
  </si>
  <si>
    <t>HCU:制动踏板传感器信号故障(21067,18)</t>
  </si>
  <si>
    <t>HCU:制动踏板行程传感器1信号故障-合理性(21067,2)</t>
  </si>
  <si>
    <t>HCU:制动踏板传感器信号故障(21067,2)</t>
  </si>
  <si>
    <t>B提示类</t>
  </si>
  <si>
    <t>请加电机冷却液</t>
  </si>
  <si>
    <t>HCU:电机冷却液液位低（522111,18）</t>
  </si>
  <si>
    <t>HCU:电机冷却液液位低（522111,19）</t>
  </si>
  <si>
    <t>V1.14新增</t>
  </si>
  <si>
    <t>HCU:电池冷却液液位低（522112,18）</t>
  </si>
  <si>
    <t>HCU:空调压缩机故障（522115,12）</t>
  </si>
  <si>
    <t>HCU:四通阀故障（522116,12）</t>
  </si>
  <si>
    <t>HCU:三通阀故障（522117,12）</t>
  </si>
  <si>
    <t>HCU:电机冷却回水温度传感器故障（522119,5）</t>
  </si>
  <si>
    <t>HCU:电机冷却回水温度传感器故障（522119,4）</t>
  </si>
  <si>
    <t>HCU:HCU与Tbox间通讯异常（1746,9）</t>
  </si>
  <si>
    <t>HCU:车辆监管、即将激活限速限扭（1746,2）</t>
  </si>
  <si>
    <t>HCU:干燥器压力开关信号不合理（21068,2）</t>
  </si>
  <si>
    <t>HCU:整车气路或空压机漏气（21069,2）</t>
  </si>
  <si>
    <t>HCU:冷媒压力高（522113,16）</t>
  </si>
  <si>
    <t>V1.14新增，先不做</t>
  </si>
  <si>
    <t>HCU:冷媒压力低（522114,18）</t>
  </si>
  <si>
    <t>HCU:空调压缩机排气温度高（522118,16）</t>
  </si>
  <si>
    <t>仪表显示内容</t>
  </si>
  <si>
    <t>Stop</t>
  </si>
  <si>
    <t>TMS：通讯异常(521400,23)</t>
  </si>
  <si>
    <t>源地址：0x4E改为0x82</t>
  </si>
  <si>
    <t>TMS：PTC1级故障(521401,5)</t>
  </si>
  <si>
    <t>TMS：PTC1级故障(521401,1)</t>
  </si>
  <si>
    <t>V1.11新增</t>
  </si>
  <si>
    <t>TMS：PTC1级故障(521401,0)</t>
  </si>
  <si>
    <t>TMS：PTC1级故障(521401,25)</t>
  </si>
  <si>
    <t>TMS：PTC1级故障(521401,20)</t>
  </si>
  <si>
    <t>TMS：PTC2级故障(521401,12)</t>
  </si>
  <si>
    <t>TMS：PTC2级故障(521401,19)</t>
  </si>
  <si>
    <t>TMS：PTC2级故障(521401,16)</t>
  </si>
  <si>
    <t>TMS：PTC2级故障(521401,6)</t>
  </si>
  <si>
    <t>TMS：PTC2级故障(521401,3)</t>
  </si>
  <si>
    <t>TMS：PTC2级故障(521401,4)</t>
  </si>
  <si>
    <t>TMS：PTC2级故障(521401,26)</t>
  </si>
  <si>
    <t>TMS：PTC2级故障(521401,21)</t>
  </si>
  <si>
    <t>TMS：PTC2级故障(521401,22)</t>
  </si>
  <si>
    <t>TMS：压缩机故障(521402,12)</t>
  </si>
  <si>
    <t>TMS：压缩机故障(521402,6)</t>
  </si>
  <si>
    <t>TMS：压缩机故障(521402,3)</t>
  </si>
  <si>
    <t>TMS：压缩机故障(521402,4)</t>
  </si>
  <si>
    <t>TMS：压缩机故障(521402,19)</t>
  </si>
  <si>
    <t>TMS：压缩机故障(521402,16)</t>
  </si>
  <si>
    <t>TMS：压缩机故障(521402,20)</t>
  </si>
  <si>
    <t>TMS：压缩机故障(521402,15)</t>
  </si>
  <si>
    <t>TMS：压缩机故障(521402,10)</t>
  </si>
  <si>
    <t>TMS：冷凝风扇故障(521403,12)</t>
  </si>
  <si>
    <t>TMS：高压传感器故障(521404,12)</t>
  </si>
  <si>
    <t>TMS：低压传感器故障(521405,12)</t>
  </si>
  <si>
    <t>TMS：机组进水温度传感器故障(521406,12)</t>
  </si>
  <si>
    <t>V1.11删除</t>
  </si>
  <si>
    <t>V1.14恢复显示</t>
  </si>
  <si>
    <t>TMS：机组出水温度传感器故障(521407,12)</t>
  </si>
  <si>
    <t>TMS：预留(521408,)</t>
  </si>
  <si>
    <t>TMS：冷却液温度异常(521408,18)</t>
  </si>
  <si>
    <t>TMS：冷却液温度异常(521408,28)</t>
  </si>
  <si>
    <t>TMS：水泵故障(521409,12)</t>
  </si>
  <si>
    <t>TMS：水泵故障(521409,6)</t>
  </si>
  <si>
    <t>TMS：水泵故障(521409,3)</t>
  </si>
  <si>
    <t>TMS：水泵故障(521409,4)</t>
  </si>
  <si>
    <t>TMS：水泵故障(521409,16)</t>
  </si>
  <si>
    <t>TMS：水泵故障(521409,21)</t>
  </si>
  <si>
    <t>TMS：水泵故障(521409,22)</t>
  </si>
  <si>
    <t>电池冷却液液位低，请添加冷却液</t>
  </si>
  <si>
    <t>TMS：水位传感器故障(521410,12)</t>
  </si>
  <si>
    <t>TMS：PTC出水温度传感器故障(521411,12)</t>
  </si>
  <si>
    <t>TMS：高压预充故障(521412,0)</t>
  </si>
  <si>
    <t>TMS：预充接触器1级故障(521413,0)</t>
  </si>
  <si>
    <t>V1.11修改</t>
  </si>
  <si>
    <t>TMS：DCDC故障(521414,0)</t>
  </si>
  <si>
    <t>TMS：从机组1一级故障(521415,0)</t>
  </si>
  <si>
    <t>TMS：从机组1二级故障(521415,1)</t>
  </si>
  <si>
    <t>TMS：从机组1丢失(521415,23)</t>
  </si>
  <si>
    <t>TMS：从机组2一 级故障(521416,0)</t>
  </si>
  <si>
    <t>TMS：从机组2二级故障(521416,1)</t>
  </si>
  <si>
    <t>TMS：从机组2丢失(521416,23)</t>
  </si>
  <si>
    <t>TMS：低压供电故障(521417,1)</t>
  </si>
  <si>
    <t>TMS：高压总回路接触器1级故障(521418,0)</t>
  </si>
  <si>
    <t>TMS：排气温度传感器2级故障(521419,12)</t>
  </si>
  <si>
    <t>TMS：DCDC通讯故障(521414,19)</t>
  </si>
  <si>
    <t>TMS：DCDC过电流(521414,6)</t>
  </si>
  <si>
    <t>TMS：DCDC输入过电压(521414,3)</t>
  </si>
  <si>
    <t>TMS：DCDC输入欠电压(521414,4)</t>
  </si>
  <si>
    <t>TMS：DCDC输出过压(521414,16)</t>
  </si>
  <si>
    <t>TMS：DCDC输出欠压(521414,18)</t>
  </si>
  <si>
    <t>TMS：DCDC低压输入电压过高(521414,23)</t>
  </si>
  <si>
    <t>TMS：DCDC低压输入电压过低(521414,24)</t>
  </si>
  <si>
    <t>TMS：DCDC 2级故障（521414，12）</t>
  </si>
  <si>
    <t>（注：当DCDC只能反馈有故障时，FMI码定义为12）</t>
  </si>
  <si>
    <t>V1.16新增</t>
  </si>
  <si>
    <t>输入欠压</t>
  </si>
  <si>
    <t>V1.7_20220419“LSST”改为“LSCU”</t>
  </si>
  <si>
    <t>输入过压</t>
  </si>
  <si>
    <t>EEPROM故障</t>
  </si>
  <si>
    <t>过流故障</t>
  </si>
  <si>
    <t>过温故障</t>
  </si>
  <si>
    <t>过载故障</t>
  </si>
  <si>
    <t>输出缺相</t>
  </si>
  <si>
    <t>CAN通讯中断故障</t>
  </si>
  <si>
    <t>CAN通讯超时故障</t>
  </si>
  <si>
    <t>电机过载故障</t>
  </si>
  <si>
    <t>电机过温故障</t>
  </si>
  <si>
    <t>Red</t>
  </si>
  <si>
    <r>
      <rPr>
        <sz val="10"/>
        <rFont val="宋体"/>
        <charset val="134"/>
      </rPr>
      <t>输入欠压</t>
    </r>
    <r>
      <rPr>
        <sz val="10"/>
        <rFont val="Arial"/>
        <charset val="134"/>
      </rPr>
      <t xml:space="preserve"> </t>
    </r>
  </si>
  <si>
    <t xml:space="preserve">Red </t>
  </si>
  <si>
    <r>
      <rPr>
        <sz val="10"/>
        <rFont val="宋体"/>
        <charset val="134"/>
      </rPr>
      <t>输入过压</t>
    </r>
    <r>
      <rPr>
        <sz val="10"/>
        <rFont val="Arial"/>
        <charset val="134"/>
      </rPr>
      <t xml:space="preserve"> </t>
    </r>
  </si>
  <si>
    <r>
      <rPr>
        <sz val="10"/>
        <rFont val="Arial"/>
        <charset val="134"/>
      </rPr>
      <t>EEPROM</t>
    </r>
    <r>
      <rPr>
        <sz val="10"/>
        <rFont val="宋体"/>
        <charset val="134"/>
      </rPr>
      <t>故障</t>
    </r>
    <r>
      <rPr>
        <sz val="10"/>
        <rFont val="Arial"/>
        <charset val="134"/>
      </rPr>
      <t xml:space="preserve"> </t>
    </r>
  </si>
  <si>
    <r>
      <rPr>
        <sz val="10"/>
        <rFont val="宋体"/>
        <charset val="134"/>
      </rPr>
      <t>过流故障</t>
    </r>
    <r>
      <rPr>
        <sz val="10"/>
        <rFont val="Arial"/>
        <charset val="134"/>
      </rPr>
      <t xml:space="preserve"> </t>
    </r>
  </si>
  <si>
    <t>D</t>
  </si>
  <si>
    <r>
      <rPr>
        <sz val="10"/>
        <rFont val="宋体"/>
        <charset val="134"/>
      </rPr>
      <t>过温故障</t>
    </r>
    <r>
      <rPr>
        <sz val="10"/>
        <rFont val="Arial"/>
        <charset val="134"/>
      </rPr>
      <t xml:space="preserve"> </t>
    </r>
  </si>
  <si>
    <t>过温报警</t>
  </si>
  <si>
    <r>
      <rPr>
        <sz val="10"/>
        <rFont val="宋体"/>
        <charset val="134"/>
      </rPr>
      <t>控制器过载故障</t>
    </r>
    <r>
      <rPr>
        <sz val="10"/>
        <rFont val="Arial"/>
        <charset val="134"/>
      </rPr>
      <t xml:space="preserve"> </t>
    </r>
  </si>
  <si>
    <r>
      <rPr>
        <sz val="10"/>
        <rFont val="宋体"/>
        <charset val="134"/>
      </rPr>
      <t>输出缺相</t>
    </r>
    <r>
      <rPr>
        <sz val="10"/>
        <rFont val="Arial"/>
        <charset val="134"/>
      </rPr>
      <t xml:space="preserve"> </t>
    </r>
  </si>
  <si>
    <t>Amber</t>
  </si>
  <si>
    <r>
      <rPr>
        <sz val="10"/>
        <rFont val="Arial"/>
        <charset val="134"/>
      </rPr>
      <t xml:space="preserve">CAN </t>
    </r>
    <r>
      <rPr>
        <sz val="10"/>
        <rFont val="宋体"/>
        <charset val="134"/>
      </rPr>
      <t>通讯中断故障</t>
    </r>
    <r>
      <rPr>
        <sz val="10"/>
        <rFont val="Arial"/>
        <charset val="134"/>
      </rPr>
      <t xml:space="preserve"> </t>
    </r>
  </si>
  <si>
    <r>
      <rPr>
        <sz val="10"/>
        <rFont val="Arial"/>
        <charset val="134"/>
      </rPr>
      <t xml:space="preserve">CAN </t>
    </r>
    <r>
      <rPr>
        <sz val="10"/>
        <rFont val="宋体"/>
        <charset val="134"/>
      </rPr>
      <t>通讯超时故障</t>
    </r>
    <r>
      <rPr>
        <sz val="10"/>
        <rFont val="Arial"/>
        <charset val="134"/>
      </rPr>
      <t xml:space="preserve"> </t>
    </r>
  </si>
  <si>
    <r>
      <rPr>
        <sz val="10"/>
        <rFont val="宋体"/>
        <charset val="134"/>
      </rPr>
      <t>电机过载故障</t>
    </r>
    <r>
      <rPr>
        <sz val="10"/>
        <rFont val="Arial"/>
        <charset val="134"/>
      </rPr>
      <t xml:space="preserve"> </t>
    </r>
  </si>
  <si>
    <t>电流检测（零漂）故障</t>
  </si>
  <si>
    <t>V1.7_20220419新增故障</t>
  </si>
  <si>
    <r>
      <rPr>
        <sz val="10"/>
        <rFont val="宋体"/>
        <charset val="134"/>
      </rPr>
      <t>控制器过温故障</t>
    </r>
    <r>
      <rPr>
        <sz val="10"/>
        <rFont val="Arial"/>
        <charset val="134"/>
      </rPr>
      <t xml:space="preserve"> </t>
    </r>
  </si>
  <si>
    <r>
      <rPr>
        <sz val="10"/>
        <rFont val="宋体"/>
        <charset val="134"/>
      </rPr>
      <t>转速偏差过大</t>
    </r>
    <r>
      <rPr>
        <sz val="10"/>
        <rFont val="Arial"/>
        <charset val="134"/>
      </rPr>
      <t xml:space="preserve"> </t>
    </r>
  </si>
  <si>
    <t>控制器过温报警</t>
  </si>
  <si>
    <r>
      <rPr>
        <sz val="10"/>
        <rFont val="Arial"/>
        <charset val="134"/>
      </rPr>
      <t xml:space="preserve">PT100 </t>
    </r>
    <r>
      <rPr>
        <sz val="10"/>
        <rFont val="宋体"/>
        <charset val="134"/>
      </rPr>
      <t>短路</t>
    </r>
    <r>
      <rPr>
        <sz val="10"/>
        <rFont val="Arial"/>
        <charset val="134"/>
      </rPr>
      <t xml:space="preserve"> </t>
    </r>
  </si>
  <si>
    <r>
      <rPr>
        <sz val="10"/>
        <rFont val="Arial"/>
        <charset val="134"/>
      </rPr>
      <t xml:space="preserve">PT100 </t>
    </r>
    <r>
      <rPr>
        <sz val="10"/>
        <rFont val="宋体"/>
        <charset val="134"/>
      </rPr>
      <t>开路</t>
    </r>
    <r>
      <rPr>
        <sz val="10"/>
        <rFont val="Arial"/>
        <charset val="134"/>
      </rPr>
      <t xml:space="preserve"> </t>
    </r>
  </si>
  <si>
    <t>超速故障</t>
  </si>
  <si>
    <t>相间短路故障</t>
  </si>
  <si>
    <t>失调故障</t>
  </si>
  <si>
    <t>硬件故障</t>
  </si>
  <si>
    <t xml:space="preserve">Amber </t>
  </si>
  <si>
    <t>控制器温度传感器断路故障</t>
  </si>
  <si>
    <t>控制器温度传感器短路故障</t>
  </si>
  <si>
    <t>辅助电源欠压</t>
  </si>
  <si>
    <t>辅助电源过压</t>
  </si>
  <si>
    <t>DTC</t>
  </si>
  <si>
    <t>原始故障描述</t>
  </si>
  <si>
    <t>仪表主页简化故障描述</t>
  </si>
  <si>
    <t>故障策略/备注</t>
  </si>
  <si>
    <t>仪表:车速传感器电压高或短路到电源</t>
  </si>
  <si>
    <t>仪表:车速传感器电压高(523000,3)</t>
  </si>
  <si>
    <t>仪表:车速传感器电压低或短路到地</t>
  </si>
  <si>
    <t>仪表:车速传感器电压低(523000,4)</t>
  </si>
  <si>
    <t>仪表:前桥回路气压传感器电压高或短路到电源</t>
  </si>
  <si>
    <t>仪表:前桥回路气压传感器电压高(523004,3)</t>
  </si>
  <si>
    <t>前面你做成了提示信息，将提示信息去掉，做成故障码</t>
  </si>
  <si>
    <t>仪表:前桥回路气压传感器电压低或短路到地</t>
  </si>
  <si>
    <t>仪表:前桥回路气压传感器电压低(523004,4)</t>
  </si>
  <si>
    <t>仪表:后桥回路气压传感器电压高或短路到电源</t>
  </si>
  <si>
    <t>仪表:后桥回路气压传感器电压高(523005,3)</t>
  </si>
  <si>
    <t>仪表:后桥回路气压传感器电压低或短路到地</t>
  </si>
  <si>
    <t>仪表:后桥回路气压传感器电压低(523005,4)</t>
  </si>
  <si>
    <t>仪表:仪表内部故障</t>
  </si>
  <si>
    <t>仪表:内部故障(523007,12)</t>
  </si>
  <si>
    <t>仪表:仪表实时时钟故障</t>
  </si>
  <si>
    <t>仪表:内部故障(523034,8)</t>
  </si>
  <si>
    <t>仪表:CAN 1 bus off</t>
  </si>
  <si>
    <t>仪表:CAN 1总线故障(523008,8)</t>
  </si>
  <si>
    <t>仪表:CAN 2 bus off</t>
  </si>
  <si>
    <t>仪表:CAN 2总线故障(523009,8)</t>
  </si>
  <si>
    <t>仪表:BCM CAN报文超时</t>
  </si>
  <si>
    <t>仪表:BCM报文超时(523010,8)</t>
  </si>
  <si>
    <t>仪表:水温过高指示灯故障</t>
  </si>
  <si>
    <t>仪表:水温过高指示灯故障(523020,12)</t>
  </si>
  <si>
    <t>屏蔽</t>
  </si>
  <si>
    <t>仪表:门开报警灯故障</t>
  </si>
  <si>
    <t>仪表:门开报警灯故障(523022,12)</t>
  </si>
  <si>
    <t>仪表:第一桥左轮摩擦片磨损</t>
  </si>
  <si>
    <t>仪表:第一桥左轮摩擦片磨损(523023,12)</t>
  </si>
  <si>
    <t>仪表:第一桥右轮摩擦片磨损</t>
  </si>
  <si>
    <t>仪表:第一桥右轮摩擦片磨损(523024,12)</t>
  </si>
  <si>
    <t>仪表:第二桥左轮摩擦片磨损</t>
  </si>
  <si>
    <t>仪表:第二桥左轮摩擦片磨损(523025,12)</t>
  </si>
  <si>
    <t>仪表:第二桥右轮摩擦片磨损</t>
  </si>
  <si>
    <t>仪表:第二桥右轮摩擦片磨损(523026,12)</t>
  </si>
  <si>
    <t>仪表:第三桥左轮摩擦片磨损</t>
  </si>
  <si>
    <t>仪表:第三桥左轮摩擦片磨损(523027,12)</t>
  </si>
  <si>
    <t>仪表:第三桥右轮摩擦片磨损</t>
  </si>
  <si>
    <t>仪表:第三桥右轮摩擦片磨损(523028,12)</t>
  </si>
  <si>
    <t>仪表:第四桥左轮摩擦片磨损</t>
  </si>
  <si>
    <t>仪表:第四桥左轮摩擦片磨损(523029,12)</t>
  </si>
  <si>
    <t>仪表:第四桥右轮摩擦片磨损</t>
  </si>
  <si>
    <t>仪表:第四桥右轮摩擦片磨损(523030,12)</t>
  </si>
  <si>
    <t>仪表:第五桥左轮摩擦片磨损</t>
  </si>
  <si>
    <t>仪表:第五桥左轮摩擦片磨损（523031，12）</t>
  </si>
  <si>
    <t>10×4车</t>
  </si>
  <si>
    <t>仪表:第五桥右轮摩擦片磨损</t>
  </si>
  <si>
    <t>仪表:第五桥右轮摩擦片磨损（523032，12）</t>
  </si>
  <si>
    <t>AMT:离合器磨损</t>
  </si>
  <si>
    <t>AMT:离合器磨损(523031,0)</t>
  </si>
  <si>
    <t>18FF8503报文中离合器磨损为1时,仪表显示该故障,并向总线发出该故障代码</t>
  </si>
  <si>
    <t>AMT:空气压力过低</t>
  </si>
  <si>
    <t>AMT:空气压力过低(523032,0)</t>
  </si>
  <si>
    <t>18FF8503报文中空气压力过低为1时,仪表显示该故障,并向总线发出该故障代码</t>
  </si>
  <si>
    <t>仪表:TPMS CAN报文超时</t>
  </si>
  <si>
    <t>仪表:TPMS CAN报文超时(523033,8)</t>
  </si>
  <si>
    <t>仪表:ABS CAN报文超时</t>
  </si>
  <si>
    <t>仪表:ABS CAN报文超时(523036,8)</t>
  </si>
  <si>
    <t>配置ABS系统的车辆,若ABS系统完全失效(总线无0B源地址报文)；
仪表点亮ABS黄色指示灯,同时仪表LCD显示:ABS系统失效</t>
  </si>
  <si>
    <t>仪表:EBS CAN报文超时</t>
  </si>
  <si>
    <t>仪表:EBS CAN报文超时(523037,8)</t>
  </si>
  <si>
    <t>配置EBS系统的车辆,若EBS系统完全失效(总线无0B源地址报文)；
仪表点亮EBS红色指示灯,同时仪表LCD显示:EBS系统失效</t>
  </si>
  <si>
    <t>仪表:环境温度传感器信号异常</t>
  </si>
  <si>
    <t>仪表:环境温度传感器信号异常(171,2)</t>
  </si>
  <si>
    <t>报该故障时,环境温度发0xFE00</t>
  </si>
  <si>
    <t>仪表:环境温度传感器电压高或短路到电源或开路</t>
  </si>
  <si>
    <t>仪表:环境温度传感器电压高（171,3）改成
仪表：环境温度传感器或线路故障(171,3)</t>
  </si>
  <si>
    <r>
      <rPr>
        <sz val="12"/>
        <color rgb="FFFF0000"/>
        <rFont val="宋体"/>
        <charset val="134"/>
      </rPr>
      <t>持续诊断3s才判断故障，在这3内发前一状态的温度，如果是上电就线路问题，默认发25℃</t>
    </r>
    <r>
      <rPr>
        <sz val="12"/>
        <color theme="2" tint="-0.899990844447157"/>
        <rFont val="宋体"/>
        <charset val="134"/>
      </rPr>
      <t>，报该故障时,环境温度发0xFE00</t>
    </r>
  </si>
  <si>
    <t>仪表:环境温度传感器短路到地</t>
  </si>
  <si>
    <t>仪表:环境温度传感器电压低(171,4)</t>
  </si>
  <si>
    <r>
      <rPr>
        <sz val="12"/>
        <color rgb="FFFF0000"/>
        <rFont val="宋体"/>
        <charset val="134"/>
      </rPr>
      <t>持续诊断3s才判断故障，在这3内发前一状态的温度，如果是上电就线路问题，默认发25℃，</t>
    </r>
    <r>
      <rPr>
        <sz val="12"/>
        <color theme="2" tint="-0.899990844447157"/>
        <rFont val="宋体"/>
        <charset val="134"/>
      </rPr>
      <t>报该故障时,环境温度发0xFE00</t>
    </r>
  </si>
  <si>
    <t>仪表:变速箱油温传感器电压高或短路到电源或开路</t>
  </si>
  <si>
    <t>仪表:变速箱油温传感器电压高(177,3)</t>
  </si>
  <si>
    <t>仪表:变速箱油温传感器短路到地</t>
  </si>
  <si>
    <t>仪表:变速箱油温传感器电压低(177,4)</t>
  </si>
  <si>
    <t>仪表:不充电指示灯故障</t>
  </si>
  <si>
    <t>仪表:不充电指示灯故障(523038,12)</t>
  </si>
  <si>
    <t>仪表:驻车制动指示灯故障</t>
  </si>
  <si>
    <t>仪表:驻车制动指示灯故障(523039,12)</t>
  </si>
  <si>
    <t>仪表:安全带指示灯故障</t>
  </si>
  <si>
    <t>仪表:安全带指示灯故障(523040,12)</t>
  </si>
  <si>
    <t>仪表:空气压力过低</t>
  </si>
  <si>
    <t>仪表：空气压力过低（523041,1）</t>
  </si>
  <si>
    <t>仪表点亮气压过低报警灯时报此故障</t>
  </si>
  <si>
    <t>仪表:AMT CAN报文超时</t>
  </si>
  <si>
    <t>仪表:AMT CAN报文超时(523042,8)</t>
  </si>
  <si>
    <t>所有报报文超时的都按自检完成后（3s）后，以5倍周期报报文超时，收不到0CEF3103且收不到18F00503</t>
  </si>
  <si>
    <t>仪表:SCU CAN报文超时</t>
  </si>
  <si>
    <t>仪表:SCU CAN报文超时(523043,8)</t>
  </si>
  <si>
    <t>仪表:Ret CAN报文超时</t>
  </si>
  <si>
    <t>仪表:Ret CAN报文超时(523044,8)</t>
  </si>
  <si>
    <t>仪表:ECAS CAN报文超时</t>
  </si>
  <si>
    <t>仪表:ECAS CAN报文超时(523045,8)</t>
  </si>
  <si>
    <t>仪表:ACM CAN报文超时</t>
  </si>
  <si>
    <t>仪表:ACM CAN报文超时(523046,8)</t>
  </si>
  <si>
    <t>仪表:LDWS CAN报文超时</t>
  </si>
  <si>
    <t>仪表:LDWS CAN报文超时(523047,8)</t>
  </si>
  <si>
    <t>仪表:AEBS CAN报文超时</t>
  </si>
  <si>
    <t>仪表:AEBS CAN报文超时(523048,8)</t>
  </si>
  <si>
    <t>LDWS:车道偏离系统标定未完成</t>
  </si>
  <si>
    <t>不用显示SPN和FMI</t>
  </si>
  <si>
    <t>FCWS:前方碰撞系统故障</t>
  </si>
  <si>
    <t>FCWS:前方碰撞系统前视相机未标定</t>
  </si>
  <si>
    <t>FCWS:前方碰撞系统前视相机故障</t>
  </si>
  <si>
    <t>LDWS:车道偏离系统故障</t>
  </si>
  <si>
    <t>LDWS:车道偏离系统前视相机未标定</t>
  </si>
  <si>
    <t>LDWS:车道偏离系统前视相机故障</t>
  </si>
  <si>
    <t>BSD:右盲区探测系统标定未完成</t>
  </si>
  <si>
    <t>BSD:右盲区探测系统未标定</t>
  </si>
  <si>
    <t>BSD:右盲区探测系统相机故障</t>
  </si>
  <si>
    <t>SCU供电电压过高</t>
  </si>
  <si>
    <t>SCU：供电电压过高(524000,0)</t>
  </si>
  <si>
    <t>7FEE0</t>
  </si>
  <si>
    <t>SCU供电电压过低</t>
  </si>
  <si>
    <t>SCU：供电电压过低(524000,1)</t>
  </si>
  <si>
    <t>SCU CAN故障</t>
  </si>
  <si>
    <t>SCU：总线故障(524001,19)</t>
  </si>
  <si>
    <t>旋钮开关异常1</t>
  </si>
  <si>
    <t>SCU：换挡旋钮开关信号异常(524002,3)</t>
  </si>
  <si>
    <t>旋钮开关异常2</t>
  </si>
  <si>
    <t>SCU：换挡旋钮开关信号异常(524002,4)</t>
  </si>
  <si>
    <t>A/M开关信号异常</t>
  </si>
  <si>
    <t>SCU：A/M开关信号异常(524003,3)</t>
  </si>
  <si>
    <t>A/M开关对地短路或卡滞</t>
  </si>
  <si>
    <t>SCU：A/M开关对地短路或卡滞(524003,4)</t>
  </si>
  <si>
    <t>M+开关信号异常</t>
  </si>
  <si>
    <t>SCU：M+开关信号异常(524004,3)</t>
  </si>
  <si>
    <t>7FEE4</t>
  </si>
  <si>
    <t>M-开关信号异常</t>
  </si>
  <si>
    <t>SCU：M-开关信号异常(524005,3)</t>
  </si>
  <si>
    <t>7FEE5</t>
  </si>
  <si>
    <t>E/P开关信号异常</t>
  </si>
  <si>
    <t>SCU：E/P开关信号异常(524006,3)</t>
  </si>
  <si>
    <t>7FEE6</t>
  </si>
  <si>
    <t>E/P开关对地短路或卡滞</t>
  </si>
  <si>
    <t>SCU：E/P开关对地短路或卡滞(524006,4)</t>
  </si>
  <si>
    <t>故障信息</t>
  </si>
  <si>
    <t>1轴左轮速传感器无传感器信号</t>
  </si>
  <si>
    <r>
      <rPr>
        <sz val="11"/>
        <color rgb="FFFF0000"/>
        <rFont val="宋体"/>
        <charset val="134"/>
        <scheme val="minor"/>
      </rPr>
      <t>ABS</t>
    </r>
    <r>
      <rPr>
        <sz val="11"/>
        <color theme="1"/>
        <rFont val="宋体"/>
        <charset val="134"/>
        <scheme val="minor"/>
      </rPr>
      <t>：1轴左轮速传感器无传感器信号(789,8)</t>
    </r>
  </si>
  <si>
    <t>1轴左轮速传感器传感器短路或断路</t>
  </si>
  <si>
    <r>
      <rPr>
        <sz val="11"/>
        <color rgb="FFFF0000"/>
        <rFont val="宋体"/>
        <charset val="134"/>
        <scheme val="minor"/>
      </rPr>
      <t>ABS</t>
    </r>
    <r>
      <rPr>
        <sz val="11"/>
        <color theme="1"/>
        <rFont val="宋体"/>
        <charset val="134"/>
        <scheme val="minor"/>
      </rPr>
      <t>：1轴左轮速传感器传感器短路或断路(789,12)</t>
    </r>
  </si>
  <si>
    <t>1轴右轮速传感器无传感器信号</t>
  </si>
  <si>
    <r>
      <rPr>
        <sz val="11"/>
        <color rgb="FFFF0000"/>
        <rFont val="宋体"/>
        <charset val="134"/>
        <scheme val="minor"/>
      </rPr>
      <t>ABS：</t>
    </r>
    <r>
      <rPr>
        <sz val="11"/>
        <color theme="1"/>
        <rFont val="宋体"/>
        <charset val="134"/>
        <scheme val="minor"/>
      </rPr>
      <t>1轴右轮速传感器无传感器信号(790,8)</t>
    </r>
  </si>
  <si>
    <t>1轴右轮速传感器传感器短路或断路</t>
  </si>
  <si>
    <r>
      <rPr>
        <sz val="11"/>
        <color rgb="FFFF0000"/>
        <rFont val="宋体"/>
        <charset val="134"/>
        <scheme val="minor"/>
      </rPr>
      <t>ABS</t>
    </r>
    <r>
      <rPr>
        <sz val="11"/>
        <color theme="1"/>
        <rFont val="宋体"/>
        <charset val="134"/>
        <scheme val="minor"/>
      </rPr>
      <t>：1轴右轮速传感器传感器短路或断路(790,12)</t>
    </r>
  </si>
  <si>
    <t>2轴左轮速传感器无传感器信号</t>
  </si>
  <si>
    <r>
      <rPr>
        <sz val="11"/>
        <color rgb="FFFF0000"/>
        <rFont val="宋体"/>
        <charset val="134"/>
        <scheme val="minor"/>
      </rPr>
      <t>ABS</t>
    </r>
    <r>
      <rPr>
        <sz val="11"/>
        <color theme="1"/>
        <rFont val="宋体"/>
        <charset val="134"/>
        <scheme val="minor"/>
      </rPr>
      <t>：2轴左轮速传感器无传感器信号(791,8)</t>
    </r>
  </si>
  <si>
    <t>2轴左轮速传感器传感器短路或断路</t>
  </si>
  <si>
    <r>
      <rPr>
        <sz val="11"/>
        <color rgb="FFFF0000"/>
        <rFont val="宋体"/>
        <charset val="134"/>
        <scheme val="minor"/>
      </rPr>
      <t>ABS：</t>
    </r>
    <r>
      <rPr>
        <sz val="11"/>
        <color theme="1"/>
        <rFont val="宋体"/>
        <charset val="134"/>
        <scheme val="minor"/>
      </rPr>
      <t>2轴左轮速传感器传感器短路或断路(791,12)</t>
    </r>
  </si>
  <si>
    <t>2轴右轮速传感器无传感器信号</t>
  </si>
  <si>
    <r>
      <rPr>
        <sz val="11"/>
        <color rgb="FFFF0000"/>
        <rFont val="宋体"/>
        <charset val="134"/>
        <scheme val="minor"/>
      </rPr>
      <t>ABS</t>
    </r>
    <r>
      <rPr>
        <sz val="11"/>
        <color theme="1"/>
        <rFont val="宋体"/>
        <charset val="134"/>
        <scheme val="minor"/>
      </rPr>
      <t>：2轴右轮速传感器无传感器信号(792,8)</t>
    </r>
  </si>
  <si>
    <t>2轴右轮速传感器传感器短路或断路</t>
  </si>
  <si>
    <r>
      <rPr>
        <sz val="11"/>
        <color rgb="FFFF0000"/>
        <rFont val="宋体"/>
        <charset val="134"/>
        <scheme val="minor"/>
      </rPr>
      <t>ABS</t>
    </r>
    <r>
      <rPr>
        <sz val="11"/>
        <color theme="1"/>
        <rFont val="宋体"/>
        <charset val="134"/>
        <scheme val="minor"/>
      </rPr>
      <t>：2轴右轮速传感器传感器短路或断路(792,12)</t>
    </r>
  </si>
  <si>
    <t>1轴左压力调节阀电磁阀短路或接地</t>
  </si>
  <si>
    <r>
      <rPr>
        <sz val="11"/>
        <color rgb="FFFF0000"/>
        <rFont val="宋体"/>
        <charset val="134"/>
        <scheme val="minor"/>
      </rPr>
      <t>ABS：</t>
    </r>
    <r>
      <rPr>
        <sz val="11"/>
        <color theme="1"/>
        <rFont val="宋体"/>
        <charset val="134"/>
        <scheme val="minor"/>
      </rPr>
      <t>1轴左压力调节阀电磁阀短路或接地(795,4)</t>
    </r>
  </si>
  <si>
    <t>1轴左压力调节阀电磁阀断路</t>
  </si>
  <si>
    <r>
      <rPr>
        <sz val="11"/>
        <color rgb="FFFF0000"/>
        <rFont val="宋体"/>
        <charset val="134"/>
        <scheme val="minor"/>
      </rPr>
      <t>ABS</t>
    </r>
    <r>
      <rPr>
        <sz val="11"/>
        <color theme="1"/>
        <rFont val="宋体"/>
        <charset val="134"/>
        <scheme val="minor"/>
      </rPr>
      <t>：1轴左压力调节阀电磁阀断路(795,5)</t>
    </r>
  </si>
  <si>
    <t>1轴右压力调节阀电磁阀短路或接地</t>
  </si>
  <si>
    <r>
      <rPr>
        <sz val="11"/>
        <color rgb="FFFF0000"/>
        <rFont val="宋体"/>
        <charset val="134"/>
        <scheme val="minor"/>
      </rPr>
      <t>ABS</t>
    </r>
    <r>
      <rPr>
        <sz val="11"/>
        <color theme="1"/>
        <rFont val="宋体"/>
        <charset val="134"/>
        <scheme val="minor"/>
      </rPr>
      <t>：1轴右压力调节阀电磁阀短路或接地(796,4)</t>
    </r>
  </si>
  <si>
    <t>31C</t>
  </si>
  <si>
    <t>1轴右压力调节阀电磁阀断路</t>
  </si>
  <si>
    <r>
      <rPr>
        <sz val="11"/>
        <color rgb="FFFF0000"/>
        <rFont val="宋体"/>
        <charset val="134"/>
        <scheme val="minor"/>
      </rPr>
      <t>ABS</t>
    </r>
    <r>
      <rPr>
        <sz val="11"/>
        <color theme="1"/>
        <rFont val="宋体"/>
        <charset val="134"/>
        <scheme val="minor"/>
      </rPr>
      <t>：1轴右压力调节阀电磁阀断路(796,5)</t>
    </r>
  </si>
  <si>
    <t>2轴左压力调节阀电磁阀短路或接地</t>
  </si>
  <si>
    <r>
      <rPr>
        <sz val="11"/>
        <color rgb="FFFF0000"/>
        <rFont val="宋体"/>
        <charset val="134"/>
        <scheme val="minor"/>
      </rPr>
      <t>ABS</t>
    </r>
    <r>
      <rPr>
        <sz val="11"/>
        <color theme="1"/>
        <rFont val="宋体"/>
        <charset val="134"/>
        <scheme val="minor"/>
      </rPr>
      <t>：2轴左压力调节阀电磁阀短路或接地(797,4)</t>
    </r>
  </si>
  <si>
    <t>2轴左压力调节阀电磁阀断路</t>
  </si>
  <si>
    <r>
      <rPr>
        <sz val="11"/>
        <color rgb="FFFF0000"/>
        <rFont val="宋体"/>
        <charset val="134"/>
        <scheme val="minor"/>
      </rPr>
      <t>ABS</t>
    </r>
    <r>
      <rPr>
        <sz val="11"/>
        <color theme="1"/>
        <rFont val="宋体"/>
        <charset val="134"/>
        <scheme val="minor"/>
      </rPr>
      <t>：2轴左压力调节阀电磁阀断路(797,5)</t>
    </r>
  </si>
  <si>
    <t>2轴右压力调节阀电磁阀短路或接地</t>
  </si>
  <si>
    <r>
      <rPr>
        <sz val="11"/>
        <color rgb="FFFF0000"/>
        <rFont val="宋体"/>
        <charset val="134"/>
        <scheme val="minor"/>
      </rPr>
      <t>ABS：</t>
    </r>
    <r>
      <rPr>
        <sz val="11"/>
        <color theme="1"/>
        <rFont val="宋体"/>
        <charset val="134"/>
        <scheme val="minor"/>
      </rPr>
      <t>2轴右压力调节阀电磁阀短路或接地(798,4)</t>
    </r>
  </si>
  <si>
    <t>2轴右压力调节阀电磁阀断路</t>
  </si>
  <si>
    <r>
      <rPr>
        <sz val="11"/>
        <color rgb="FFFF0000"/>
        <rFont val="宋体"/>
        <charset val="134"/>
        <scheme val="minor"/>
      </rPr>
      <t>ABS：</t>
    </r>
    <r>
      <rPr>
        <sz val="11"/>
        <color theme="1"/>
        <rFont val="宋体"/>
        <charset val="134"/>
        <scheme val="minor"/>
      </rPr>
      <t>2轴右压力调节阀电磁阀断路(798,5)</t>
    </r>
  </si>
  <si>
    <t>电源电压过低</t>
  </si>
  <si>
    <r>
      <rPr>
        <sz val="11"/>
        <color rgb="FFFF0000"/>
        <rFont val="宋体"/>
        <charset val="134"/>
        <scheme val="minor"/>
      </rPr>
      <t>ABS：</t>
    </r>
    <r>
      <rPr>
        <sz val="11"/>
        <color theme="1"/>
        <rFont val="宋体"/>
        <charset val="134"/>
        <scheme val="minor"/>
      </rPr>
      <t>电源电压过低(627,3)</t>
    </r>
  </si>
  <si>
    <t>电源电压过高</t>
  </si>
  <si>
    <r>
      <rPr>
        <sz val="11"/>
        <color rgb="FFFF0000"/>
        <rFont val="宋体"/>
        <charset val="134"/>
        <scheme val="minor"/>
      </rPr>
      <t>ABS：</t>
    </r>
    <r>
      <rPr>
        <sz val="11"/>
        <color theme="1"/>
        <rFont val="宋体"/>
        <charset val="134"/>
        <scheme val="minor"/>
      </rPr>
      <t>电源电压过高(627,4)</t>
    </r>
  </si>
  <si>
    <r>
      <rPr>
        <sz val="11"/>
        <color theme="1"/>
        <rFont val="Times New Roman"/>
        <charset val="134"/>
      </rPr>
      <t>E2PROM</t>
    </r>
    <r>
      <rPr>
        <sz val="11"/>
        <color theme="1"/>
        <rFont val="宋体"/>
        <charset val="134"/>
      </rPr>
      <t>校验错误</t>
    </r>
  </si>
  <si>
    <r>
      <rPr>
        <sz val="11"/>
        <color rgb="FFFF0000"/>
        <rFont val="宋体"/>
        <charset val="134"/>
        <scheme val="minor"/>
      </rPr>
      <t>ABS</t>
    </r>
    <r>
      <rPr>
        <sz val="11"/>
        <color theme="1"/>
        <rFont val="宋体"/>
        <charset val="134"/>
        <scheme val="minor"/>
      </rPr>
      <t>：E2PROM校验错误(629,12)</t>
    </r>
  </si>
  <si>
    <r>
      <rPr>
        <sz val="11"/>
        <color theme="1"/>
        <rFont val="Times New Roman"/>
        <charset val="134"/>
      </rPr>
      <t>ASR</t>
    </r>
    <r>
      <rPr>
        <sz val="11"/>
        <color theme="1"/>
        <rFont val="宋体"/>
        <charset val="134"/>
      </rPr>
      <t>电磁阀断路</t>
    </r>
  </si>
  <si>
    <r>
      <rPr>
        <sz val="11"/>
        <color rgb="FFFF0000"/>
        <rFont val="宋体"/>
        <charset val="134"/>
        <scheme val="minor"/>
      </rPr>
      <t>ABS：</t>
    </r>
    <r>
      <rPr>
        <sz val="11"/>
        <color theme="1"/>
        <rFont val="宋体"/>
        <charset val="134"/>
        <scheme val="minor"/>
      </rPr>
      <t>ASR电磁阀断路(806,4)</t>
    </r>
  </si>
  <si>
    <t>左制动气室压力传感器断路</t>
  </si>
  <si>
    <r>
      <rPr>
        <sz val="11"/>
        <color rgb="FFFF0000"/>
        <rFont val="宋体"/>
        <charset val="134"/>
        <scheme val="minor"/>
      </rPr>
      <t>ABS：</t>
    </r>
    <r>
      <rPr>
        <sz val="11"/>
        <color theme="1"/>
        <rFont val="宋体"/>
        <charset val="134"/>
        <scheme val="minor"/>
      </rPr>
      <t>左制动气室压力传感器断路(116,4)</t>
    </r>
  </si>
  <si>
    <t>右制动气室压力传感器断路</t>
  </si>
  <si>
    <r>
      <rPr>
        <sz val="11"/>
        <color rgb="FFFF0000"/>
        <rFont val="宋体"/>
        <charset val="134"/>
        <scheme val="minor"/>
      </rPr>
      <t>ABS：</t>
    </r>
    <r>
      <rPr>
        <sz val="11"/>
        <color theme="1"/>
        <rFont val="宋体"/>
        <charset val="134"/>
        <scheme val="minor"/>
      </rPr>
      <t>右制动气室压力传感器断路(117,4)</t>
    </r>
  </si>
  <si>
    <t>左制动气室压力传感器失效</t>
  </si>
  <si>
    <r>
      <rPr>
        <sz val="11"/>
        <color rgb="FFFF0000"/>
        <rFont val="宋体"/>
        <charset val="134"/>
        <scheme val="minor"/>
      </rPr>
      <t>ABS：</t>
    </r>
    <r>
      <rPr>
        <sz val="11"/>
        <color theme="1"/>
        <rFont val="宋体"/>
        <charset val="134"/>
        <scheme val="minor"/>
      </rPr>
      <t>左制动气室压力传感器失效(116,5)</t>
    </r>
  </si>
  <si>
    <t>右制动气室压力传感器失效</t>
  </si>
  <si>
    <r>
      <rPr>
        <sz val="11"/>
        <color rgb="FFFF0000"/>
        <rFont val="宋体"/>
        <charset val="134"/>
        <scheme val="minor"/>
      </rPr>
      <t>ABS</t>
    </r>
    <r>
      <rPr>
        <sz val="11"/>
        <color theme="1"/>
        <rFont val="宋体"/>
        <charset val="134"/>
        <scheme val="minor"/>
      </rPr>
      <t>：右制动气室压力传感器失效(117,5)</t>
    </r>
  </si>
  <si>
    <t>系统类别</t>
  </si>
  <si>
    <t>SPN
（DEC）</t>
  </si>
  <si>
    <t>FMI
(DEC)</t>
  </si>
  <si>
    <t>备注</t>
  </si>
  <si>
    <t>修改后</t>
  </si>
  <si>
    <t>黄色报警灯+电池故障灯</t>
  </si>
  <si>
    <t>BMS:绝缘电阻轻微低</t>
  </si>
  <si>
    <t>BMS:绝缘电阻轻微低（521300,17)</t>
  </si>
  <si>
    <t>红色STOP灯+电池故障灯</t>
  </si>
  <si>
    <t>BMS:绝缘电阻一般低</t>
  </si>
  <si>
    <t>BMS:绝缘电阻一般低（521300,18)</t>
  </si>
  <si>
    <t>BMS:绝缘电阻严重低</t>
  </si>
  <si>
    <t>BMS:绝缘电阻严重低（521300,1)</t>
  </si>
  <si>
    <t>电池故障灯</t>
  </si>
  <si>
    <t>BMS:单体温度轻微高</t>
  </si>
  <si>
    <t>BMS:单体温度轻微高（521301,15)</t>
  </si>
  <si>
    <t>BMS:单体温度一般高</t>
  </si>
  <si>
    <t>BMS:单体温度一般高（521301,16)</t>
  </si>
  <si>
    <t>BMS:单体温度严重高</t>
  </si>
  <si>
    <t>BMS:单体温度严重高（521301,0)</t>
  </si>
  <si>
    <t>BMS:单体温度轻微低</t>
  </si>
  <si>
    <t>BMS:单体温度轻微低（521301,17)</t>
  </si>
  <si>
    <t>V1.16删除</t>
  </si>
  <si>
    <t>BMS:单体温度一般低</t>
  </si>
  <si>
    <t>BMS:单体温度一般低（521301,18)</t>
  </si>
  <si>
    <t>黄色报警灯+电池故障灯+文字提示 “请挪车至温暖场合，如无效，请联系服务站保养”</t>
  </si>
  <si>
    <t>BMS:单体温度严重低</t>
  </si>
  <si>
    <t>BMS:单体温度严重低（521301,1)</t>
  </si>
  <si>
    <t>BMS:温差轻微大</t>
  </si>
  <si>
    <t>BMS:温差轻微大（521302,15)</t>
  </si>
  <si>
    <t>BMS:温差一般大</t>
  </si>
  <si>
    <t>BMS:温差一般大（521302,16)</t>
  </si>
  <si>
    <t>BMS:温差严重大</t>
  </si>
  <si>
    <t>BMS:温差严重大（521302,0)</t>
  </si>
  <si>
    <t>BMS:均温高</t>
  </si>
  <si>
    <t>BMS:均温高（521303,0)</t>
  </si>
  <si>
    <t>BMS:均温低</t>
  </si>
  <si>
    <t>BMS:均温低（521303,1)</t>
  </si>
  <si>
    <t>BMS:电池总电压轻微高</t>
  </si>
  <si>
    <t>BMS:电池总电压轻微高（521304,15)</t>
  </si>
  <si>
    <t>BMS:电池总电压一般高</t>
  </si>
  <si>
    <t>BMS:电池总电压一般高（521304,16)</t>
  </si>
  <si>
    <t>BMS:电池总电压严重高</t>
  </si>
  <si>
    <t>BMS:电池总电压严重高（521304,0)</t>
  </si>
  <si>
    <t>BMS:电池总电压轻微低</t>
  </si>
  <si>
    <t>BMS:电池总电压轻微低（521304,17)</t>
  </si>
  <si>
    <t>BMS:电池总电压一般低</t>
  </si>
  <si>
    <t>BMS:电池总电压一般低（521304,18)</t>
  </si>
  <si>
    <t>BMS:电池总电压严重低</t>
  </si>
  <si>
    <t>BMS:电池总电压严重低（521304,1)</t>
  </si>
  <si>
    <t>BMS:可充电储能系统不匹配故障</t>
  </si>
  <si>
    <t>BMS:可充电储能系统不匹配故障（521304,23)</t>
  </si>
  <si>
    <t>BMS:单体轻微过压</t>
  </si>
  <si>
    <t>BMS:单体轻微过压（521305,15)</t>
  </si>
  <si>
    <t>BMS:单体一般过压</t>
  </si>
  <si>
    <t>BMS:单体一般过压（521305,16)</t>
  </si>
  <si>
    <t>BMS:单体严重过压</t>
  </si>
  <si>
    <t>BMS:单体严重过压（521305,0)</t>
  </si>
  <si>
    <t>BMS:单体轻微欠压</t>
  </si>
  <si>
    <t>BMS:单体轻微欠压（521305,17)</t>
  </si>
  <si>
    <t>BMS:单体一般欠压</t>
  </si>
  <si>
    <t>BMS:单体一般欠压（521305,18)</t>
  </si>
  <si>
    <t>BMS:单体严重欠压</t>
  </si>
  <si>
    <t>BMS:单体严重欠压（521305,1)</t>
  </si>
  <si>
    <t>电芯过放故障</t>
  </si>
  <si>
    <t>BMS:单体过放（5213.5,12）</t>
  </si>
  <si>
    <t>V1.5新增</t>
  </si>
  <si>
    <t>BMS:单体压差轻微大</t>
  </si>
  <si>
    <t>BMS:单体压差轻微大（521306,15)</t>
  </si>
  <si>
    <t>V1.5描述修改</t>
  </si>
  <si>
    <t>BMS:单体一致性差（521306,15)</t>
  </si>
  <si>
    <t>BMS:单体压差一般大</t>
  </si>
  <si>
    <t>BMS:单体压差一般大（521306,16)</t>
  </si>
  <si>
    <t>BMS:单体压差严重大</t>
  </si>
  <si>
    <t>BMS:单体压差严重大（521306,0)</t>
  </si>
  <si>
    <t>BMS:充电电流轻微大</t>
  </si>
  <si>
    <t>BMS:充电电流轻微大（521307,15)</t>
  </si>
  <si>
    <t>BMS:峰值回充电流轻微大（521307,15)</t>
  </si>
  <si>
    <t>BMS:充电电流一般大</t>
  </si>
  <si>
    <t>BMS:充电电流一般大（521307,16)</t>
  </si>
  <si>
    <t>BMS:峰值回充电流一般大（521307,16)</t>
  </si>
  <si>
    <t>BMS:充电电流严重大</t>
  </si>
  <si>
    <t>BMS:充电电流严重大（521307,0)</t>
  </si>
  <si>
    <t>BMS:峰值回充电流严重大（521307,0)</t>
  </si>
  <si>
    <t>黄色报警灯+电池故障灯+文字提示，“请更换充电桩, 无效则联系服务站保养”</t>
  </si>
  <si>
    <t>充电电流超限报警</t>
  </si>
  <si>
    <t>BMS:充电电流超限（521307，6）</t>
  </si>
  <si>
    <t>BMS:放电电流轻微大</t>
  </si>
  <si>
    <t>BMS:放电电流轻微大（521308,15)</t>
  </si>
  <si>
    <t>BMS:峰值放电电流轻微大（521308,15)</t>
  </si>
  <si>
    <t>BMS:放电电流一般大</t>
  </si>
  <si>
    <t>BMS:放电电流一般大（521308,16)</t>
  </si>
  <si>
    <t>BMS:峰值放电电流一般大（521308,16)</t>
  </si>
  <si>
    <t>无</t>
  </si>
  <si>
    <t>BMS:放电电流严重大</t>
  </si>
  <si>
    <t>BMS:放电电流严重大（521308,0)</t>
  </si>
  <si>
    <t>BMS:峰值放电电流严重大（521308,0)</t>
  </si>
  <si>
    <t>BMS:电池SOC轻微低</t>
  </si>
  <si>
    <t>BMS:电池SOC轻微低（521309,17)</t>
  </si>
  <si>
    <t>电池故障灯+文字提示“SOC明显低, 请尽快充电”</t>
  </si>
  <si>
    <t>BMS:电池SOC一般低</t>
  </si>
  <si>
    <t>BMS:电池SOC一般低（521309,18)</t>
  </si>
  <si>
    <t>电池故障灯+文字提示“SOC严重低, 请立即充电”</t>
  </si>
  <si>
    <t>BMS:电池SOC严重低</t>
  </si>
  <si>
    <t>BMS:电池SOC严重低（521309,1)</t>
  </si>
  <si>
    <t>BMS:电池SOC高</t>
  </si>
  <si>
    <t>BMS:电池SOC高（521309,0)</t>
  </si>
  <si>
    <t>BMS:SOC跳变故障报警</t>
  </si>
  <si>
    <t>BMS:SOC跳变故障报警（521309,2)</t>
  </si>
  <si>
    <t>BMS:BMS24V供电异常</t>
  </si>
  <si>
    <t>BMS:BMS24V供电异常（521310,13)</t>
  </si>
  <si>
    <t>BMS:BMS内部通信故障</t>
  </si>
  <si>
    <t>BMS:BMS内部通信故障（521311,9)</t>
  </si>
  <si>
    <t>黄色报警灯+电池故障灯+文字提示“请检查MSD是否安装正常”</t>
  </si>
  <si>
    <t>BMS:高压互锁故障</t>
  </si>
  <si>
    <t>BMS:高压互锁故障（521312,5)</t>
  </si>
  <si>
    <t>BMS:单体电压检测</t>
  </si>
  <si>
    <t>BMS:单体电压检测（521313,13)</t>
  </si>
  <si>
    <t>BMS:预留</t>
  </si>
  <si>
    <t>BMS:预留（521314,)</t>
  </si>
  <si>
    <t>BMS:禁止充电</t>
  </si>
  <si>
    <t>BMS:禁止充电（521315,6)</t>
  </si>
  <si>
    <t>BMS:禁止放电</t>
  </si>
  <si>
    <t>BMS:禁止放电（521316,6)</t>
  </si>
  <si>
    <t>BMS:充电器故障</t>
  </si>
  <si>
    <t>BMS:充电器故障（521317,12)</t>
  </si>
  <si>
    <t>BMS:短路故障</t>
  </si>
  <si>
    <t>BMS:短路故障（521318,4)</t>
  </si>
  <si>
    <t>BMS:ds12c887</t>
  </si>
  <si>
    <t>BMS:ds12c887（521319,2)</t>
  </si>
  <si>
    <t>BMS:外CAN初始化</t>
  </si>
  <si>
    <t>BMS:外CAN初始化（521321,2)</t>
  </si>
  <si>
    <t>BMS:内CAN初始化</t>
  </si>
  <si>
    <t>BMS:内CAN初始化（521322,2)</t>
  </si>
  <si>
    <t>BMS:外CAN接收</t>
  </si>
  <si>
    <t>BMS:外CAN接收（521323,12)</t>
  </si>
  <si>
    <t>BMS:总压采集</t>
  </si>
  <si>
    <t>BMS:总压采集（521324,2)</t>
  </si>
  <si>
    <t>BMS:单体温度检测错误</t>
  </si>
  <si>
    <t>BMS:单体温度检测错误（521325,3)</t>
  </si>
  <si>
    <t>BMS:主负接触器无法闭合</t>
  </si>
  <si>
    <t>BMS:主负接触器无法闭合（521327,5)</t>
  </si>
  <si>
    <t>BMS:主负接触器无法断开</t>
  </si>
  <si>
    <t>BMS:主负接触器无法断开（521327,3)</t>
  </si>
  <si>
    <t>主正接触器无法闭合故障报警</t>
  </si>
  <si>
    <t>BMS:主正接触器无法闭合（521328,5）</t>
  </si>
  <si>
    <t>主正接触器无法断开故障报警</t>
  </si>
  <si>
    <t>BMS:主正接触器无法断开（521328,3）</t>
  </si>
  <si>
    <t>BMS:充电正接触器无法闭合</t>
  </si>
  <si>
    <t>BMS:充电正接触器无法闭合（521329,5)</t>
  </si>
  <si>
    <t>BMS:直流充电A正接触器无法闭合（521329,5)</t>
  </si>
  <si>
    <t>BMS:充电正接触器无法断开</t>
  </si>
  <si>
    <t>BMS:充电正接触器无法断开（521329,3)</t>
  </si>
  <si>
    <t>BMS:直流充电A正接触器无法断开（521329,3)</t>
  </si>
  <si>
    <t>BMS:预留（521329,2)</t>
  </si>
  <si>
    <t>V1.16屏蔽</t>
  </si>
  <si>
    <t>BMS:充电负接触器无法闭合</t>
  </si>
  <si>
    <t>BMS:充电负接触器无法闭合（521330,5)</t>
  </si>
  <si>
    <t>BMS:直流充电A负接触器无法闭合（521330,5)</t>
  </si>
  <si>
    <t>BMS:充电负接触器无法断开</t>
  </si>
  <si>
    <t>BMS:充电负接触器无法断开（521330,3)</t>
  </si>
  <si>
    <t>BMS:直流充电A负接触器无法断开（521330,3)</t>
  </si>
  <si>
    <t>直流充电B正接触器无法闭合故障报警</t>
  </si>
  <si>
    <t>BMS:直流充电B正接触器无法闭合（521331,5）</t>
  </si>
  <si>
    <t>直流充电B正接触器无法断开故障报警</t>
  </si>
  <si>
    <t>BMS:直流充电B正接触器无法断开（521331,3）</t>
  </si>
  <si>
    <t>直流充电B负接触器无法闭合故障报警</t>
  </si>
  <si>
    <t>BMS:直流充电B负接触器无法闭合（521332,5）</t>
  </si>
  <si>
    <t>直流充电B负接触器无法断开故障报警</t>
  </si>
  <si>
    <t>BMS:直流充电B负接触器无法断开（521332，3）</t>
  </si>
  <si>
    <t>BMS:支路断路</t>
  </si>
  <si>
    <t>BMS:支路断路（521333,5)</t>
  </si>
  <si>
    <t>BMS:电池包极限故障</t>
  </si>
  <si>
    <t>BMS:电池包极限故障（521334,3)</t>
  </si>
  <si>
    <t>A提示类</t>
  </si>
  <si>
    <t>红色STOP灯+电池故障灯+文字提示“请立即靠边停车并撤离车辆”</t>
  </si>
  <si>
    <t>BMS:电池包火灾故障</t>
  </si>
  <si>
    <t>BMS:电池包火灾故障（521335,3)</t>
  </si>
  <si>
    <t>BMS:充电插座温度掉线</t>
  </si>
  <si>
    <t>BMS:充电插座温度掉线（521336,5)</t>
  </si>
  <si>
    <t>黄色报警灯+电池故障灯+文字提示“请更换充电桩, 无效则联系服务站保养”</t>
  </si>
  <si>
    <t>BMS:充电插座一般过温</t>
  </si>
  <si>
    <t>BMS:充电插座一般过温（521336,16)</t>
  </si>
  <si>
    <t>红色STOP灯+电池故障灯+文字提示“请更换充电桩, 无效则联系服务站保养”</t>
  </si>
  <si>
    <t>BMS:充电插座严重过温</t>
  </si>
  <si>
    <t>BMS:充电插座严重过温（521336,0)</t>
  </si>
  <si>
    <t>BMS:加热接触器无法闭合</t>
  </si>
  <si>
    <t>BMS:加热接触器无法闭合（521344,5)</t>
  </si>
  <si>
    <t>BMS:加热膜或TMS接触器无法闭合（521344,5)</t>
  </si>
  <si>
    <t>BMS:加热接触器无法断开</t>
  </si>
  <si>
    <t>BMS:加热接触器无法断开（521344,3)</t>
  </si>
  <si>
    <t>BMS:加热膜或TMS接触器无法断开（521344,3)</t>
  </si>
  <si>
    <t>BMS:整车端高压负载异常故障</t>
  </si>
  <si>
    <t>BMS:整车端高压负载异常故障（521345,13)</t>
  </si>
  <si>
    <t>BMS:强切继电器故障</t>
  </si>
  <si>
    <t>BMS:强切继电器故障（521346,13)</t>
  </si>
  <si>
    <t>BMS:烟雾探测器烟雾报警</t>
  </si>
  <si>
    <t>BMS:烟雾探测器烟雾报警（521347,0)</t>
  </si>
  <si>
    <t>BMS:烟雾探测器高温报警</t>
  </si>
  <si>
    <t>BMS:烟雾探测器高温报警（521348,0)</t>
  </si>
  <si>
    <t>BMS:烟雾探测器温度突变报警</t>
  </si>
  <si>
    <t>BMS:烟雾探测器温度突变报警（521348,2)</t>
  </si>
  <si>
    <t>BMS:烟雾传感器掉线故障</t>
  </si>
  <si>
    <t>BMS:烟雾传感器掉线故障（521349,5)</t>
  </si>
  <si>
    <t>BMS:电流采集失效</t>
  </si>
  <si>
    <t>BMS:电流采集失效（521350,12)</t>
  </si>
  <si>
    <t>SOC差异过大报警</t>
  </si>
  <si>
    <t>BMS:SOC差异过大</t>
  </si>
  <si>
    <t>BMS:SOC差异过大报警(521353,0)</t>
  </si>
  <si>
    <t>持续放电过流</t>
  </si>
  <si>
    <t>BMS:持续放电电流轻微大</t>
  </si>
  <si>
    <t>BMS:持续放电过流(521360,15)</t>
  </si>
  <si>
    <t>BMS:持续放电电流一般大</t>
  </si>
  <si>
    <t>BMS:持续放电过流(521360,16)</t>
  </si>
  <si>
    <t>BMS:持续放电电流严重大</t>
  </si>
  <si>
    <t>BMS:持续放电过流(521360,0)</t>
  </si>
  <si>
    <t>行车持续回充过流</t>
  </si>
  <si>
    <t>BMS:持续回充电流轻微大</t>
  </si>
  <si>
    <t>BMS:行车持续回充过流(521361,15)</t>
  </si>
  <si>
    <t>BMS:持续回充电流一般大</t>
  </si>
  <si>
    <t>BMS:行车持续回充过流(521361,16)</t>
  </si>
  <si>
    <t>BMS:持续回充电流严重大</t>
  </si>
  <si>
    <t>BMS:行车持续回充过流(521361,0)</t>
  </si>
  <si>
    <t>主回路预充或预检故障</t>
  </si>
  <si>
    <t>BMS:主回路预充预检故障</t>
  </si>
  <si>
    <t>BMS:主回路预充或预检故障(521362,7)</t>
  </si>
  <si>
    <t>辅件回路预充或预检故障</t>
  </si>
  <si>
    <t>BMS:辅件回路预充或预检故障</t>
  </si>
  <si>
    <t>BMS:辅件回路预充或预检故障(521363,7)</t>
  </si>
  <si>
    <t>BMS-DC-DC故障</t>
  </si>
  <si>
    <t>BMS:电池DC-DC故障</t>
  </si>
  <si>
    <t>BMS:BMS-DC-DC故障(521364,12)</t>
  </si>
  <si>
    <t>充电插座NTC故障</t>
  </si>
  <si>
    <t>BMS:充电插座NTC故障</t>
  </si>
  <si>
    <t>BMS:充电插座NTC故障(521365,12)</t>
  </si>
  <si>
    <t>交流充电正接触器无法闭合故障报警</t>
  </si>
  <si>
    <t>BMS:交流充电正接触器无法闭合</t>
  </si>
  <si>
    <t>BMS:交流充电正接触器无法闭合故障报警(521366,5)</t>
  </si>
  <si>
    <t>交流充电正接触器无法断开故障报警</t>
  </si>
  <si>
    <t>BMS:交流充电正接触器无法断开</t>
  </si>
  <si>
    <t>BMS:交流充电正接触器无法断开故障报警(521366,3)</t>
  </si>
  <si>
    <t>交流充电负接触器无法闭合故障报警</t>
  </si>
  <si>
    <t>BMS:交流充电负接触器无法闭合</t>
  </si>
  <si>
    <t>BMS:交流充电负接触器无法闭合故障报警(521367,5)</t>
  </si>
  <si>
    <t>交流充电负接触器无法断开故障报警</t>
  </si>
  <si>
    <t>BMS:交流充电负接触器无法断开</t>
  </si>
  <si>
    <t>BMS:交流充电负接触器无法断开故障报警(521367,3)</t>
  </si>
  <si>
    <t>从机组1一级故障</t>
  </si>
  <si>
    <t>BMS:从机组1一级故障(521415,0)</t>
  </si>
  <si>
    <t>加热膜加热回路故障</t>
  </si>
  <si>
    <t>BMS:加热膜加热回路故障(522138,0)</t>
  </si>
  <si>
    <t>充电绝缘阻值低</t>
  </si>
  <si>
    <t>BMS:充电绝缘阻值低(522139,1)</t>
  </si>
  <si>
    <t>ACAN通讯故障</t>
  </si>
  <si>
    <t>BMS:ACAN通讯故障(522140,9)</t>
  </si>
  <si>
    <t>插枪连接信号异常</t>
  </si>
  <si>
    <t>BMS:插枪连接信号异常(522141,9)</t>
  </si>
  <si>
    <t>充电时放电回路检测到电流</t>
  </si>
  <si>
    <t>BMS:充电时放电回路检测到电流(522142,0)</t>
  </si>
  <si>
    <t>电子锁故障</t>
  </si>
  <si>
    <t>BMS:电子锁故障(522143,5)</t>
  </si>
  <si>
    <t>火警探测器故障</t>
  </si>
  <si>
    <t>BMS:火警探测器故障(522144,5)</t>
  </si>
  <si>
    <t>Warning</t>
  </si>
  <si>
    <t>PECU</t>
  </si>
  <si>
    <t>TMS系统故障（水位传感器故障）</t>
  </si>
  <si>
    <t>换电系统:TMS系统故障(522240,5)</t>
  </si>
  <si>
    <t>V1.16修改</t>
  </si>
  <si>
    <t>温控机组故障（所有故障）</t>
  </si>
  <si>
    <t>换电系统:温控机组故障（522240，12）</t>
  </si>
  <si>
    <t>换电连接器过温故障</t>
  </si>
  <si>
    <t>换电系统:换电连接器过温故障(522241,16)</t>
  </si>
  <si>
    <t>换电连接器锁止故障</t>
  </si>
  <si>
    <t>换电系统:换电连接器锁止故障(522242,5)</t>
  </si>
  <si>
    <t>换电连接器连接故障</t>
  </si>
  <si>
    <t>换电系统:换电连接器连接故障(522243,5)</t>
  </si>
  <si>
    <t>换电系统:换电连接器过温故障(522244,0)</t>
  </si>
  <si>
    <t>换电控制器CAN信息超时</t>
  </si>
  <si>
    <t>换电系统:换电控制器CAN信息超时(522245,9)</t>
  </si>
  <si>
    <t>换电系统：换电连接器瞬断轻微故障</t>
  </si>
  <si>
    <t>15</t>
  </si>
  <si>
    <t>换电系统：换电连接器瞬断轻微故障（522243,15)</t>
  </si>
  <si>
    <t>不显示故障灯：</t>
  </si>
  <si>
    <t>V1.8_20220527新增</t>
  </si>
  <si>
    <t>换电系统：换电连接器瞬断一般故障</t>
  </si>
  <si>
    <t>522243</t>
  </si>
  <si>
    <t>16</t>
  </si>
  <si>
    <t>换电系统：换电连接器瞬断一般故障（522243,16)</t>
  </si>
  <si>
    <t>换电系统：换电连接器瞬断严重故障</t>
  </si>
  <si>
    <t>0</t>
  </si>
  <si>
    <t>换电系统：换电连接器瞬断严重故障（522243,0)</t>
  </si>
  <si>
    <t>换电系统：换电连接器过温轻微故障（522241，15）</t>
  </si>
  <si>
    <t>V1.9_20220530新增</t>
  </si>
  <si>
    <t>换电系统：换电连接器过温一般故障（522241，16）</t>
  </si>
  <si>
    <t>换电系统：换电连接器过温严重故障（522241，0）</t>
  </si>
  <si>
    <t>换电系统：换电连接器锁止故障（522242，7）</t>
  </si>
  <si>
    <t>换电连接器温感断线故障</t>
  </si>
  <si>
    <t>换电系统：换电连接器温感断线故障（522244，5）</t>
  </si>
  <si>
    <t>换电控制器自检故障</t>
  </si>
  <si>
    <t>换电系统：换电控制器自检故障（522239，12）</t>
  </si>
  <si>
    <t>换电控制器低压供电电压异常报警</t>
  </si>
  <si>
    <t>换电系统：24V供电异常（522238，13）</t>
  </si>
  <si>
    <t>换电系统电池箱不匹配</t>
  </si>
  <si>
    <t>换电系统：换电系统电池箱不匹配（522237，23）</t>
  </si>
  <si>
    <t>燃料电池回路预充或预检故障</t>
  </si>
  <si>
    <t>BMS：燃料电池回路故障（521313，7）</t>
  </si>
  <si>
    <t>V1.14_20230406新增</t>
  </si>
  <si>
    <t>燃料电池回路电流传感器故障</t>
  </si>
  <si>
    <t>BMS：燃料电池回路故障（521316，12）</t>
  </si>
  <si>
    <t>燃料电池回路接触器无法断开故障报警</t>
  </si>
  <si>
    <t>BMS：燃料电池回路故障（521314，3）</t>
  </si>
  <si>
    <t>燃料电池回路接触器无法闭合故障报警</t>
  </si>
  <si>
    <t>BMS：燃料电池回路故障（521315，5）</t>
  </si>
  <si>
    <t>DC-DC回路接触器无法断开故障报警</t>
  </si>
  <si>
    <t>BMS：DC-DC回路故障（521317，3）</t>
  </si>
  <si>
    <t>DC-DC回路接触器无法闭合故障报警</t>
  </si>
  <si>
    <t>BMS：DC-DC回路故障（521318，5）</t>
  </si>
  <si>
    <t>母线过压保护</t>
  </si>
  <si>
    <t>母线过压停机，高于最高工作电压（软件保护）</t>
  </si>
  <si>
    <t>母线过压停机，高于最高工作电压（硬件保护）</t>
  </si>
  <si>
    <t>母线欠压保护</t>
  </si>
  <si>
    <t>母线欠压停机，低于最低工作电压</t>
  </si>
  <si>
    <t>母线电流过流停机，软件保护</t>
  </si>
  <si>
    <t>母线电流过流停机，硬件保护</t>
  </si>
  <si>
    <t>电机转速超速保护，3300rpm≤n＜3600rpm</t>
  </si>
  <si>
    <t>MCU:电机转速超速报警保护(521702,16)</t>
  </si>
  <si>
    <t>20210625新增</t>
  </si>
  <si>
    <t>V1.6增加蜂鸣</t>
  </si>
  <si>
    <t>电机转速超速停机，n≥3600rpm</t>
  </si>
  <si>
    <t>MCU:电机转速超速停机保护(521702,0)</t>
  </si>
  <si>
    <t>20210625描述更改</t>
  </si>
  <si>
    <t>电机绕组过温保护</t>
  </si>
  <si>
    <t>电机绕组过温停机</t>
  </si>
  <si>
    <t>功率模块温度过温保护</t>
  </si>
  <si>
    <t>功率模块温度过温停机</t>
  </si>
  <si>
    <t>功率模块故障</t>
  </si>
  <si>
    <t>相电流过载，软件保护</t>
  </si>
  <si>
    <t>相电流过流，软件保护</t>
  </si>
  <si>
    <t>相电流过流，硬件保护，最严重等级</t>
  </si>
  <si>
    <t>24V供电电源过压，高于最高工作电压</t>
  </si>
  <si>
    <t>24V供电电源欠压，低于最低工作电压</t>
  </si>
  <si>
    <t>U相电流传感器零偏过大</t>
  </si>
  <si>
    <t>U相电流传感器与地短路、断线</t>
  </si>
  <si>
    <t>U相电流传感器与电源短路</t>
  </si>
  <si>
    <t>W相电流传感器零偏过大</t>
  </si>
  <si>
    <t>W相电流传感器与地短路、断线</t>
  </si>
  <si>
    <t>W相电流传感器与电源短路</t>
  </si>
  <si>
    <t>电机温度传感器断线</t>
  </si>
  <si>
    <r>
      <rPr>
        <sz val="10"/>
        <color rgb="FFFF0000"/>
        <rFont val="宋体"/>
        <charset val="134"/>
      </rPr>
      <t>电机温度传感器对地短路</t>
    </r>
    <r>
      <rPr>
        <sz val="10"/>
        <color rgb="FFFF0000"/>
        <rFont val="Arial"/>
        <charset val="134"/>
      </rPr>
      <t xml:space="preserve"> </t>
    </r>
  </si>
  <si>
    <r>
      <rPr>
        <sz val="10"/>
        <color rgb="FFFF0000"/>
        <rFont val="宋体"/>
        <charset val="134"/>
      </rPr>
      <t>控制器温度传感器断线</t>
    </r>
    <r>
      <rPr>
        <sz val="10"/>
        <color rgb="FFFF0000"/>
        <rFont val="Arial"/>
        <charset val="134"/>
      </rPr>
      <t xml:space="preserve"> </t>
    </r>
  </si>
  <si>
    <r>
      <rPr>
        <sz val="10"/>
        <color rgb="FFFF0000"/>
        <rFont val="宋体"/>
        <charset val="134"/>
      </rPr>
      <t>控制器温度传感器对地短路</t>
    </r>
    <r>
      <rPr>
        <sz val="10"/>
        <color rgb="FFFF0000"/>
        <rFont val="Arial"/>
        <charset val="134"/>
      </rPr>
      <t xml:space="preserve"> </t>
    </r>
  </si>
  <si>
    <t>控制器软件错误</t>
  </si>
  <si>
    <t>CAN通讯数据不连续或收不到，丢帧</t>
  </si>
  <si>
    <t>电机堵转</t>
  </si>
  <si>
    <t>10s之内同一故障出现3次</t>
  </si>
  <si>
    <t>UVW三相绝缘故障</t>
  </si>
  <si>
    <t>电压传感器信号超过最大范围</t>
  </si>
  <si>
    <t>IGBT温度传感器信号超过最大范围</t>
  </si>
  <si>
    <t>IGBT温度传感器信号超过最小范围</t>
  </si>
  <si>
    <t>电机温度传感器信号超过最大范围</t>
  </si>
  <si>
    <t>电机温度传感器信号超过最小范围</t>
  </si>
  <si>
    <t>转速传感器信号错误</t>
  </si>
  <si>
    <t>高压线路断路</t>
  </si>
  <si>
    <t>初始化的所有故障</t>
  </si>
  <si>
    <t>电流传感器偏移超出范围</t>
  </si>
  <si>
    <t>输出缺相故障</t>
  </si>
  <si>
    <t>转速偏差过大故障</t>
  </si>
  <si>
    <t>主动放电故障</t>
  </si>
  <si>
    <t>功能模块校核故障</t>
  </si>
  <si>
    <t>目标转矩异常增大故障</t>
  </si>
  <si>
    <t>电机零位偏差停机故障</t>
  </si>
  <si>
    <t>电机零位偏差限功率故障</t>
  </si>
  <si>
    <t>电机零位不一致故障</t>
  </si>
  <si>
    <t>估算转矩偏差停机故障</t>
  </si>
  <si>
    <t>估算转矩偏差报警故障</t>
  </si>
  <si>
    <t>操作顺序保护报警</t>
  </si>
  <si>
    <t>高速误挂挡保护报警</t>
  </si>
  <si>
    <t>油泵过压</t>
  </si>
  <si>
    <r>
      <rPr>
        <sz val="10"/>
        <color theme="1"/>
        <rFont val="Times New Roman"/>
        <charset val="134"/>
      </rPr>
      <t>MCU</t>
    </r>
    <r>
      <rPr>
        <sz val="10"/>
        <color theme="1"/>
        <rFont val="宋体"/>
        <charset val="134"/>
      </rPr>
      <t>：油泵过压（</t>
    </r>
    <r>
      <rPr>
        <sz val="10"/>
        <color theme="1"/>
        <rFont val="Times New Roman"/>
        <charset val="134"/>
      </rPr>
      <t>521736,3</t>
    </r>
    <r>
      <rPr>
        <sz val="10"/>
        <color theme="1"/>
        <rFont val="宋体"/>
        <charset val="134"/>
      </rPr>
      <t>）</t>
    </r>
  </si>
  <si>
    <t>V1.10_20220723新增</t>
  </si>
  <si>
    <t>油泵欠压</t>
  </si>
  <si>
    <r>
      <rPr>
        <sz val="10"/>
        <color theme="1"/>
        <rFont val="Times New Roman"/>
        <charset val="134"/>
      </rPr>
      <t>MCU</t>
    </r>
    <r>
      <rPr>
        <sz val="10"/>
        <color theme="1"/>
        <rFont val="宋体"/>
        <charset val="134"/>
      </rPr>
      <t>：油泵欠压（</t>
    </r>
    <r>
      <rPr>
        <sz val="10"/>
        <color theme="1"/>
        <rFont val="Times New Roman"/>
        <charset val="134"/>
      </rPr>
      <t>521736,4</t>
    </r>
    <r>
      <rPr>
        <sz val="10"/>
        <color theme="1"/>
        <rFont val="宋体"/>
        <charset val="134"/>
      </rPr>
      <t>）</t>
    </r>
  </si>
  <si>
    <t>V1.10_20220724新增</t>
  </si>
  <si>
    <t>油泵短路</t>
  </si>
  <si>
    <r>
      <rPr>
        <sz val="10"/>
        <color theme="1"/>
        <rFont val="Arial"/>
        <charset val="134"/>
      </rPr>
      <t>MCU</t>
    </r>
    <r>
      <rPr>
        <sz val="10"/>
        <color theme="1"/>
        <rFont val="宋体"/>
        <charset val="134"/>
      </rPr>
      <t>：油泵短路（</t>
    </r>
    <r>
      <rPr>
        <sz val="10"/>
        <color theme="1"/>
        <rFont val="Arial"/>
        <charset val="134"/>
      </rPr>
      <t>521736,22</t>
    </r>
    <r>
      <rPr>
        <sz val="10"/>
        <color theme="1"/>
        <rFont val="宋体"/>
        <charset val="134"/>
      </rPr>
      <t>）</t>
    </r>
  </si>
  <si>
    <t>V1.10_20220725新增</t>
  </si>
  <si>
    <t>油泵过流</t>
  </si>
  <si>
    <r>
      <rPr>
        <sz val="10"/>
        <color theme="1"/>
        <rFont val="Times New Roman"/>
        <charset val="134"/>
      </rPr>
      <t>MCU</t>
    </r>
    <r>
      <rPr>
        <sz val="10"/>
        <color theme="1"/>
        <rFont val="宋体"/>
        <charset val="134"/>
      </rPr>
      <t>：油泵过流（</t>
    </r>
    <r>
      <rPr>
        <sz val="10"/>
        <color theme="1"/>
        <rFont val="Times New Roman"/>
        <charset val="134"/>
      </rPr>
      <t>521736,6</t>
    </r>
    <r>
      <rPr>
        <sz val="10"/>
        <color theme="1"/>
        <rFont val="宋体"/>
        <charset val="134"/>
      </rPr>
      <t>）</t>
    </r>
  </si>
  <si>
    <t>V1.10_20220726新增</t>
  </si>
  <si>
    <t>油泵电机堵转</t>
  </si>
  <si>
    <r>
      <rPr>
        <sz val="10"/>
        <color theme="1"/>
        <rFont val="Times New Roman"/>
        <charset val="134"/>
      </rPr>
      <t>MCU</t>
    </r>
    <r>
      <rPr>
        <sz val="10"/>
        <color theme="1"/>
        <rFont val="宋体"/>
        <charset val="134"/>
      </rPr>
      <t>：油泵电机堵转（</t>
    </r>
    <r>
      <rPr>
        <sz val="10"/>
        <color theme="1"/>
        <rFont val="Times New Roman"/>
        <charset val="134"/>
      </rPr>
      <t>521736,7</t>
    </r>
    <r>
      <rPr>
        <sz val="10"/>
        <color theme="1"/>
        <rFont val="宋体"/>
        <charset val="134"/>
      </rPr>
      <t>）</t>
    </r>
  </si>
  <si>
    <t>V1.10_20220727新增</t>
  </si>
  <si>
    <t>油泵控制器过温</t>
  </si>
  <si>
    <r>
      <rPr>
        <sz val="10"/>
        <color theme="1"/>
        <rFont val="Times New Roman"/>
        <charset val="134"/>
      </rPr>
      <t>MCU</t>
    </r>
    <r>
      <rPr>
        <sz val="10"/>
        <color theme="1"/>
        <rFont val="宋体"/>
        <charset val="134"/>
      </rPr>
      <t>：油泵控制器过温（</t>
    </r>
    <r>
      <rPr>
        <sz val="10"/>
        <color theme="1"/>
        <rFont val="Times New Roman"/>
        <charset val="134"/>
      </rPr>
      <t>521736,16</t>
    </r>
    <r>
      <rPr>
        <sz val="10"/>
        <color theme="1"/>
        <rFont val="宋体"/>
        <charset val="134"/>
      </rPr>
      <t>）</t>
    </r>
  </si>
  <si>
    <t>V1.10_20220728新增</t>
  </si>
  <si>
    <t>油泵电机超速</t>
  </si>
  <si>
    <r>
      <rPr>
        <sz val="10"/>
        <color theme="1"/>
        <rFont val="Times New Roman"/>
        <charset val="134"/>
      </rPr>
      <t>MCU</t>
    </r>
    <r>
      <rPr>
        <sz val="10"/>
        <color theme="1"/>
        <rFont val="宋体"/>
        <charset val="134"/>
      </rPr>
      <t>：油泵电机超速（</t>
    </r>
    <r>
      <rPr>
        <sz val="10"/>
        <color theme="1"/>
        <rFont val="Times New Roman"/>
        <charset val="134"/>
      </rPr>
      <t>521736,0</t>
    </r>
    <r>
      <rPr>
        <sz val="10"/>
        <color theme="1"/>
        <rFont val="宋体"/>
        <charset val="134"/>
      </rPr>
      <t>）</t>
    </r>
  </si>
  <si>
    <t>V1.10_20220729新增</t>
  </si>
  <si>
    <t>SPN（DEC）</t>
  </si>
  <si>
    <t>FMI（DEC）</t>
  </si>
  <si>
    <t>电流检测故障</t>
  </si>
  <si>
    <t>控制器过载故障</t>
  </si>
  <si>
    <t>输出过流</t>
  </si>
  <si>
    <t>PT100短路</t>
  </si>
  <si>
    <t>PT100开路</t>
  </si>
  <si>
    <t>空压机:温度传感器断路故障(521809,5)</t>
  </si>
  <si>
    <t>空压机:温度传感器短路故障(521809,6)</t>
  </si>
  <si>
    <t>控制器过温故障</t>
  </si>
  <si>
    <t>控制器过温告警</t>
  </si>
  <si>
    <t>电机过温告警</t>
  </si>
  <si>
    <r>
      <rPr>
        <sz val="10"/>
        <rFont val="Arial"/>
        <charset val="134"/>
      </rPr>
      <t>EEPROM</t>
    </r>
    <r>
      <rPr>
        <sz val="10"/>
        <rFont val="宋体"/>
        <charset val="134"/>
      </rPr>
      <t>故障</t>
    </r>
  </si>
  <si>
    <t>对地短路</t>
  </si>
  <si>
    <t>速度偏差</t>
  </si>
  <si>
    <t>电机过载</t>
  </si>
  <si>
    <t>20210826修改</t>
  </si>
  <si>
    <r>
      <rPr>
        <sz val="11"/>
        <rFont val="宋体"/>
        <charset val="134"/>
        <scheme val="minor"/>
      </rPr>
      <t>超长时间输出报警</t>
    </r>
    <r>
      <rPr>
        <sz val="10"/>
        <rFont val="Times New Roman"/>
        <charset val="134"/>
      </rPr>
      <t xml:space="preserve"> </t>
    </r>
  </si>
  <si>
    <t>20210826新增</t>
  </si>
  <si>
    <r>
      <rPr>
        <sz val="11"/>
        <rFont val="宋体"/>
        <charset val="134"/>
        <scheme val="minor"/>
      </rPr>
      <t>通讯故障</t>
    </r>
    <r>
      <rPr>
        <sz val="10"/>
        <rFont val="Times New Roman"/>
        <charset val="134"/>
      </rPr>
      <t xml:space="preserve"> </t>
    </r>
  </si>
  <si>
    <r>
      <rPr>
        <sz val="11"/>
        <rFont val="宋体"/>
        <charset val="134"/>
        <scheme val="minor"/>
      </rPr>
      <t>压力开关故障</t>
    </r>
    <r>
      <rPr>
        <sz val="10"/>
        <rFont val="Times New Roman"/>
        <charset val="134"/>
      </rPr>
      <t xml:space="preserve"> </t>
    </r>
  </si>
  <si>
    <t>TCU电源电压高</t>
  </si>
  <si>
    <t>AMT:TCU电源电压高(1378,1)</t>
  </si>
  <si>
    <t>TCU电源电压低</t>
  </si>
  <si>
    <t>AMT:TCU电源电压低(1378,2)</t>
  </si>
  <si>
    <t>车速信号无效</t>
  </si>
  <si>
    <t>AMT:车速信号无效(1824,8)</t>
  </si>
  <si>
    <t>车速没有信号</t>
  </si>
  <si>
    <t>AMT:车速没有信号(1824,4)</t>
  </si>
  <si>
    <t>CAN收不到选档面板信号</t>
  </si>
  <si>
    <t>AMT:CAN收不到选档面板信号(54786,4)</t>
  </si>
  <si>
    <t>换档位置传感器高于最大值</t>
  </si>
  <si>
    <t>AMT:换档位置传感器高于最大值(5953,1)</t>
  </si>
  <si>
    <t>换档位置传感器低于最小值</t>
  </si>
  <si>
    <t>AMT:换档位置传感器低于最小值(5953,2)</t>
  </si>
  <si>
    <t>换档位置传感器信号无效</t>
  </si>
  <si>
    <t>AMT:换档位置传感器信号无效(5953,8)</t>
  </si>
  <si>
    <t>选档位置传感器高于最大值</t>
  </si>
  <si>
    <t>AMT:选档位置传感器高于最大值(5954,1)</t>
  </si>
  <si>
    <t>选档位置传感器低于最小值</t>
  </si>
  <si>
    <t>AMT:选档位置传感器低于最小值(5954,2)</t>
  </si>
  <si>
    <t>选档位置传感器信号无效</t>
  </si>
  <si>
    <t>AMT:选档位置传感器信号无效(5954,8)</t>
  </si>
  <si>
    <t>选档执行机构卡死</t>
  </si>
  <si>
    <t>AMT:选档执行机构卡死(5969,8)</t>
  </si>
  <si>
    <t>换档执行机构卡死</t>
  </si>
  <si>
    <t>AMT:换档执行机构卡死(5971,8)</t>
  </si>
  <si>
    <t>1、2挡均换挡失败</t>
  </si>
  <si>
    <t>AMT:1、2挡均换挡失败(6208,8)</t>
  </si>
  <si>
    <t>上次断电异常</t>
  </si>
  <si>
    <t>AMT:上次断电异常(5990,1)</t>
  </si>
  <si>
    <t>bois软件错误</t>
  </si>
  <si>
    <t>AMT:bois软件错误(5991,1)</t>
  </si>
  <si>
    <t>硬件错误</t>
  </si>
  <si>
    <t>AMT:硬件错误(5992,1)</t>
  </si>
  <si>
    <t>换挡数据或离合数据错误</t>
  </si>
  <si>
    <t>AMT:换挡数据或离合数据错误(5977,1)</t>
  </si>
  <si>
    <t>AMT:变速箱其他故障(153,0)</t>
  </si>
  <si>
    <t>WARN</t>
  </si>
  <si>
    <t>传感器短路或取力器无法断开</t>
  </si>
  <si>
    <t>AMT:传感器短路或取力器无法断开(7670,4)</t>
  </si>
  <si>
    <t>传感器开路或取力器无法闭合</t>
  </si>
  <si>
    <t>AMT:传感器开路或取力器无法闭合(7670,5)</t>
  </si>
  <si>
    <t>不点灯</t>
  </si>
  <si>
    <t>一轴位移传感器故障</t>
  </si>
  <si>
    <t>AMT:一轴位移传感器故障(520200,7)</t>
  </si>
  <si>
    <t>二轴位移传感器故障</t>
  </si>
  <si>
    <t>AMT:二轴位移传感器故障(520201,7)</t>
  </si>
  <si>
    <t>三轴位移传感器故障</t>
  </si>
  <si>
    <t>AMT:三轴位移传感器故障(520202,7)</t>
  </si>
  <si>
    <t>一轴电磁阀故障</t>
  </si>
  <si>
    <t>AMT:一轴电磁阀故障(520203,7)</t>
  </si>
  <si>
    <t>二轴电磁阀故障</t>
  </si>
  <si>
    <t>AMT:二轴电磁阀故障(520204,7)</t>
  </si>
  <si>
    <t>三轴电磁阀故障</t>
  </si>
  <si>
    <t>AMT:三轴电磁阀故障(520205,7)</t>
  </si>
  <si>
    <t>输入轴转速传感器故障</t>
  </si>
  <si>
    <t>AMT:输入轴转速传感器故障(520206,7)</t>
  </si>
  <si>
    <t>输出轴转速传感器故障</t>
  </si>
  <si>
    <t>AMT:输出轴转速传感器故障(520207,7)</t>
  </si>
  <si>
    <t>整车CAN通讯故障</t>
  </si>
  <si>
    <t>AMT:整车CAN通讯故障(520208,7)</t>
  </si>
  <si>
    <t>电机CAN通讯故障</t>
  </si>
  <si>
    <t>AMT:电机CAN通讯故障(520209,7)</t>
  </si>
  <si>
    <t>挂挡失败故障</t>
  </si>
  <si>
    <t>AMT:挂挡失败故障(520213,7)</t>
  </si>
  <si>
    <t>TCU与VECU通讯故障</t>
  </si>
  <si>
    <t>AMT:TCU与VECU通讯故障(7649,1)</t>
  </si>
  <si>
    <t>TCU与MCU通讯故障</t>
  </si>
  <si>
    <t>AMT:TCU与MCU通讯故障(7649,2)</t>
  </si>
  <si>
    <t>车速传感器接线错误</t>
  </si>
  <si>
    <t>AMT:车速传感器接线错误(1824,1)</t>
  </si>
  <si>
    <t>坡道传感器通讯故障</t>
  </si>
  <si>
    <t>AMT:坡道传感器通讯故障(1810,2)</t>
  </si>
  <si>
    <t>坡道传感器未标定，信号异常</t>
  </si>
  <si>
    <t>AMT:坡道传感器未标定，信号异常(1810,11)</t>
  </si>
  <si>
    <t>坡道传感器故障故障或其线路故障</t>
  </si>
  <si>
    <t>AMT:坡道传感器故障故障或其线路故障(518310,12)</t>
  </si>
  <si>
    <t>加速度芯片故障</t>
  </si>
  <si>
    <t>AMT:加速度芯片故障(5997,12)</t>
  </si>
  <si>
    <t>坡度信号零位标定错误</t>
  </si>
  <si>
    <t>AMT:坡度信号零位标定错误(5997,13)</t>
  </si>
  <si>
    <t>取力器堵转报警</t>
  </si>
  <si>
    <t>AMT:取力器堵转报警(7673,7)</t>
  </si>
  <si>
    <t>停车取力有车速报警</t>
  </si>
  <si>
    <t>AMT:停车取力有车速报警(7673,15)</t>
  </si>
  <si>
    <t>取力器反转或转速超速</t>
  </si>
  <si>
    <t>AMT:取力器反转或转速超速(7673,16)</t>
  </si>
  <si>
    <t>AMT换挡清扭超时</t>
  </si>
  <si>
    <t>AMT:AMT换挡清扭超时(520213,5)</t>
  </si>
  <si>
    <t>AMT摘挡失败</t>
  </si>
  <si>
    <t>AMT:AMT摘挡失败(520213,6)</t>
  </si>
  <si>
    <t>AMT换挡调速超时</t>
  </si>
  <si>
    <t>AMT:AMT换挡调速超时(520213,8)</t>
  </si>
  <si>
    <t>AMT挂档失败</t>
  </si>
  <si>
    <t>AMT:AMT挂档失败(520213,9)</t>
  </si>
  <si>
    <t>AMT换挡还扭超时</t>
  </si>
  <si>
    <t>AMT:AMT换挡还扭超时(520213,10)</t>
  </si>
  <si>
    <t>电机响应超时</t>
  </si>
  <si>
    <t>AMT:电机响应超时(520213,16)</t>
  </si>
  <si>
    <t>摘空挡失败故障</t>
  </si>
  <si>
    <t>AMT:摘空挡失败故障(520214,7)</t>
  </si>
  <si>
    <t>变速箱油温过高停机</t>
  </si>
  <si>
    <t>AMT:变速箱油温过高停机(177,0)</t>
  </si>
  <si>
    <t>变速箱油温偏高报警</t>
  </si>
  <si>
    <t>AMT:变速箱油温偏高报警(177,16)</t>
  </si>
  <si>
    <t>油温传感器断路</t>
  </si>
  <si>
    <t>AMT:油温传感器断路(6031,4)</t>
  </si>
  <si>
    <t>油温传感器短路</t>
  </si>
  <si>
    <t>AMT:油温传感器短路(6031,3)</t>
  </si>
  <si>
    <t>变速箱档位速比异常-1档脱档或其它故障</t>
  </si>
  <si>
    <t>AMT:变速箱档位速比异常-1档脱档或其它故障(518389,7)</t>
  </si>
  <si>
    <t>变速箱档位速比异常-2档脱档或其它故障</t>
  </si>
  <si>
    <t>AMT:变速箱档位速比异常-2档脱档或其它故障(518390,7)</t>
  </si>
  <si>
    <t>变速箱档位速比异常-3档脱档或其它故障</t>
  </si>
  <si>
    <t>AMT:变速箱档位速比异常-3档脱档或其它故障(518391,7)</t>
  </si>
  <si>
    <t>变速箱档位速比异常-4档脱档或其它故障</t>
  </si>
  <si>
    <t>AMT:变速箱档位速比异常-4档脱档或其它故障(518392,7)</t>
  </si>
  <si>
    <t>V1.10修正</t>
  </si>
  <si>
    <t>变速箱档位速比异常-5档脱档或其它故障</t>
  </si>
  <si>
    <t>AMT:变速箱档位速比异常-5档脱档或其它故障(518393,7)</t>
  </si>
  <si>
    <t>变速箱档位速比异常-6档脱档或其它故障</t>
  </si>
  <si>
    <t>AMT:变速箱档位速比异常-6档脱档或其它故障(518394,7)</t>
  </si>
  <si>
    <t>变速箱档位速比异常-倒档脱档或其它故障</t>
  </si>
  <si>
    <t>AMT:变速箱档位速比异常-倒档脱档或其它故障(518395,7)</t>
  </si>
  <si>
    <t>AMT E方档位位移值无效，请重新自学习</t>
  </si>
  <si>
    <t>AMT:AMT E方档位位移值无效，请重新自学习(518332,13)</t>
  </si>
  <si>
    <t>正在自学习，请勿操作车辆</t>
  </si>
  <si>
    <t>AMT:正在自学习，请勿操作车辆(518332,14)</t>
  </si>
  <si>
    <t>换挡自学习失败，请重新进行自学习</t>
  </si>
  <si>
    <t>AMT:换挡自学习失败，请重新进行自学习(518333,13)</t>
  </si>
  <si>
    <t>换挡自学习完成</t>
  </si>
  <si>
    <t>AMT:换挡自学习完成(518333,14)</t>
  </si>
  <si>
    <t>AMT:车速传感器故障(1824,1)</t>
  </si>
  <si>
    <t>V1.12_20221229新增 仅KT1D车型显示</t>
  </si>
  <si>
    <t>AMT:坡道传感器通讯故障(1810,12)</t>
  </si>
  <si>
    <t>AMT:坡道传感器通讯故障(1810,13)</t>
  </si>
  <si>
    <t>坡道传感器零位不匹配请重新标定</t>
  </si>
  <si>
    <t>AMT:坡道传感器通讯故障(1810,14)</t>
  </si>
  <si>
    <t>加速度传感器未知故障</t>
  </si>
  <si>
    <t>AMT:坡道传感器通讯故障(1810,4)</t>
  </si>
  <si>
    <t>自学习数据错误</t>
  </si>
  <si>
    <t>AMT:自学习数据错误(518332,11)</t>
  </si>
  <si>
    <t>取力器停车取力器有车速</t>
  </si>
  <si>
    <t>AMT:取力器故障(7670,6)</t>
  </si>
  <si>
    <t>取力器堵转</t>
  </si>
  <si>
    <t>AMT:取力器故障(7670,7)</t>
  </si>
  <si>
    <t>取力器闭合电机转速异常</t>
  </si>
  <si>
    <t>AMT:取力器故障(7670,8)</t>
  </si>
  <si>
    <t>换挡电机回路开路</t>
  </si>
  <si>
    <t>AMT：换挡电机回路开路（522110，5）</t>
  </si>
  <si>
    <t>换挡电机故障</t>
  </si>
  <si>
    <t>AMT：换挡电机故障（522111，8）</t>
  </si>
  <si>
    <t>换挡电机电流偏大</t>
  </si>
  <si>
    <t>AMT：换挡电机电流偏大（522111，6）</t>
  </si>
  <si>
    <t>换挡电机动作与换挡位置方向不匹配</t>
  </si>
  <si>
    <t>AMT：换挡电机电流偏大（522111，7）</t>
  </si>
  <si>
    <t>VCU CAN信号完全丢失故障</t>
  </si>
  <si>
    <t>AMT：VCU CAN信号完全丢失故障（522117，12）</t>
  </si>
  <si>
    <t>MCU CAN信号完全丢失故障</t>
  </si>
  <si>
    <t>AMT：MCU CAN信号完全丢失故障（522119，12）</t>
  </si>
  <si>
    <r>
      <rPr>
        <sz val="10"/>
        <color theme="1"/>
        <rFont val="宋体"/>
        <charset val="134"/>
      </rPr>
      <t>输出严重过压</t>
    </r>
    <r>
      <rPr>
        <sz val="10"/>
        <color theme="1"/>
        <rFont val="Arial"/>
        <charset val="134"/>
      </rPr>
      <t xml:space="preserve"> </t>
    </r>
  </si>
  <si>
    <t>输出过压</t>
  </si>
  <si>
    <t>DCDC:输出过压（521500,16)</t>
  </si>
  <si>
    <r>
      <rPr>
        <sz val="10"/>
        <color theme="1"/>
        <rFont val="宋体"/>
        <charset val="134"/>
      </rPr>
      <t>输出过流</t>
    </r>
    <r>
      <rPr>
        <sz val="10"/>
        <color theme="1"/>
        <rFont val="Arial"/>
        <charset val="134"/>
      </rPr>
      <t xml:space="preserve"> </t>
    </r>
  </si>
  <si>
    <t>DCDC:输出过流（521501,0)</t>
  </si>
  <si>
    <r>
      <rPr>
        <sz val="10"/>
        <color theme="1"/>
        <rFont val="宋体"/>
        <charset val="134"/>
      </rPr>
      <t>过温保护</t>
    </r>
    <r>
      <rPr>
        <sz val="10"/>
        <color theme="1"/>
        <rFont val="Arial"/>
        <charset val="134"/>
      </rPr>
      <t xml:space="preserve"> </t>
    </r>
  </si>
  <si>
    <t>DCDC:过温保护（521502,7)</t>
  </si>
  <si>
    <r>
      <rPr>
        <sz val="10"/>
        <color theme="1"/>
        <rFont val="宋体"/>
        <charset val="134"/>
      </rPr>
      <t>输入过压</t>
    </r>
    <r>
      <rPr>
        <sz val="10"/>
        <color theme="1"/>
        <rFont val="Arial"/>
        <charset val="134"/>
      </rPr>
      <t xml:space="preserve"> </t>
    </r>
  </si>
  <si>
    <t>DCDC:输入过压（521503,0)</t>
  </si>
  <si>
    <r>
      <rPr>
        <sz val="10"/>
        <color theme="1"/>
        <rFont val="宋体"/>
        <charset val="134"/>
      </rPr>
      <t>输入欠压</t>
    </r>
    <r>
      <rPr>
        <sz val="10"/>
        <color theme="1"/>
        <rFont val="Arial"/>
        <charset val="134"/>
      </rPr>
      <t xml:space="preserve"> </t>
    </r>
  </si>
  <si>
    <t>DCDC:输入欠压（521504,4)</t>
  </si>
  <si>
    <t>过温告警</t>
  </si>
  <si>
    <t>DCDC:过温告警（521505,3)</t>
  </si>
  <si>
    <r>
      <rPr>
        <sz val="10"/>
        <rFont val="宋体"/>
        <charset val="134"/>
      </rPr>
      <t>输出欠压</t>
    </r>
    <r>
      <rPr>
        <sz val="10"/>
        <rFont val="Arial"/>
        <charset val="134"/>
      </rPr>
      <t xml:space="preserve"> </t>
    </r>
  </si>
  <si>
    <t>DCDC:输出欠压 (521506,1)</t>
  </si>
  <si>
    <r>
      <rPr>
        <sz val="10"/>
        <rFont val="宋体"/>
        <charset val="134"/>
      </rPr>
      <t>通讯故障</t>
    </r>
    <r>
      <rPr>
        <sz val="10"/>
        <rFont val="Arial"/>
        <charset val="134"/>
      </rPr>
      <t xml:space="preserve"> </t>
    </r>
  </si>
  <si>
    <t>DCDC:通讯故障 (521507,12)</t>
  </si>
  <si>
    <t>模块故障</t>
  </si>
  <si>
    <t>DCDC:模块故障(521508,11)</t>
  </si>
  <si>
    <t>DCDC:模块故障(521508,7)</t>
  </si>
  <si>
    <r>
      <rPr>
        <sz val="10"/>
        <rFont val="宋体"/>
        <charset val="134"/>
      </rPr>
      <t>辅源欠压</t>
    </r>
    <r>
      <rPr>
        <sz val="10"/>
        <rFont val="Arial"/>
        <charset val="134"/>
      </rPr>
      <t xml:space="preserve"> </t>
    </r>
  </si>
  <si>
    <t>DCDC:辅源欠压 (521509,1)</t>
  </si>
  <si>
    <r>
      <rPr>
        <sz val="10"/>
        <rFont val="宋体"/>
        <charset val="134"/>
      </rPr>
      <t>辅源过压</t>
    </r>
    <r>
      <rPr>
        <sz val="10"/>
        <rFont val="Arial"/>
        <charset val="134"/>
      </rPr>
      <t xml:space="preserve"> </t>
    </r>
  </si>
  <si>
    <t>DCDC:辅源过压 (521509,0)</t>
  </si>
  <si>
    <t>输入过流</t>
  </si>
  <si>
    <t>DCDC:输入过流(521510,0)</t>
  </si>
  <si>
    <t>硬件保护故障</t>
  </si>
  <si>
    <t>DCDC:硬件保护故障(521511,0)</t>
  </si>
  <si>
    <t>输出反向过流</t>
  </si>
  <si>
    <t>DCDC:输出反向过流(521512,0)</t>
  </si>
  <si>
    <t>DCDC:EEPROM故障(521513,12)</t>
  </si>
  <si>
    <t>输出过载</t>
  </si>
  <si>
    <t>DCDC:输出过载(521514,16)</t>
  </si>
  <si>
    <t>软启动失败</t>
  </si>
  <si>
    <t>DCDC:软启动失败(521515,7)</t>
  </si>
  <si>
    <t>输出短路</t>
  </si>
  <si>
    <t>负载电容过大</t>
  </si>
  <si>
    <t>外部输入高压失电超过3S</t>
  </si>
  <si>
    <t>预充高压压差过大</t>
  </si>
  <si>
    <t>预充失败</t>
  </si>
  <si>
    <t>V1.7_20220419删除，替换成序号6描述</t>
  </si>
  <si>
    <r>
      <rPr>
        <sz val="10"/>
        <rFont val="宋体"/>
        <charset val="134"/>
      </rPr>
      <t>主驱接触器预充失败</t>
    </r>
    <r>
      <rPr>
        <sz val="10"/>
        <rFont val="Arial"/>
        <charset val="134"/>
      </rPr>
      <t xml:space="preserve"> </t>
    </r>
  </si>
  <si>
    <t>辅驱接触器预充失败</t>
  </si>
  <si>
    <t>上装接触器预充失败</t>
  </si>
  <si>
    <t>MCU欠压复位</t>
  </si>
  <si>
    <t>red</t>
  </si>
  <si>
    <t>低压电控制失电</t>
  </si>
  <si>
    <t>曾有禁止信号</t>
  </si>
  <si>
    <t>高压输入异常</t>
  </si>
  <si>
    <t>主接触器无法断开</t>
  </si>
  <si>
    <t>主接触器无法闭合</t>
  </si>
  <si>
    <t xml:space="preserve">辅驱接触器无法断开 </t>
  </si>
  <si>
    <t>20211227新增</t>
  </si>
  <si>
    <t>辅驱接触器无法闭合</t>
  </si>
  <si>
    <t xml:space="preserve">通讯故障 </t>
  </si>
  <si>
    <t xml:space="preserve">其他接触器粘连 </t>
  </si>
  <si>
    <t>上装用电硬线请求丢失</t>
  </si>
  <si>
    <t>初始化故障</t>
  </si>
  <si>
    <t>主驱回路带转速上电故障</t>
  </si>
  <si>
    <t>主驱回路上电反向压差大</t>
  </si>
  <si>
    <t>辅驱回路上电反向压差大</t>
  </si>
  <si>
    <t>上装回路上电反向压差大</t>
  </si>
  <si>
    <t>ABS:供电电压高(168,3)</t>
  </si>
  <si>
    <t>ABS:供电电压低(168,4)</t>
  </si>
  <si>
    <t>ABS:桥间差速锁电压高(564,3)</t>
  </si>
  <si>
    <t>ABS:桥间差速锁电压低(564,4)</t>
  </si>
  <si>
    <t>ABS:桥间差速锁开路(564,5)</t>
  </si>
  <si>
    <t>ABS:ABS非公路模式激活(575,14)</t>
  </si>
  <si>
    <t>ABS:滚筒台测试模式激活，关闭ASR(576,14)</t>
  </si>
  <si>
    <t>ABS:ASR系统信号异常(609,2)</t>
  </si>
  <si>
    <t>ABS:传感器CAN通讯故障(609,11)</t>
  </si>
  <si>
    <t>ABS:ASR系统被开关关闭(609,14)</t>
  </si>
  <si>
    <t>ABS:前桥差速锁啮合使ABS系统失效(612,14)</t>
  </si>
  <si>
    <t>ABS:ABS电磁阀信号异常(629,2)</t>
  </si>
  <si>
    <t>ABS:ECU故障(629,3)</t>
  </si>
  <si>
    <t>ABS:ABS系统故障(629,7)</t>
  </si>
  <si>
    <t>ABS:ABS系统配置故障(629,8)</t>
  </si>
  <si>
    <t>ABS:ABS系统故障(629,11)</t>
  </si>
  <si>
    <t>ABS:ECU内部故障(629,12)</t>
  </si>
  <si>
    <t>ABS:ECU标定错误(629,13)</t>
  </si>
  <si>
    <t>ABS:ECU内部故障(629,14)</t>
  </si>
  <si>
    <t>ABS:ECU软件故障(630,11)</t>
  </si>
  <si>
    <t>ABS:ECU故障(630,12)</t>
  </si>
  <si>
    <t>ABS:ECU标定错误(630,13)</t>
  </si>
  <si>
    <t>ABS:ECU CAN通讯故障(630,14)</t>
  </si>
  <si>
    <t>ABS:CAN通讯故障(639,2)</t>
  </si>
  <si>
    <t>ABS:CAN通讯故障(639,11)</t>
  </si>
  <si>
    <t>ABS:CAN通讯故障(639,14)</t>
  </si>
  <si>
    <t>ABS:前桥左轮速传感器信号异常(789,1)</t>
  </si>
  <si>
    <t>ABS:前桥左轮速传感器信号异常(789,2)</t>
  </si>
  <si>
    <t>ABS:前桥左轮速传感器开路(789,5)</t>
  </si>
  <si>
    <t>ABS:前桥左轮速传感器故障(789,7)</t>
  </si>
  <si>
    <t>ABS:前桥左轮速传感器信号异常(789,8)</t>
  </si>
  <si>
    <t>ABS:前桥左轮速传感器信号异常(789,10)</t>
  </si>
  <si>
    <t>ABS:前桥左轮速传感器标定错误(789,13)</t>
  </si>
  <si>
    <t>ABS:前桥右轮速传感器信号异常(790,1)</t>
  </si>
  <si>
    <t>ABS:前桥右轮速传感器信号异常(790,2)</t>
  </si>
  <si>
    <t>ABS:前桥右轮速传感器开路(790,5)</t>
  </si>
  <si>
    <t>ABS:前桥右轮速传感器故障(790,7)</t>
  </si>
  <si>
    <t>ABS:前桥右轮速传感器信号异常(790,8)</t>
  </si>
  <si>
    <t>ABS:前桥右轮速传感器信号异常(790,10)</t>
  </si>
  <si>
    <t>ABS:前桥右轮速传感器标定错误(790,13)</t>
  </si>
  <si>
    <t>ABS:驱动桥左轮速传感器信号异常(791,1)</t>
  </si>
  <si>
    <t>ABS:驱动桥左轮速传感器信号异常(791,2)</t>
  </si>
  <si>
    <t>ABS:驱动桥左轮速传感器开路(791,5)</t>
  </si>
  <si>
    <t>ABS:驱动桥左轮速传感器故障(791,7)</t>
  </si>
  <si>
    <t>ABS:驱动桥左轮速传感器信号异常(791,8)</t>
  </si>
  <si>
    <t>ABS:驱动桥左轮速传感器信号异常(791,10)</t>
  </si>
  <si>
    <t>ABS:驱动桥左轮速传感器标定错误(791,13)</t>
  </si>
  <si>
    <t>ABS:驱动桥右轮速传感器信号异常(792,1)</t>
  </si>
  <si>
    <t>ABS:驱动桥右轮速传感器信号异常(792,2)</t>
  </si>
  <si>
    <t>ABS:驱动桥右轮速传感器开路(792,5)</t>
  </si>
  <si>
    <t>ABS:驱动桥右轮速传感器故障(792,7)</t>
  </si>
  <si>
    <t>ABS:驱动桥右轮速传感器信号异常(792,8)</t>
  </si>
  <si>
    <t>ABS:驱动桥右轮速传感器信号异常(792,10)</t>
  </si>
  <si>
    <t>ABS:驱动桥右轮速传感器标定错误(792,13)</t>
  </si>
  <si>
    <t>ABS:第三桥左轮速传感器信号异常(793,1)</t>
  </si>
  <si>
    <t>ABS:第三桥左轮速传感器信号异常(793,2)</t>
  </si>
  <si>
    <t>ABS:第三桥左轮速传感器开路(793,5)</t>
  </si>
  <si>
    <t>ABS:第三桥左轮速传感器故障(793,7)</t>
  </si>
  <si>
    <t>ABS:第三桥左轮速传感器信号异常(793,8)</t>
  </si>
  <si>
    <t>ABS:第三桥左轮速传感器信号异常(793,10)</t>
  </si>
  <si>
    <t>ABS:第三桥左轮速传感器标定错误(793,13)</t>
  </si>
  <si>
    <t>ABS:第三桥右轮速传感器信号异常(794,1)</t>
  </si>
  <si>
    <t>ABS:第三桥右轮速传感器信号异常(794,2)</t>
  </si>
  <si>
    <t>ABS:第三桥右轮速传感器开路(794,5)</t>
  </si>
  <si>
    <t>ABS:第三桥右轮速传感器故障(794,7)</t>
  </si>
  <si>
    <t>ABS:第三桥右轮速传感器信号异常(794,8)</t>
  </si>
  <si>
    <t>ABS:第三桥右轮速传感器信号异常(794,10)</t>
  </si>
  <si>
    <t>ABS:第三桥右轮速传感器标定错误(794,13)</t>
  </si>
  <si>
    <t>ABS:前桥左ABS电磁阀开路(795,5)</t>
  </si>
  <si>
    <t>ABS:前桥左ABS电磁阀标定错误(795,13)</t>
  </si>
  <si>
    <t>ABS:前桥左ABS电磁阀装配错误(795,14)</t>
  </si>
  <si>
    <t>ABS:前桥右ABS电磁阀开路(796,5)</t>
  </si>
  <si>
    <t>ABS:前桥右ABS电磁阀标定错误(796,13)</t>
  </si>
  <si>
    <t>ABS:前桥右ABS电磁阀装配错误(796,14)</t>
  </si>
  <si>
    <t>ABS:驱动桥左ABS电磁阀开路(797,5)</t>
  </si>
  <si>
    <t>ABS:驱动桥左ABS电磁阀标定错误(797,13)</t>
  </si>
  <si>
    <t>ABS:驱动桥左ABS电磁阀装配错误(797,14)</t>
  </si>
  <si>
    <t>ABS:驱动桥右ABS电磁阀开路(798,5)</t>
  </si>
  <si>
    <t>ABS:驱动桥右ABS电磁阀标定错误(798,13)</t>
  </si>
  <si>
    <t>ABS:驱动桥右ABS电磁阀装配错误(798,14)</t>
  </si>
  <si>
    <t>ABS:第三桥左ABS电磁阀或线路故障(799,5)</t>
  </si>
  <si>
    <t>ABS:第三桥左ABS电磁阀标定错误(799,13)</t>
  </si>
  <si>
    <t>ABS:第三桥左ABS电磁阀装配错误(799,14)</t>
  </si>
  <si>
    <t>ABS:第三桥右ABS电磁阀或线路故障(800,5)</t>
  </si>
  <si>
    <t>ABS:第三桥右ABS电磁阀标定错误(800,13)</t>
  </si>
  <si>
    <t>ABS:第三桥右ABS电磁阀装配错误(800,14)</t>
  </si>
  <si>
    <t>ABS:缓速器继电器开路(801,2)</t>
  </si>
  <si>
    <t>ABS:缓速器继电器电压高(801,3)</t>
  </si>
  <si>
    <t>ABS:电磁阀公共地电压高(802,3)</t>
  </si>
  <si>
    <t>ABS:电磁阀公共地电压低(802,4)</t>
  </si>
  <si>
    <t>ABS:驱动桥ASR电磁阀电压高(806,3)</t>
  </si>
  <si>
    <t>ABS:驱动桥ASR电磁阀电压低(806,4)</t>
  </si>
  <si>
    <t>ABS:驱动桥ASR电磁阀开路(806,5)</t>
  </si>
  <si>
    <t>ABS:驱动桥ASR电磁阀标定错误(806,13)</t>
  </si>
  <si>
    <t>ABS:驱动桥ASR电磁阀装配错误(806,14)</t>
  </si>
  <si>
    <t>ABS:前桥ASR电磁阀电压高(807,3)</t>
  </si>
  <si>
    <t>ABS:前桥ASR电磁阀电压低(807,4)</t>
  </si>
  <si>
    <t>ABS:前桥ASR电磁阀开路(807,5)</t>
  </si>
  <si>
    <t>ABS:前桥ASR电磁阀标定错误(807,13)</t>
  </si>
  <si>
    <t>ABS:前桥ASR电磁阀装配错误(807,14)</t>
  </si>
  <si>
    <t>ABS:轮速传感器左右装反(810,7)</t>
  </si>
  <si>
    <t>ABS:ABS故障指示灯或线路故障(811,2)</t>
  </si>
  <si>
    <t>ABS:第三桥轮速传感器标定错误(815,13)</t>
  </si>
  <si>
    <t>ABS:备用输出2电压高(925,3)</t>
  </si>
  <si>
    <t>ABS:备用输出3电压高(926,3)</t>
  </si>
  <si>
    <t>ABS:备用输出3电压低(926,4)</t>
  </si>
  <si>
    <t>ABS:备用输出3开路(926,5)</t>
  </si>
  <si>
    <t>ABS:前桥左进气电磁阀电压高(932,3)</t>
  </si>
  <si>
    <t>ABS:前桥左进气电磁阀电压低(932,4)</t>
  </si>
  <si>
    <t>ABS:前桥左进气电磁阀开路(932,5)</t>
  </si>
  <si>
    <t>ABS:前桥右进气电磁阀电压高(933,3)</t>
  </si>
  <si>
    <t>ABS:前桥右进气电磁阀电压低(933,4)</t>
  </si>
  <si>
    <t>ABS:前桥右进气电磁阀开路(933,5)</t>
  </si>
  <si>
    <t>ABS:驱动桥左进气电磁阀电压高(934,3)</t>
  </si>
  <si>
    <t>ABS:驱动桥左进气电磁阀电压低(934,4)</t>
  </si>
  <si>
    <t>ABS:驱动桥左进气电磁阀开路(934,5)</t>
  </si>
  <si>
    <t>ABS:驱动桥右进气电磁阀电压高(935,3)</t>
  </si>
  <si>
    <t>ABS:驱动桥右进气电磁阀电压低(935,4)</t>
  </si>
  <si>
    <t>ABS:驱动桥右进气电磁阀开路(935,5)</t>
  </si>
  <si>
    <t>ABS:第三桥左进气电磁阀电压高(936,3)</t>
  </si>
  <si>
    <t>ABS:第三桥左进气电磁阀电压低(936,4)</t>
  </si>
  <si>
    <t>ABS:第三桥左进气电磁阀开路(936,5)</t>
  </si>
  <si>
    <t>ABS:第三桥右进气电磁阀电压高(937,3)</t>
  </si>
  <si>
    <t>ABS:第三桥右进气电磁阀电压低(937,4)</t>
  </si>
  <si>
    <t>ABS:第三桥右进气电磁阀开路(937,5)</t>
  </si>
  <si>
    <t>ABS:前桥左排气电磁阀电压高(938,3)</t>
  </si>
  <si>
    <t>ABS:前桥左排气电磁阀电压低(938,4)</t>
  </si>
  <si>
    <t>ABS:前桥左排气电磁阀开路(938,5)</t>
  </si>
  <si>
    <t>ABS:前桥右排气电磁阀电压高(939,3)</t>
  </si>
  <si>
    <t>ABS:前桥右排气电磁阀电压低(939,4)</t>
  </si>
  <si>
    <t>ABS:前桥右排气电磁阀开路(939,5)</t>
  </si>
  <si>
    <t>ABS:驱动桥左排气电磁阀电压高(940,3)</t>
  </si>
  <si>
    <t>ABS:驱动桥左排气电磁阀电压低(940,4)</t>
  </si>
  <si>
    <t>ABS:驱动桥左排气电磁阀开路(940,5)</t>
  </si>
  <si>
    <t>ABS:驱动桥右排气电磁阀电压高(941,3)</t>
  </si>
  <si>
    <t>ABS:驱动桥右排气电磁阀电压低(941,4)</t>
  </si>
  <si>
    <t>ABS:驱动桥右排气电磁阀开路(941,5)</t>
  </si>
  <si>
    <t>ABS:第三桥左排气电磁阀电压高(942,3)</t>
  </si>
  <si>
    <t>ABS:第三桥左排气电磁阀电压低(942,4)</t>
  </si>
  <si>
    <t>ABS:第三桥左排气电磁阀开路(942,5)</t>
  </si>
  <si>
    <t>ABS:第三桥右排气电磁阀电压高(943,3)</t>
  </si>
  <si>
    <t>ABS:第三桥右排气电磁阀电压低(943,4)</t>
  </si>
  <si>
    <t>ABS:第三桥右排气电磁阀开路(943,5)</t>
  </si>
  <si>
    <t>ABS:制动开关信号异常(1045,2)</t>
  </si>
  <si>
    <t>ABS:制动开关或线路故障(1045,7)</t>
  </si>
  <si>
    <t>ABS:挂车ABS电磁阀电压高(1056,3)</t>
  </si>
  <si>
    <t>ABS:挂车ABS电磁阀电压低(1056,4)</t>
  </si>
  <si>
    <t>ABS:挂车ABS电磁阀开路(1056,5)</t>
  </si>
  <si>
    <t>ABS:挂车ABS电磁阀故障(1056,11)</t>
  </si>
  <si>
    <t>ABS:挂车ABS电磁阀标定错误(1056,13)</t>
  </si>
  <si>
    <t>ABS:挂车ABS电磁阀装配错误(1056,14)</t>
  </si>
  <si>
    <t>ABS:轴荷压力传感器或线路故障(1059,2)</t>
  </si>
  <si>
    <t>ABS:制动压力传感器1/2电压高(1066,3)</t>
  </si>
  <si>
    <t>ABS:制动压力传感器1/2电压低(1066,4)</t>
  </si>
  <si>
    <t>ABS:制动压力传感器1/2短路到地(1066,6)</t>
  </si>
  <si>
    <t>ABS:制动压力传感器1/2信号异常(1066,11)</t>
  </si>
  <si>
    <t>ABS:制动压力传感器1/2标定错误(1066,13)</t>
  </si>
  <si>
    <t>ABS:制动压力传感器1/2标定错误(1066,14)</t>
  </si>
  <si>
    <t>ABS:制动压力传感器1或线路故障(1067,2)</t>
  </si>
  <si>
    <t>ABS:制动压力传感器2或线路故障(1068,2)</t>
  </si>
  <si>
    <t>ABS:CAN通讯故障(1671,2)</t>
  </si>
  <si>
    <t>ABS:转向角度传感器信号过高(1807,0)</t>
  </si>
  <si>
    <t>ABS:转向角度传感器信号异常(1807,2)</t>
  </si>
  <si>
    <t>ABS:转向角度传感器故障(1807,7)</t>
  </si>
  <si>
    <t>ABS:转向角度传感器CAN通讯故障(1807,9)</t>
  </si>
  <si>
    <t>ABS:转向角度传感器信号异常(1807,10)</t>
  </si>
  <si>
    <t>ABS:转向角度传感器或ABS ECU故障(1807,11)</t>
  </si>
  <si>
    <t>ABS:转向角度传感器故障(1807,12)</t>
  </si>
  <si>
    <t>ABS:转向角度传感器标定错误(1807,13)</t>
  </si>
  <si>
    <t>ABS:转向角度传感器故障(1807,14)</t>
  </si>
  <si>
    <t>ABS:横摆角度传感器信号过高(1808,0)</t>
  </si>
  <si>
    <t>ABS:横摆角度传感器信号异常(1808,2)</t>
  </si>
  <si>
    <t>ABS:横摆角度传感器电压高(1808,3)</t>
  </si>
  <si>
    <t>ABS:横摆角度传感器装配方向错误(1808,7)</t>
  </si>
  <si>
    <t>ABS:横摆角度传感器信号异常(1808,8)</t>
  </si>
  <si>
    <t>ABS:横摆角度传感器CAN通讯故障(1808,9)</t>
  </si>
  <si>
    <t>ABS:横摆角度传感器信号异常(1808,10)</t>
  </si>
  <si>
    <t>ABS:横摆角度传感器或ABS ECU故障(1808,11)</t>
  </si>
  <si>
    <t>ABS:横摆角度传感器故障(1808,12)</t>
  </si>
  <si>
    <t>ABS:横摆角度传感器标定错误(1808,13)</t>
  </si>
  <si>
    <t>ABS:横摆角度传感器故障(1808,14)</t>
  </si>
  <si>
    <t>ABS:横向加速度传感器信号过高(1809,0)</t>
  </si>
  <si>
    <t>ABS:横向加速度传感器装配方向错误(1809,2)</t>
  </si>
  <si>
    <t>ABS:横向加速度传感器装配错误(1809,11)</t>
  </si>
  <si>
    <t>ABS:横向加速度传感器标定错误(1809,13)</t>
  </si>
  <si>
    <t>ABS:横向加速度传感器故障(1809,14)</t>
  </si>
  <si>
    <t>ABS:压力控制阀超出使用寿命(520250,14)</t>
  </si>
  <si>
    <t>ABS:因阀使用过度使坡起功能无效(520251,14)</t>
  </si>
  <si>
    <t>ABS:ESP传感器电压低(520563,4)</t>
  </si>
  <si>
    <t>520563</t>
  </si>
  <si>
    <t>ABS:时间CAN信号异常(521010,2)</t>
  </si>
  <si>
    <t>ABS:里程CAN信号异常(521011,2)</t>
  </si>
  <si>
    <t>ABS:时间CAN报文超时(521012,2)</t>
  </si>
  <si>
    <t>ABS:里程CAN报文超时(521014,2)</t>
  </si>
  <si>
    <t>ABS:EAC1_SCH CAN报文超时(521016,2)</t>
  </si>
  <si>
    <t>ABS:ASC1_CLCS CAN报文超时(521017,2)</t>
  </si>
  <si>
    <t>ABS:VW_CLCS CAN报文超时(521018,2)</t>
  </si>
  <si>
    <t>ABS:ETC1_TCU CAN报文超时(521019,2)</t>
  </si>
  <si>
    <t>ABS:ETC2 CAN报文超时(521020,2)</t>
  </si>
  <si>
    <t>ABS:EEC1_CPC3 CAN报文超时(521021,2)</t>
  </si>
  <si>
    <t>ABS:EEC2_CPC3 CAN报文超时(521022,2)</t>
  </si>
  <si>
    <t>ABS:EEC3_CPC3 CAN报文超时(521023,2)</t>
  </si>
  <si>
    <t>ABS:ERC1_RET CAN报文超时(521024,2)</t>
  </si>
  <si>
    <t>ABS:CCVS_CPC CAN报文超时(521025,2)</t>
  </si>
  <si>
    <t>ABS:TCO1_TCO CAN报文超时(521026,2)</t>
  </si>
  <si>
    <t>ABS:TD_TCO CAN报文超时(521027,2)</t>
  </si>
  <si>
    <t>ABS:AIR1 CAN报文超时(521028,2)</t>
  </si>
  <si>
    <t>ABS:AUXIO CAN报文超时(521029,2)</t>
  </si>
  <si>
    <t>ABS:XBR CAN报文超时(521030,2)</t>
  </si>
  <si>
    <t>ABS:ETC7 CAN报文超时(521031,2)</t>
  </si>
  <si>
    <t>ABS:DC1 CAN报文超时(521032,2)</t>
  </si>
  <si>
    <t>ABS:ECU内部故障(628,14)</t>
  </si>
  <si>
    <t>628</t>
  </si>
  <si>
    <t xml:space="preserve"> 14</t>
  </si>
  <si>
    <t>ABS:与整车通讯中断(639,5)</t>
  </si>
  <si>
    <t>639</t>
  </si>
  <si>
    <t xml:space="preserve"> 5</t>
  </si>
  <si>
    <t>ABS:右后轮电磁阀线束故障(941,7)</t>
  </si>
  <si>
    <t>941</t>
  </si>
  <si>
    <t xml:space="preserve"> 7</t>
  </si>
  <si>
    <t>ABS:前桥ESP气压传感器线束故障(1049,2)</t>
  </si>
  <si>
    <t>1049</t>
  </si>
  <si>
    <t xml:space="preserve"> 2</t>
  </si>
  <si>
    <t>ABS:后桥ESP气压传感器线束故障(1052,2)</t>
  </si>
  <si>
    <t>1052</t>
  </si>
  <si>
    <t>ABS:横摆率传感器信号故障(1810,2)</t>
  </si>
  <si>
    <t>1810</t>
  </si>
  <si>
    <t>AbS:横摆率传感器信号故障(1810,11)</t>
  </si>
  <si>
    <t xml:space="preserve"> 11</t>
  </si>
  <si>
    <t>ABS:横摆率传感器信号故障(1810,14)</t>
  </si>
  <si>
    <t>ABS:CAN通讯故障(2011,31)</t>
  </si>
  <si>
    <t>2011</t>
  </si>
  <si>
    <t xml:space="preserve"> 31</t>
  </si>
  <si>
    <t>ABS:前桥左制动控制故障(3534,7)</t>
  </si>
  <si>
    <t>3534</t>
  </si>
  <si>
    <t>ABS:前桥右制动控制故障(3535,7)</t>
  </si>
  <si>
    <t>3535</t>
  </si>
  <si>
    <t>ABS:后桥左制动控制故障(3536,7)</t>
  </si>
  <si>
    <t>3536</t>
  </si>
  <si>
    <t>ABS:后桥右制动控制故障(3537,7)</t>
  </si>
  <si>
    <t>3537</t>
  </si>
  <si>
    <t>ABS:第三桥左制动控制故障(3538,7)</t>
  </si>
  <si>
    <t>3538</t>
  </si>
  <si>
    <t>ABS:第三桥右制动控制故障(3539,7)</t>
  </si>
  <si>
    <t>3539</t>
  </si>
  <si>
    <t>DTC path</t>
  </si>
  <si>
    <t>DTC type</t>
  </si>
  <si>
    <t>亮灯</t>
  </si>
  <si>
    <t>原始故障描述(33_Y121655_EN_005_EBS5x GEN Error code-KB韩文静，注意：DM1解析不按J1939标准，参考右图)</t>
  </si>
  <si>
    <t>仪表主界面显示-中文</t>
  </si>
  <si>
    <t>仪表主界面显示-英文</t>
  </si>
  <si>
    <t>菜单界面详细故障</t>
  </si>
  <si>
    <t>RED</t>
  </si>
  <si>
    <t>ECU - Diagnostic override</t>
  </si>
  <si>
    <t>This is a state. System forced to back-up
via diagnostic.</t>
  </si>
  <si>
    <t>EBS:ECU故障(260,0)</t>
  </si>
  <si>
    <t>EBS:ECU internal error(260,0)</t>
  </si>
  <si>
    <t>EBS:ECU-诊断覆盖模式</t>
  </si>
  <si>
    <t>26000:</t>
  </si>
  <si>
    <t>Var_ui_ErrNo:=</t>
  </si>
  <si>
    <t>;</t>
  </si>
  <si>
    <t>16803:Var_ui_ErrNo</t>
  </si>
  <si>
    <t>:=</t>
  </si>
  <si>
    <t>ECU - Internal error</t>
  </si>
  <si>
    <t>Download software update to the central ECU. Erase fault memory. If the error is reported again, the central ECU is to be replaced.</t>
  </si>
  <si>
    <t>EBS:ECU故障(261,0)</t>
  </si>
  <si>
    <t>EBS:ECU internal error(261,0)</t>
  </si>
  <si>
    <t>EBS:ECU内部错误</t>
  </si>
  <si>
    <t>26100:</t>
  </si>
  <si>
    <t>Download new dataset. Download
software update to the central ECU. Erase fault memory. If the error is reported again, the central ECU is to be replaced.</t>
  </si>
  <si>
    <t>EBS:ECU故障(262,0)</t>
  </si>
  <si>
    <t>EBS:ECU internal error(262,0)</t>
  </si>
  <si>
    <t>26200:</t>
  </si>
  <si>
    <t>ECU - Software
incompatible with ECU, maybe wrong EPM installed</t>
  </si>
  <si>
    <t>Download software update to the central ECU. If the error is reported again, the central ECU is to be replaced.</t>
  </si>
  <si>
    <t>EBS:ECU故障(265,0)</t>
  </si>
  <si>
    <t>EBS:ECU internal error(265,0)</t>
  </si>
  <si>
    <t xml:space="preserve">EBS:EPM软件不兼容ECU, 也许安装了错误的 EPM </t>
  </si>
  <si>
    <t>26500:</t>
  </si>
  <si>
    <t>Reset ECU, if the error is reported again,
the central ECU is to be replaced.</t>
  </si>
  <si>
    <t>EBS:ECU故障(273,0)</t>
  </si>
  <si>
    <t>EBS:ECU internal error(273,0)</t>
  </si>
  <si>
    <t>27300:</t>
  </si>
  <si>
    <t>Download software update to the Central
ECU. If the error is reported again, the central ECU is to be replaced.</t>
  </si>
  <si>
    <t>EBS:ECU故障(274,0)</t>
  </si>
  <si>
    <t>EBS:ECU internal error(274,0)</t>
  </si>
  <si>
    <t>27400:</t>
  </si>
  <si>
    <t>Yellow
EBS</t>
  </si>
  <si>
    <t>ECU - Wake-up error</t>
  </si>
  <si>
    <t>Check the ECU-to-FBM wiring and the
FBM. Erase fault memory. If the error is reported again, the central ECU is to be replaced.</t>
  </si>
  <si>
    <t>EBS:ECU故障(296,0)</t>
  </si>
  <si>
    <t>EBS:ECU internal error(296,0)</t>
  </si>
  <si>
    <t>EBS:ECU-唤醒错误</t>
  </si>
  <si>
    <t>29600:</t>
  </si>
  <si>
    <t>ECU - Internal error - SW
incompatibility</t>
  </si>
  <si>
    <t>Download a proper software to the ECU.</t>
  </si>
  <si>
    <t>EBS:ECU故障(412,0)</t>
  </si>
  <si>
    <t>EBS:ECU internal error(412,0)</t>
  </si>
  <si>
    <t>EBS:ECU内部错误-软件不兼容</t>
  </si>
  <si>
    <t>41200:</t>
  </si>
  <si>
    <t>Replace the ECU</t>
  </si>
  <si>
    <t>EBS:ECU故障(415,0)</t>
  </si>
  <si>
    <t>EBS:ECU internal error(415,0)</t>
  </si>
  <si>
    <t>41500:</t>
  </si>
  <si>
    <t>Download software update to the central ECU.</t>
  </si>
  <si>
    <t>EBS:ECU故障(420,0)</t>
  </si>
  <si>
    <t>EBS:ECU internal error(420,0)</t>
  </si>
  <si>
    <t>42000:</t>
  </si>
  <si>
    <t>Erase fault memory. If the error is
reported again, the central ECU is to be replaced.</t>
  </si>
  <si>
    <t>EBS:ECU故障(423,0)</t>
  </si>
  <si>
    <t>EBS:ECU internal error(423,0)</t>
  </si>
  <si>
    <t>42300:</t>
  </si>
  <si>
    <t>EBS:ECU故障(424,0)</t>
  </si>
  <si>
    <t>EBS:ECU internal error(424,0)</t>
  </si>
  <si>
    <t>42400:</t>
  </si>
  <si>
    <t>EBS:ECU故障(425,0)</t>
  </si>
  <si>
    <t>EBS:ECU internal error(425,0)</t>
  </si>
  <si>
    <t>42500:</t>
  </si>
  <si>
    <t>EBS:ECU故障(517,0)</t>
  </si>
  <si>
    <t>EBS:ECU internal error(517,0)</t>
  </si>
  <si>
    <t>51700:</t>
  </si>
  <si>
    <t>Download new dataset. - Download software update to the central ECU. -
Erase fault memory. If the error is reported again, the central ECU is to be replaced.</t>
  </si>
  <si>
    <t>EBS:ECU故障(518,0)</t>
  </si>
  <si>
    <t>EBS:ECU internal error(518,0)</t>
  </si>
  <si>
    <t>51800:</t>
  </si>
  <si>
    <t>Download software update to the central
ECU. - Erase fault memory. If the error is reported again, the central ECU is to be replaced.</t>
  </si>
  <si>
    <t>EBS:ECU故障(521,0)</t>
  </si>
  <si>
    <t>EBS:ECU internal error(521,0)</t>
  </si>
  <si>
    <t>52100:</t>
  </si>
  <si>
    <t>Download software to the Central ECU.
Restart ECU. If the error is reported again after successful download, the central ECU is to be replaced.</t>
  </si>
  <si>
    <t>EBS:ECU故障(530,0)</t>
  </si>
  <si>
    <t>EBS:ECU internal error(530,0)</t>
  </si>
  <si>
    <t>53000:</t>
  </si>
  <si>
    <t>Erase fault memory - Check the wires
and plugs - Check the wiring (including to check for chafing damage), and repair if faulty</t>
  </si>
  <si>
    <t>EBS:ECU故障(552,0)</t>
  </si>
  <si>
    <t>EBS:ECU internal error(552,0)</t>
  </si>
  <si>
    <t>55200:</t>
  </si>
  <si>
    <t>ECU - poor braking
performance</t>
  </si>
  <si>
    <t>Check pneumatic piping or part between
EPM and wheel brake, and EPM and supply pressure, repair if faulty. Check wheel brakes for mechanical failures (blockage, dirt, lining condition), repair if faulty. Check pneumatic trailer
connection, trailer brake system. Repair if faulty. Erase fault memory. Check brake performance in laden condition. If the
error is reported again, the central ECU is to be replaced.</t>
  </si>
  <si>
    <t>EBS:EBS系统故障(567,0)</t>
  </si>
  <si>
    <t>EBS:ECU internal error(567,0)</t>
  </si>
  <si>
    <t>EBS:ECU低制动性能</t>
  </si>
  <si>
    <t>56700:</t>
  </si>
  <si>
    <t>Download suitable software to the
Central ECU. Restart ECU. If the error is reported again after successful download, the central ECU is to be replaced.</t>
  </si>
  <si>
    <t>EBS:ECU故障或软件不匹配(668,0)</t>
  </si>
  <si>
    <t>EBS:ECU internal error(668,0)</t>
  </si>
  <si>
    <t>66800:</t>
  </si>
  <si>
    <t>EBS:ECU故障(671,0)</t>
  </si>
  <si>
    <t>EBS:ECU internal error(671,0)</t>
  </si>
  <si>
    <t>67100:</t>
  </si>
  <si>
    <t>ECU - Communication with
EBS ECU incorrect</t>
  </si>
  <si>
    <t>EBS:ECU故障(674,0)</t>
  </si>
  <si>
    <t>EBS:ECU internal error(674,0)</t>
  </si>
  <si>
    <t>EBS:EPM与 EBS ECU的通信不正确</t>
  </si>
  <si>
    <t>67400:</t>
  </si>
  <si>
    <t>Erase fault memory. - Check wiring. - If
the error is reported again, the central
ECU is to be replaced.</t>
  </si>
  <si>
    <t>EBS:ECU故障(675,0)</t>
  </si>
  <si>
    <t>EBS:ECU internal error(675,0)</t>
  </si>
  <si>
    <t>67500:</t>
  </si>
  <si>
    <t>EBS:ECU故障(692,0)</t>
  </si>
  <si>
    <t>EBS:ECU internal error(692,0)</t>
  </si>
  <si>
    <t>69200:</t>
  </si>
  <si>
    <t>EBS:ECU故障(693,0)</t>
  </si>
  <si>
    <t>EBS:ECU internal error(693,0)</t>
  </si>
  <si>
    <t>69300:</t>
  </si>
  <si>
    <t>EBS:ECU故障(694,0)</t>
  </si>
  <si>
    <t>EBS:ECU internal error(694,0)</t>
  </si>
  <si>
    <t>69400:</t>
  </si>
  <si>
    <t>EBS:ECU故障(695,0)</t>
  </si>
  <si>
    <t>EBS:ECU internal error(695,0)</t>
  </si>
  <si>
    <t>69500:</t>
  </si>
  <si>
    <t>EBS:ECU故障(697,0)</t>
  </si>
  <si>
    <t>EBS:ECU internal error(697,0)</t>
  </si>
  <si>
    <t>69700:</t>
  </si>
  <si>
    <t>EBS:ECU故障(698,0)</t>
  </si>
  <si>
    <t>EBS:ECU internal error(698,0)</t>
  </si>
  <si>
    <t>69800:</t>
  </si>
  <si>
    <t>EBS:ECU故障(699,0)</t>
  </si>
  <si>
    <t>EBS:ECU internal error(699,0)</t>
  </si>
  <si>
    <t>69900:</t>
  </si>
  <si>
    <t>EBS:ECU故障(700,0)</t>
  </si>
  <si>
    <t>EBS:ECU internal error(700,0)</t>
  </si>
  <si>
    <t>70000:</t>
  </si>
  <si>
    <t>Download software to the Central ECU.
Reload configuration data to EEPROM. Restart ECU. If the error is reported again after successful download, the central ECU is to be replaced.</t>
  </si>
  <si>
    <t>EBS:ECU故障(774,0)</t>
  </si>
  <si>
    <t>EBS:ECU internal error(774,0)</t>
  </si>
  <si>
    <t>77400:</t>
  </si>
  <si>
    <t>EBS:ECU故障(927,0)</t>
  </si>
  <si>
    <t>EBS:ECU internal error(927,0)</t>
  </si>
  <si>
    <t>92700:</t>
  </si>
  <si>
    <t>ECU - Internal software error</t>
  </si>
  <si>
    <t>Download software to the Central ECU. Restart ECU. If the error is reported
again after successful download, the central ECU is to be replaced.</t>
  </si>
  <si>
    <t>EBS:ECU故障(928,0)</t>
  </si>
  <si>
    <t>EBS:ECU internal error(928,0)</t>
  </si>
  <si>
    <t>EBS:ECU内部软件错误</t>
  </si>
  <si>
    <t>92800:</t>
  </si>
  <si>
    <t>EBS:ECU故障(929,0)</t>
  </si>
  <si>
    <t>EBS:ECU internal error(929,0)</t>
  </si>
  <si>
    <t>92900:</t>
  </si>
  <si>
    <t>EBS:ECU故障(930,0)</t>
  </si>
  <si>
    <t>EBS:ECU internal error(930,0)</t>
  </si>
  <si>
    <t>93000:</t>
  </si>
  <si>
    <t>EBS:ECU故障(933,0)</t>
  </si>
  <si>
    <t>EBS:ECU internal error(933,0)</t>
  </si>
  <si>
    <t>93300:</t>
  </si>
  <si>
    <t>EBS:ECU故障(957,0)</t>
  </si>
  <si>
    <t>EBS:ECU internal error(957,0)</t>
  </si>
  <si>
    <t>95700:</t>
  </si>
  <si>
    <t>EBS:ECU故障(958,0)</t>
  </si>
  <si>
    <t>EBS:ECU internal error(958,0)</t>
  </si>
  <si>
    <t>95800:</t>
  </si>
  <si>
    <t>EBS:ECU故障(959,0)</t>
  </si>
  <si>
    <t>EBS:ECU internal error(959,0)</t>
  </si>
  <si>
    <t>95900:</t>
  </si>
  <si>
    <t>EBS:ECU故障(960,0)</t>
  </si>
  <si>
    <t>EBS:ECU internal error(960,0)</t>
  </si>
  <si>
    <t>96000:</t>
  </si>
  <si>
    <t>EBS:ECU故障(961,0)</t>
  </si>
  <si>
    <t>EBS:ECU internal error(961,0)</t>
  </si>
  <si>
    <t>96100:</t>
  </si>
  <si>
    <t>EBS:ECU故障(962,0)</t>
  </si>
  <si>
    <t>EBS:ECU internal error(962,0)</t>
  </si>
  <si>
    <t>96200:</t>
  </si>
  <si>
    <t>Erase fault memory. If the error is reported again, the central ECU is to be
replaced.</t>
  </si>
  <si>
    <t>EBS:ECU故障(1038,0)</t>
  </si>
  <si>
    <t>EBS:ECU internal error(1038,0)</t>
  </si>
  <si>
    <t>103800:</t>
  </si>
  <si>
    <t>EBS:ECU故障(1041,0)</t>
  </si>
  <si>
    <t>EBS:ECU internal error(1041,0)</t>
  </si>
  <si>
    <t>104100:</t>
  </si>
  <si>
    <t>EBS:ECU故障(1042,0)</t>
  </si>
  <si>
    <t>EBS:ECU internal error(1042,0)</t>
  </si>
  <si>
    <t>104200:</t>
  </si>
  <si>
    <t>EBS:ECU故障(1294,0)</t>
  </si>
  <si>
    <t>EBS:ECU internal error(1294,0)</t>
  </si>
  <si>
    <t>129400:</t>
  </si>
  <si>
    <t>EBS:ECU故障(1297,0)</t>
  </si>
  <si>
    <t>EBS:ECU internal error(1297,0)</t>
  </si>
  <si>
    <t>129700:</t>
  </si>
  <si>
    <t>EBS:ECU故障(1298,0)</t>
  </si>
  <si>
    <t>EBS:ECU internal error(1298,0)</t>
  </si>
  <si>
    <t>129800:</t>
  </si>
  <si>
    <t>ECU - Internal error
(incorrect configuration)</t>
  </si>
  <si>
    <t>Download software update to the central
ECU or/and download new eeprom dataset which fits to the software. If the error is still reported the central ECU is to be replaced.</t>
  </si>
  <si>
    <t>EBS:ECU故障(1537,0)</t>
  </si>
  <si>
    <t>EBS:ECU internal error(1537,0)</t>
  </si>
  <si>
    <t>EBS:ECU内部错误 (配置不正确)</t>
  </si>
  <si>
    <t>153700:</t>
  </si>
  <si>
    <t>Reload configuration data to EEPROM.</t>
  </si>
  <si>
    <t>EBS:ECU故障(1626,0)</t>
  </si>
  <si>
    <t>EBS:ECU internal error(1626,0)</t>
  </si>
  <si>
    <t>162600:</t>
  </si>
  <si>
    <t>Download software update to the central
ECU.</t>
  </si>
  <si>
    <t>EBS:ECU故障(1627,0)</t>
  </si>
  <si>
    <t>EBS:ECU internal error(1627,0)</t>
  </si>
  <si>
    <t>162700:</t>
  </si>
  <si>
    <t>EBS:ECU故障(1628,0)</t>
  </si>
  <si>
    <t>EBS:ECU internal error(1628,0)</t>
  </si>
  <si>
    <t>162800:</t>
  </si>
  <si>
    <t>EBS:ECU故障(1630,0)</t>
  </si>
  <si>
    <t>EBS:ECU internal error(1630,0)</t>
  </si>
  <si>
    <t>163000:</t>
  </si>
  <si>
    <t>EBS:ECU故障(1631,0)</t>
  </si>
  <si>
    <t>EBS:ECU internal error(1631,0)</t>
  </si>
  <si>
    <t>163100:</t>
  </si>
  <si>
    <t>EBS:ECU故障(1632,0)</t>
  </si>
  <si>
    <t>EBS:ECU internal error(1632,0)</t>
  </si>
  <si>
    <t>163200:</t>
  </si>
  <si>
    <t>EBS:ECU故障(1634,0)</t>
  </si>
  <si>
    <t>EBS:ECU internal error(1634,0)</t>
  </si>
  <si>
    <t>163400:</t>
  </si>
  <si>
    <t>Reload a proper configuration dataset to
the EEPROM, and reset the ECU.</t>
  </si>
  <si>
    <t>EBS:ECU故障(1636,0)</t>
  </si>
  <si>
    <t>EBS:ECU internal error(1636,0)</t>
  </si>
  <si>
    <t>163600:</t>
  </si>
  <si>
    <t>EBS:ECU故障(1637,0)</t>
  </si>
  <si>
    <t>EBS:ECU internal error(1637,0)</t>
  </si>
  <si>
    <t>163700:</t>
  </si>
  <si>
    <t>EBS:ECU故障(1638,0)</t>
  </si>
  <si>
    <t>EBS:ECU internal error(1638,0)</t>
  </si>
  <si>
    <t>163800:</t>
  </si>
  <si>
    <t>EBS:ECU故障(1639,0)</t>
  </si>
  <si>
    <t>EBS:ECU internal error(1639,0)</t>
  </si>
  <si>
    <t>163900:</t>
  </si>
  <si>
    <t>EBS:ECU故障(1641,0)</t>
  </si>
  <si>
    <t>EBS:ECU internal error(1641,0)</t>
  </si>
  <si>
    <t>164100:</t>
  </si>
  <si>
    <t>EBS:ECU故障(1642,0)</t>
  </si>
  <si>
    <t>EBS:ECU internal error(1642,0)</t>
  </si>
  <si>
    <t>164200:</t>
  </si>
  <si>
    <t>EBS:ECU故障(1643,0)</t>
  </si>
  <si>
    <t>EBS:ECU internal error(1643,0)</t>
  </si>
  <si>
    <t>164300:</t>
  </si>
  <si>
    <t>EBS:ECU故障(1645,0)</t>
  </si>
  <si>
    <t>EBS:ECU internal error(1645,0)</t>
  </si>
  <si>
    <t>164500:</t>
  </si>
  <si>
    <t>Erase fault switch off/on. If the error is
reported again the central ECU is to be replaced.</t>
  </si>
  <si>
    <t>EBS:ECU故障(1646,0)</t>
  </si>
  <si>
    <t>EBS:ECU internal error(1646,0)</t>
  </si>
  <si>
    <t>164600:</t>
  </si>
  <si>
    <t>EBS:ECU故障(1647,0)</t>
  </si>
  <si>
    <t>EBS:ECU internal error(1647,0)</t>
  </si>
  <si>
    <t>164700:</t>
  </si>
  <si>
    <t>Download software update to the central
ECU. - Do not switch off supply (UB)
while EBS afterrun</t>
  </si>
  <si>
    <t>EBS:ECU故障(1648,0)</t>
  </si>
  <si>
    <t>EBS:ECU internal error(1648,0)</t>
  </si>
  <si>
    <t>164800:</t>
  </si>
  <si>
    <t>EBS:ECU故障(1656,0)</t>
  </si>
  <si>
    <t>EBS:ECU internal error(1656,0)</t>
  </si>
  <si>
    <t>165600:</t>
  </si>
  <si>
    <t>EBS:ECU故障(1657,0)</t>
  </si>
  <si>
    <t>EBS:ECU internal error(1657,0)</t>
  </si>
  <si>
    <t>165700:</t>
  </si>
  <si>
    <t>EBS:ECU故障(1658,0)</t>
  </si>
  <si>
    <t>EBS:ECU internal error(1658,0)</t>
  </si>
  <si>
    <t>165800:</t>
  </si>
  <si>
    <t>EBS:ECU故障(1660,0)</t>
  </si>
  <si>
    <t>EBS:ECU internal error(1660,0)</t>
  </si>
  <si>
    <t>166000:</t>
  </si>
  <si>
    <t>EBS:ECU故障(1661,0)</t>
  </si>
  <si>
    <t>EBS:ECU internal error(1661,0)</t>
  </si>
  <si>
    <t>166100:</t>
  </si>
  <si>
    <t>EBS:ECU故障(1662,0)</t>
  </si>
  <si>
    <t>EBS:ECU internal error(1662,0)</t>
  </si>
  <si>
    <t>166200:</t>
  </si>
  <si>
    <t>EBS:ECU故障(1664,0)</t>
  </si>
  <si>
    <t>EBS:ECU internal error(1664,0)</t>
  </si>
  <si>
    <t>166400:</t>
  </si>
  <si>
    <t>EBS:ECU故障(1666,)</t>
  </si>
  <si>
    <t>EBS:ECU internal error(1666,)</t>
  </si>
  <si>
    <t>166600:</t>
  </si>
  <si>
    <t>EBS:ECU故障(1667,0)</t>
  </si>
  <si>
    <t>EBS:ECU internal error(1667,0)</t>
  </si>
  <si>
    <t>166700:</t>
  </si>
  <si>
    <t>EBS:ECU故障(1668,0)</t>
  </si>
  <si>
    <t>EBS:ECU internal error(1668,0)</t>
  </si>
  <si>
    <t>166800:</t>
  </si>
  <si>
    <t>EBS:ECU故障(1669,)</t>
  </si>
  <si>
    <t>EBS:ECU internal error(1669,)</t>
  </si>
  <si>
    <t>166900:</t>
  </si>
  <si>
    <t>EBS:ECU故障(1671,0)</t>
  </si>
  <si>
    <t>EBS:ECU internal error(1671,0)</t>
  </si>
  <si>
    <t>167100:</t>
  </si>
  <si>
    <t>EBS:ECU故障(1672,0)</t>
  </si>
  <si>
    <t>EBS:ECU internal error(1672,0)</t>
  </si>
  <si>
    <t>167200:</t>
  </si>
  <si>
    <t>EBS:ECU故障(1673,0)</t>
  </si>
  <si>
    <t>EBS:ECU internal error(1673,0)</t>
  </si>
  <si>
    <t>167300:</t>
  </si>
  <si>
    <t>EBS:ECU故障(1675,0)</t>
  </si>
  <si>
    <t>EBS:ECU internal error(1675,0)</t>
  </si>
  <si>
    <t>167500:</t>
  </si>
  <si>
    <t>Switch off/on. Erase fault memory and if
the error is reported again replace ECU.</t>
  </si>
  <si>
    <t>EBS:ECU故障(1676,0)</t>
  </si>
  <si>
    <t>EBS:ECU internal error(1676,0)</t>
  </si>
  <si>
    <t>167600:</t>
  </si>
  <si>
    <t>EBS:ECU故障(1678,)</t>
  </si>
  <si>
    <t>EBS:ECU internal error(1678,)</t>
  </si>
  <si>
    <t>167800:</t>
  </si>
  <si>
    <t>EBS:ECU故障(1679,0)</t>
  </si>
  <si>
    <t>EBS:ECU internal error(1679,0)</t>
  </si>
  <si>
    <t>167900:</t>
  </si>
  <si>
    <t>EBS:ECU故障(1680,0)</t>
  </si>
  <si>
    <t>EBS:ECU internal error(1680,0)</t>
  </si>
  <si>
    <t>168000:</t>
  </si>
  <si>
    <t>ECU voltage regulator -
Internal error - voltage regulator defective</t>
  </si>
  <si>
    <t>EBS:ECU故障(1806,0)</t>
  </si>
  <si>
    <t>EBS:ECU internal error(1806,0)</t>
  </si>
  <si>
    <t>EBS:ECU 电压调节器-内部错误-电压调节器有缺陷</t>
  </si>
  <si>
    <t>180600:</t>
  </si>
  <si>
    <t>ECU voltage regulator -
Voltage out of range</t>
  </si>
  <si>
    <t>Erase fault memory. - If the error is
reported again, the central ECU is to be replaced.</t>
  </si>
  <si>
    <t>EBS:ECU故障(1811,0)</t>
  </si>
  <si>
    <t>EBS:ECU internal error(1811,0)</t>
  </si>
  <si>
    <t>EBS:ECU 电压调节器-电压超出范围</t>
  </si>
  <si>
    <t>181100:</t>
  </si>
  <si>
    <t>ECU voltage regulator -
Internal error</t>
  </si>
  <si>
    <t>EBS:ECU故障(1837,0)</t>
  </si>
  <si>
    <t>EBS:ECU internal error(1837,0)</t>
  </si>
  <si>
    <t>EBS:ECU 电压调节器-内部错误</t>
  </si>
  <si>
    <t>183700:</t>
  </si>
  <si>
    <t>ECU voltage regulator -
excessive temperature</t>
  </si>
  <si>
    <t>Check temperature of the central ECU.
Erase fault memory. If the error is reported again at normal temperature, the central ECU is to be replaced.</t>
  </si>
  <si>
    <t>EBS:ECU故障(1851,0)</t>
  </si>
  <si>
    <t>EBS:ECU internal error(1851,0)</t>
  </si>
  <si>
    <t>EBS:ECU 电压调节器-温度过高</t>
  </si>
  <si>
    <t>185100:</t>
  </si>
  <si>
    <t>J1939 (power train CAN) -
Communication interruption</t>
  </si>
  <si>
    <t>Check short-circuits and open circuit on
lines CAN J1939, Check the CAN J1939 wiring (including to check for chafing damage), Assure that CAN J1939 connected ECUs work correctly</t>
  </si>
  <si>
    <t>EBS:CAN通讯故障(2570,0)</t>
  </si>
  <si>
    <t>EBS:CAN bus off(2570,0)</t>
  </si>
  <si>
    <t>EBS:J1939（传动系统CAN）-通讯中断</t>
  </si>
  <si>
    <t>257000:</t>
  </si>
  <si>
    <t>EBS:ECU故障(2573,0)</t>
  </si>
  <si>
    <t>EBS:ECU internal error(2573,0)</t>
  </si>
  <si>
    <t>257300:</t>
  </si>
  <si>
    <t>J1939 (power train CAN) -
Error when communicating with the electronic steering control unit</t>
  </si>
  <si>
    <t>Check short-circuits and open circuit on
lines CAN J1939 to the signal transmitting ECU and assure that ECU works correctly.</t>
  </si>
  <si>
    <t>EBS:ESC CAN通讯故障(2762,0)</t>
  </si>
  <si>
    <t>EBS:ESC CAN bus off(2762,0)</t>
  </si>
  <si>
    <t>EBS:J1939 (传动系统 CAN)-与电子转向控制单元通信时出错</t>
  </si>
  <si>
    <t>276200:</t>
  </si>
  <si>
    <t>J1939 (power train CAN) - Error when communicating
with an ECU</t>
  </si>
  <si>
    <t>Check short-circuits and open circuit on lines CAN J1939 to the signal
transmitting ECU and assure that ECU
works correctly.</t>
  </si>
  <si>
    <t>EBS:CAN通讯故障(2763,0)</t>
  </si>
  <si>
    <t>EBS:CAN bus off(2763,0)</t>
  </si>
  <si>
    <t>EBS:J1939 (传动系统 CAN)-与某电控电压通信错误</t>
  </si>
  <si>
    <t>276300:</t>
  </si>
  <si>
    <t>J1939 (power train CAN) -
External vehicle weight signal implausible</t>
  </si>
  <si>
    <t>Check the components and the wiring
responsible for the weight signal.</t>
  </si>
  <si>
    <t>EBS:CAN通讯故障(2788,0)</t>
  </si>
  <si>
    <t>EBS:CAN bus off(2788,0)</t>
  </si>
  <si>
    <t>EBS:J1939（传动系统CAN)-外部车辆重量信号不可信</t>
  </si>
  <si>
    <t>278800:</t>
  </si>
  <si>
    <t>J1939 (power train CAN) -
Vehicle speed signal is implausible</t>
  </si>
  <si>
    <t>Check tire size on the drive axle. Check
the speedometer signal, configure if necessary. Check the sensing ring and the WSS bracket on the drive axle</t>
  </si>
  <si>
    <t>EBS:CAN通讯故障(2789,0)</t>
  </si>
  <si>
    <t>EBS:CAN bus off(2789,0)</t>
  </si>
  <si>
    <t>EBS:J1939（动力系统CAN）-车速信号难以置信</t>
  </si>
  <si>
    <t>278900:</t>
  </si>
  <si>
    <t>J1939 (power train CAN) -
Timeout error when communicating with the engine control unit</t>
  </si>
  <si>
    <t>Check the components and the wiring
responsible for the engine control signal. Messages: EEC1, EEC2, EEC3, Engine Configuration, CC_VS</t>
  </si>
  <si>
    <t>EBS:CAN通讯故障(2790,0)</t>
  </si>
  <si>
    <t>EBS:CAN bus off(2790,0)</t>
  </si>
  <si>
    <t>EBS:J1939（传动系统CAN)-与发动机ECU通讯超时</t>
  </si>
  <si>
    <t>279000:</t>
  </si>
  <si>
    <t>J1939 (power train CAN) -
Timeout error when communicating with the retarder ECU</t>
  </si>
  <si>
    <t>Check the components and the wiring
responsible for the retarder signal. Messages: ERC1-RD, Retarder configuration; SA= 0x10</t>
  </si>
  <si>
    <t>EBS:CAN通讯故障(2791,0)</t>
  </si>
  <si>
    <t>EBS:CAN bus off(2791,0)</t>
  </si>
  <si>
    <t>EBS:J1939（传动系统CAN)-与缓速器ECU通讯超时</t>
  </si>
  <si>
    <t>279100:</t>
  </si>
  <si>
    <t>J1939 (power train CAN) - Timeout error when
communicating with the engine brake signal</t>
  </si>
  <si>
    <t>Check the components and the wiring responsible for the engine brake signal.
Messages: ERC1-REX, Retarder configuration; SA= 0x29</t>
  </si>
  <si>
    <t>EBS:CAN通讯故障(2792,0)</t>
  </si>
  <si>
    <t>EBS:CAN bus off(2792,0)</t>
  </si>
  <si>
    <t>EBS:J1939（传动系统CAN）-与发动机制动信号通讯超时</t>
  </si>
  <si>
    <t>279200:</t>
  </si>
  <si>
    <t>J1939 (power train CAN) -
Timeout error when communicating with the FFR</t>
  </si>
  <si>
    <t>Check the components and the wiring
responsible for the FFR signal. Messages: AUXIO_R, EAC1, SWI2BC, BC_DR</t>
  </si>
  <si>
    <t>EBS:CAN通讯故障(2793,0)</t>
  </si>
  <si>
    <t>EBS:CAN bus off(2793,0)</t>
  </si>
  <si>
    <t>EBS:J1939（传动系统CAN）-AUXIO报文超时</t>
  </si>
  <si>
    <t>279300:</t>
  </si>
  <si>
    <t>J1939 (power train CAN) -
Timeout error when communicating with the tachograph ECU</t>
  </si>
  <si>
    <t>Check the components and the wiring
responsible for the speedometer signal. Messages: TCO1, Time/Date</t>
  </si>
  <si>
    <t>EBS:CAN通讯故障(2794,0)</t>
  </si>
  <si>
    <t>EBS:CAN bus off(2794,0)</t>
  </si>
  <si>
    <t>EBS:J1939（传动系统CAN）-TCO1报文超时</t>
  </si>
  <si>
    <t>279400:</t>
  </si>
  <si>
    <t>J1939 (power train CAN) -
Timeout error when communicating with the transmission control system</t>
  </si>
  <si>
    <t>Check the components and the wiring
responsible for the transmission control signal.
Messages: ETC1, ETC2, ETC7, ETC8; SA=0x03</t>
  </si>
  <si>
    <t>EBS:CAN通讯故障(2795,0)</t>
  </si>
  <si>
    <t>EBS:CAN bus off(2795,0)</t>
  </si>
  <si>
    <t>EBS:J1939（传动系统CAN）-与变速箱通讯超时</t>
  </si>
  <si>
    <t>279500:</t>
  </si>
  <si>
    <t>J1939 (power train CAN) -
Timeout error when communicating with the instrument cluster</t>
  </si>
  <si>
    <t>Check the components and the wiring
responsible for the instrument signal.</t>
  </si>
  <si>
    <t>EBS:CAN通讯故障(2796,0)</t>
  </si>
  <si>
    <t>EBS:CAN bus off(2796,0)</t>
  </si>
  <si>
    <t>EBS:J1939（传动系统CAN）-与仪表通讯超时</t>
  </si>
  <si>
    <t>279600:</t>
  </si>
  <si>
    <t>J1939 (power train CAN) -
Timeout error when communicating with the APS ECU</t>
  </si>
  <si>
    <t>Check the components and the wiring
responsible for the APS signal. Message: Supply Pressure (AIR1)</t>
  </si>
  <si>
    <t>EBS:CAN通讯故障(2797,0)</t>
  </si>
  <si>
    <t>EBS:CAN bus off(2797,0)</t>
  </si>
  <si>
    <t>EBS:J1939（传动系统CAN）-AIR1报文超时</t>
  </si>
  <si>
    <t>279700:</t>
  </si>
  <si>
    <t>J1939 (power train CAN) -
Timeout error when communicating with the suspension ECU</t>
  </si>
  <si>
    <t>Check the components and the wiring
responsible for the air suspension signal. Messages: ASC1, ASC3, Vehicle Weight (VW); SA=0x2F</t>
  </si>
  <si>
    <t>EBS:CAN通讯故障(2799,0)</t>
  </si>
  <si>
    <t>EBS:CAN bus off(2799,0)</t>
  </si>
  <si>
    <t>EBS:J1939（传动系统CAN）-与悬架控制器通讯超时</t>
  </si>
  <si>
    <t>279900:</t>
  </si>
  <si>
    <t>J1939 (power train CAN) -
Timeout error when communicating with the engine brake ECU</t>
  </si>
  <si>
    <t>Check the components and the wiring
responsible for the engine control signal. Messages: ERC1-RE, Retarder configuration; SA= 0x0F</t>
  </si>
  <si>
    <t>EBS:CAN通讯故障(2801,0)</t>
  </si>
  <si>
    <t>EBS:CAN bus off(2801,0)</t>
  </si>
  <si>
    <t>EBS:J1939（动力系统CAN）-与发动机制动ECU通讯超时</t>
  </si>
  <si>
    <t>280100:</t>
  </si>
  <si>
    <t>J1939 (power train CAN) -
Timeout error or
implausible communication with the ACC ECU (distance control)</t>
  </si>
  <si>
    <t>Check the components and the wiring
responsible for the distance control signal.
Message: XBR with SA=0x2A</t>
  </si>
  <si>
    <t>EBS:CAN通讯故障(2804,0)</t>
  </si>
  <si>
    <t>EBS:CAN bus off(2804,0)</t>
  </si>
  <si>
    <t>EBS:J1939（传动系统CAN）-与巡航控制系统通讯超时</t>
  </si>
  <si>
    <t>280400:</t>
  </si>
  <si>
    <t>J1939 (power train CAN) -
no information about trailer vehicles</t>
  </si>
  <si>
    <t>Check the connected components; one
component is sending an unspecified signal</t>
  </si>
  <si>
    <t>EBS:CAN通讯故障(2812,0)</t>
  </si>
  <si>
    <t>EBS:CAN bus off(2812,0)</t>
  </si>
  <si>
    <t>EBS:J1939（动力系统CAN)-没有拖挂车的信息</t>
  </si>
  <si>
    <t>281200:</t>
  </si>
  <si>
    <t>J1939 (power train CAN) -
Signal exceeds specified limits</t>
  </si>
  <si>
    <t>EBS:CAN通讯故障(2813,0)</t>
  </si>
  <si>
    <t>EBS:CAN bus off(2813,0)</t>
  </si>
  <si>
    <t>EBS:J1939（动力系统CAN）-信号超过规定限值</t>
  </si>
  <si>
    <t>281300:</t>
  </si>
  <si>
    <t>EBS:CAN通讯故障(2814,0)</t>
  </si>
  <si>
    <t>EBS:CAN bus off(2814,0)</t>
  </si>
  <si>
    <t>281400:</t>
  </si>
  <si>
    <t>J1939 (power train CAN) -
Timeout error or
implausible communication with external SAS</t>
  </si>
  <si>
    <t>Check the components and the wiring
responsible for the Steering Angle
Sensor signal.</t>
  </si>
  <si>
    <t>EBS:CAN通讯故障(2815,0)</t>
  </si>
  <si>
    <t>EBS:CAN bus off(2815,0)</t>
  </si>
  <si>
    <t>EBS:J1939 (传动系统CAN)-超时错误或难以置信的与外在 方向盘转角传感器在 J1939 (传动系统CAN)通信</t>
  </si>
  <si>
    <t>281500:</t>
  </si>
  <si>
    <t>ISO 11992 (Trailer CAN) - Communication
interruption</t>
  </si>
  <si>
    <t>Check short-circuits and open circuit on lines ISO 11992, Check the ISO11992
wiring (including to check for chafing damage), Assure that ISO11992 connected ECUs work correctly</t>
  </si>
  <si>
    <t>EBS:挂车CAN通讯故障(3082,0)</t>
  </si>
  <si>
    <t>EBS:Trailer CAN bus off(3082,0)</t>
  </si>
  <si>
    <t>EBS:ISO 11992 (拖挂车 CAN)-通信中断</t>
  </si>
  <si>
    <t>308200:</t>
  </si>
  <si>
    <t>ISO 11992 (Trailer CAN) -
Communication interruption (CAN-Low)</t>
  </si>
  <si>
    <t>Check short-circuits and open circuit on
lines ISO 11992, Check the ISO11992 wiring (including to check for chafing damage), Assure that ISO11992 connected ECUs work correctly</t>
  </si>
  <si>
    <t>EBS:挂车CAN通讯故障(3087,0)</t>
  </si>
  <si>
    <t>EBS:Trailer CAN bus off(3087,0)</t>
  </si>
  <si>
    <t>308700:</t>
  </si>
  <si>
    <t>ISO 11992 (Trailer CAN) -
Communication interruption (CAN-High)</t>
  </si>
  <si>
    <t>EBS:挂车CAN通讯故障(3088,0)</t>
  </si>
  <si>
    <t>EBS:Trailer CAN bus off(3088,0)</t>
  </si>
  <si>
    <t>308800:</t>
  </si>
  <si>
    <t>ISO 11992 (Trailer CAN) -
Warning lamp was requested</t>
  </si>
  <si>
    <t>Check trailer EBS ECU</t>
  </si>
  <si>
    <t>EBS:挂车CAN通讯故障(3161,0)</t>
  </si>
  <si>
    <t>EBS:Trailer CAN bus off(3161,0)</t>
  </si>
  <si>
    <t>EBS:ISO 11992（拖挂车CAN)-请求报警灯</t>
  </si>
  <si>
    <t>316100:</t>
  </si>
  <si>
    <t>ISO 11992 (Trailer CAN) -
Timeout error</t>
  </si>
  <si>
    <t>Check short-circuits and open circuit on
lines CAN-Trailer ISO 11992 to the signal transmitting ECU and assure that ECU works correctly.</t>
  </si>
  <si>
    <t>EBS:挂车CAN通讯故障(3319,0)</t>
  </si>
  <si>
    <t>EBS:Trailer CAN bus off(3319,0)</t>
  </si>
  <si>
    <t>EBS:ISO 11992 (挂车CAN)-超时错误</t>
  </si>
  <si>
    <t>331900:</t>
  </si>
  <si>
    <t>ISO 11993 (Trailer CAN) -
Timeout error</t>
  </si>
  <si>
    <t>Check short-circuits and open circuit on
lines CAN-Trailer ISO 11993 to the signal transmitting ECU and assure that ECU works correctly.</t>
  </si>
  <si>
    <t>EBS:挂车CAN通讯故障(3320,0)</t>
  </si>
  <si>
    <t>EBS:Trailer CAN bus off(3320,0)</t>
  </si>
  <si>
    <t>EBS:ISO 11993 (挂车CAN)-超时错误</t>
  </si>
  <si>
    <t>332000:</t>
  </si>
  <si>
    <t>ISO 11994 (Trailer CAN) -
Timeout error</t>
  </si>
  <si>
    <t>Check short-circuits and open circuit on
lines CAN-Trailer ISO 11994 to the signal transmitting ECU and assure that ECU works correctly.</t>
  </si>
  <si>
    <t>EBS:挂车CAN通讯故障(3321,0)</t>
  </si>
  <si>
    <t>EBS:Trailer CAN bus off(3321,0)</t>
  </si>
  <si>
    <t>EBS:ISO 11994 (挂车CAN)-超时错误</t>
  </si>
  <si>
    <t>332100:</t>
  </si>
  <si>
    <t>ISO 11995 (Trailer CAN) -
Timeout error</t>
  </si>
  <si>
    <t>Check short-circuits and open circuit on
lines CAN-Trailer ISO 11995 to the signal transmitting ECU and assure that ECU works correctly.</t>
  </si>
  <si>
    <t>EBS:挂车CAN通讯故障(3322,0)</t>
  </si>
  <si>
    <t>EBS:Trailer CAN bus off(3322,0)</t>
  </si>
  <si>
    <t>EBS:ISO 11995 (挂车CAN)-超时错误</t>
  </si>
  <si>
    <t>332200:</t>
  </si>
  <si>
    <t>ISO 11996 (Trailer CAN) -
Timeout error</t>
  </si>
  <si>
    <t>Check short-circuits and open circuit on
lines CAN-Trailer ISO 11996 to the signal transmitting ECU and assure that ECU works correctly.</t>
  </si>
  <si>
    <t>EBS:挂车CAN通讯故障(3323,0)</t>
  </si>
  <si>
    <t>EBS:Trailer CAN bus off(3323,0)</t>
  </si>
  <si>
    <t>EBS:ISO 11996 (挂车CAN)-超时错误</t>
  </si>
  <si>
    <t>332300:</t>
  </si>
  <si>
    <t>Brake CAN - Internal error
(incorrect configuration)</t>
  </si>
  <si>
    <t>Download a new dataset. Disconnect
EPMs one after the other. After disconnecting each EPM, switch on ignition, and check, if fault appears again. Replace that EPM, which was disconnected just before the fault has disappeared.</t>
  </si>
  <si>
    <t>EBS:内部CAN通讯故障(3586,0)</t>
  </si>
  <si>
    <t>EBS:internal CAN bus off(3586,0)</t>
  </si>
  <si>
    <t>EBS:EBS内部制动CAN-内部错误 (配置不正确)</t>
  </si>
  <si>
    <t>358600:</t>
  </si>
  <si>
    <t>Brake CAN -
Communication interruption</t>
  </si>
  <si>
    <t>Check all lines between central ECU and
the EPMs (including to check for chafing damage). Check the plug at the central ECU and at the EPMs. Check if DTC disappears by disconnecting an EPM (to locate internal errors).</t>
  </si>
  <si>
    <t>EBS:内部CAN通讯故障(3594,0)</t>
  </si>
  <si>
    <t>EBS:internal CAN bus off(3594,0)</t>
  </si>
  <si>
    <t>EBS:EBS内部制动CAN-通讯中断</t>
  </si>
  <si>
    <t>359400:</t>
  </si>
  <si>
    <t>EBS:内部CAN通讯故障(3597,0)</t>
  </si>
  <si>
    <t>EBS:internal CAN bus off(3597,0)</t>
  </si>
  <si>
    <t>359700:</t>
  </si>
  <si>
    <t>EBS:内部CAN通讯故障(3598,0)</t>
  </si>
  <si>
    <t>EBS:internal CAN bus off(3598,0)</t>
  </si>
  <si>
    <t>359800:</t>
  </si>
  <si>
    <t>Sensor CAN - Communication
interruption</t>
  </si>
  <si>
    <t>Check the wiring and connectors between central ECU and ESP sensors,
replace if necessary; repair if necessary</t>
  </si>
  <si>
    <t>EBS:内部CAN通讯故障(3850,0)</t>
  </si>
  <si>
    <t>EBS:internal CAN bus off(3850,0)</t>
  </si>
  <si>
    <t>385000:</t>
  </si>
  <si>
    <t>EBS:内部CAN通讯故障(3853,0)</t>
  </si>
  <si>
    <t>EBS:internal CAN bus off(3853,0)</t>
  </si>
  <si>
    <t>385300:</t>
  </si>
  <si>
    <t>ECU battery + and ignition
+ voltage supply - Plausibility error</t>
  </si>
  <si>
    <t>Check the wiring, the connectors and the fuses of the ECU voltage supply for contact resistance and eliminate it.</t>
  </si>
  <si>
    <t>EBS:ECU供电故障(5426,0)</t>
  </si>
  <si>
    <t>EBS:ECU power failure(5426,0)</t>
  </si>
  <si>
    <t>EBS:ECU 蓄电池+ 和点火 + 电压供应难以置信的错误</t>
  </si>
  <si>
    <t>542600:</t>
  </si>
  <si>
    <t>ECU voltage supply - Voltage out of range</t>
  </si>
  <si>
    <t>If the state is active continuously, check vehicle's power supply system. Check cabling especially regarding pin FBM_Switch1 (X1-6)</t>
  </si>
  <si>
    <t>EBS:ECU供电故障(6163,0)</t>
  </si>
  <si>
    <t>EBS:ECU power failure(6163,0)</t>
  </si>
  <si>
    <t>EBS:ECU供电电压出范围</t>
  </si>
  <si>
    <t>616300:</t>
  </si>
  <si>
    <t>ECU voltage supply -
Internal error</t>
  </si>
  <si>
    <t>EBS:ECU内部故障(6189,0)</t>
  </si>
  <si>
    <t>EBS:ECU internal(6189,0)</t>
  </si>
  <si>
    <t>EBS:ECU 电压供应-内部错误</t>
  </si>
  <si>
    <t>618900:</t>
  </si>
  <si>
    <t>EBS:ECU内部故障(6445,0)</t>
  </si>
  <si>
    <t>EBS:ECU internal(6445,0)</t>
  </si>
  <si>
    <t>644500:</t>
  </si>
  <si>
    <t>LH PCV, inlet valve - Open
circuit</t>
  </si>
  <si>
    <t>Check the wiring and the internal
resistance of the PCV</t>
  </si>
  <si>
    <t>EBS:电磁阀或线路故障(7966,0)</t>
  </si>
  <si>
    <t>EBS:LH PCV error(7966,0)</t>
  </si>
  <si>
    <t>EBS:前桥左侧ABS压力控制阀进气控制线开路</t>
  </si>
  <si>
    <t>796600:</t>
  </si>
  <si>
    <t>LH PCV, inlet valve - Short circuit</t>
  </si>
  <si>
    <t>Check the wiring and the internal resistance of the PCV</t>
  </si>
  <si>
    <t>EBS:电磁阀或线路故障(7967,0)</t>
  </si>
  <si>
    <t>EBS:LH PCV error(7967,0)</t>
  </si>
  <si>
    <t>EBS:前桥左侧ABS压力控制阀进气控制线短路</t>
  </si>
  <si>
    <t>796700:</t>
  </si>
  <si>
    <t>LH PCV, inlet valve - Short
circuit to battery +</t>
  </si>
  <si>
    <t>EBS:电磁阀或线路故障(7968,0)</t>
  </si>
  <si>
    <t>EBS:LH PCV error(7968,0)</t>
  </si>
  <si>
    <t>EBS:前桥左侧ABS压力控制阀进气控制线短路到电源</t>
  </si>
  <si>
    <t>796800:</t>
  </si>
  <si>
    <t>LH PCV, inlet valve - Short
circuit to ground (GND)</t>
  </si>
  <si>
    <t>EBS:电磁阀或线路故障(7969,0)</t>
  </si>
  <si>
    <t>EBS:LH PCV error(7969,0)</t>
  </si>
  <si>
    <t>EBS:前桥左侧ABS压力控制阀进气控制线短路到地线</t>
  </si>
  <si>
    <t>796900:</t>
  </si>
  <si>
    <t>LH PCV, inlet valve - Short circuit to other cables</t>
  </si>
  <si>
    <t>EBS:电磁阀或线路故障(7971,0)</t>
  </si>
  <si>
    <t>EBS:LH PCV error(7971,0)</t>
  </si>
  <si>
    <t>EBS:前桥左侧ABS压力控制阀进气控制线短路到其他线束</t>
  </si>
  <si>
    <t>797100:</t>
  </si>
  <si>
    <t>LH PCV, outlet valve -
Open circuit</t>
  </si>
  <si>
    <t>EBS:电磁阀或线路故障(8222,0)</t>
  </si>
  <si>
    <t>EBS:LH PCV error(8222,0)</t>
  </si>
  <si>
    <t>EBS:前桥左侧ABS压力控制阀排气控制线开路</t>
  </si>
  <si>
    <t>822200:</t>
  </si>
  <si>
    <t>LH PCV, outlet valve -
Short circuit</t>
  </si>
  <si>
    <t>EBS:电磁阀或线路故障(8223,0)</t>
  </si>
  <si>
    <t>EBS:LH PCV error(8223,0)</t>
  </si>
  <si>
    <t>EBS:前桥左侧ABS压力控制阀排气控制线短路</t>
  </si>
  <si>
    <t>822300:</t>
  </si>
  <si>
    <t>LH PCV, outlet valve - Short circuit to battery +</t>
  </si>
  <si>
    <t>EBS:电磁阀或线路故障(8224,0)</t>
  </si>
  <si>
    <t>EBS:LH PCV error(8224,0)</t>
  </si>
  <si>
    <t>EBS:前桥左侧ABS压力控制阀排气控制线短路到电源</t>
  </si>
  <si>
    <t>822400:</t>
  </si>
  <si>
    <t>LH PCV, outlet valve - Short circuit to ground
(GND)</t>
  </si>
  <si>
    <t>EBS:电磁阀或线路故障(8225,0)</t>
  </si>
  <si>
    <t>EBS:LH PCV error(8225,0)</t>
  </si>
  <si>
    <t>EBS:前桥左侧ABS压力控制阀排气控制线短路到地线</t>
  </si>
  <si>
    <t>822500:</t>
  </si>
  <si>
    <t>LH PCV, outlet valve -
Short circuit to other cables</t>
  </si>
  <si>
    <t>EBS:电磁阀或线路故障(8227,0)</t>
  </si>
  <si>
    <t>EBS:LH PCV error(8227,0)</t>
  </si>
  <si>
    <t>EBS:前桥左侧ABS压力控制阀排气控制线短路到其他线束</t>
  </si>
  <si>
    <t>822700:</t>
  </si>
  <si>
    <t>RH PCV, inlet valve -
Open circuit</t>
  </si>
  <si>
    <t>EBS:电磁阀或线路故障(8478,0)</t>
  </si>
  <si>
    <t>EBS:LH PCV error(8478,0)</t>
  </si>
  <si>
    <t>EBS:前桥右侧ABS压力控制阀进气控制线开路</t>
  </si>
  <si>
    <t>847800:</t>
  </si>
  <si>
    <t>RH PCV, inlet valve - Short circuit</t>
  </si>
  <si>
    <t>EBS:电磁阀或线路故障(8479,0)</t>
  </si>
  <si>
    <t>EBS:LH PCV error(8479,0)</t>
  </si>
  <si>
    <t>EBS:前桥右侧ABS压力控制阀进气控制线短路</t>
  </si>
  <si>
    <t>847900:</t>
  </si>
  <si>
    <t>RH PCV, inlet valve - Short
circuit to battery +</t>
  </si>
  <si>
    <t>EBS:电磁阀或线路故障(8480,0)</t>
  </si>
  <si>
    <t>EBS:LH PCV error(8480,0)</t>
  </si>
  <si>
    <t>EBS:前桥右侧ABS压力控制阀进气控制线短路到电源</t>
  </si>
  <si>
    <t>848000:</t>
  </si>
  <si>
    <t>RH PCV, inlet valve - Short
circuit to ground (GND)</t>
  </si>
  <si>
    <t>EBS:电磁阀或线路故障(8481,0)</t>
  </si>
  <si>
    <t>EBS:LH PCV error(8481,0)</t>
  </si>
  <si>
    <t>EBS:前桥右侧ABS压力控制阀进气控制线短路到地线</t>
  </si>
  <si>
    <t>848100:</t>
  </si>
  <si>
    <t>RH PCV, inlet valve - Short circuit to other cables</t>
  </si>
  <si>
    <t>EBS:电磁阀或线路故障(8483,0)</t>
  </si>
  <si>
    <t>EBS:LH PCV error(8483,0)</t>
  </si>
  <si>
    <t>EBS:前桥右侧ABS压力控制阀进气控制线短路到其他线束</t>
  </si>
  <si>
    <t>848300:</t>
  </si>
  <si>
    <t>RH PCV, outlet valve -
Open circuit</t>
  </si>
  <si>
    <t>EBS:电磁阀或线路故障(8734,0)</t>
  </si>
  <si>
    <t>EBS:LH PCV error(8734,0)</t>
  </si>
  <si>
    <t>EBS:前桥右侧ABS压力控制阀排气控制线开路</t>
  </si>
  <si>
    <t>873400:</t>
  </si>
  <si>
    <t>RH PCV, outlet valve -
Short circuit</t>
  </si>
  <si>
    <t>EBS:电磁阀或线路故障(8735,0)</t>
  </si>
  <si>
    <t>EBS:LH PCV error(8735,0)</t>
  </si>
  <si>
    <t>EBS:前桥右侧ABS压力控制阀排气控制线短路</t>
  </si>
  <si>
    <t>873500:</t>
  </si>
  <si>
    <t>RH PCV, outlet valve - Short circuit to battery +</t>
  </si>
  <si>
    <t>EBS:电磁阀或线路故障(8736,0)</t>
  </si>
  <si>
    <t>EBS:LH PCV error(8736,0)</t>
  </si>
  <si>
    <t>EBS:前桥右侧ABS压力控制阀排气控制线短路到电源</t>
  </si>
  <si>
    <t>873600:</t>
  </si>
  <si>
    <t>RH PCV, outlet valve -
Short circuit to ground
(GND)</t>
  </si>
  <si>
    <t>EBS:电磁阀或线路故障(8737,0)</t>
  </si>
  <si>
    <t>EBS:LH PCV error(8737,0)</t>
  </si>
  <si>
    <t>EBS:前桥右侧ABS压力控制阀排气控制线短路到地线</t>
  </si>
  <si>
    <t>873700:</t>
  </si>
  <si>
    <t>RH PCV, outlet valve -
Short circuit to other cables</t>
  </si>
  <si>
    <t>EBS:电磁阀或线路故障(8739,0)</t>
  </si>
  <si>
    <t>EBS:LH PCV error(8739,0)</t>
  </si>
  <si>
    <t>EBS:前桥右侧ABS压力控制阀排气控制线短路到其他线束</t>
  </si>
  <si>
    <t>873900:</t>
  </si>
  <si>
    <t>PCV left - activity too long</t>
  </si>
  <si>
    <t>Check the tire sizes. On all monitored
wheels, check the wheel brakes for ease of movement, the sensing rings and the WSS signals, as well as the WSS for proper installation.</t>
  </si>
  <si>
    <t>EBS:电磁阀或线路故障(9523,0)</t>
  </si>
  <si>
    <t>EBS:LH PCV error(9523,0)</t>
  </si>
  <si>
    <t>EBS:ABS左侧压力控制阀-激活时间太长</t>
  </si>
  <si>
    <t>952300:</t>
  </si>
  <si>
    <t>PCV right - activity too long</t>
  </si>
  <si>
    <t>Check the tire sizes. On all monitored wheels, check the wheel brakes for ease
of movement, the sensing rings and the WSS signals, as well as the WSS for proper installation.</t>
  </si>
  <si>
    <t>EBS:电磁阀或线路故障(9779,0)</t>
  </si>
  <si>
    <t>EBS:LH PCV error(9779,0)</t>
  </si>
  <si>
    <t>EBS:ABS右侧压力控制阀-激活时间太长</t>
  </si>
  <si>
    <t>977900:</t>
  </si>
  <si>
    <t>ESP - Plausibility error</t>
  </si>
  <si>
    <t>Check the voltage supply of the ESP
sensors</t>
  </si>
  <si>
    <t>EBS:ESP传感器供电故障(11314,0)</t>
  </si>
  <si>
    <t>EBS:ESP sensor  power failure(11314,0)</t>
  </si>
  <si>
    <t>EBS:ESP-不可置信的错误</t>
  </si>
  <si>
    <t>1131400:</t>
  </si>
  <si>
    <t>Sensor CAN -
Communication interruption</t>
  </si>
  <si>
    <t>Check the wiring to the ESP sensors,
replace if necessary; repair if necessary</t>
  </si>
  <si>
    <t>EBS:ESP传感器通讯故障(11530,0)</t>
  </si>
  <si>
    <t>EBS:ESP sensor communicate error(11530,0)</t>
  </si>
  <si>
    <t>EBS:ESP传感器CAN线通讯中断</t>
  </si>
  <si>
    <t>1153000:</t>
  </si>
  <si>
    <t>Steering angle sensor -
Communication interruption</t>
  </si>
  <si>
    <t>Check the wiring to the SAS, replace
SAS if necessary.</t>
  </si>
  <si>
    <t>EBS:转向角度传感器CAN通讯故障(12814,0)</t>
  </si>
  <si>
    <t>EBS:Steering angle sensor CAN bus off(12814,0)</t>
  </si>
  <si>
    <t>EBS:转向角传感器-通信中断</t>
  </si>
  <si>
    <t>1281400:</t>
  </si>
  <si>
    <t>Steering angle sensor -
incorrect signal</t>
  </si>
  <si>
    <t>Check basic SAS setting, calibrate,
replace if necessary.</t>
  </si>
  <si>
    <t>EBS:转向角度传感器CAN通讯故障(13004,0)</t>
  </si>
  <si>
    <t>EBS:Steering angle sensor CAN bus off(13004,0)</t>
  </si>
  <si>
    <t>EBS:转向角传感器-信号错误</t>
  </si>
  <si>
    <t>1300400:</t>
  </si>
  <si>
    <t>Steering angle sensor -
Sensor not yet calibrated</t>
  </si>
  <si>
    <t>Calibrate SAS, replace if necessary</t>
  </si>
  <si>
    <t>EBS:转向角度传感器未标定(13012,0)</t>
  </si>
  <si>
    <t>EBS:Steering angle sensor not yet calibrated(13012,0)</t>
  </si>
  <si>
    <t>EBS:转向角传感器-传感器尚未校准</t>
  </si>
  <si>
    <t>1301200:</t>
  </si>
  <si>
    <t>Steering angle sensor -
detected but not configured</t>
  </si>
  <si>
    <t>Check if configuration matches
installation. Download a new dataset.</t>
  </si>
  <si>
    <t>EBS:转向角度传感器未标定(13056,0)</t>
  </si>
  <si>
    <t>EBS:Steering angle sensor not yet calibrated(13056,0)</t>
  </si>
  <si>
    <t>EBS:转向角传感器-已检测到但未配置</t>
  </si>
  <si>
    <t>1305600:</t>
  </si>
  <si>
    <t>Steering angle sensor -
Internal error</t>
  </si>
  <si>
    <t>Replace SAS</t>
  </si>
  <si>
    <t>EBS:转向角度传感器故障(13068,0)</t>
  </si>
  <si>
    <t>EBS:Steering angle sensor error(13068,0)</t>
  </si>
  <si>
    <t>EBS:转向角传感器-内部错误</t>
  </si>
  <si>
    <t>1306800:</t>
  </si>
  <si>
    <t>EBS:转向角度传感器CAN通讯故障(13070,0)</t>
  </si>
  <si>
    <t>EBS:Steering angle sensor CAN bus off(13070,0)</t>
  </si>
  <si>
    <t>1307000:</t>
  </si>
  <si>
    <t>Steering angle sensor -
Signal exceeds upper limit</t>
  </si>
  <si>
    <t>EBS:转向角度信号过大(13266,0)</t>
  </si>
  <si>
    <t>EBS:Steering angle sensor upper limit(13266,0)</t>
  </si>
  <si>
    <t>EBS:转向角传感器-信号超过上限</t>
  </si>
  <si>
    <t>1326600:</t>
  </si>
  <si>
    <t>Steering angle sensor -
constant signal</t>
  </si>
  <si>
    <t>check whether the SAS was installed
according to specifications, replace if necessary.</t>
  </si>
  <si>
    <t>EBS:转向角度传感器装配错误(13267,0)</t>
  </si>
  <si>
    <t>EBS:Steering angle sensor signal error(13267,0)</t>
  </si>
  <si>
    <t>EBS:转向角传感器-恒定信号</t>
  </si>
  <si>
    <t>1326700:</t>
  </si>
  <si>
    <t>EBS:转向角度传感器未标定(13268,0)</t>
  </si>
  <si>
    <t>EBS:Steering angle sensor not yet calibrated(13268,0)</t>
  </si>
  <si>
    <t>1326800:</t>
  </si>
  <si>
    <t>Steering angle sensor - Long-term calibration
incorrect</t>
  </si>
  <si>
    <t>Check basic SAS setting, calibrate, replace if necessary.</t>
  </si>
  <si>
    <t>EBS:转向角度传感器未标定(13270,0)</t>
  </si>
  <si>
    <t>EBS:Steering angle sensor not yet calibrated(13270,0)</t>
  </si>
  <si>
    <t>EBS:转向角传感器-长期校准不正确</t>
  </si>
  <si>
    <t>1327000:</t>
  </si>
  <si>
    <t>Steering angle sensor - Signal gradient too high</t>
  </si>
  <si>
    <t>EBS:转向角度传感器未标定(13276,0)</t>
  </si>
  <si>
    <t>EBS:Steering angle sensor not yet calibrated(13276,0)</t>
  </si>
  <si>
    <t>EBS:转向角传感器-信号渐变太高</t>
  </si>
  <si>
    <t>1327600:</t>
  </si>
  <si>
    <t>Steering angle sensor -
Signal incorrect</t>
  </si>
  <si>
    <t>EBS:转角传感器信号异常(13277,0)</t>
  </si>
  <si>
    <t>EBS:Steering angle sensor signal error(13277,0)</t>
  </si>
  <si>
    <t>EBS:转向角传感器-信号不正确</t>
  </si>
  <si>
    <t>1327700:</t>
  </si>
  <si>
    <t>EBS:转角传感器信号异常(13278,0)</t>
  </si>
  <si>
    <t>EBS:Steering angle sensor signal error(13278,0)</t>
  </si>
  <si>
    <t>1327800:</t>
  </si>
  <si>
    <t>Steering angle sensor - Calibration not finished</t>
  </si>
  <si>
    <t>Recalibrate the sensor</t>
  </si>
  <si>
    <t>EBS:转向角度传感器未标定(13281,0)</t>
  </si>
  <si>
    <t>EBS:Steering angle sensor not yet calibrated(13281,0)</t>
  </si>
  <si>
    <t>1328100:</t>
  </si>
  <si>
    <t>Steering angle sensor -
Quick adjustment not finished</t>
  </si>
  <si>
    <t>SAS fast adjustment will be completed
after a test drive automatically. Failure code will disappear as soon as the adjustment is finished successfully.</t>
  </si>
  <si>
    <t>EBS:转向角度传感器未标定(13282,0)</t>
  </si>
  <si>
    <t>EBS:Steering angle sensor not yet calibrated(13282,0)</t>
  </si>
  <si>
    <t>EBS:转向角传感器-快速调整未完成</t>
  </si>
  <si>
    <t>1328200:</t>
  </si>
  <si>
    <t>Yaw rate sensor - detected
but not configured</t>
  </si>
  <si>
    <t>Check if configuration matches
installation.</t>
  </si>
  <si>
    <t>EBS:横摆率传感器异常(13312,0)</t>
  </si>
  <si>
    <t>EBS:Yaw rate sensor error(13312,0)</t>
  </si>
  <si>
    <t>EBS:横摆率传感器-已检测但未配置</t>
  </si>
  <si>
    <t>1331200:</t>
  </si>
  <si>
    <t>Yaw rate sensor - Internal
error</t>
  </si>
  <si>
    <t>Check the wiring to the YRS, replace
YRS if necessary.</t>
  </si>
  <si>
    <t>EBS:横摆率传感器异常(13324,0)</t>
  </si>
  <si>
    <t>EBS:Yaw rate sensor error(13324,0)</t>
  </si>
  <si>
    <t>EBS:横摆率传感器-内部错误</t>
  </si>
  <si>
    <t>1332400:</t>
  </si>
  <si>
    <t>Yaw rate sensor -
Communication interruption</t>
  </si>
  <si>
    <t>EBS:横摆率传感器CAN通讯故障(13326,0)</t>
  </si>
  <si>
    <t>EBS:Yaw rate sensor CAN bus off(13326,0)</t>
  </si>
  <si>
    <t>EBS:横摆率传感器-通信中断</t>
  </si>
  <si>
    <t>1332600:</t>
  </si>
  <si>
    <t>Yaw rate sensor - Vibration
or implausible frequency</t>
  </si>
  <si>
    <t>Check the yaw rate sensor for proper
attachment and/or replace it.</t>
  </si>
  <si>
    <t>EBS:横摆率传感器信号异常(13336,0)</t>
  </si>
  <si>
    <t>EBS:Yaw rate sensor signal error(13336,0)</t>
  </si>
  <si>
    <t>EBS:横摆率传感器振动或难以置信的频率</t>
  </si>
  <si>
    <t>1333600:</t>
  </si>
  <si>
    <t>Yaw rate sensor -
indefinable error, only occurs in connection with other errors</t>
  </si>
  <si>
    <t>process other saved DTCs</t>
  </si>
  <si>
    <t>EBS:横摆率传感器信号异常(13521,0)</t>
  </si>
  <si>
    <t>EBS:Yaw rate sensor signal error(13521,0)</t>
  </si>
  <si>
    <t>EBS:横摆率传感器-错误不明，只发生在与其他错误的连接</t>
  </si>
  <si>
    <t>1352100:</t>
  </si>
  <si>
    <t>Yaw rate sensor - Signal
exceeds upper limit</t>
  </si>
  <si>
    <t>Check installation, calibrate, replace if
necessary</t>
  </si>
  <si>
    <t>EBS:横摆率传感器信号异常(13522,0)</t>
  </si>
  <si>
    <t>EBS:Yaw rate sensor signal error(13522,0)</t>
  </si>
  <si>
    <t>EBS:横摆率传感器-信号超过上限</t>
  </si>
  <si>
    <t>1352200:</t>
  </si>
  <si>
    <t>Yaw rate sensor - Quick
calibration incorrect</t>
  </si>
  <si>
    <t>EBS:横摆率传感器标定故障(13525,0)</t>
  </si>
  <si>
    <t>EBS:Yaw rate sensor calibration error(13525,0)</t>
  </si>
  <si>
    <t>EBS:横摆率传感器-快速校准不正确</t>
  </si>
  <si>
    <t>1352500:</t>
  </si>
  <si>
    <t>Yaw rate sensor - Static calibration without function</t>
  </si>
  <si>
    <t>Replace YRS</t>
  </si>
  <si>
    <t>EBS:横摆率传感器标定故障(13527,0)</t>
  </si>
  <si>
    <t>EBS:Yaw rate sensor calibration error(13527,0)</t>
  </si>
  <si>
    <t>EBS:横摆率传感器损坏</t>
  </si>
  <si>
    <t>1352700:</t>
  </si>
  <si>
    <t>Yaw rate sensor -
Continuous calibration without function</t>
  </si>
  <si>
    <t>EBS:横摆率传感器标定故障(13528,0)</t>
  </si>
  <si>
    <t>EBS:Yaw rate sensor calibration error(13528,0)</t>
  </si>
  <si>
    <t>EBS:横摆率传感器-无连续校准功能</t>
  </si>
  <si>
    <t>1352800:</t>
  </si>
  <si>
    <t>Yaw rate sensor - Fine
calibration incorrect</t>
  </si>
  <si>
    <t>Check the mounting of the sensor If
mounting of the sensor is OK and the error is still reported, change the sensor</t>
  </si>
  <si>
    <t>EBS:横摆率传感器标定故障(13529,0)</t>
  </si>
  <si>
    <t>EBS:Yaw rate sensor calibration error(13529,0)</t>
  </si>
  <si>
    <t>EBS:横摆率传感器-微调不正确</t>
  </si>
  <si>
    <t>1352900: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</si>
  <si>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</si>
  <si>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</si>
  <si>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EBS:横摆率传感器信号异常(13530,0)</t>
  </si>
  <si>
    <t>EBS:Yaw rate sensor signal error(13530,0)</t>
  </si>
  <si>
    <t>EBS:横摆率传感器-信号不可信</t>
  </si>
  <si>
    <t>1353000:</t>
  </si>
  <si>
    <t>Yaw rate sensor - Signal implausible</t>
  </si>
  <si>
    <t>Check the mounting of the sensor. Check whether wheelbase and wheeltrack
correspond to the vehicle specification. Check calibration of vehicle speed. If the error is still reported change the sensor.</t>
  </si>
  <si>
    <t>EBS:横摆率传感器信号异常(13531,0)</t>
  </si>
  <si>
    <t>EBS:Yaw rate sensor signal error(13531,0)</t>
  </si>
  <si>
    <t>1353100:</t>
  </si>
  <si>
    <t>Yaw rate sensor - Signal
gradient too high</t>
  </si>
  <si>
    <t>EBS:横摆率传感器信号异常(13532,0)</t>
  </si>
  <si>
    <t>EBS:Yaw rate sensor signal error(13532,0)</t>
  </si>
  <si>
    <t>EBS:横摆率传感器-信号梯度太高</t>
  </si>
  <si>
    <t>1353200:</t>
  </si>
  <si>
    <t>Yaw rate sensor - Signal
incorrect</t>
  </si>
  <si>
    <t>Check the mounting of the sensor. If
mounting of the sensor is OK, replace the sensor.</t>
  </si>
  <si>
    <t>EBS:横摆率传感器信号异常(13533,0)</t>
  </si>
  <si>
    <t>EBS:Yaw rate sensor signal error(13533,0)</t>
  </si>
  <si>
    <t>EBS:横摆率传感器-信号不正确</t>
  </si>
  <si>
    <t>1353300:</t>
  </si>
  <si>
    <t>EBS:横摆率传感器信号异常(13534,0)</t>
  </si>
  <si>
    <t>EBS:Yaw rate sensor signal error(13534,0)</t>
  </si>
  <si>
    <t>1353400:</t>
  </si>
  <si>
    <t>EBS:横摆率传感器信号异常(13535,0)</t>
  </si>
  <si>
    <t>EBS:Yaw rate sensor signal error(13535,0)</t>
  </si>
  <si>
    <t>1353500:</t>
  </si>
  <si>
    <t>EBS:横摆率传感器信号异常(13536,0)</t>
  </si>
  <si>
    <t>EBS:Yaw rate sensor signal error(13536,0)</t>
  </si>
  <si>
    <t>1353600:</t>
  </si>
  <si>
    <t>EBS:横摆率传感器信号异常(13778,0)</t>
  </si>
  <si>
    <t>EBS:Yaw rate sensor signal error(13778,0)</t>
  </si>
  <si>
    <t>1377800:</t>
  </si>
  <si>
    <t>Yaw rate sensor - Long-
term calibration incorrect</t>
  </si>
  <si>
    <t>Check the mounting of the sensor - If
mounting of the sensor is OK and the error is still reported, change the sensor</t>
  </si>
  <si>
    <t>EBS:横摆率传感器标定故障(13782,0)</t>
  </si>
  <si>
    <t>EBS:Yaw rate sensor calibration error(13782,0)</t>
  </si>
  <si>
    <t>EBS:横摆率传感器-长期校准不正确</t>
  </si>
  <si>
    <t>1378200:</t>
  </si>
  <si>
    <t>Yaw rate sensor - Static
calibration without function</t>
  </si>
  <si>
    <t>EBS:横摆率传感器标定故障(13783,0)</t>
  </si>
  <si>
    <t>EBS:Yaw rate sensor calibration error(13783,0)</t>
  </si>
  <si>
    <t>EBS:横摆率传感器安装问题或损坏</t>
  </si>
  <si>
    <t>1378300: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</si>
  <si>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</si>
  <si>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EBS:横摆率传感器信号异常(13786,0)</t>
  </si>
  <si>
    <t>EBS:Yaw rate sensor signal error(13786,0)</t>
  </si>
  <si>
    <t>1378600:</t>
  </si>
  <si>
    <t>Check the mounting of the sensor. Perform standstill calibration. Check
whether wheelbase and wheeltrack correspond to the vehicle specification. Check calibration of vehicle speed. If the error is still reported change the sensor.</t>
  </si>
  <si>
    <t>EBS:横摆率传感器信号异常(13787,0)</t>
  </si>
  <si>
    <t>EBS:Yaw rate sensor signal error(13787,0)</t>
  </si>
  <si>
    <t>1378700:</t>
  </si>
  <si>
    <t>Yaw rate sensor -
Calibration not finished</t>
  </si>
  <si>
    <t>EBS:横摆率传感器标定故障(13793,0)</t>
  </si>
  <si>
    <t>EBS:Yaw rate sensor calibration error(13793,0)</t>
  </si>
  <si>
    <t>EBS:横摆率传感器-校准未完成</t>
  </si>
  <si>
    <t>1379300:</t>
  </si>
  <si>
    <t>Yaw rate sensor - Static calibration not finished</t>
  </si>
  <si>
    <t>Continue calibration process</t>
  </si>
  <si>
    <t>EBS:横摆率传感器标定故障(13795,0)</t>
  </si>
  <si>
    <t>EBS:Yaw rate sensor calibration error(13795,0)</t>
  </si>
  <si>
    <t>EBS:横摆率传感器静态校准未完成</t>
  </si>
  <si>
    <t>1379500:</t>
  </si>
  <si>
    <t>ESP voltage supply -
Signal voltage too low</t>
  </si>
  <si>
    <t>Check the voltage supply of the ESP
sensors, check wiring between Central
ECU and sensors</t>
  </si>
  <si>
    <t>EBS:ESP供电故障(13846,0)</t>
  </si>
  <si>
    <t>EBS:ESP power failure(13846,0)</t>
  </si>
  <si>
    <t>EBS:ESP传感器供电-信号电压过低</t>
  </si>
  <si>
    <t>1384600:</t>
  </si>
  <si>
    <t>ESP voltage supply -
Signal voltage too high</t>
  </si>
  <si>
    <t>EBS:ESP供电故障(13847,0)</t>
  </si>
  <si>
    <t>EBS:ESP power failure(13847,0)</t>
  </si>
  <si>
    <t>EBS:ESP传感器供电-信号电压过高</t>
  </si>
  <si>
    <t>1384700:</t>
  </si>
  <si>
    <t>ESP voltage supply -
Internal error</t>
  </si>
  <si>
    <t>Check the voltage supply of the ESP
sensors, check wiring between Central ECU and sensors. Update software in the ECU, if failure is still reported, replace ECU</t>
  </si>
  <si>
    <t>EBS:ESP供电故障(13869,0)</t>
  </si>
  <si>
    <t>EBS:ESP power failure(13869,0)</t>
  </si>
  <si>
    <t>EBS:ESP传感器供电-内部错误</t>
  </si>
  <si>
    <t>1386900:</t>
  </si>
  <si>
    <t>ESP voltage supply -
Plausibility error</t>
  </si>
  <si>
    <t>Check the voltage supply of the ESP
sensors, check wiring between Central ECU and sensors</t>
  </si>
  <si>
    <t>EBS:ESP供电故障(13874,0)</t>
  </si>
  <si>
    <t>EBS:ESP power failure(13874,0)</t>
  </si>
  <si>
    <t>EBS:ESP传感器供电-难以置信的错误</t>
  </si>
  <si>
    <t>1387400:</t>
  </si>
  <si>
    <t>WSS - Sensor or its wiring
defective</t>
  </si>
  <si>
    <t>Check the connection order of the WSS of all axles and set the right order if necessary.</t>
  </si>
  <si>
    <t>EBS:轮速传感器或线路故障(14121,0)</t>
  </si>
  <si>
    <t>EBS:WSS signal error(14121,0)</t>
  </si>
  <si>
    <t>EBS:轮速传感器或其接线错误</t>
  </si>
  <si>
    <t>1412100:</t>
  </si>
  <si>
    <t>Pressure sensor (air
pressure) - Signal voltage too low</t>
  </si>
  <si>
    <t>Supply pressure too low. Fill up air supply system, repair low pressure indicator if it is faulty.</t>
  </si>
  <si>
    <t>EBS:气压传感器供电电压低(14614,0)</t>
  </si>
  <si>
    <t>EBS:Air pressure sensor voltage low(14614,0)</t>
  </si>
  <si>
    <t>EBS:压力传感器 (气压)-信号电压过低</t>
  </si>
  <si>
    <t>1461400:</t>
  </si>
  <si>
    <t>Check the CAN-sensor lines, sensor
power supply and plugs to the central ECU. If wiring is OK and failure is still present: - change the yaw rate sensor. Change the central ECU, if failure
`steering angle sensor: communication interrupted` is present, too.</t>
  </si>
  <si>
    <t>EBS:横摆率传感器CAN通讯故障(14862,0)</t>
  </si>
  <si>
    <t>EBS:Yaw rate sensor CAN bus off(14862,0)</t>
  </si>
  <si>
    <t>EBS:横摆率传感器-通讯中断</t>
  </si>
  <si>
    <t>1486200:</t>
  </si>
  <si>
    <t>Yaw rate sensor - incorrect
signal</t>
  </si>
  <si>
    <t>replace yaw rate sensor</t>
  </si>
  <si>
    <t>EBS:横摆率传感器信号异常(15052,0)</t>
  </si>
  <si>
    <t>EBS:Yaw rate sensor signal error(15052,0)</t>
  </si>
  <si>
    <t>1505200:</t>
  </si>
  <si>
    <t>EBS:横摆率传感器信号异常(15308,0)</t>
  </si>
  <si>
    <t>EBS:Yaw rate sensor signal error(15308,0)</t>
  </si>
  <si>
    <t>1530800:</t>
  </si>
  <si>
    <t>FBM（脚阀） - Wake-up time is too
long</t>
  </si>
  <si>
    <t>Check If foot Brake pedal CAN be
released completely, adjust pedal if not. Check if the wake up switch is off in case of released brake pedal, replace the FBM If not.</t>
  </si>
  <si>
    <t>EBS:脚阀故障(15368,0)</t>
  </si>
  <si>
    <t>EBS:FBM error(15368,0)</t>
  </si>
  <si>
    <t>EBS:脚制动阀-唤醒时间过长</t>
  </si>
  <si>
    <t>1536800:</t>
  </si>
  <si>
    <t>FBM - Offset error</t>
  </si>
  <si>
    <t>Check and correct installation of the FBM (especially regarding mechanical
blockage) - If the problem still persists replace the FBM</t>
  </si>
  <si>
    <t>EBS:脚阀故障(15386,0)</t>
  </si>
  <si>
    <t>EBS:FBM error(15386,0)</t>
  </si>
  <si>
    <t>EBS:脚制动阀-偏移量错误</t>
  </si>
  <si>
    <t>1538600:</t>
  </si>
  <si>
    <t>FBM - Short circuit to other
cables</t>
  </si>
  <si>
    <t>Check the wiring and the connectors
between EBS ECU and FBM, replace
FBM if necessary.</t>
  </si>
  <si>
    <t>EBS:脚阀故障(15395,0)</t>
  </si>
  <si>
    <t>EBS:FBM error(15395,0)</t>
  </si>
  <si>
    <t>EBS:脚制动阀-线路短路到其他线束</t>
  </si>
  <si>
    <t>1539500:</t>
  </si>
  <si>
    <t>FBM - Plausibility error</t>
  </si>
  <si>
    <t>Check the wiring and the connectors between EBS ECU and FBM, replace
FBM if necessary.</t>
  </si>
  <si>
    <t>EBS:脚阀故障(15410,0)</t>
  </si>
  <si>
    <t>EBS:FBM error(15410,0)</t>
  </si>
  <si>
    <t>EBS:脚制动阀-难以置信的错误</t>
  </si>
  <si>
    <t>1541000:</t>
  </si>
  <si>
    <t>FBM Signal 1 - Signal voltage too low</t>
  </si>
  <si>
    <t>EBS:脚阀故障(15638,0)</t>
  </si>
  <si>
    <t>EBS:FBM error(15638,0)</t>
  </si>
  <si>
    <t>EBS:脚制动阀信号1-信号电压过低</t>
  </si>
  <si>
    <t>1563800:</t>
  </si>
  <si>
    <t>FBM Signal 1 - Signal
voltage too high</t>
  </si>
  <si>
    <t>EBS:脚阀故障(15639,0)</t>
  </si>
  <si>
    <t>EBS:FBM error(15639,0)</t>
  </si>
  <si>
    <t>EBS:脚制动阀信号1-信号电压过高</t>
  </si>
  <si>
    <t>1563900:</t>
  </si>
  <si>
    <t>FBM Signal 2 - Signal
voltage too low</t>
  </si>
  <si>
    <t>EBS:脚阀故障(15894,0)</t>
  </si>
  <si>
    <t>EBS:FBM error(15894,0)</t>
  </si>
  <si>
    <t>EBS:脚制动阀信号2-信号电压过低</t>
  </si>
  <si>
    <t>1589400:</t>
  </si>
  <si>
    <t>FBM Signal 2 - Signal
voltage too high</t>
  </si>
  <si>
    <t>EBS:脚阀故障(15895,0)</t>
  </si>
  <si>
    <t>EBS:FBM error(15895,0)</t>
  </si>
  <si>
    <t>EBS:脚制动阀信号2-信号电压过高</t>
  </si>
  <si>
    <t>1589500:</t>
  </si>
  <si>
    <t>FBM switch 1 - Short
circuit to battery +</t>
  </si>
  <si>
    <t>EBS:脚阀故障(16160,0)</t>
  </si>
  <si>
    <t>EBS:FBM error(16160,0)</t>
  </si>
  <si>
    <t>EBS:脚制动阀开关1-短路到电源</t>
  </si>
  <si>
    <t>1616000:</t>
  </si>
  <si>
    <t>FBM switch 1 - Short
circuit to ground (GND)</t>
  </si>
  <si>
    <t>EBS:脚阀故障(16161,0)</t>
  </si>
  <si>
    <t>EBS:FBM error(16161,0)</t>
  </si>
  <si>
    <t>EBS:脚制动阀开关1-短路到地线</t>
  </si>
  <si>
    <t>1616100:</t>
  </si>
  <si>
    <t>FBM switch 1 - existing
signal cannot be held in
ECU</t>
  </si>
  <si>
    <t>Erase fault memory. Ignition off/on. Press
the brake pedal twice. If the error is reported again, the central ECU is to be replaced.</t>
  </si>
  <si>
    <t>EBS:脚阀故障(16170,0)</t>
  </si>
  <si>
    <t>EBS:FBM error(16170,0)</t>
  </si>
  <si>
    <t>EBS:脚制动阀开关1-现有的信号不能在ECU保持</t>
  </si>
  <si>
    <t>1617000:</t>
  </si>
  <si>
    <t>FBM voltage supply -
Voltage exceeds upper limit</t>
  </si>
  <si>
    <t>EBS:脚阀故障(16660,0)</t>
  </si>
  <si>
    <t>EBS:FBM error(16660,0)</t>
  </si>
  <si>
    <t>EBS:脚制动阀信号7-信号电压过高</t>
  </si>
  <si>
    <t>1666000:</t>
  </si>
  <si>
    <t>FBM voltage supply -
Voltage below lower limit</t>
  </si>
  <si>
    <t>EBS:脚阀故障(16661,0)</t>
  </si>
  <si>
    <t>EBS:FBM error(16661,0)</t>
  </si>
  <si>
    <t>EBS:脚制动阀信号8-信号电压过高</t>
  </si>
  <si>
    <t>1666100:</t>
  </si>
  <si>
    <t>Download new dataset. Switch off/on.
Erase fault memory and if the error is reported again replace ECU.</t>
  </si>
  <si>
    <t>EBS:ECU内部故障(17153,0)</t>
  </si>
  <si>
    <t>EBS:ECU internal error(17153,0)</t>
  </si>
  <si>
    <t>1715300:</t>
  </si>
  <si>
    <t>ABS logic - Internal error
(incorrect configuration)</t>
  </si>
  <si>
    <t>Download new dataset. Switch off/on.
Erase fault. If the error is reported again Central ECU is to be replaced.</t>
  </si>
  <si>
    <t>EBS:ECU内部故障(17921,0)</t>
  </si>
  <si>
    <t>EBS:ECU internal error(17921,0)</t>
  </si>
  <si>
    <t>EBS:ABS逻辑-内部错误（不正确的配置）</t>
  </si>
  <si>
    <t>1792100:</t>
  </si>
  <si>
    <t>ABS logic - activity too
long</t>
  </si>
  <si>
    <t>Check the tire sizes. On all monitored wheels, check the wheel brakes for ease of movement, the sensing rings and the WSS signals, as well as the WSS for proper installation.</t>
  </si>
  <si>
    <t>EBS:轮速传感器信号异常(17971,0)</t>
  </si>
  <si>
    <t>EBS:WSS signal error(17971,0)</t>
  </si>
  <si>
    <t>EBS:ABS逻辑-激活时间太长</t>
  </si>
  <si>
    <t>1797100:</t>
  </si>
  <si>
    <t>ABS logic - implausible
ABS control</t>
  </si>
  <si>
    <t>EBS:轮速传感器信号异常(17972,0)</t>
  </si>
  <si>
    <t>EBS:WSS signal error(17972,0)</t>
  </si>
  <si>
    <t>EBS:ABS逻辑-难以置信的ABS控制</t>
  </si>
  <si>
    <t>1797200:</t>
  </si>
  <si>
    <t>ESP logic - Internal error
(incorrect configuration)</t>
  </si>
  <si>
    <t>Download new dataset. Switch off/on.
Erase fault. If the error is reported again
Central ECU is to be replaced.</t>
  </si>
  <si>
    <t>ESP:标定错误或ECU内部故障(18177,0)</t>
  </si>
  <si>
    <t>ESP:Incorrect configuration or ECU internal error(18177,0)</t>
  </si>
  <si>
    <t>EBS:ESP 逻辑-内部错误 (配置不正确)</t>
  </si>
  <si>
    <t>1817700:</t>
  </si>
  <si>
    <t>ESP logic - Signal timeout
on J1939 (power train
CAN)</t>
  </si>
  <si>
    <t>Check the failures in the external ECUs,
and follow up their accompanying instructions.</t>
  </si>
  <si>
    <t>ESP:CAN通讯故障(18187,0)</t>
  </si>
  <si>
    <t>ESP:CAN bus off(18187,0)</t>
  </si>
  <si>
    <t>EBS:ESP 逻辑- J1939（动力系统CAN）信号超时</t>
  </si>
  <si>
    <t>1818700:</t>
  </si>
  <si>
    <t>ESP logic - trailer ABS is
not fully operational</t>
  </si>
  <si>
    <t>Check trailer ABS system</t>
  </si>
  <si>
    <t>ESP:挂车ABS故障(18428,0)</t>
  </si>
  <si>
    <t>ESP:Trailer ABSerror(18428,0)</t>
  </si>
  <si>
    <t>EBS:ESP逻辑-挂车ABS未完全运行</t>
  </si>
  <si>
    <t>1842800:</t>
  </si>
  <si>
    <t>EPM - detected but not configured</t>
  </si>
  <si>
    <t>Check if configuration matches installation. If not, correct it. (Download
new dataset) If configuration matches installation, check the wiring (including to check for chafing damage), and repair if faulty.</t>
  </si>
  <si>
    <t>EBS:EPM配置错误或线束故障(18432,0)</t>
  </si>
  <si>
    <t>EBS:EPM error(18432,0)</t>
  </si>
  <si>
    <t>EBS:EPM 检测但未配置</t>
  </si>
  <si>
    <t>1843200:</t>
  </si>
  <si>
    <t>EPM - Internal error - SW
incompatibility</t>
  </si>
  <si>
    <t>After ignition off/on an EPM specific fault
should become active. Follow the instructions given for that fault.</t>
  </si>
  <si>
    <t>EBS:EPM配置错误(18588,0)</t>
  </si>
  <si>
    <t>EBS:EPM error(18588,0)</t>
  </si>
  <si>
    <t>EBS:EPM-内部错误-软件不兼容</t>
  </si>
  <si>
    <t>1858800:</t>
  </si>
  <si>
    <t>EPM - Internal software error</t>
  </si>
  <si>
    <t>After ignition off/on an EPM specific fault should become active. Follow the
instructions given for that fault.</t>
  </si>
  <si>
    <t>EBS:EPM故障(18589,0)</t>
  </si>
  <si>
    <t>EBS:EPM error(18589,0)</t>
  </si>
  <si>
    <t>EBS:EPM-内部软件错误</t>
  </si>
  <si>
    <t>1858900:</t>
  </si>
  <si>
    <t>EBS:EPM故障(18592,0)</t>
  </si>
  <si>
    <t>EBS:EPM error(18592,0)</t>
  </si>
  <si>
    <t>1859200:</t>
  </si>
  <si>
    <t>External Brake Demand - incorrect configuration</t>
  </si>
  <si>
    <t>Download new dataset. Switch off/on. Erase fault. If the error is reported again
Central ECU is to be replaced.</t>
  </si>
  <si>
    <t>EBS:ECU配置错误(18689,0)</t>
  </si>
  <si>
    <t>EBS:ECU incorrect configuration(18689,0)</t>
  </si>
  <si>
    <t>EBS:外部制动器请求-配置不正确</t>
  </si>
  <si>
    <t>1868900:</t>
  </si>
  <si>
    <t>External Brake Demand -
Plausibility Failure</t>
  </si>
  <si>
    <t>EBS:ECU内部故障(18738,0)</t>
  </si>
  <si>
    <t>EBS:ECU internal error(18738,0)</t>
  </si>
  <si>
    <t>EBS:外部制动器请求-难以置信的失效</t>
  </si>
  <si>
    <t>1873800:</t>
  </si>
  <si>
    <t>External Brake Demand -
Function restricted</t>
  </si>
  <si>
    <t>Process other saved DTCs</t>
  </si>
  <si>
    <t>EBS:EBS系统故障</t>
  </si>
  <si>
    <t>EBS:EBS error</t>
  </si>
  <si>
    <t>EBS:外部制动器请求-功能受限制</t>
  </si>
  <si>
    <t>1886600:</t>
  </si>
  <si>
    <t>External Brake Demand -
Timeout error when communicating with the transmission control system</t>
  </si>
  <si>
    <t>Check the components and the wiring
responsible for the transmission control signal.</t>
  </si>
  <si>
    <t>EBS:CAN通讯故障(18923,0)</t>
  </si>
  <si>
    <t>EBS:CAN bus off(18923,0)</t>
  </si>
  <si>
    <t>EBS:外部制动器请求-于传动系统通讯超时</t>
  </si>
  <si>
    <t>1892300:</t>
  </si>
  <si>
    <t>External Brake Demand - Timeout error when communicating with the
CUV ECU</t>
  </si>
  <si>
    <t>Check the components and the wiring responsible for the CUV signal.</t>
  </si>
  <si>
    <t>EBS:CAN通讯故障(18926,0)</t>
  </si>
  <si>
    <t>EBS:CAN bus off(18926,0)</t>
  </si>
  <si>
    <t>EBS:外部制动器请求-与 CUV ECU 通信时的超时错误</t>
  </si>
  <si>
    <t>1892600:</t>
  </si>
  <si>
    <t>External Brake Demand -
Timeout error when communicating with the ride control system</t>
  </si>
  <si>
    <t>Check the components and the wiring
responsible for the ride control signal.</t>
  </si>
  <si>
    <t>EBS:CAN通讯故障(18928,0)</t>
  </si>
  <si>
    <t>EBS:CAN bus off(18928,0)</t>
  </si>
  <si>
    <t>EBS:外部制动请求-与行车控制系统通信时的超时错误</t>
  </si>
  <si>
    <t>1892800:</t>
  </si>
  <si>
    <t>External Brake Demand - Timeout error when
communicating with the cruise control system</t>
  </si>
  <si>
    <t>Check the components and the wiring responsible for the cruise control signal.</t>
  </si>
  <si>
    <t>EBS:CAN通讯故障(18930,0)</t>
  </si>
  <si>
    <t>EBS:CAN bus off(18930,0)</t>
  </si>
  <si>
    <t>EBS:外部制动器请求-与巡航控制系统通信时的超时错误</t>
  </si>
  <si>
    <t>1893000:</t>
  </si>
  <si>
    <t>Supply voltage of PCVand
TCM - below the lower limit while starting the engine</t>
  </si>
  <si>
    <t>Check vehicle's power supply system</t>
  </si>
  <si>
    <t>EBS:供电故障(19544,0)</t>
  </si>
  <si>
    <t>EBS: power failure(19544,0)</t>
  </si>
  <si>
    <t>EBS:ABS压力控制阀和挂车控制阀供电电压-在启动发动机时低于下限</t>
  </si>
  <si>
    <t>1954400:</t>
  </si>
  <si>
    <t>EPM supply voltage -
below the lower limit while starting the engine</t>
  </si>
  <si>
    <t>EBS:供电故障(19800,0)</t>
  </si>
  <si>
    <t>EBS: power failure(19800,0)</t>
  </si>
  <si>
    <t>EBS:EPM供电电压-在启动发动机时低于下限</t>
  </si>
  <si>
    <t>1980000:</t>
  </si>
  <si>
    <t>Supply voltage of CAN -
below the lower limit while starting the engine</t>
  </si>
  <si>
    <t>EBS:供电故障(20056,0)</t>
  </si>
  <si>
    <t>EBS: power failure(20056,0)</t>
  </si>
  <si>
    <t>EBS:CAN线电压-在启动发动机时低于下限</t>
  </si>
  <si>
    <t>2005600:</t>
  </si>
  <si>
    <t>Supply voltage of the ESP
sensors - Voltage exceeds upper limit</t>
  </si>
  <si>
    <t>If the state is active continuously, check
vehicle's power supply system.</t>
  </si>
  <si>
    <t>EBS:ESP传感器供电故障(20244,0)</t>
  </si>
  <si>
    <t>EBS:ESP sensor  power failure(20244,0)</t>
  </si>
  <si>
    <t>EBS:ESP 传感器的供电电压超过上限</t>
  </si>
  <si>
    <t>2024400:</t>
  </si>
  <si>
    <t>Supply voltage of the ESP
sensors - Voltage below lower limit</t>
  </si>
  <si>
    <t>EBS:ESP传感器供电故障(20245,0)</t>
  </si>
  <si>
    <t>EBS:ESP sensor  power failure(20245,0)</t>
  </si>
  <si>
    <t>EBS:ESP 传感器的供电电压-低于下限</t>
  </si>
  <si>
    <t>2024500:</t>
  </si>
  <si>
    <t>EPM supply voltage -
Voltage exceeds upper limit</t>
  </si>
  <si>
    <t>EBS:EPM供电故障(20500,0)</t>
  </si>
  <si>
    <t>EBS:EPM power failure(20500,0)</t>
  </si>
  <si>
    <t>EBS:EPM 电源电压超过上限</t>
  </si>
  <si>
    <t>2050000:</t>
  </si>
  <si>
    <t>EPM supply voltage -
Voltage below lower limit</t>
  </si>
  <si>
    <t>EBS:EPM供电故障(20501,0)</t>
  </si>
  <si>
    <t>EBS:EPM power failure(20501,0)</t>
  </si>
  <si>
    <t>EBS:EPM 供电电压低于下限</t>
  </si>
  <si>
    <t>2050100:</t>
  </si>
  <si>
    <t>EBS:EPM供电故障(20756,0)</t>
  </si>
  <si>
    <t>EBS:EPM power failure(20756,0)</t>
  </si>
  <si>
    <t>2075600:</t>
  </si>
  <si>
    <t>EPM supply voltage - Voltage below lower limit</t>
  </si>
  <si>
    <t>If the state is active continuously, check vehicle's power supply system.</t>
  </si>
  <si>
    <t>EBS:EPM供电故障(20757,0)</t>
  </si>
  <si>
    <t>EBS:EPM power failure(20757,0)</t>
  </si>
  <si>
    <t>2075700:</t>
  </si>
  <si>
    <t>PCVsupply voltage -
Voltage exceeds upper limit</t>
  </si>
  <si>
    <t>EBS:PCV供电故障(21012,0)</t>
  </si>
  <si>
    <t>EBS:PCV power failure(21012,0)</t>
  </si>
  <si>
    <t>EBS:ABS压力控制阀供电电压超过上限</t>
  </si>
  <si>
    <t>2101200:</t>
  </si>
  <si>
    <t>PCVsupply voltage -
Voltage below lower limit</t>
  </si>
  <si>
    <t>EBS:PCV供电故障(21013,0)</t>
  </si>
  <si>
    <t>EBS:PCV power failure(21013,0)</t>
  </si>
  <si>
    <t>EBS:ABS压力控制阀供电电压低于下限</t>
  </si>
  <si>
    <t>2101300:</t>
  </si>
  <si>
    <t>Supply voltage of the TCM
valves - Voltage exceeds upper limit</t>
  </si>
  <si>
    <t>EBS:挂车阀供电故障(21780,0)</t>
  </si>
  <si>
    <t>EBS:Trailer power failure(21780,0)</t>
  </si>
  <si>
    <t>EBS:挂车控制阀的供电电压超过上限</t>
  </si>
  <si>
    <t>2178000:</t>
  </si>
  <si>
    <t>Supply voltage of the TCM
valves - Voltage below lower limit</t>
  </si>
  <si>
    <t>EBS:挂车阀供电故障(21781,0)</t>
  </si>
  <si>
    <t>EBS:Trailer power failure(21781,0)</t>
  </si>
  <si>
    <t>EBS:挂车控制阀供电电压-低于下限</t>
  </si>
  <si>
    <t>2178100:</t>
  </si>
  <si>
    <t>Supply voltage of CAN
J1939 (Powertrain CAN) - Voltage exceeds upper limit</t>
  </si>
  <si>
    <t>EBS:CAN通讯故障(22292,0)</t>
  </si>
  <si>
    <t>EBS:CAN bus off(22292,0)</t>
  </si>
  <si>
    <t>EBS:J1939（动力系统CAN）-电压超出上限</t>
  </si>
  <si>
    <t>2229200:</t>
  </si>
  <si>
    <t>Supply voltage of CAN
J1939 (Powertrain CAN) - Voltage below lower limit</t>
  </si>
  <si>
    <t>EBS:CAN通讯故障(22293,0)</t>
  </si>
  <si>
    <t>EBS:CAN bus off(22293,0)</t>
  </si>
  <si>
    <t>EBS:J1939（动力系统CAN）-电压低于下限</t>
  </si>
  <si>
    <t>2229300:</t>
  </si>
  <si>
    <t>Supply voltage of CAN ISO
11992 (Trailer CAN) - Voltage exceeds upper limit</t>
  </si>
  <si>
    <t>EBS:挂车CAN通讯故障(22548,0)</t>
  </si>
  <si>
    <t>EBS:Trailer CAN bus off(22548,0)</t>
  </si>
  <si>
    <t>EBS:ISO 11992（拖挂车CAN)-电压超过上限</t>
  </si>
  <si>
    <t>2254800:</t>
  </si>
  <si>
    <t>Supply voltage of CAN ISO
11992 (Trailer CAN) - Voltage below lower limit</t>
  </si>
  <si>
    <t>EBS:挂车CAN通讯故障(22549,0)</t>
  </si>
  <si>
    <t>EBS:Trailer CAN bus off(22549,0)</t>
  </si>
  <si>
    <t>EBS:ISO 11993（拖挂车CAN)-电压低于下限</t>
  </si>
  <si>
    <t>2254900:</t>
  </si>
  <si>
    <t>Supply voltage of the
Brake CAN - Voltage exceeds upper limit</t>
  </si>
  <si>
    <t>EBS:内部CAN通讯故障(22804,0)</t>
  </si>
  <si>
    <t>EBS:internal CAN bus off(22804,0)</t>
  </si>
  <si>
    <t>EBS:ECU与EPM内部CAN电压超过上限</t>
  </si>
  <si>
    <t>2280400:</t>
  </si>
  <si>
    <t>Supply voltage of the
Brake CAN - Voltage below lower limit</t>
  </si>
  <si>
    <t>EBS:内部CAN通讯故障(22805,0)</t>
  </si>
  <si>
    <t>EBS:internal CAN bus off(22805,0)</t>
  </si>
  <si>
    <t>EBS:ECU与EPM内部CAN电压低于下限</t>
  </si>
  <si>
    <t>2280500:</t>
  </si>
  <si>
    <t>TCM inlet valve - Short
circuit</t>
  </si>
  <si>
    <t>Check the wiring and the connectors to
the TCM, check the solenoid valves in the TCM, replace TCM if necessary.</t>
  </si>
  <si>
    <t>EBS:挂车阀或线路故障(23071,0)</t>
  </si>
  <si>
    <t>EBS:TCM error(23071,0)</t>
  </si>
  <si>
    <t>EBS:挂车控制阀进气控制线-短路</t>
  </si>
  <si>
    <t>2307100:</t>
  </si>
  <si>
    <t>TCM inlet valve - Short
circuit to battery +</t>
  </si>
  <si>
    <t>EBS:挂车阀或线路故障(23072,0)</t>
  </si>
  <si>
    <t>EBS:TCM error(23072,0)</t>
  </si>
  <si>
    <t>EBS:挂车控制阀进气控制线-短路到电源</t>
  </si>
  <si>
    <t>2307200:</t>
  </si>
  <si>
    <t>TCM inlet valve - Short
circuit to ground (GND) or open circuit</t>
  </si>
  <si>
    <t>EBS:挂车阀或线路故障(23076,0)</t>
  </si>
  <si>
    <t>EBS:TCM error(23076,0)</t>
  </si>
  <si>
    <t>EBS:挂车控制阀进气控制线-短路到地线或开路</t>
  </si>
  <si>
    <t>2307600:</t>
  </si>
  <si>
    <t>TCM inlet valve - cannot
be switched on</t>
  </si>
  <si>
    <t>EBS:挂车阀或线路故障(23079,0)</t>
  </si>
  <si>
    <t>EBS:TCM error(23079,0)</t>
  </si>
  <si>
    <t>EBS:挂车控制阀进气无法打开</t>
  </si>
  <si>
    <t>2307900:</t>
  </si>
  <si>
    <t>TCM outlet valve - Short
circuit</t>
  </si>
  <si>
    <t>EBS:挂车阀或线路故障(23327,0)</t>
  </si>
  <si>
    <t>EBS:TCM error(23327,0)</t>
  </si>
  <si>
    <t>EBS:挂车控制阀排气控制线-短路</t>
  </si>
  <si>
    <t>2332700:</t>
  </si>
  <si>
    <t>TCM outlet valve - Short circuit to battery +</t>
  </si>
  <si>
    <t>Check the wiring and the connectors to the TCM, check the solenoid valves in
the TCM, replace TCM if necessary.</t>
  </si>
  <si>
    <t>EBS:挂车阀或线路故障(23328,0)</t>
  </si>
  <si>
    <t>EBS:TCM error(23328,0)</t>
  </si>
  <si>
    <t>EBS:挂车控制阀排气控制线-短路到电源</t>
  </si>
  <si>
    <t>2332800:</t>
  </si>
  <si>
    <t>TCM outlet valve - Short circuit to ground (GND) or
open circuit</t>
  </si>
  <si>
    <t>EBS:挂车阀或线路故障(23332,0)</t>
  </si>
  <si>
    <t>EBS:TCM error(23332,0)</t>
  </si>
  <si>
    <t>EBS:挂车控制阀排气控制线-短路到地线或开路</t>
  </si>
  <si>
    <t>2333200:</t>
  </si>
  <si>
    <t>TCM outlet valve - cannot be switched on</t>
  </si>
  <si>
    <t>EBS:挂车阀或线路故障(23335,0)</t>
  </si>
  <si>
    <t>EBS:TCM error(23335,0)</t>
  </si>
  <si>
    <t>EBS:挂车控制阀排气控制阀-无法打开</t>
  </si>
  <si>
    <t>2333500:</t>
  </si>
  <si>
    <t>TCM backup valve - Short circuit</t>
  </si>
  <si>
    <t>EBS:挂车阀或线路故障(23583,0)</t>
  </si>
  <si>
    <t>EBS:TCM error(23583,0)</t>
  </si>
  <si>
    <t>EBS:挂车控制阀备用阀-线路短路</t>
  </si>
  <si>
    <t>2358300:</t>
  </si>
  <si>
    <t>TCM backup valve - Short
circuit to battery +</t>
  </si>
  <si>
    <t>EBS:挂车阀或线路故障(23584,0)</t>
  </si>
  <si>
    <t>EBS:TCM error(23584,0)</t>
  </si>
  <si>
    <t>EBS:挂车控制阀备用阀-线路短路到电源</t>
  </si>
  <si>
    <t>2358400:</t>
  </si>
  <si>
    <t>TCM backup valve - Short
circuit to ground (GND) or open circuit</t>
  </si>
  <si>
    <t>EBS:挂车阀或线路故障(23588,0)</t>
  </si>
  <si>
    <t>EBS:TCM error(23588,0)</t>
  </si>
  <si>
    <t>EBS:挂车控制阀备用阀-线路短路到地线或开路</t>
  </si>
  <si>
    <t>2358800:</t>
  </si>
  <si>
    <t>TCM backup valve -
cannot be switched on</t>
  </si>
  <si>
    <t>EBS:挂车阀或线路故障(23591,0)</t>
  </si>
  <si>
    <t>EBS:TCM error(23591,0)</t>
  </si>
  <si>
    <t>EBS:挂车控制阀备用阀-无法打开</t>
  </si>
  <si>
    <t>2359100:</t>
  </si>
  <si>
    <t>TCM pressure sensor -
Signal voltage too low</t>
  </si>
  <si>
    <t>Check the wiring and the connectors to
the TCM, replace TCM if necessary.</t>
  </si>
  <si>
    <t>EBS:挂车阀或线路故障(23830,0)</t>
  </si>
  <si>
    <t>EBS:TCM error(23830,0)</t>
  </si>
  <si>
    <t>EBS:挂车控制阀气压传感器-信号电压过低</t>
  </si>
  <si>
    <t>2383000:</t>
  </si>
  <si>
    <t>TCM pressure sensor -
Signal voltage too high</t>
  </si>
  <si>
    <t>Check the wiring, the connectors and the
pressures at the TCM (supplx pressure must not exceed 8.5 bar), replace TCM if necessary.</t>
  </si>
  <si>
    <t>EBS:挂车阀或线路故障(23831,0)</t>
  </si>
  <si>
    <t>EBS:TCM error(23831,0)</t>
  </si>
  <si>
    <t>EBS:挂车控制阀气压传感器-信号电压过高</t>
  </si>
  <si>
    <t>2383100:</t>
  </si>
  <si>
    <t>TCM pressure sensor -
Offset error</t>
  </si>
  <si>
    <t>EBS:挂车阀或线路故障(23834,0)</t>
  </si>
  <si>
    <t>EBS:TCM error(23834,0)</t>
  </si>
  <si>
    <t>EBS:挂车控制阀气压传感器-偏移量错误</t>
  </si>
  <si>
    <t>2383400:</t>
  </si>
  <si>
    <t>TCM - Backup function
temporarily faulty</t>
  </si>
  <si>
    <t>Check backup piping between FBM and
TCM, repair if faulty. Check backup pressure increase from FBM. Replace FBM if faulty. Check received value of supply pressure signal Otherwise TCM is defect, replace TCM.</t>
  </si>
  <si>
    <t>EBS:挂车阀或气路故障(24128,0)</t>
  </si>
  <si>
    <t>EBS:TCM error(24128,0)</t>
  </si>
  <si>
    <t>EBS:挂车控制阀备用模式暂时不可用</t>
  </si>
  <si>
    <t>2412800:</t>
  </si>
  <si>
    <t>TCM - Implausible
pressure when not braked</t>
  </si>
  <si>
    <t>Check the pneumatic lines and the
pressures at the TCM; check the parking brake switch; check FBM; replace TCM if necessary</t>
  </si>
  <si>
    <t>EBS:挂车阀或气路故障(24131,0)</t>
  </si>
  <si>
    <t>EBS:TCM error(24131,0)</t>
  </si>
  <si>
    <t>EBS:挂车控制阀未制动时不可信的压力</t>
  </si>
  <si>
    <t>2413100:</t>
  </si>
  <si>
    <t>TCM - Implausible
behaviour of the inlet valve</t>
  </si>
  <si>
    <t>Check the pneumatic lines and the
pressures at the TCM; check cabling between TCM and ECU (wires can be mixed); check pressure supply to TCM; check TCM output ports for leakage; replace TCM if necessary.</t>
  </si>
  <si>
    <t>EBS:挂车阀或气路故障(24133,0)</t>
  </si>
  <si>
    <t>EBS:TCM error(24133,0)</t>
  </si>
  <si>
    <t>EBS:挂车控制阀进气控制阀不可信的行为</t>
  </si>
  <si>
    <t>2413300:</t>
  </si>
  <si>
    <t>TCM - Residual pressure
out of range</t>
  </si>
  <si>
    <t>Check backup pressure for TCM during
no brake application. If residual pressure is found, check and correct installation of the FBM, replace FBM if faulty.
Otherwise replace TCM.</t>
  </si>
  <si>
    <t>EBS:挂车阀或气路故障(24135,0)</t>
  </si>
  <si>
    <t>EBS:TCM error(24135,0)</t>
  </si>
  <si>
    <t>EBS:挂车控制阀-残余压力超出范围</t>
  </si>
  <si>
    <t>2413500:</t>
  </si>
  <si>
    <t>TCM - Maximum pressure implausible</t>
  </si>
  <si>
    <t>Check maximum supply pressure for
TCM at port 11. If maximum supply pressure is correct, replace the TCM.</t>
  </si>
  <si>
    <t>EBS:挂车阀或气路故障(24137,0)</t>
  </si>
  <si>
    <t>EBS:TCM error(24137,0)</t>
  </si>
  <si>
    <t>EBS:挂车控制阀-最大压力难以置信</t>
  </si>
  <si>
    <t>2413700:</t>
  </si>
  <si>
    <t>TCM - Pressure implausibly high when
braking ends</t>
  </si>
  <si>
    <t>Check parking brake signal, and repair if faulty. Perform the needed reverse test
procedure. If some other TCM related fault is reported during this procedure, follow the repair procedure of that reported fault.</t>
  </si>
  <si>
    <t>EBS:挂车阀或气路故障(24138,0)</t>
  </si>
  <si>
    <t>EBS:TCM error(24138,0)</t>
  </si>
  <si>
    <t>EBS:挂车控制阀-制动结束后压力高难以置信</t>
  </si>
  <si>
    <t>2413800:</t>
  </si>
  <si>
    <t>TCM - Pressure
implausibly high for long time when braking ends</t>
  </si>
  <si>
    <t>Park brake signal must have state
deactivated, if park brake is released Check parking brake signal, and repair if faulty. Perform the needed reverse test procedure. If some other TCM related fault is reported during this procedure, follow the repair procedure of that reported fault.</t>
  </si>
  <si>
    <t>EBS:挂车阀或气路故障(24139,0)</t>
  </si>
  <si>
    <t>EBS:TCM error(24139,0)</t>
  </si>
  <si>
    <t>2413900:</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</si>
  <si>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</si>
  <si>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EBS:挂车阀气路故障(24140,0)</t>
  </si>
  <si>
    <t>EBS:TCM error(24140,0)</t>
  </si>
  <si>
    <t>2414000:</t>
  </si>
  <si>
    <t>TCM - Pressure
implausibly high without braking</t>
  </si>
  <si>
    <t>Park brake signal must have state
activated, if park brake is actuated. Check parking brake signal, and repair if faulty. Valve controlled trailer brake signal must have state activated, if valve
controlled trailer brake is actuated. Check cabling between TCM and ECU (wires
can be mixed). Check valve controlled trailer brake signal, and repair if faulty. If these signals are correct, then replace TCM.</t>
  </si>
  <si>
    <t>EBS:挂车阀气路故障(24141,0)</t>
  </si>
  <si>
    <t>EBS:TCM error(24141,0)</t>
  </si>
  <si>
    <t>EBS:挂车控制阀-不制动时压力高难以置信</t>
  </si>
  <si>
    <t>2414100:</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</si>
  <si>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</si>
  <si>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EBS:挂车阀气路故障(24142,0)</t>
  </si>
  <si>
    <t>EBS:TCM error(24142,0)</t>
  </si>
  <si>
    <t>2414200:</t>
  </si>
  <si>
    <t>TCM - Pressure implausibly high without
braking; parking brake applied for too long</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</si>
  <si>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</si>
  <si>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EBS:挂车阀气路故障(24143,0)</t>
  </si>
  <si>
    <t>EBS:TCM error(24143,0)</t>
  </si>
  <si>
    <t>EBS:挂车控制阀-不制动时压力高难以置信；驻车制动长时间工作</t>
  </si>
  <si>
    <t>2414300:</t>
  </si>
  <si>
    <t>TCM - Pressure
implausibly high for long time without braking</t>
  </si>
  <si>
    <t>EBS:挂车阀气路故障(24144,0)</t>
  </si>
  <si>
    <t>EBS:TCM error(24144,0)</t>
  </si>
  <si>
    <t>2414400:</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</si>
  <si>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Check backup pressure from FBM during no brake application. If residual pressure is found, check and correct installation of the FBM, replace FBM if faulty. Otherwise replace TCM.</t>
  </si>
  <si>
    <t>EBS:挂车阀气路故障(24145,0)</t>
  </si>
  <si>
    <t>EBS:TCM error(24145,0)</t>
  </si>
  <si>
    <t>2414500:</t>
  </si>
  <si>
    <t>TCM - Pressure
implausibly high, no parking brake signal</t>
  </si>
  <si>
    <t>Park brake signal must be available
Check parking brake signal, and repair if faulty. Perform the needed reverse test procedure. If some other TCM related fault is reported during this procedure, follow the repair procedure of the reported fault.</t>
  </si>
  <si>
    <t>EBS:挂车阀气路故障(24146,0)</t>
  </si>
  <si>
    <t>EBS:TCM error(24146,0)</t>
  </si>
  <si>
    <t>EBS:挂车控制阀-不制动时压力高难以置信，无驻车制动信号</t>
  </si>
  <si>
    <t>2414600:</t>
  </si>
  <si>
    <t>TCM - Pressure
implausibly high for a prolonged time, no parking brake signal</t>
  </si>
  <si>
    <t>Park brake signal must have state
deactivated, if park brake is released Check parking brake signal, and repair if faulty. Perform the needed reverse test procedure. If some other TCM related fault is reported during this procedure, follow the repair procedure of the reported fault.</t>
  </si>
  <si>
    <t>EBS:挂车阀气路故障(24147,0)</t>
  </si>
  <si>
    <t>EBS:TCM error(24147,0)</t>
  </si>
  <si>
    <t>2414700:</t>
  </si>
  <si>
    <t>TCM - Pressure implausibly high for a
prolonged time, no parking brake and anti-jack-knife brake signal</t>
  </si>
  <si>
    <t>Valve controlled trailer brake signal must have state deactivated, if valve controlled
trailer brake is released Check valve controlled trailer brake signal, and repair if faulty. Perform the needed reverse test procedure. If some other TCM related fault is reported during this procedure,
follow the repair procedure of the
reported fault.</t>
  </si>
  <si>
    <t>EBS:挂车阀气路故障(24148,0)</t>
  </si>
  <si>
    <t>EBS:TCM error(24148,0)</t>
  </si>
  <si>
    <t>EBS:挂车控制阀-不制动时压力高难以置信，无驻车制动信号和防折叠制动信号</t>
  </si>
  <si>
    <t>2414800:</t>
  </si>
  <si>
    <t>TCM - Pressure
implausibly high, parking brake and anti-jack-knife brake signal not activated</t>
  </si>
  <si>
    <t>Park brake signal must have state
activated, if park brake is actuated. Check parking brake signal, and repair if faulty. Valve controlled trailer brake signal must have state activated, if valve
controlled trailer brake is actuated. Check valve controlled trailer brake signal, and repair if faulty. If these signals are
correct, then replace TCM.</t>
  </si>
  <si>
    <t>EBS:挂车阀气路或挂车阀故障(24149,0)</t>
  </si>
  <si>
    <t>EBS:TCM error(24149,0)</t>
  </si>
  <si>
    <t>EBS:挂车控制阀-压力高难以置信，驻车制动和防折叠制动信号未激活</t>
  </si>
  <si>
    <t>2414900:</t>
  </si>
  <si>
    <t>TCM - Mechanical fault</t>
  </si>
  <si>
    <t>Replace TCM</t>
  </si>
  <si>
    <t>EBS:挂车阀故障(24150,0)</t>
  </si>
  <si>
    <t>EBS:TCM error(24150,0)</t>
  </si>
  <si>
    <t>EBS:挂车控制阀-机械错误</t>
  </si>
  <si>
    <t>2415000:</t>
  </si>
  <si>
    <t>TCM - Voltage exceeds upper limit</t>
  </si>
  <si>
    <t>Check the wiring and the connectors to
TCM pressure sensor connectors (X4/1-
3) for short circuit to all other lines with high voltage level (including to check for chafing damage). Repair wiring if necessary. If fault is not found in the wiring, then erase fault memory. If the error is reported again, the central ECU is to be replaced.</t>
  </si>
  <si>
    <t>EBS:挂车阀线路故障(24340,0)</t>
  </si>
  <si>
    <t>EBS:TCM error(24340,0)</t>
  </si>
  <si>
    <t>EBS:挂车控制阀-电压超过上限</t>
  </si>
  <si>
    <t>2434000:</t>
  </si>
  <si>
    <t>TCM - Voltage below lower limit</t>
  </si>
  <si>
    <t>Erase fault memory. Check the wiring
and the connectors between central ECU and TCM - Check the wiring (including to check for chafing damage), and repair if faulty. - Check TCM pressure sensor supply. If no fault is found in the wiring and sensor supply is correct , then
replace TCM - If no fault is found in the
wiring and sensor supply is not provided correctly by the central ECU, then the central ECU is to be replaced.</t>
  </si>
  <si>
    <t>EBS:挂车阀线路故障(24341,0)</t>
  </si>
  <si>
    <t>EBS:TCM error(24341,0)</t>
  </si>
  <si>
    <t>EBS:挂车控制阀-电压低于下限</t>
  </si>
  <si>
    <t>2434100:</t>
  </si>
  <si>
    <t>TCM - detected but not
configured</t>
  </si>
  <si>
    <t>Check if configuration matches
installation (check the configuration of the TCM and the ECU-sub-type - is TCM populated?). If not, correct it If configuration matches installation, check the wiring (including to check for chafing damage), and repair if faulty.</t>
  </si>
  <si>
    <t>EBS:挂车阀未配置(24576,0)</t>
  </si>
  <si>
    <t>EBS:TCM error(24576,0)</t>
  </si>
  <si>
    <t>EBS:挂车控制阀-检测到但未配置</t>
  </si>
  <si>
    <t>2457600:</t>
  </si>
  <si>
    <t>TCM - Internal error
(incorrect configuration)</t>
  </si>
  <si>
    <t>Erase fault memory. Check the EOL- Configuration, and correct it if invalid.
Check the wiring and the connectors between central ECU and TCM. Repair wiring if faulty. Disconnect connector X4 from central ECU. Check open circuit between TCM SPL (X4/4) and each valve
(X4/5.6.7) on the wiring side, replace
TCM if open circuit is found.</t>
  </si>
  <si>
    <t>EBS:挂车阀配置错误或线路故障(24577,0)</t>
  </si>
  <si>
    <t>EBS:TCM error(24577,0)</t>
  </si>
  <si>
    <t>EBS:挂车控制阀-内部错误 (配置不正确)</t>
  </si>
  <si>
    <t>2457700:</t>
  </si>
  <si>
    <t>TCM - Short circuit to
battery +</t>
  </si>
  <si>
    <t>Erase fault memory. Check the wiring
and the connectors to TCM_SPL (X4/4), TCM_IV (X4/5), TCM_OV (X4/6) and TCM_BV (X4/7) for short circuit to all other lines (including to check for chafing damage). Repair wiring if faulty. Check the solenoid valves in the TCM, replace TCM if necessary.</t>
  </si>
  <si>
    <t>EBS:挂车阀线路故障(24608,0)</t>
  </si>
  <si>
    <t>EBS:TCM error(24608,0)</t>
  </si>
  <si>
    <t>EBS:挂车控制阀-线路短路到电源</t>
  </si>
  <si>
    <t>2460800:</t>
  </si>
  <si>
    <t>TCM - Short circuit to
ground (GND)</t>
  </si>
  <si>
    <t>Erase fault memory. Check the wiring
and the connectors between central ECU and TCM. Check the solenoid valves in the TCM, replace TCM if necessary. Check short circuit between TCM_SPL (X4/4) and ECU's grounds GND_1 (X1/11), GND_2 (X1/12). Examine the wiring also visually for any chafing damage. Repair wiring if faulty.</t>
  </si>
  <si>
    <t>EBS:挂车阀线路故障(24609,0)</t>
  </si>
  <si>
    <t>EBS:TCM error(24609,0)</t>
  </si>
  <si>
    <t>EBS:挂车控制阀-线路短路地线</t>
  </si>
  <si>
    <t>2460900:</t>
  </si>
  <si>
    <t>TCM - cannot be switched
on</t>
  </si>
  <si>
    <t>Erase fault memory. Check the wiring
and the connectors between central ECU and TCM. Disconnect central ECU and TCM Check the wiring. Check short
circuit between TCM_SPL (X4/4) and ECU's grounds GND_1 (X1/11), GND_2 (X1/12). Examine the wiring also visually for any chafing damage. Repair wiring if faulty. Reset the ECU and apply the brake pedal to check the reparation</t>
  </si>
  <si>
    <t>EBS:挂车阀线路故障(24615,0)</t>
  </si>
  <si>
    <t>EBS:TCM error(24615,0)</t>
  </si>
  <si>
    <t>EBS:挂车控制阀-无法打开</t>
  </si>
  <si>
    <t>2461500:</t>
  </si>
  <si>
    <t>TCM - Internal error</t>
  </si>
  <si>
    <t>Erase fault memory. If the fault occurs
again, the central ECU is to be replaced.</t>
  </si>
  <si>
    <t>EBS:ECU故障(24621,0)</t>
  </si>
  <si>
    <t>EBS:ECU internal error(24621,0)</t>
  </si>
  <si>
    <t>EBS:挂车控制阀-内部错误</t>
  </si>
  <si>
    <t>2462100:</t>
  </si>
  <si>
    <t>TCM - Inlet valve short circuit to outlet valve</t>
  </si>
  <si>
    <t>Erase fault memory. Check the wiring
and the connectors between central ECU and TCM. Disconnect central ECU and TCM - Check the wiring. Check short circuit between TCM_IV (X4/5) wire and TCM_OV (X4/6). Examine the wiring also visually for any chafing damage. Repair
wiring if faulty. - Connect TCM Check
short circuit between TCM_IV (X4/5) wire and TCM_OV (X4/6). The measured resistance should be more than 30 Ohm.
- Check short circuit between inlet valve and outlet valve of the TCM, replace TCM if faulty</t>
  </si>
  <si>
    <t>EBS:线路故障或挂车阀故障(24623,0)</t>
  </si>
  <si>
    <t>EBS:TCM error(24623,0)</t>
  </si>
  <si>
    <t>EBS:挂车控制阀-进气控制线短路到排气控制线</t>
  </si>
  <si>
    <t>2462300:</t>
  </si>
  <si>
    <t>TCM - Inlet valve short
circuit to backup valve</t>
  </si>
  <si>
    <t>Erase fault memory. Check the wiring
and the connectors between central ECU and TCM. Disconnect central ECU and TCM - Check the wiring. Check short circuit between TCM_IV (X4/5) wire and TCM_BV (X4/7). Examine the wiring also visually for any chafing damage. Repair wiring if faulty. - Connect TCM. Check the wiring. Check short circuit between TCM_IV (X4/5) wire and TCM_BV (X4/7). The measured resistance should be more than 25 Ohm. - Check short circuit between backup valve and inlet valve of the TCM, replace TCM if faulty</t>
  </si>
  <si>
    <t>EBS:线路故障或挂车阀故障(24624,0)</t>
  </si>
  <si>
    <t>EBS:TCM error(24624,0)</t>
  </si>
  <si>
    <t>EBS:挂车控制阀-进气控制阀短路到备用阀</t>
  </si>
  <si>
    <t>2462400:</t>
  </si>
  <si>
    <t>TCM - Outlet valve short
circuit to backup valve</t>
  </si>
  <si>
    <t>Erase fault memory. Check the wiring
and the connectors between central ECU and TCM. Disconnect central ECU and TCM - Check the wiring. Check short circuit between TCM_OV (X4/6) wire and TCM_BV (X4/7). Examine the wiring also visually for any chafing damage. Repair wiring if faulty. - Connect TCM. Check the wiring. Check short circuit between TCM_OV (X4/6) wire and TCM_BV (X4/7).The measured resistance should
be more than 25 Ohm. - Check short circuit between backup valve and outlet valve of the TCM, replace TCM if faulty</t>
  </si>
  <si>
    <t>EBS:线路故障或挂车阀故障(24625,0)</t>
  </si>
  <si>
    <t>EBS:TCM error(24625,0)</t>
  </si>
  <si>
    <t>EBS:挂车控制阀-排气控制阀短路到备用阀</t>
  </si>
  <si>
    <t>2462500:</t>
  </si>
  <si>
    <t>WSS 1- detected but not configured</t>
  </si>
  <si>
    <t>Check related WSS for proper connection; EBS ECU and periphery are
not compatible, download correct dataset or install correct ECU</t>
  </si>
  <si>
    <t>EBS:轮速传感器故障(25600,0)</t>
  </si>
  <si>
    <t>EBS:WSS sensor error(25600,0)</t>
  </si>
  <si>
    <t>EBS:未配置轮速传感器1</t>
  </si>
  <si>
    <t>2560000:</t>
  </si>
  <si>
    <t>WSS 2- detected but not configured</t>
  </si>
  <si>
    <t>EBS:轮速传感器故障(25856,0)</t>
  </si>
  <si>
    <t>EBS:WSS sensor error(25856,0)</t>
  </si>
  <si>
    <t>EBS:未配置轮速传感器2</t>
  </si>
  <si>
    <t>2585600:</t>
  </si>
  <si>
    <t>WSS 3- detected but not configured</t>
  </si>
  <si>
    <t>EBS:轮速传感器故障(26112,0)</t>
  </si>
  <si>
    <t>EBS:WSS sensor error(26112,0)</t>
  </si>
  <si>
    <t>EBS:未配置轮速传感器3</t>
  </si>
  <si>
    <t>2611200:</t>
  </si>
  <si>
    <t>WSS 4- detected but not configured</t>
  </si>
  <si>
    <t>EBS:轮速传感器故障(26368,)</t>
  </si>
  <si>
    <t>EBS:WSS sensor error(26368,)</t>
  </si>
  <si>
    <t>EBS:未配置轮速传感器4</t>
  </si>
  <si>
    <t>2636800:</t>
  </si>
  <si>
    <t>WSS 5- detected but not configured</t>
  </si>
  <si>
    <t>EBS:轮速传感器故障(26624,0)</t>
  </si>
  <si>
    <t>EBS:WSS sensor error(26624,0)</t>
  </si>
  <si>
    <t>EBS:未配置轮速传感器5</t>
  </si>
  <si>
    <t>2662400:</t>
  </si>
  <si>
    <t>WSS 6- detected but not configured</t>
  </si>
  <si>
    <t>EBS:轮速传感器故障(26880,0)</t>
  </si>
  <si>
    <t>EBS:WSS sensor error(26880,0)</t>
  </si>
  <si>
    <t>EBS:未配置轮速传感器6</t>
  </si>
  <si>
    <t>2688000:</t>
  </si>
  <si>
    <t>WSS 1- Signal temporarily interrupted</t>
  </si>
  <si>
    <t>Check the wiring and the connectors
between EPM and WSS for short-circuits and open-circuits. Repair wiring or replace WSS if faulty. Check and correct air gap between WSS and sensing ring. Check the sensing ring, and replace if faulty If fault is found neither in the wiring nor in the mechanical components nor in the WSS, then replace EPM</t>
  </si>
  <si>
    <t>EBS:轮速传感器信号故障(25629,0)</t>
  </si>
  <si>
    <t xml:space="preserve">
EBS:WSS sensor signal error(25629,0)</t>
  </si>
  <si>
    <t>EBS:轮速传感器1信号暂时缺失</t>
  </si>
  <si>
    <t>2562900:</t>
  </si>
  <si>
    <t>WSS 2- Signal temporarily interrupted</t>
  </si>
  <si>
    <t>EBS:轮速传感器信号故障(25885,0)</t>
  </si>
  <si>
    <t xml:space="preserve">
EBS:WSS sensor signal error(25885,0)</t>
  </si>
  <si>
    <t>EBS:轮速传感器2信号暂时缺失</t>
  </si>
  <si>
    <t>2588500:</t>
  </si>
  <si>
    <t>WSS 3- Signal temporarily interrupted</t>
  </si>
  <si>
    <t>EBS:轮速传感器信号故障(26141,0)</t>
  </si>
  <si>
    <t xml:space="preserve">
EBS:WSS sensor signal error(26141,0)</t>
  </si>
  <si>
    <t>EBS:轮速传感器3信号暂时缺失</t>
  </si>
  <si>
    <t>2614100:</t>
  </si>
  <si>
    <t>WSS 4- Signal temporarily interrupted</t>
  </si>
  <si>
    <t>EBS:轮速传感器信号故障(26397,0)</t>
  </si>
  <si>
    <t xml:space="preserve">
EBS:WSS sensor signal error(26397,0)</t>
  </si>
  <si>
    <t>EBS:轮速传感器4信号暂时缺失</t>
  </si>
  <si>
    <t>2639700:</t>
  </si>
  <si>
    <t>WSS 5- Signal temporarily interrupted</t>
  </si>
  <si>
    <t>EBS:轮速传感器信号故障(26653,0)</t>
  </si>
  <si>
    <t xml:space="preserve">
EBS:WSS sensor signal error(26653,0)</t>
  </si>
  <si>
    <t>EBS:轮速传感器5信号暂时缺失</t>
  </si>
  <si>
    <t>2665300:</t>
  </si>
  <si>
    <t>WSS 6- Signal temporarily interrupted</t>
  </si>
  <si>
    <t>EBS:轮速传感器信号故障(26909,0)</t>
  </si>
  <si>
    <t xml:space="preserve">
EBS:WSS sensor signal error(26909,0)</t>
  </si>
  <si>
    <t>EBS:轮速传感器6信号暂时缺失</t>
  </si>
  <si>
    <t>2690900:</t>
  </si>
  <si>
    <t>WSS 1- Short circuit to other cables</t>
  </si>
  <si>
    <t>Check the wiring and the connectors
between EPM and WSS for short-circuits. Repair wiring if faulty If fault is not found
in the wiring, replace EPM.</t>
  </si>
  <si>
    <t>EBS:轮速传感器故障(25635,0)</t>
  </si>
  <si>
    <t xml:space="preserve">
EBS:WSS sensor error(25635,0)</t>
  </si>
  <si>
    <t>EBS:轮速传感器1线路短路到其他线束</t>
  </si>
  <si>
    <t>2563500:</t>
  </si>
  <si>
    <t>WSS 2- Short circuit to other cables</t>
  </si>
  <si>
    <t>EBS:轮速传感器故障(25891,0)</t>
  </si>
  <si>
    <t xml:space="preserve">
EBS:WSS sensor error(25891,0)</t>
  </si>
  <si>
    <t>EBS:轮速传感器2线路短路到其他线束</t>
  </si>
  <si>
    <t>2589100:</t>
  </si>
  <si>
    <t>WSS 3- Short circuit to other cables</t>
  </si>
  <si>
    <t>EBS:轮速传感器故障(26147,0)</t>
  </si>
  <si>
    <t xml:space="preserve">
EBS:WSS sensor error(26147,0)</t>
  </si>
  <si>
    <t>EBS:轮速传感器3线路短路到其他线束</t>
  </si>
  <si>
    <t>2614700:</t>
  </si>
  <si>
    <t>WSS 4- Short circuit to other cables</t>
  </si>
  <si>
    <t>EBS:轮速传感器故障(26403,0)</t>
  </si>
  <si>
    <t xml:space="preserve">
EBS:WSS sensor error(26403,0)</t>
  </si>
  <si>
    <t>EBS:轮速传感器4线路短路到其他线束</t>
  </si>
  <si>
    <t>2640300:</t>
  </si>
  <si>
    <t>WSS 5- Short circuit to other cables</t>
  </si>
  <si>
    <t>EBS:轮速传感器故障(26659,0)</t>
  </si>
  <si>
    <t xml:space="preserve">
EBS:WSS sensor error(26659,0)</t>
  </si>
  <si>
    <t>EBS:轮速传感器5线路短路到其他线束</t>
  </si>
  <si>
    <t>2665900:</t>
  </si>
  <si>
    <t>WSS 6- Short circuit to other cables</t>
  </si>
  <si>
    <t>EBS:轮速传感器故障(26915,0)</t>
  </si>
  <si>
    <t xml:space="preserve">
EBS:WSS sensor error(26915,0)</t>
  </si>
  <si>
    <t>EBS:轮速传感器6线路短路到其他线束</t>
  </si>
  <si>
    <t>2691500:</t>
  </si>
  <si>
    <t>WSS 1- Sensor or its wiring defective</t>
  </si>
  <si>
    <t>Check the wiring and the connectors
between EPM and WSS for short-circuits and open-circuits. Repair wiring or replace WSS if faulty If fault is found neither in the wiring nor in the WSS, replace EPM.</t>
  </si>
  <si>
    <t>EBS:轮速传感器故障(25641,0)</t>
  </si>
  <si>
    <t xml:space="preserve">
EBS:WSS sensor error(25641,0)</t>
  </si>
  <si>
    <t>EBS:轮速传感器1线束有缺陷</t>
  </si>
  <si>
    <t>2564100:</t>
  </si>
  <si>
    <t>WSS 2- Sensor or its wiring defective</t>
  </si>
  <si>
    <t>EBS:轮速传感器故障(25897,0)</t>
  </si>
  <si>
    <t xml:space="preserve">
EBS:WSS sensor error(25897,0)</t>
  </si>
  <si>
    <t>EBS:轮速传感器2线束有缺陷</t>
  </si>
  <si>
    <t>2589700:</t>
  </si>
  <si>
    <t>WSS 3- Sensor or its wiring defective</t>
  </si>
  <si>
    <t>EBS:轮速传感器故障(26153,0)</t>
  </si>
  <si>
    <t xml:space="preserve">
EBS:WSS sensor error(26153,0)</t>
  </si>
  <si>
    <t>EBS:轮速传感器3线束有缺陷</t>
  </si>
  <si>
    <t>2615300:</t>
  </si>
  <si>
    <t>WSS 4- Sensor or its wiring defective</t>
  </si>
  <si>
    <t>EBS:轮速传感器故障(26409,0)</t>
  </si>
  <si>
    <t xml:space="preserve">
EBS:WSS sensor error(26409,0)</t>
  </si>
  <si>
    <t>EBS:轮速传感器4线束有缺陷</t>
  </si>
  <si>
    <t>2640900:</t>
  </si>
  <si>
    <t>WSS 5- Sensor or its wiring defective</t>
  </si>
  <si>
    <t>EBS:轮速传感器故障(26665,0)</t>
  </si>
  <si>
    <t xml:space="preserve">
EBS:WSS sensor error(26665,0)</t>
  </si>
  <si>
    <t>EBS:轮速传感器5线束有缺陷</t>
  </si>
  <si>
    <t>2666500:</t>
  </si>
  <si>
    <t>WSS 6- Sensor or its wiring defective</t>
  </si>
  <si>
    <t>EBS:轮速传感器故障(26921,0)</t>
  </si>
  <si>
    <t xml:space="preserve">
EBS:WSS sensor error(26921,0)</t>
  </si>
  <si>
    <t>EBS:轮速传感器6线束有缺陷</t>
  </si>
  <si>
    <t>2692100:</t>
  </si>
  <si>
    <t>WSS 1- Internal error</t>
  </si>
  <si>
    <t>Replace the EPM</t>
  </si>
  <si>
    <t>EBS:EPM故障(25645,0)</t>
  </si>
  <si>
    <t xml:space="preserve">
EBS:EPM error(25645,0)</t>
  </si>
  <si>
    <t>EBS:轮速传感器1内部错误</t>
  </si>
  <si>
    <t>2564500:</t>
  </si>
  <si>
    <t>WSS 2- Internal error</t>
  </si>
  <si>
    <t>EBS:EPM故障(25901,0)</t>
  </si>
  <si>
    <t xml:space="preserve">
EBS:EPM error(25901,0)</t>
  </si>
  <si>
    <t>EBS:轮速传感器2内部错误</t>
  </si>
  <si>
    <t>2590100:</t>
  </si>
  <si>
    <t>WSS 3- Internal error</t>
  </si>
  <si>
    <t>EBS:EPM故障(26157,0)</t>
  </si>
  <si>
    <t xml:space="preserve">
EBS:EPM error(26157,0)</t>
  </si>
  <si>
    <t>EBS:轮速传感器3内部错误</t>
  </si>
  <si>
    <t>2615700:</t>
  </si>
  <si>
    <t>WSS 4- Internal error</t>
  </si>
  <si>
    <t>EBS:EPM故障(26413,0)</t>
  </si>
  <si>
    <t xml:space="preserve">
EBS:EPM error(26413,0)</t>
  </si>
  <si>
    <t>EBS:轮速传感器4内部错误</t>
  </si>
  <si>
    <t>2641300:</t>
  </si>
  <si>
    <t>WSS 5- Internal error</t>
  </si>
  <si>
    <t>EBS:EPM故障(26669,0)</t>
  </si>
  <si>
    <t xml:space="preserve">
EBS:EPM error(26669,0)</t>
  </si>
  <si>
    <t>EBS:轮速传感器5内部错误</t>
  </si>
  <si>
    <t>2666900:</t>
  </si>
  <si>
    <t>WSS 6- Internal error</t>
  </si>
  <si>
    <t>EBS:EPM故障(26925,0)</t>
  </si>
  <si>
    <t xml:space="preserve">
EBS:EPM error(26925,0)</t>
  </si>
  <si>
    <t>EBS:轮速传感器6内部错误</t>
  </si>
  <si>
    <t>2692500:</t>
  </si>
  <si>
    <t>WSS 1- Wheel speed signal too weak</t>
  </si>
  <si>
    <t>Check the wiring and the connectors between EPM and WSS for short-circuits
and open-circuits, repair wiring if faulty Check and correct air gap between WSS and sensing ring. Check the sensing ring, and replace if faulty If fault is found
neither in the wiring nor in the mechanical components, replace WSS.</t>
  </si>
  <si>
    <t>EBS:轮速信号异常(25795,0)</t>
  </si>
  <si>
    <t>EBS:WSS signal error(25795,0)</t>
  </si>
  <si>
    <t>EBS:轮速传感器1信号微弱</t>
  </si>
  <si>
    <t>2579500:</t>
  </si>
  <si>
    <t>WSS 2- Wheel speed signal too weak</t>
  </si>
  <si>
    <t>EBS:轮速信号异常(26051,0)</t>
  </si>
  <si>
    <t>EBS:WSS signal error(26051,0)</t>
  </si>
  <si>
    <t>EBS:轮速传感器2信号微弱</t>
  </si>
  <si>
    <t>2605100:</t>
  </si>
  <si>
    <t>WSS 3- Wheel speed signal too weak</t>
  </si>
  <si>
    <t>EBS:轮速信号异常(26307,0)</t>
  </si>
  <si>
    <t>EBS:WSS signal error(26307,0)</t>
  </si>
  <si>
    <t>EBS:轮速传感器3信号微弱</t>
  </si>
  <si>
    <t>2630700:</t>
  </si>
  <si>
    <t>WSS 4- Wheel speed signal too weak</t>
  </si>
  <si>
    <t>EBS:轮速信号异常(26563,0)</t>
  </si>
  <si>
    <t>EBS:WSS signal error(26563,0)</t>
  </si>
  <si>
    <t>EBS:轮速传感器4信号微弱</t>
  </si>
  <si>
    <t>2656300:</t>
  </si>
  <si>
    <t>WSS 5- Wheel speed signal too weak</t>
  </si>
  <si>
    <t>EBS:轮速信号异常(26819,0)</t>
  </si>
  <si>
    <t>EBS:WSS signal error(26819,0)</t>
  </si>
  <si>
    <t>EBS:轮速传感器5信号微弱</t>
  </si>
  <si>
    <t>2681900:</t>
  </si>
  <si>
    <t>WSS 6- Wheel speed signal too weak</t>
  </si>
  <si>
    <t>EBS:轮速信号异常(27075,0)</t>
  </si>
  <si>
    <t>EBS:WSS signal error(27075,0)</t>
  </si>
  <si>
    <t>EBS:轮速传感器6信号微弱</t>
  </si>
  <si>
    <t>2707500:</t>
  </si>
  <si>
    <t>WSS 1- Wheel speed signal incorrect or too weak</t>
  </si>
  <si>
    <t>Check and correct air gap between WSS
and sensing ring. Check the sensing ring, and replace if faulty (check the sensing ring for dirt due to metallic particles, for wobble, for pitch error, for the correct number of teeth, etc)</t>
  </si>
  <si>
    <t>EBS:轮速信号异常(25796,0)</t>
  </si>
  <si>
    <t>EBS:WSS signal error(25796,0)</t>
  </si>
  <si>
    <t>EBS:轮速传感器1信号不正确或太微弱</t>
  </si>
  <si>
    <t>2579600:</t>
  </si>
  <si>
    <t>WSS 2- Wheel speed signal incorrect or too weak</t>
  </si>
  <si>
    <t>EBS:轮速信号异常(26052,0)</t>
  </si>
  <si>
    <t>EBS:WSS signal error(26052,0)</t>
  </si>
  <si>
    <t>EBS:轮速传感器2信号不正确或太微弱</t>
  </si>
  <si>
    <t>2605200:</t>
  </si>
  <si>
    <t>WSS 3- Wheel speed signal incorrect or too weak</t>
  </si>
  <si>
    <t>EBS:轮速信号异常(26308,0)</t>
  </si>
  <si>
    <t>EBS:WSS signal error(26308,0)</t>
  </si>
  <si>
    <t>EBS:轮速传感器3信号不正确或太微弱</t>
  </si>
  <si>
    <t>2630800:</t>
  </si>
  <si>
    <t>WSS 4- Wheel speed signal incorrect or too weak</t>
  </si>
  <si>
    <t>EBS:轮速信号异常(26564,0)</t>
  </si>
  <si>
    <t>EBS:WSS signal error(26564,0)</t>
  </si>
  <si>
    <t>EBS:轮速传感器4信号不正确或太微弱</t>
  </si>
  <si>
    <t>2656400:</t>
  </si>
  <si>
    <t>WSS 5- Wheel speed signal incorrect or too weak</t>
  </si>
  <si>
    <t>EBS:轮速信号异常(26820,0)</t>
  </si>
  <si>
    <t>EBS:WSS signal error(26820,0)</t>
  </si>
  <si>
    <t>EBS:轮速传感器5信号不正确或太微弱</t>
  </si>
  <si>
    <t>2682000:</t>
  </si>
  <si>
    <t>WSS 6- Wheel speed signal incorrect or too weak</t>
  </si>
  <si>
    <t>EBS:轮速信号异常(27076,0)</t>
  </si>
  <si>
    <t>EBS:WSS signal error(27076,0)</t>
  </si>
  <si>
    <t>EBS:轮速传感器6信号不正确或太微弱</t>
  </si>
  <si>
    <t>2707600:</t>
  </si>
  <si>
    <t>WSS 1- Tire or sensing ring does not correspond to the configuration</t>
  </si>
  <si>
    <t>Check tire size and number of teeth on the sensing ring, replace if necessary.</t>
  </si>
  <si>
    <t>EBS:轮速信号异常(25797,0)</t>
  </si>
  <si>
    <t>EBS:WSS signal error(25797,0)</t>
  </si>
  <si>
    <t>EBS:轮速传感器1轮胎或轮速传感器齿圈与配置不符</t>
  </si>
  <si>
    <t>2579700:</t>
  </si>
  <si>
    <t>WSS 2- Tire or sensing ring does not correspond to the configuration</t>
  </si>
  <si>
    <t>EBS:轮速信号异常(26053,0)</t>
  </si>
  <si>
    <t>EBS:WSS signal error(26053,0)</t>
  </si>
  <si>
    <t>EBS:轮速传感器2轮胎或轮速传感器齿圈与配置不符</t>
  </si>
  <si>
    <t>2605300:</t>
  </si>
  <si>
    <t>WSS 3- Tire or sensing ring does not correspond to the configuration</t>
  </si>
  <si>
    <t>EBS:轮速信号异常(26309,0)</t>
  </si>
  <si>
    <t>EBS:WSS signal error(26309,0)</t>
  </si>
  <si>
    <t>EBS:轮速传感器3轮胎或轮速传感器齿圈与配置不符</t>
  </si>
  <si>
    <t>2630900:</t>
  </si>
  <si>
    <t>WSS 4- Tire or sensing ring does not correspond to the configuration</t>
  </si>
  <si>
    <t>EBS:轮速信号异常(26565,0)</t>
  </si>
  <si>
    <t>EBS:WSS signal error(26565,0)</t>
  </si>
  <si>
    <t>EBS:轮速传感器4轮胎或轮速传感器齿圈与配置不符</t>
  </si>
  <si>
    <t>2656500:</t>
  </si>
  <si>
    <t>WSS 5- Tire or sensing ring does not correspond to the configuration</t>
  </si>
  <si>
    <t>EBS:轮速信号异常(26821,0)</t>
  </si>
  <si>
    <t>EBS:WSS signal error(26821,0)</t>
  </si>
  <si>
    <t>EBS:轮速传感器5轮胎或轮速传感器齿圈与配置不符</t>
  </si>
  <si>
    <t>2682100:</t>
  </si>
  <si>
    <t>WSS 6- Tire or sensing ring does not correspond to the configuration</t>
  </si>
  <si>
    <t>EBS:轮速信号异常(27077,0)</t>
  </si>
  <si>
    <t>EBS:WSS signal error(27077,0)</t>
  </si>
  <si>
    <t>EBS:轮速传感器6轮胎或轮速传感器齿圈与配置不符</t>
  </si>
  <si>
    <t>2707700:</t>
  </si>
  <si>
    <t>EPM at wheel 1- Electro-Pneumatic
Module Internal error</t>
  </si>
  <si>
    <t>EBS:EPM故障(33283,0)</t>
  </si>
  <si>
    <t>EBS:EPM error(33283,0)</t>
  </si>
  <si>
    <t>EBS:EPM1内部故障</t>
  </si>
  <si>
    <t>3328300:</t>
  </si>
  <si>
    <t>EPM at wheel 2- Electro-Pneumatic
Module Internal error</t>
  </si>
  <si>
    <t>EBS:EPM故障(33539,0)</t>
  </si>
  <si>
    <t>EBS:EPM error(33539,0)</t>
  </si>
  <si>
    <t>EBS:EPM2内部故障</t>
  </si>
  <si>
    <t>3353900:</t>
  </si>
  <si>
    <t>EPM at wheel 3- Electro-Pneumatic
Module Internal error</t>
  </si>
  <si>
    <t>EBS:EPM故障(33795,0)</t>
  </si>
  <si>
    <t>EBS:EPM error(33795,0)</t>
  </si>
  <si>
    <t>EBS:EPM3内部故障</t>
  </si>
  <si>
    <t>3379500:</t>
  </si>
  <si>
    <t>EPM at wheel 4- Electro-Pneumatic
Module Internal error</t>
  </si>
  <si>
    <t>EBS:EPM故障(34051,0)</t>
  </si>
  <si>
    <t>EBS:EPM error(34051,0)</t>
  </si>
  <si>
    <t>EBS:EPM4内部故障</t>
  </si>
  <si>
    <t>3405100:</t>
  </si>
  <si>
    <t>EPM at wheel 5- Electro-Pneumatic
Module Internal error</t>
  </si>
  <si>
    <t>EBS:EPM故障(34307,0)</t>
  </si>
  <si>
    <t>EBS:EPM error(34307,0)</t>
  </si>
  <si>
    <t>EBS:EPM5内部故障</t>
  </si>
  <si>
    <t>3430700:</t>
  </si>
  <si>
    <t>EPM at wheel 6- Electro-Pneumatic
Module Internal error</t>
  </si>
  <si>
    <t>EBS:EPM故障(34563,0)</t>
  </si>
  <si>
    <t>EBS:EPM error(34563,0)</t>
  </si>
  <si>
    <t>EBS:EPM6内部故障</t>
  </si>
  <si>
    <t>3456300:</t>
  </si>
  <si>
    <t>EPM at wheel 1- Electro-Pneumatic Module Internal software error</t>
  </si>
  <si>
    <t>Download software update to the EPM.
Erase fault memory. If fault is reported again, the EPM is to be replaced.</t>
  </si>
  <si>
    <t>EBS:EPM故障(33287,0)</t>
  </si>
  <si>
    <t>EBS:EPM error(33287,0)</t>
  </si>
  <si>
    <t>EBS:EPM1内部软件错误</t>
  </si>
  <si>
    <t>3328700:</t>
  </si>
  <si>
    <t>EPM at wheel 2- Electro-Pneumatic Module Internal software error</t>
  </si>
  <si>
    <t>EBS:EPM故障(33543,0)</t>
  </si>
  <si>
    <t>EBS:EPM error(33543,0)</t>
  </si>
  <si>
    <t>EBS:EPM2内部软件错误</t>
  </si>
  <si>
    <t>3354300:</t>
  </si>
  <si>
    <t>EPM at wheel 3- Electro-Pneumatic Module Internal software error</t>
  </si>
  <si>
    <t>EBS:EPM故障(33799,0)</t>
  </si>
  <si>
    <t>EBS:EPM error(33799,0)</t>
  </si>
  <si>
    <t>EBS:EPM3内部软件错误</t>
  </si>
  <si>
    <t>3379900:</t>
  </si>
  <si>
    <t>EPM at wheel 4- Electro-Pneumatic Module Internal software error</t>
  </si>
  <si>
    <t>EBS:EPM故障(34055,0)</t>
  </si>
  <si>
    <t>EBS:EPM error(34055,0)</t>
  </si>
  <si>
    <t>EBS:EPM4内部软件错误</t>
  </si>
  <si>
    <t>3405500:</t>
  </si>
  <si>
    <t>EPM at wheel 5- Electro-Pneumatic Module Internal software error</t>
  </si>
  <si>
    <t>EBS:EPM故障(34311,0)</t>
  </si>
  <si>
    <t>EBS:EPM error(34311,0)</t>
  </si>
  <si>
    <t>EBS:EPM5内部软件错误</t>
  </si>
  <si>
    <t>3431100:</t>
  </si>
  <si>
    <t>EPM at wheel 6- Electro-Pneumatic Module Internal software error</t>
  </si>
  <si>
    <t>EBS:EPM故障(34567,0)</t>
  </si>
  <si>
    <t>EBS:EPM error(34567,0)</t>
  </si>
  <si>
    <t>EBS:EPM6内部软件错误</t>
  </si>
  <si>
    <t>3456700:</t>
  </si>
  <si>
    <t>EPM at wheel 1- Electro-Pneumatic Module Software incompatible with ECU, maybe wrong EPM installed</t>
  </si>
  <si>
    <t>Check the part number of the last exchanged component. Change if
necessary. Download software update to the EPM or to the central ECU.</t>
  </si>
  <si>
    <t>EBS:EPM故障(33289,0)</t>
  </si>
  <si>
    <t>EBS:EPM error(33289,0)</t>
  </si>
  <si>
    <t xml:space="preserve">EBS:EPM1软件与 ECU 不兼容, 可能安装错误的错误 EPM </t>
  </si>
  <si>
    <t>3328900:</t>
  </si>
  <si>
    <t>EPM at wheel 2- Electro-Pneumatic Module Software incompatible with ECU, maybe wrong EPM installed</t>
  </si>
  <si>
    <t>EBS:EPM故障(33545,0)</t>
  </si>
  <si>
    <t>EBS:EPM error(33545,0)</t>
  </si>
  <si>
    <t>EBS:EPM2软件与 ECU 不兼容, 可能安装错误的错误 EPM</t>
  </si>
  <si>
    <t>3354500:</t>
  </si>
  <si>
    <t>EPM at wheel 3- Electro-Pneumatic Module Software incompatible with ECU, maybe wrong EPM installed</t>
  </si>
  <si>
    <t>EBS:EPM故障(33801,0)</t>
  </si>
  <si>
    <t>EBS:EPM error(33801,0)</t>
  </si>
  <si>
    <t>EBS:EPM3软件与 ECU 不兼容, 可能安装错误的错误 EPM</t>
  </si>
  <si>
    <t>3380100:</t>
  </si>
  <si>
    <t>EPM at wheel 4- Electro-Pneumatic Module Software incompatible with ECU, maybe wrong EPM installed</t>
  </si>
  <si>
    <t>EBS:EPM故障(34057,0)</t>
  </si>
  <si>
    <t>EBS:EPM error(34057,0)</t>
  </si>
  <si>
    <t>EBS:EPM4软件与 ECU 不兼容, 可能安装错误的错误 EPM</t>
  </si>
  <si>
    <t>3405700:</t>
  </si>
  <si>
    <t>EPM at wheel 5- Electro-Pneumatic Module Software incompatible with ECU, maybe wrong EPM installed</t>
  </si>
  <si>
    <t>EBS:EPM故障(34313,0)</t>
  </si>
  <si>
    <t>EBS:EPM error(34313,0)</t>
  </si>
  <si>
    <t>EBS:EPM5软件与 ECU 不兼容, 可能安装错误的错误 EPM</t>
  </si>
  <si>
    <t>3431300:</t>
  </si>
  <si>
    <t>EPM at wheel 6- Electro-Pneumatic Module Software incompatible with ECU, maybe wrong EPM installed</t>
  </si>
  <si>
    <t>EBS:EPM故障(34569,0)</t>
  </si>
  <si>
    <t>EBS:EPM error(34569,0)</t>
  </si>
  <si>
    <t>EBS:EPM6软件与 ECU 不兼容, 可能安装错误的错误 EPM</t>
  </si>
  <si>
    <t>3456900:</t>
  </si>
  <si>
    <t>EPM at wheel 1- Electro-Pneumatic Module - Short circuit to battery + in voltage supply of the axle load sensor</t>
  </si>
  <si>
    <t>Check the wiring and the connectors
between EPM and ALS for short-circuits. Repair wiring if faulty. If fault is not found in the wiring, replace EPM.</t>
  </si>
  <si>
    <t>EBS:轴荷传感器线路故障(33317,0)</t>
  </si>
  <si>
    <t>EBS:Axle load sensor error(33317,0)</t>
  </si>
  <si>
    <t>EBS:EPM1线路短路或轴载荷传感器供电问题</t>
  </si>
  <si>
    <t>3331700:</t>
  </si>
  <si>
    <t>EPM at wheel 2- Electro-Pneumatic Module - Short circuit to battery + in voltage supply of the axle load sensor</t>
  </si>
  <si>
    <t>EBS:轴荷传感器线路故障(33573,0)</t>
  </si>
  <si>
    <t>EBS:Axle load sensor error(33573,0)</t>
  </si>
  <si>
    <t>EBS:EPM2线路短路或轴载荷传感器供电问题</t>
  </si>
  <si>
    <t>3357300:</t>
  </si>
  <si>
    <t>EPM at wheel 3- Electro-Pneumatic Module - Short circuit to battery + in voltage supply of the axle load sensor</t>
  </si>
  <si>
    <t>EBS:轴荷传感器线路故障(33829,0)</t>
  </si>
  <si>
    <t>EBS:Axle load sensor error(33829,0)</t>
  </si>
  <si>
    <t>EBS:EPM3线路短路或轴载荷传感器供电问题</t>
  </si>
  <si>
    <t>3382900:</t>
  </si>
  <si>
    <t>EPM at wheel 4- Electro-Pneumatic Module - Short circuit to battery + in voltage supply of the axle load sensor</t>
  </si>
  <si>
    <t>EBS:轴荷传感器线路故障(34085,0)</t>
  </si>
  <si>
    <t>EBS:Axle load sensor error(34085,0)</t>
  </si>
  <si>
    <t>EBS:EPM4线路短路或轴载荷传感器供电问题</t>
  </si>
  <si>
    <t>3408500:</t>
  </si>
  <si>
    <t>EPM at wheel 5- Electro-Pneumatic Module - Short circuit to battery + in voltage supply of the axle load sensor</t>
  </si>
  <si>
    <t>EBS:轴荷传感器线路故障(34341,0)</t>
  </si>
  <si>
    <t>EBS:Axle load sensor error(34341,0)</t>
  </si>
  <si>
    <t>EBS:EPM5线路短路或轴载荷传感器供电问题</t>
  </si>
  <si>
    <t>3434100:</t>
  </si>
  <si>
    <t>EPM at wheel 6- Electro-Pneumatic Module - Short circuit to battery + in voltage supply of the axle load sensor</t>
  </si>
  <si>
    <t>EBS:轴荷传感器线路故障(34597,0)</t>
  </si>
  <si>
    <t>EBS:Axle load sensor error(34597,0)</t>
  </si>
  <si>
    <t>EBS:EPM6线路短路或轴载荷传感器供电问题</t>
  </si>
  <si>
    <t>3459700:</t>
  </si>
  <si>
    <t>EBS:EPM故障(33325,0)</t>
  </si>
  <si>
    <t>EBS:EPM error(33325,0)</t>
  </si>
  <si>
    <t>EBS:EPM1内部错误</t>
  </si>
  <si>
    <t>3332500:</t>
  </si>
  <si>
    <t>EBS:EPM故障(33581,0)</t>
  </si>
  <si>
    <t>EBS:EPM error(33581,0)</t>
  </si>
  <si>
    <t>EBS:EPM2内部错误</t>
  </si>
  <si>
    <t>3358100:</t>
  </si>
  <si>
    <t>EBS:EPM故障(33837,0)</t>
  </si>
  <si>
    <t>EBS:EPM error(33837,0)</t>
  </si>
  <si>
    <t>EBS:EPM3内部错误</t>
  </si>
  <si>
    <t>3383700:</t>
  </si>
  <si>
    <t>EBS:EPM故障(34093,0)</t>
  </si>
  <si>
    <t>EBS:EPM error(34093,0)</t>
  </si>
  <si>
    <t>EBS:EPM4内部错误</t>
  </si>
  <si>
    <t>3409300:</t>
  </si>
  <si>
    <t>EBS:EPM故障(34349,0)</t>
  </si>
  <si>
    <t>EBS:EPM error(34349,0)</t>
  </si>
  <si>
    <t>EBS:EPM5内部错误</t>
  </si>
  <si>
    <t>3434900:</t>
  </si>
  <si>
    <t>EBS:EPM故障(34605,0)</t>
  </si>
  <si>
    <t>EBS:EPM error(34605,0)</t>
  </si>
  <si>
    <t>EBS:EPM6内部错误</t>
  </si>
  <si>
    <t>3460500:</t>
  </si>
  <si>
    <t>EPM at wheel 1- Electro-Pneumatic Module - Voltage supply of the axle load sensor
cannot be switched on</t>
  </si>
  <si>
    <t>Check the wiring and the connectors between EPM and ALS for short-circuits.
Repair wiring if faulty. If fault is not found in the wiring, replace EPM.</t>
  </si>
  <si>
    <t>EBS:轴荷传感器线路故障(33326,0)</t>
  </si>
  <si>
    <t>EBS:Axle load sensor error(33326,0)</t>
  </si>
  <si>
    <t>EBS:EPM1轴载荷传感器短路</t>
  </si>
  <si>
    <t>3332600:</t>
  </si>
  <si>
    <t>EPM at wheel 2- Electro-Pneumatic Module - Voltage supply of the axle load sensor
cannot be switched on</t>
  </si>
  <si>
    <t>EBS:轴荷传感器线路故障(33582,0)</t>
  </si>
  <si>
    <t>EBS:Axle load sensor error(33582,0)</t>
  </si>
  <si>
    <t>EBS:EPM2轴载荷传感器短路</t>
  </si>
  <si>
    <t>3358200:</t>
  </si>
  <si>
    <t>EPM at wheel 3- Electro-Pneumatic Module - Voltage supply of the axle load sensor
cannot be switched on</t>
  </si>
  <si>
    <t>EBS:轴荷传感器线路故障(33838,0)</t>
  </si>
  <si>
    <t>EBS:Axle load sensor error(33838,0)</t>
  </si>
  <si>
    <t>EBS:EPM3轴载荷传感器短路</t>
  </si>
  <si>
    <t>3383800:</t>
  </si>
  <si>
    <t>EPM at wheel 4- Electro-Pneumatic Module - Voltage supply of the axle load sensor
cannot be switched on</t>
  </si>
  <si>
    <t>EBS:轴荷传感器线路故障(34094,0)</t>
  </si>
  <si>
    <t>EBS:Axle load sensor error(34094,0)</t>
  </si>
  <si>
    <t>EBS:EPM4轴载荷传感器短路</t>
  </si>
  <si>
    <t>3409400:</t>
  </si>
  <si>
    <t>EPM at wheel 5- Electro-Pneumatic Module - Voltage supply of the axle load sensor
cannot be switched on</t>
  </si>
  <si>
    <t>EBS:轴荷传感器线路故障(34350,0)</t>
  </si>
  <si>
    <t>EBS:Axle load sensor error(34350,0)</t>
  </si>
  <si>
    <t>EBS:EPM5轴载荷传感器短路</t>
  </si>
  <si>
    <t>3435000:</t>
  </si>
  <si>
    <t>EPM at wheel 6- Electro-Pneumatic Module - Voltage supply of the axle load sensor
cannot be switched on</t>
  </si>
  <si>
    <t>EBS:轴荷传感器线路故障(34606,0)</t>
  </si>
  <si>
    <t>EBS:Axle load sensor error(34606,0)</t>
  </si>
  <si>
    <t>EBS:EPM6轴载荷传感器短路</t>
  </si>
  <si>
    <t>3460600:</t>
  </si>
  <si>
    <t>EPM at wheel 1- Electro-Pneumatic Module - internal error - EEPROM defective</t>
  </si>
  <si>
    <t>EBS:EPM故障(33430,0)</t>
  </si>
  <si>
    <t>EBS:EPM error(33430,0)</t>
  </si>
  <si>
    <t>EBS:EPM1内部错误EEPROM 缺陷</t>
  </si>
  <si>
    <t>3343000:</t>
  </si>
  <si>
    <t>EPM at wheel 2- Electro-Pneumatic Module - internal error - EEPROM defective</t>
  </si>
  <si>
    <t>EBS:EPM故障(33686,0)</t>
  </si>
  <si>
    <t>EBS:EPM error(33686,0)</t>
  </si>
  <si>
    <t>EBS:EPM2内部错误EEPROM 缺陷</t>
  </si>
  <si>
    <t>3368600:</t>
  </si>
  <si>
    <t>EPM at wheel 3- Electro-Pneumatic Module - internal error - EEPROM defective</t>
  </si>
  <si>
    <t>EBS:EPM故障(33942,0)</t>
  </si>
  <si>
    <t>EBS:EPM error(33942,0)</t>
  </si>
  <si>
    <t>EBS:EPM3内部错误EEPROM 缺陷</t>
  </si>
  <si>
    <t>3394200:</t>
  </si>
  <si>
    <t>EPM at wheel 4- Electro-Pneumatic Module - internal error - EEPROM defective</t>
  </si>
  <si>
    <t>EBS:EPM故障(34198,0)</t>
  </si>
  <si>
    <t>EBS:EPM error(34198,0)</t>
  </si>
  <si>
    <t>EBS:EPM4内部错误EEPROM 缺陷</t>
  </si>
  <si>
    <t>3419800:</t>
  </si>
  <si>
    <t>EPM at wheel 5- Electro-Pneumatic Module - internal error - EEPROM defective</t>
  </si>
  <si>
    <t>EBS:EPM故障(34454,0)</t>
  </si>
  <si>
    <t>EBS:EPM error(34454,0)</t>
  </si>
  <si>
    <t>EBS:EPM5内部错误EEPROM 缺陷</t>
  </si>
  <si>
    <t>3445400:</t>
  </si>
  <si>
    <t>EPM at wheel 6- Electro-Pneumatic Module - internal error - EEPROM defective</t>
  </si>
  <si>
    <t>EBS:EPM故障(34710,0)</t>
  </si>
  <si>
    <t>EBS:EPM error(34710,0)</t>
  </si>
  <si>
    <t>EBS:EPM6内部错误EEPROM 缺陷</t>
  </si>
  <si>
    <t>3471000:</t>
  </si>
  <si>
    <t>EPM at wheel 1- Electro-Pneumatic Module - internal error - EEPROM defective, not writeable</t>
  </si>
  <si>
    <t>Download software update to the EPM.
Erase fault memory. If the error is reported again, then replace EPM</t>
  </si>
  <si>
    <t>EBS:EPM故障(33431,0)</t>
  </si>
  <si>
    <t>EBS:EPM error(33431,0)</t>
  </si>
  <si>
    <t>EBS:EPM1内部错误-EEPROM 有缺陷-不可写</t>
  </si>
  <si>
    <t>3343100:</t>
  </si>
  <si>
    <t>EPM at wheel 2- Electro-Pneumatic Module - internal error - EEPROM defective, not writeable</t>
  </si>
  <si>
    <t>EBS:EPM故障(33687,0)</t>
  </si>
  <si>
    <t>EBS:EPM error(33687,0)</t>
  </si>
  <si>
    <t>EBS:EPM2内部错误-EEPROM 有缺陷-不可写</t>
  </si>
  <si>
    <t>3368700:</t>
  </si>
  <si>
    <t>EPM at wheel 3- Electro-Pneumatic Module - internal error - EEPROM defective, not writeable</t>
  </si>
  <si>
    <t>EBS:EPM故障(33943,0)</t>
  </si>
  <si>
    <t>EBS:EPM error(33943,0)</t>
  </si>
  <si>
    <t>EBS:EPM3内部错误-EEPROM 有缺陷-不可写</t>
  </si>
  <si>
    <t>3394300:</t>
  </si>
  <si>
    <t>EPM at wheel 4- Electro-Pneumatic Module - internal error - EEPROM defective, not writeable</t>
  </si>
  <si>
    <t>EBS:EPM故障(34199,0)</t>
  </si>
  <si>
    <t>EBS:EPM error(34199,0)</t>
  </si>
  <si>
    <t>EBS:EPM4内部错误-EEPROM 有缺陷-不可写</t>
  </si>
  <si>
    <t>3419900:</t>
  </si>
  <si>
    <t>EPM at wheel 5- Electro-Pneumatic Module - internal error - EEPROM defective, not writeable</t>
  </si>
  <si>
    <t>EBS:EPM故障(34455,0)</t>
  </si>
  <si>
    <t>EBS:EPM error(34455,0)</t>
  </si>
  <si>
    <t>EBS:EPM5内部错误-EEPROM 有缺陷-不可写</t>
  </si>
  <si>
    <t>3445500:</t>
  </si>
  <si>
    <t>EPM at wheel 6- Electro-Pneumatic Module - internal error - EEPROM defective, not writeable</t>
  </si>
  <si>
    <t>EBS:EPM故障(34711,0)</t>
  </si>
  <si>
    <t>EBS:EPM error(34711,0)</t>
  </si>
  <si>
    <t>EBS:EPM6内部错误-EEPROM 有缺陷-不可写</t>
  </si>
  <si>
    <t>3471100:</t>
  </si>
  <si>
    <t>EPM at wheel 1- Electro-Pneumatic Module - internal error - EEPROM defective, unstable</t>
  </si>
  <si>
    <t>Download software update to the EPM. Erase fault memory. If the error is
reported again, then replace EPM</t>
  </si>
  <si>
    <t>EBS:EPM故障(33433,0)</t>
  </si>
  <si>
    <t>EBS:EPM error(33433,0)</t>
  </si>
  <si>
    <t>EBS:EPM1内部错误-EEPROM缺陷-不稳定</t>
  </si>
  <si>
    <t>3343300:</t>
  </si>
  <si>
    <t>EPM at wheel 2- Electro-Pneumatic Module - internal error - EEPROM defective, unstable</t>
  </si>
  <si>
    <t>EBS:EPM故障(33689,0)</t>
  </si>
  <si>
    <t>EBS:EPM error(33689,0)</t>
  </si>
  <si>
    <t>EBS:EPM2内部错误-EEPROM缺陷-不稳定</t>
  </si>
  <si>
    <t>3368900:</t>
  </si>
  <si>
    <t>EPM at wheel 3- Electro-Pneumatic Module - internal error - EEPROM defective, unstable</t>
  </si>
  <si>
    <t>EBS:EPM故障(33945,0)</t>
  </si>
  <si>
    <t>EBS:EPM error(33945,0)</t>
  </si>
  <si>
    <t>EBS:EPM3内部错误-EEPROM缺陷-不稳定</t>
  </si>
  <si>
    <t>3394500:</t>
  </si>
  <si>
    <t>EPM at wheel 4- Electro-Pneumatic Module - internal error - EEPROM defective, unstable</t>
  </si>
  <si>
    <t>EBS:EPM故障(34201,0)</t>
  </si>
  <si>
    <t>EBS:EPM error(34201,0)</t>
  </si>
  <si>
    <t>EBS:EPM4内部错误-EEPROM缺陷-不稳定</t>
  </si>
  <si>
    <t>3420100:</t>
  </si>
  <si>
    <t>EPM at wheel 5- Electro-Pneumatic Module - internal error - EEPROM defective, unstable</t>
  </si>
  <si>
    <t>EBS:EPM故障(34457,0)</t>
  </si>
  <si>
    <t>EBS:EPM error(34457,0)</t>
  </si>
  <si>
    <t>EBS:EPM5内部错误-EEPROM缺陷-不稳定</t>
  </si>
  <si>
    <t>3445700:</t>
  </si>
  <si>
    <t>EPM at wheel 6- Electro-Pneumatic Module - internal error - EEPROM defective, unstable</t>
  </si>
  <si>
    <t>EBS:EPM故障(34713,0)</t>
  </si>
  <si>
    <t>EBS:EPM error(34713,0)</t>
  </si>
  <si>
    <t>EBS:EPM6内部错误-EEPROM缺陷-不稳定</t>
  </si>
  <si>
    <t>3471300:</t>
  </si>
  <si>
    <t>EPM at wheel 1- Electro-Pneumatic Module - Internal error - SW incompatibility</t>
  </si>
  <si>
    <t>EBS:EPM故障(33436,0)</t>
  </si>
  <si>
    <t>EBS:EPM error(33436,0)</t>
  </si>
  <si>
    <t>EBS:EPM1内部错误-软件不兼容</t>
  </si>
  <si>
    <t>3343600:</t>
  </si>
  <si>
    <t>EPM at wheel 2- Electro-Pneumatic Module - Internal error - SW incompatibility</t>
  </si>
  <si>
    <t>EBS:EPM故障(33692,0)</t>
  </si>
  <si>
    <t>EBS:EPM error(33692,0)</t>
  </si>
  <si>
    <t>EBS:EPM2内部错误-软件不兼容</t>
  </si>
  <si>
    <t>3369200:</t>
  </si>
  <si>
    <t>EPM at wheel 3- Electro-Pneumatic Module - Internal error - SW incompatibility</t>
  </si>
  <si>
    <t>EBS:EPM故障(33948,0)</t>
  </si>
  <si>
    <t>EBS:EPM error(33948,0)</t>
  </si>
  <si>
    <t>EBS:EPM3内部错误-软件不兼容</t>
  </si>
  <si>
    <t>3394800:</t>
  </si>
  <si>
    <t>EPM at wheel 4- Electro-Pneumatic Module - Internal error - SW incompatibility</t>
  </si>
  <si>
    <t>EBS:EPM故障(34204,0)</t>
  </si>
  <si>
    <t>EBS:EPM error(34204,0)</t>
  </si>
  <si>
    <t>EBS:EPM4内部错误-软件不兼容</t>
  </si>
  <si>
    <t>3420400:</t>
  </si>
  <si>
    <t>EPM at wheel 5- Electro-Pneumatic Module - Internal error - SW incompatibility</t>
  </si>
  <si>
    <t>EBS:EPM故障(34460,0)</t>
  </si>
  <si>
    <t>EBS:EPM error(34460,0)</t>
  </si>
  <si>
    <t>EBS:EPM5内部错误-软件不兼容</t>
  </si>
  <si>
    <t>3446000:</t>
  </si>
  <si>
    <t>EPM at wheel 6- Electro-Pneumatic Module - Internal error - SW incompatibility</t>
  </si>
  <si>
    <t>EBS:EPM故障(34716,0)</t>
  </si>
  <si>
    <t>EBS:EPM error(34716,0)</t>
  </si>
  <si>
    <t>EBS:EPM6内部错误-软件不兼容</t>
  </si>
  <si>
    <t>3471600:</t>
  </si>
  <si>
    <t>EPM at wheel 1- Electro-Pneumatic Module - Internal software error</t>
  </si>
  <si>
    <t>EBS:EPM故障(33437,0)</t>
  </si>
  <si>
    <t>EBS:EPM error(33437,0)</t>
  </si>
  <si>
    <t>3343700:</t>
  </si>
  <si>
    <t>EPM at wheel 2- Electro-Pneumatic Module - Internal software error</t>
  </si>
  <si>
    <t>EBS:EPM故障(33693,0)</t>
  </si>
  <si>
    <t>EBS:EPM error(33693,0)</t>
  </si>
  <si>
    <t>3369300:</t>
  </si>
  <si>
    <t>EPM at wheel 3- Electro-Pneumatic Module - Internal software error</t>
  </si>
  <si>
    <t>EBS:EPM故障(33949,0)</t>
  </si>
  <si>
    <t>EBS:EPM error(33949,0)</t>
  </si>
  <si>
    <t>3394900:</t>
  </si>
  <si>
    <t>EPM at wheel 4- Electro-Pneumatic Module - Internal software error</t>
  </si>
  <si>
    <t>EBS:EPM故障(34205,0)</t>
  </si>
  <si>
    <t>EBS:EPM error(34205,0)</t>
  </si>
  <si>
    <t>3420500:</t>
  </si>
  <si>
    <t>EPM at wheel 5- Electro-Pneumatic Module - Internal software error</t>
  </si>
  <si>
    <t>EBS:EPM故障(34461,0)</t>
  </si>
  <si>
    <t>EBS:EPM error(34461,0)</t>
  </si>
  <si>
    <t>3446100:</t>
  </si>
  <si>
    <t>EPM at wheel 6- Electro-Pneumatic Module - Internal software error</t>
  </si>
  <si>
    <t>EBS:EPM故障(34717,0)</t>
  </si>
  <si>
    <t>EBS:EPM error(34717,0)</t>
  </si>
  <si>
    <t>3471700:</t>
  </si>
  <si>
    <t>EBS:EPM故障(33440,0)</t>
  </si>
  <si>
    <t>EBS:EPM error(33440,0)</t>
  </si>
  <si>
    <t>3344000:</t>
  </si>
  <si>
    <t>EBS:EPM故障(33696,0)</t>
  </si>
  <si>
    <t>EBS:EPM error(33696,0)</t>
  </si>
  <si>
    <t>3369600:</t>
  </si>
  <si>
    <t>EBS:EPM故障(33952,0)</t>
  </si>
  <si>
    <t>EBS:EPM error(33952,0)</t>
  </si>
  <si>
    <t>3395200:</t>
  </si>
  <si>
    <t>EBS:EPM故障(34208,0)</t>
  </si>
  <si>
    <t>EBS:EPM error(34208,0)</t>
  </si>
  <si>
    <t>3420800:</t>
  </si>
  <si>
    <t>EBS:EPM故障(34464,0)</t>
  </si>
  <si>
    <t>EBS:EPM error(34464,0)</t>
  </si>
  <si>
    <t>3446400:</t>
  </si>
  <si>
    <t>EBS:EPM故障(34720,0)</t>
  </si>
  <si>
    <t>EBS:EPM error(34720,0)</t>
  </si>
  <si>
    <t>3472000:</t>
  </si>
  <si>
    <t>EPM at wheel 1- Electro-Pneumatic Module - Communication with EBS ECU incorrect</t>
  </si>
  <si>
    <t>If fault is stored only for one EPM,
replace faulty EPM. If fault is reported for every EPM, replace central ECU.</t>
  </si>
  <si>
    <t>EBS:EPM或ECU故障(33442,0)</t>
  </si>
  <si>
    <t>EBS:EPM internal error(33442,0)</t>
  </si>
  <si>
    <t>EBS:EPM1与EBS ECU 的通信不正确</t>
  </si>
  <si>
    <t>3344200:</t>
  </si>
  <si>
    <t>EPM at wheel 2- Electro-Pneumatic Module - Communication with EBS ECU incorrect</t>
  </si>
  <si>
    <t>EBS:EPM或ECU故障(33698,0)</t>
  </si>
  <si>
    <t>EBS:EPM internal error(33698,0)</t>
  </si>
  <si>
    <t>EBS:EPM2与EBS ECU 的通信不正确</t>
  </si>
  <si>
    <t>3369800:</t>
  </si>
  <si>
    <t>EPM at wheel 3- Electro-Pneumatic Module - Communication with EBS ECU incorrect</t>
  </si>
  <si>
    <t>EBS:EPM或ECU故障(33954,0)</t>
  </si>
  <si>
    <t>EBS:EPM internal error(33954,0)</t>
  </si>
  <si>
    <t>EBS:EPM3与EBS ECU 的通信不正确</t>
  </si>
  <si>
    <t>3395400:</t>
  </si>
  <si>
    <t>EPM at wheel 4- Electro-Pneumatic Module - Communication with EBS ECU incorrect</t>
  </si>
  <si>
    <t>EBS:EPM或ECU故障(34210,0)</t>
  </si>
  <si>
    <t>EBS:EPM internal error(34210,0)</t>
  </si>
  <si>
    <t>EBS:EPM4与EBS ECU 的通信不正确</t>
  </si>
  <si>
    <t>3421000:</t>
  </si>
  <si>
    <t>EPM at wheel 5- Electro-Pneumatic Module - Communication with EBS ECU incorrect</t>
  </si>
  <si>
    <t>EBS:EPM或ECU故障(34466,0)</t>
  </si>
  <si>
    <t>EBS:EPM internal error(34466,0)</t>
  </si>
  <si>
    <t>EBS:EPM5与EBS ECU 的通信不正确</t>
  </si>
  <si>
    <t>3446600:</t>
  </si>
  <si>
    <t>EPM at wheel 6- Electro-Pneumatic Module - Communication with EBS ECU incorrect</t>
  </si>
  <si>
    <t>EBS:EPM或ECU故障(34722,0)</t>
  </si>
  <si>
    <t>EBS:EPM internal error(34722,0)</t>
  </si>
  <si>
    <t>EBS:EPM6与EBS ECU 的通信不正确</t>
  </si>
  <si>
    <t>3472200:</t>
  </si>
  <si>
    <t>Voltage supply of EPM 1- Short circuit to battery +</t>
  </si>
  <si>
    <t>Erase fault memory. Check the wiring
(including to check for chafing damage) and connectors between EBS ECU and EPM, check EPM supply line for short circuit to battery +. Repair wiring if faulty. Read from the configuration of the EPMs which supply line is to be checked!</t>
  </si>
  <si>
    <t>EBS:线路故障(35872,0)</t>
  </si>
  <si>
    <t>EBS:EPM error(35872,0)</t>
  </si>
  <si>
    <t>EBS:EPM 1供电线短路到电源</t>
  </si>
  <si>
    <t>3587200:</t>
  </si>
  <si>
    <t>Voltage supply of EPM 2- Short circuit to battery +</t>
  </si>
  <si>
    <t>EBS:线路故障(36128,0)</t>
  </si>
  <si>
    <t>EBS:EPM error(36128,0)</t>
  </si>
  <si>
    <t>EBS:EPM 2供电线短路到电源</t>
  </si>
  <si>
    <t>3612800:</t>
  </si>
  <si>
    <t>Voltage supply of EPM 3- Short circuit to battery +</t>
  </si>
  <si>
    <t>EBS:线路故障(36384,0)</t>
  </si>
  <si>
    <t>EBS:EPM error(36384,0)</t>
  </si>
  <si>
    <t>EBS:EPM 3供电线短路到电源</t>
  </si>
  <si>
    <t>3638400:</t>
  </si>
  <si>
    <t>Voltage supply of EPM 4- Short circuit to battery +</t>
  </si>
  <si>
    <t>EBS:线路故障(36640,0)</t>
  </si>
  <si>
    <t>EBS:EPM error(36640,0)</t>
  </si>
  <si>
    <t>EBS:EPM 4供电线短路到电源</t>
  </si>
  <si>
    <t>3664000:</t>
  </si>
  <si>
    <t>Voltage supply of EPM 5- Short circuit to battery +</t>
  </si>
  <si>
    <t>EBS:线路故障(36896,0)</t>
  </si>
  <si>
    <t>EBS:EPM error(36896,0)</t>
  </si>
  <si>
    <t>EBS:EPM 5供电线短路到电源</t>
  </si>
  <si>
    <t>3689600:</t>
  </si>
  <si>
    <t>Voltage supply of EPM 6- Short circuit to battery +</t>
  </si>
  <si>
    <t>EBS:线路故障(37152,0)</t>
  </si>
  <si>
    <t>EBS:EPM error(37152,0)</t>
  </si>
  <si>
    <t>EBS:EPM 6供电线短路到电源</t>
  </si>
  <si>
    <t>3715200:</t>
  </si>
  <si>
    <t>Voltage supply of EPM 1- Short circuit to ground
(GND)</t>
  </si>
  <si>
    <t>Erase fault memory. Check the wiring
(including to check for chafing damage) and connectors between EBS ECU and EPM,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t>
  </si>
  <si>
    <t>EBS:线路故障(35873,0)</t>
  </si>
  <si>
    <t>EBS:EPM error(35873,0)</t>
  </si>
  <si>
    <t>EBS:EPM1供电线短路到地</t>
  </si>
  <si>
    <t>3587300:</t>
  </si>
  <si>
    <t>Voltage supply of EPM 2- Short circuit to ground
(GND)</t>
  </si>
  <si>
    <t>EBS:线路故障(36129,0)</t>
  </si>
  <si>
    <t>EBS:EPM error(36129,0)</t>
  </si>
  <si>
    <t>EBS:EPM2供电线短路到地</t>
  </si>
  <si>
    <t>3612900:</t>
  </si>
  <si>
    <t>Voltage supply of EPM 3- Short circuit to ground
(GND)</t>
  </si>
  <si>
    <t>EBS:线路故障(36385,0)</t>
  </si>
  <si>
    <t>EBS:EPM error(36385,0)</t>
  </si>
  <si>
    <t>EBS:EPM3供电线短路到地</t>
  </si>
  <si>
    <t>3638500:</t>
  </si>
  <si>
    <t>Voltage supply of EPM 4- Short circuit to ground
(GND)</t>
  </si>
  <si>
    <t>EBS:线路故障(36641,0)</t>
  </si>
  <si>
    <t>EBS:EPM error(36641,0)</t>
  </si>
  <si>
    <t>EBS:EPM4供电线短路到地</t>
  </si>
  <si>
    <t>3664100:</t>
  </si>
  <si>
    <t>Voltage supply of EPM 5- Short circuit to ground
(GND)</t>
  </si>
  <si>
    <t>EBS:线路故障(36897,0)</t>
  </si>
  <si>
    <t>EBS:EPM error(36897,0)</t>
  </si>
  <si>
    <t>EBS:EPM5供电线短路到地</t>
  </si>
  <si>
    <t>3689700:</t>
  </si>
  <si>
    <t>Voltage supply of EPM 6- Short circuit to ground
(GND)</t>
  </si>
  <si>
    <t>EBS:线路故障(37153,0)</t>
  </si>
  <si>
    <t>EBS:EPM error(37153,0)</t>
  </si>
  <si>
    <t>EBS:EPM6供电线短路到地</t>
  </si>
  <si>
    <t>3715300:</t>
  </si>
  <si>
    <t>Voltage supply of EPM 1- Short circuit to ignition +</t>
  </si>
  <si>
    <t>Erase fault memory. Check the wiring
(including to check for chafing damage) and connectors between EBS ECU and EPM, check EPM supply line for short circuit to UZ (X1/13). Repair wiring if faulty. Read from the configuration of the EPMs which supply line is to be checked!</t>
  </si>
  <si>
    <t>EBS:线路故障(35874,0)</t>
  </si>
  <si>
    <t>EBS:EPM error(35874,0)</t>
  </si>
  <si>
    <t>EBS:EPM1供电线短路到钥匙电</t>
  </si>
  <si>
    <t>3587400:</t>
  </si>
  <si>
    <t>Voltage supply of EPM 2- Short circuit to ignition +</t>
  </si>
  <si>
    <t>Erase fault memory. Check the wiring
(including to check for chafing damage) and connectors between EBS ECU and EPM, check EPM supply line for short circuit to UZ (X1/14). Repair wiring if faulty. Read from the configuration of the EPMs which supply lineto ignition +</t>
  </si>
  <si>
    <t>EBS:线路故障(36130,0)</t>
  </si>
  <si>
    <t>EBS:EPM error(36130,0)</t>
  </si>
  <si>
    <t>EBS:EPM2供电线短路到钥匙电</t>
  </si>
  <si>
    <t>3613000:</t>
  </si>
  <si>
    <t>Voltage supply of EPM 3- Short circuit to ignition +</t>
  </si>
  <si>
    <t>Erase fault memory. Check the wiring
(including to check for chafing damage) and connectors between EBS ECU and EPM, check EPM supply line for short circuit to UZ (X1/15). Repair wiring if faulty. Read from the configuration of the EPMs which supply lineto ignition +</t>
  </si>
  <si>
    <t>EBS:线路故障(36386,0)</t>
  </si>
  <si>
    <t>EBS:EPM error(36386,0)</t>
  </si>
  <si>
    <t>EBS:EPM3供电线短路到钥匙电</t>
  </si>
  <si>
    <t>3638600:</t>
  </si>
  <si>
    <t>Voltage supply of EPM 4- Short circuit to ignition +</t>
  </si>
  <si>
    <t>Erase fault memory. Check the wiring
(including to check for chafing damage) and connectors between EBS ECU and EPM, check EPM supply line for short circuit to UZ (X1/16). Repair wiring if faulty. Read from the configuration of the EPMs which supply lineto ignition +</t>
  </si>
  <si>
    <t>EBS:线路故障(36642,0)</t>
  </si>
  <si>
    <t>EBS:EPM error(36642,0)</t>
  </si>
  <si>
    <t>EBS:EPM4供电线短路到钥匙电</t>
  </si>
  <si>
    <t>3664200:</t>
  </si>
  <si>
    <t>Voltage supply of EPM 5- Short circuit to ignition +</t>
  </si>
  <si>
    <t>Erase fault memory. Check the wiring
(including to check for chafing damage) and connectors between EBS ECU and EPM, check EPM supply line for short circuit to UZ (X1/17). Repair wiring if faulty. Read from the configuration of the EPMs which supply lineto ignition +</t>
  </si>
  <si>
    <t>EBS:线路故障(36898,0)</t>
  </si>
  <si>
    <t>EBS:EPM error(36898,0)</t>
  </si>
  <si>
    <t>EBS:EPM5供电线短路到钥匙电</t>
  </si>
  <si>
    <t>3689800:</t>
  </si>
  <si>
    <t>Voltage supply of EPM 6- Short circuit to ignition +</t>
  </si>
  <si>
    <t>Erase fault memory. Check the wiring
(including to check for chafing damage) and connectors between EBS ECU and EPM, check EPM supply line for short circuit to UZ (X1/18). Repair wiring if faulty. Read from the configuration of the EPMs which supply lineto ignition +</t>
  </si>
  <si>
    <t>EBS:线路故障(37154,0)</t>
  </si>
  <si>
    <t>EBS:EPM error(37154,0)</t>
  </si>
  <si>
    <t>EBS:EPM6供电线短路到钥匙电</t>
  </si>
  <si>
    <t>3715400:</t>
  </si>
  <si>
    <t>Voltage supply of EPM 1- Short circuit to other cables</t>
  </si>
  <si>
    <t>Check the supply lines of the EPMs for
short circuit to one another. Check connectors between EBS ECU and EPM. Read from the configuration of the EPMs which supply line is to be checked!</t>
  </si>
  <si>
    <t>EBS:线路故障(35875,0)</t>
  </si>
  <si>
    <t>EBS:EPM error(35875,0)</t>
  </si>
  <si>
    <t>EBS:EPM1供电线短路到其他线束</t>
  </si>
  <si>
    <t>3587500:</t>
  </si>
  <si>
    <t>Voltage supply of EPM 2- Short circuit to other cables</t>
  </si>
  <si>
    <t>EBS:线路故障(36131,0)</t>
  </si>
  <si>
    <t>EBS:EPM error(36131,0)</t>
  </si>
  <si>
    <t>EBS:EPM2供电线短路到其他线束</t>
  </si>
  <si>
    <t>3613100:</t>
  </si>
  <si>
    <t>Voltage supply of EPM 3- Short circuit to other cables</t>
  </si>
  <si>
    <t>EBS:线路故障(36387,0)</t>
  </si>
  <si>
    <t>EBS:EPM error(36387,0)</t>
  </si>
  <si>
    <t>EBS:EPM3供电线短路到其他线束</t>
  </si>
  <si>
    <t>3638700:</t>
  </si>
  <si>
    <t>Voltage supply of EPM 4- Short circuit to other cables</t>
  </si>
  <si>
    <t>EBS:线路故障(36643,0)</t>
  </si>
  <si>
    <t>EBS:EPM error(36643,0)</t>
  </si>
  <si>
    <t>EBS:EPM4供电线短路到其他线束</t>
  </si>
  <si>
    <t>3664300:</t>
  </si>
  <si>
    <t>Voltage supply of EPM 5- Short circuit to other cables</t>
  </si>
  <si>
    <t>EBS:线路故障(36899,0)</t>
  </si>
  <si>
    <t>EBS:EPM error(36899,0)</t>
  </si>
  <si>
    <t>EBS:EPM5供电线短路到其他线束</t>
  </si>
  <si>
    <t>3689900:</t>
  </si>
  <si>
    <t>Voltage supply of EPM 6- Short circuit to other cables</t>
  </si>
  <si>
    <t>EBS:线路故障(37155,0)</t>
  </si>
  <si>
    <t>EBS:EPM error(37155,0)</t>
  </si>
  <si>
    <t>EBS:EPM6供电线短路到其他线束</t>
  </si>
  <si>
    <t>3715500:</t>
  </si>
  <si>
    <t>Voltage supply of EPM 1- Internal error</t>
  </si>
  <si>
    <t>Erase fault memory. Check the wiring
(including to check for chafing damage), check EPM supply line for short circuit to vehicle ground. Repair wiring if faulty. Disconnect plug from the EPM: check short circuit between EPM power supply input and EPM ground, and between
EPM power supply input and vehicle
ground. Replace EPM if faulty. Read from the configuration of the EPMs which supply line is to be checked! Replace EPM if necessary</t>
  </si>
  <si>
    <t>EBS:线路或EPM故障(35885,0)</t>
  </si>
  <si>
    <t>EBS:EPM error(35885,0)</t>
  </si>
  <si>
    <t>EBS:EPM1供电内部错误</t>
  </si>
  <si>
    <t>3588500:</t>
  </si>
  <si>
    <t>Voltage supply of EPM 2- Internal error</t>
  </si>
  <si>
    <t>EBS:线路或EPM故障(36141,0)</t>
  </si>
  <si>
    <t>EBS:EPM error(36141,0)</t>
  </si>
  <si>
    <t>EBS:EPM2供电内部错误</t>
  </si>
  <si>
    <t>3614100:</t>
  </si>
  <si>
    <t>Voltage supply of EPM 3- Internal error</t>
  </si>
  <si>
    <t>EBS:线路或EPM故障(36397,0)</t>
  </si>
  <si>
    <t>EBS:EPM error(36397,0)</t>
  </si>
  <si>
    <t>EBS:EPM3供电内部错误</t>
  </si>
  <si>
    <t>3639700:</t>
  </si>
  <si>
    <t>Voltage supply of EPM 4- Internal error</t>
  </si>
  <si>
    <t>EBS:线路或EPM故障(36653,0)</t>
  </si>
  <si>
    <t>EBS:EPM error(36653,0)</t>
  </si>
  <si>
    <t>EBS:EPM4供电内部错误</t>
  </si>
  <si>
    <t>3665300:</t>
  </si>
  <si>
    <t>Voltage supply of EPM 5- Internal error</t>
  </si>
  <si>
    <t>EBS:线路或EPM故障(36909,0)</t>
  </si>
  <si>
    <t>EBS:EPM error(36909,0)</t>
  </si>
  <si>
    <t>EBS:EPM5供电内部错误</t>
  </si>
  <si>
    <t>3690900:</t>
  </si>
  <si>
    <t>Voltage supply of EPM 6- Internal error</t>
  </si>
  <si>
    <t>EBS:线路或EPM故障(37165,0)</t>
  </si>
  <si>
    <t>EBS:EPM error(37165,0)</t>
  </si>
  <si>
    <t>EBS:EPM6供电内部错误</t>
  </si>
  <si>
    <t>3716500:</t>
  </si>
  <si>
    <t>Voltage supply of EPM 1- Current too high</t>
  </si>
  <si>
    <t>Check wiring and connectors between
EBS ECU and EPM for a short circuit, the diodes in the generator and the quality of the supply voltage. Download the
updated software into the ECU. Change the EPM or the ECU if necessary.</t>
  </si>
  <si>
    <t>EBS:EBS故障(36046,0)</t>
  </si>
  <si>
    <t>EBS:EBSerror(36046,0)</t>
  </si>
  <si>
    <t>EBS:EPM1供电电流过大</t>
  </si>
  <si>
    <t>3604600:</t>
  </si>
  <si>
    <t>Voltage supply of EPM 2- Current too high</t>
  </si>
  <si>
    <t>EBS:EBS故障(36302,0)</t>
  </si>
  <si>
    <t>EBS:EBSerror(36302,0)</t>
  </si>
  <si>
    <t>EBS:EPM2供电电流过大</t>
  </si>
  <si>
    <t>3630200:</t>
  </si>
  <si>
    <t>Voltage supply of EPM 3- Current too high</t>
  </si>
  <si>
    <t>EBS:EBS故障(36558,0)</t>
  </si>
  <si>
    <t>EBS:EBSerror(36558,0)</t>
  </si>
  <si>
    <t>EBS:EPM3供电电流过大</t>
  </si>
  <si>
    <t>3655800:</t>
  </si>
  <si>
    <t>Voltage supply of EPM 4- Current too high</t>
  </si>
  <si>
    <t>EBS:EBS故障(36814,0)</t>
  </si>
  <si>
    <t>EBS:EBSerror(36814,0)</t>
  </si>
  <si>
    <t>EBS:EPM4供电电流过大</t>
  </si>
  <si>
    <t>3681400:</t>
  </si>
  <si>
    <t>Voltage supply of EPM 5- Current too high</t>
  </si>
  <si>
    <t>EBS:EBS故障(37070,0)</t>
  </si>
  <si>
    <t>EBS:EBSerror(37070,0)</t>
  </si>
  <si>
    <t>EBS:EPM5供电电流过大</t>
  </si>
  <si>
    <t>3707000:</t>
  </si>
  <si>
    <t>Voltage supply of EPM 6- Current too high</t>
  </si>
  <si>
    <t>EBS:EBS故障(37326,0)</t>
  </si>
  <si>
    <t>EBS:EBSerror(37326,0)</t>
  </si>
  <si>
    <t>EBS:EPM6供电电流过大</t>
  </si>
  <si>
    <t>3732600:</t>
  </si>
  <si>
    <t>Brake CAN to EPM 1- Communication interruption (Bus-off)</t>
  </si>
  <si>
    <t>Check the wiring and the connectors (UB,
CAN-H, CAN-L, Ground) to the corresponding EPM (including to check for chafing damage). Repair wiring if faulty. Check the plug at the central ECU and at the EPMs. If all connections are OK, then erase fault memory. Check if DTC disappears by disconnecting the corresponding EPM (to locate internal errors, timeout DTC should appear instead if EPM was faulty). If the error is reported again, and electro-magnetic disturbance can be excluded, then the EPM is to be replaced. If fault is reported from all EPMs, replace EBS ECU.</t>
  </si>
  <si>
    <t>EBS:CAN通讯故障(38410,0)</t>
  </si>
  <si>
    <t>EBS:CAN bus off(38410,0)</t>
  </si>
  <si>
    <t>EBS:EPM1与EBS ECU CAN通信中断（总线关闭）</t>
  </si>
  <si>
    <t>3841000:</t>
  </si>
  <si>
    <t>Brake CAN to EPM 2- Communication interruption (Bus-off)</t>
  </si>
  <si>
    <t>EBS:CAN通讯故障(38666,0)</t>
  </si>
  <si>
    <t>EBS:CAN bus off(38666,0)</t>
  </si>
  <si>
    <t>EBS:EPM2与EBS ECU CAN通信中断（总线关闭）</t>
  </si>
  <si>
    <t>3866600:</t>
  </si>
  <si>
    <t>Brake CAN to EPM 3- Communication interruption (Bus-off)</t>
  </si>
  <si>
    <t>EBS:CAN通讯故障(38922,0)</t>
  </si>
  <si>
    <t>EBS:CAN bus off(38922,0)</t>
  </si>
  <si>
    <t>EBS:EPM3与EBS ECU CAN通信中断（总线关闭）</t>
  </si>
  <si>
    <t>3892200:</t>
  </si>
  <si>
    <t>Brake CAN to EPM 4- Communication interruption (Bus-off)</t>
  </si>
  <si>
    <t>EBS:CAN通讯故障(39178,0)</t>
  </si>
  <si>
    <t>EBS:CAN bus off(39178,0)</t>
  </si>
  <si>
    <t>EBS:EPM4与EBS ECU CAN通信中断（总线关闭）</t>
  </si>
  <si>
    <t>3917800:</t>
  </si>
  <si>
    <t>Brake CAN to EPM 5- Communication interruption (Bus-off)</t>
  </si>
  <si>
    <t>EBS:CAN通讯故障(39434,0)</t>
  </si>
  <si>
    <t>EBS:CAN bus off(39434,0)</t>
  </si>
  <si>
    <t>EBS:EPM5与EBS ECU CAN通信中断（总线关闭）</t>
  </si>
  <si>
    <t>3943400:</t>
  </si>
  <si>
    <t>Brake CAN to EPM 6- Communication interruption (Bus-off)</t>
  </si>
  <si>
    <t>EBS:CAN通讯故障(39690,0)</t>
  </si>
  <si>
    <t>EBS:CAN bus off(39690,0)</t>
  </si>
  <si>
    <t>EBS:EPM6与EBS ECU CAN通信中断（总线关闭）</t>
  </si>
  <si>
    <t>3969000:</t>
  </si>
  <si>
    <t>Brake CAN to EPM 1- Communication interruption (Timeout)</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</si>
  <si>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</si>
  <si>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EBS:CAN通讯故障(38411,0)</t>
  </si>
  <si>
    <t>EBS:CAN bus off(38411,0)</t>
  </si>
  <si>
    <t>EBS:EPM1与EBS ECU CAN通信中断（超时）</t>
  </si>
  <si>
    <t>3841100:</t>
  </si>
  <si>
    <t>Brake CAN to EPM 2- Communication interruption (Timeout)</t>
  </si>
  <si>
    <t>EBS:CAN通讯故障(38667,0)</t>
  </si>
  <si>
    <t>EBS:CAN bus off(38667,0)</t>
  </si>
  <si>
    <t>EBS:EPM2与EBS ECU CAN通信中断（超时）</t>
  </si>
  <si>
    <t>3866700:</t>
  </si>
  <si>
    <t>Brake CAN to EPM 3- Communication interruption (Timeout)</t>
  </si>
  <si>
    <t>EBS:CAN通讯故障(38923,0)</t>
  </si>
  <si>
    <t>EBS:CAN bus off(38923,0)</t>
  </si>
  <si>
    <t>EBS:EPM3与EBS ECU CAN通信中断（超时）</t>
  </si>
  <si>
    <t>3892300:</t>
  </si>
  <si>
    <t>Brake CAN to EPM 4- Communication interruption (Timeout)</t>
  </si>
  <si>
    <t>EBS:CAN通讯故障(39179,0)</t>
  </si>
  <si>
    <t>EBS:CAN bus off(39179,0)</t>
  </si>
  <si>
    <t>EBS:EPM4与EBS ECU CAN通信中断（超时）</t>
  </si>
  <si>
    <t>3917900:</t>
  </si>
  <si>
    <t>Brake CAN to EPM 5- Communication interruption (Timeout)</t>
  </si>
  <si>
    <t>EBS:CAN通讯故障(39435,0)</t>
  </si>
  <si>
    <t>EBS:CAN bus off(39435,0)</t>
  </si>
  <si>
    <t>EBS:EPM5与EBS ECU CAN通信中断（超时）</t>
  </si>
  <si>
    <t>3943500:</t>
  </si>
  <si>
    <t>Brake CAN to EPM 6- Communication interruption (Timeout)</t>
  </si>
  <si>
    <t>EBS:CAN通讯故障(39691,0)</t>
  </si>
  <si>
    <t>EBS:CAN bus off(39691,0)</t>
  </si>
  <si>
    <t>EBS:EPM6与EBS ECU CAN通信中断（超时）</t>
  </si>
  <si>
    <t>3969100:</t>
  </si>
  <si>
    <t>Brake CAN to EPM 1- Communication is not running</t>
  </si>
  <si>
    <t>If the same DTC occurs with all EPMs,
replace EBS ECU. Check the wiring between EBS ECU and EPM for a short circuit. Replace EPM if necessary.</t>
  </si>
  <si>
    <t>EBS:CAN通讯故障(38413,0)</t>
  </si>
  <si>
    <t>EBS:CAN bus off(38413,0)</t>
  </si>
  <si>
    <t>EBS:EPM1与EBS ECU CAN通信未运行</t>
  </si>
  <si>
    <t>3841300:</t>
  </si>
  <si>
    <t>Brake CAN to EPM 2- Communication is not running</t>
  </si>
  <si>
    <t>EBS:CAN通讯故障(38669,0)</t>
  </si>
  <si>
    <t>EBS:CAN bus off(38669,0)</t>
  </si>
  <si>
    <t>EBS:EPM2与EBS ECU CAN通信未运行</t>
  </si>
  <si>
    <t>3866900:</t>
  </si>
  <si>
    <t>Brake CAN to EPM 3- Communication is not running</t>
  </si>
  <si>
    <t>EBS:CAN通讯故障(38925,0)</t>
  </si>
  <si>
    <t>EBS:CAN bus off(38925,0)</t>
  </si>
  <si>
    <t>EBS:EPM3与EBS ECU CAN通信未运行</t>
  </si>
  <si>
    <t>3892500:</t>
  </si>
  <si>
    <t>Brake CAN to EPM 4- Communication is not running</t>
  </si>
  <si>
    <t>EBS:CAN通讯故障(39181,0)</t>
  </si>
  <si>
    <t>EBS:CAN bus off(39181,0)</t>
  </si>
  <si>
    <t>EBS:EPM4与EBS ECU CAN通信未运行</t>
  </si>
  <si>
    <t>3918100:</t>
  </si>
  <si>
    <t>Brake CAN to EPM 5- Communication is not running</t>
  </si>
  <si>
    <t>EBS:CAN通讯故障(39437,0)</t>
  </si>
  <si>
    <t>EBS:CAN bus off(39437,0)</t>
  </si>
  <si>
    <t>EBS:EPM5与EBS ECU CAN通信未运行</t>
  </si>
  <si>
    <t>3943700:</t>
  </si>
  <si>
    <t>Brake CAN to EPM 6- Communication is not running</t>
  </si>
  <si>
    <t>EBS:CAN通讯故障(39693,0)</t>
  </si>
  <si>
    <t>EBS:CAN bus off(39693,0)</t>
  </si>
  <si>
    <t>EBS:EPM6与EBS ECU CAN通信未运行</t>
  </si>
  <si>
    <t>3969300:</t>
  </si>
  <si>
    <t>Brake CAN to EPM 1- Temporary communication interruption</t>
  </si>
  <si>
    <t>Check the wiring and the connectors (UB,
CAN-H, CAN-L, Ground) to the corresponding EPM (including to check for chafing damage). Repair wiring if faulty. If all connections are OK, then erase fault memory. If the error is reported again, and electro-magnetic disturbance can be excluded, then the EPM is to be replaced. If fault is reported from all EPMs, replace EBS ECU.</t>
  </si>
  <si>
    <t>EBS:CAN通讯故障(38414,0)</t>
  </si>
  <si>
    <t>EBS:CAN bus off(38414,0)</t>
  </si>
  <si>
    <t>EBS:EPM1与EBS ECU CAN通信暂时中断</t>
  </si>
  <si>
    <t>3841400:</t>
  </si>
  <si>
    <t>Brake CAN to EPM 2- Temporary communication interruption</t>
  </si>
  <si>
    <t>EBS:CAN通讯故障(38670,0)</t>
  </si>
  <si>
    <t>EBS:CAN bus off(38670,0)</t>
  </si>
  <si>
    <t>EBS:EPM2与EBS ECU CAN通信暂时中断</t>
  </si>
  <si>
    <t>3867000:</t>
  </si>
  <si>
    <t>Brake CAN to EPM 3- Temporary communication interruption</t>
  </si>
  <si>
    <t>EBS:CAN通讯故障(38926,0)</t>
  </si>
  <si>
    <t>EBS:CAN bus off(38926,0)</t>
  </si>
  <si>
    <t>EBS:EPM3与EBS ECU CAN通信暂时中断</t>
  </si>
  <si>
    <t>3892600:</t>
  </si>
  <si>
    <t>Brake CAN to EPM 4- Temporary communication interruption</t>
  </si>
  <si>
    <t>EBS:CAN通讯故障(39182,0)</t>
  </si>
  <si>
    <t>EBS:CAN bus off(39182,0)</t>
  </si>
  <si>
    <t>EBS:EPM4与EBS ECU CAN通信暂时中断</t>
  </si>
  <si>
    <t>3918200:</t>
  </si>
  <si>
    <t>Brake CAN to EPM 5- Temporary communication interruption</t>
  </si>
  <si>
    <t>EBS:CAN通讯故障(39438,0)</t>
  </si>
  <si>
    <t>EBS:CAN bus off(39438,0)</t>
  </si>
  <si>
    <t>EBS:EPM5与EBS ECU CAN通信暂时中断</t>
  </si>
  <si>
    <t>3943800:</t>
  </si>
  <si>
    <t>Brake CAN to EPM 6- Temporary communication interruption</t>
  </si>
  <si>
    <t>EBS:CAN通讯故障(39694,0)</t>
  </si>
  <si>
    <t>EBS:CAN bus off(39694,0)</t>
  </si>
  <si>
    <t>EBS:EPM6与EBS ECU CAN通信暂时中断</t>
  </si>
  <si>
    <t>3969400:</t>
  </si>
  <si>
    <t>Brake CAN to EPM 1- Communication with EBS ECU insufficient (message timeout)</t>
  </si>
  <si>
    <t>Check the wiring and the connectors (UB, CAN-H, CAN-L, Ground) to the
corresponding EPM (including to check for chafing damage). Repair wiring if faulty If all connections are OK, then erase fault memory. If the error is reported again, the EPM is to be
replaced. If fault is reported from all
EPMs, replace EBS ECU.</t>
  </si>
  <si>
    <t>EBS:CAN通讯故障(38570,0)</t>
  </si>
  <si>
    <t>EBS:CAN bus off(38570,0)</t>
  </si>
  <si>
    <t>EBS:EPM1与 EBS ECU 的通信不足 (报文超时)</t>
  </si>
  <si>
    <t>3857000:</t>
  </si>
  <si>
    <t>EBS:CAN通讯故障(38571,0)</t>
  </si>
  <si>
    <t>EBS:CAN bus off(38571,0)</t>
  </si>
  <si>
    <t>3857100:</t>
  </si>
  <si>
    <t>EBS:CAN通讯故障(38572,0)</t>
  </si>
  <si>
    <t>EBS:CAN bus off(38572,0)</t>
  </si>
  <si>
    <t>3857200:</t>
  </si>
  <si>
    <t>EBS:CAN通讯故障(38573,0)</t>
  </si>
  <si>
    <t>EBS:CAN bus off(38573,0)</t>
  </si>
  <si>
    <t>3857300:</t>
  </si>
  <si>
    <t>EBS:CAN通讯故障(38574,0)</t>
  </si>
  <si>
    <t>EBS:CAN bus off(38574,0)</t>
  </si>
  <si>
    <t>3857400:</t>
  </si>
  <si>
    <t>EBS:CAN通讯故障(38575,0)</t>
  </si>
  <si>
    <t>EBS:CAN bus off(38575,0)</t>
  </si>
  <si>
    <t>3857500:</t>
  </si>
  <si>
    <t>EBS:CAN通讯故障(38576,0)</t>
  </si>
  <si>
    <t>EBS:CAN bus off(38576,0)</t>
  </si>
  <si>
    <t>3857600:</t>
  </si>
  <si>
    <t>EBS:CAN通讯故障(38577,0)</t>
  </si>
  <si>
    <t>EBS:CAN bus off(38577,0)</t>
  </si>
  <si>
    <t>3857700:</t>
  </si>
  <si>
    <t>Brake CAN to EPM 2- Communication with EBS ECU insufficient (message timeout)</t>
  </si>
  <si>
    <t>EBS:CAN通讯故障(38826,0)</t>
  </si>
  <si>
    <t>EBS:CAN bus off(38826,0)</t>
  </si>
  <si>
    <t>EBS:EPM2与 EBS ECU 的通信不足 (报文超时)</t>
  </si>
  <si>
    <t>3882600:</t>
  </si>
  <si>
    <t>EBS:CAN通讯故障(38827,0)</t>
  </si>
  <si>
    <t>EBS:CAN bus off(38827,0)</t>
  </si>
  <si>
    <t>3882700:</t>
  </si>
  <si>
    <t>EBS:CAN通讯故障(38828,0)</t>
  </si>
  <si>
    <t>EBS:CAN bus off(38828,0)</t>
  </si>
  <si>
    <t>3882800:</t>
  </si>
  <si>
    <t>EBS:CAN通讯故障(38829,0)</t>
  </si>
  <si>
    <t>EBS:CAN bus off(38829,0)</t>
  </si>
  <si>
    <t>3882900:</t>
  </si>
  <si>
    <t>EBS:CAN通讯故障(38830,0)</t>
  </si>
  <si>
    <t>EBS:CAN bus off(38830,0)</t>
  </si>
  <si>
    <t>3883000:</t>
  </si>
  <si>
    <t>EBS:CAN通讯故障(38831,0)</t>
  </si>
  <si>
    <t>EBS:CAN bus off(38831,0)</t>
  </si>
  <si>
    <t>3883100:</t>
  </si>
  <si>
    <t>EBS:CAN通讯故障(38832,0)</t>
  </si>
  <si>
    <t>EBS:CAN bus off(38832,0)</t>
  </si>
  <si>
    <t>3883200:</t>
  </si>
  <si>
    <t>EBS:CAN通讯故障(38833,0)</t>
  </si>
  <si>
    <t>EBS:CAN bus off(38833,0)</t>
  </si>
  <si>
    <t>3883300:</t>
  </si>
  <si>
    <t>Brake CAN to EPM 3- Communication with EBS ECU insufficient (message timeout)</t>
  </si>
  <si>
    <t>EBS:CAN通讯故障(39082,0)</t>
  </si>
  <si>
    <t>EBS:CAN bus off(39082,0)</t>
  </si>
  <si>
    <t>EBS:EPM3与 EBS ECU 的通信不足 (报文超时)</t>
  </si>
  <si>
    <t>3908200:</t>
  </si>
  <si>
    <t>EBS:CAN通讯故障(39083,0)</t>
  </si>
  <si>
    <t>EBS:CAN bus off(39083,0)</t>
  </si>
  <si>
    <t>3908300:</t>
  </si>
  <si>
    <t>EBS:CAN通讯故障(39084,0)</t>
  </si>
  <si>
    <t>EBS:CAN bus off(39084,0)</t>
  </si>
  <si>
    <t>3908400:</t>
  </si>
  <si>
    <t>EBS:CAN通讯故障(39085,0)</t>
  </si>
  <si>
    <t>EBS:CAN bus off(39085,0)</t>
  </si>
  <si>
    <t>3908500:</t>
  </si>
  <si>
    <t>EBS:CAN通讯故障(39086,0)</t>
  </si>
  <si>
    <t>EBS:CAN bus off(39086,0)</t>
  </si>
  <si>
    <t>3908600:</t>
  </si>
  <si>
    <t>EBS:CAN通讯故障(39087,0)</t>
  </si>
  <si>
    <t>EBS:CAN bus off(39087,0)</t>
  </si>
  <si>
    <t>3908700:</t>
  </si>
  <si>
    <t>EBS:CAN通讯故障(39088,0)</t>
  </si>
  <si>
    <t>EBS:CAN bus off(39088,0)</t>
  </si>
  <si>
    <t>3908800:</t>
  </si>
  <si>
    <t>EBS:CAN通讯故障(39089,0)</t>
  </si>
  <si>
    <t>EBS:CAN bus off(39089,0)</t>
  </si>
  <si>
    <t>3908900:</t>
  </si>
  <si>
    <t>Brake CAN to EPM 4- Communication with EBS ECU insufficient (message timeout)</t>
  </si>
  <si>
    <t>EBS:CAN通讯故障(39338,0)</t>
  </si>
  <si>
    <t>EBS:CAN bus off(39338,0)</t>
  </si>
  <si>
    <t>EBS:EPM4与 EBS ECU 的通信不足 (报文超时)</t>
  </si>
  <si>
    <t>3933800:</t>
  </si>
  <si>
    <t>EBS:CAN通讯故障(39339,0)</t>
  </si>
  <si>
    <t>EBS:CAN bus off(39339,0)</t>
  </si>
  <si>
    <t>3933900:</t>
  </si>
  <si>
    <t>EBS:CAN通讯故障(39340,0)</t>
  </si>
  <si>
    <t>EBS:CAN bus off(39340,0)</t>
  </si>
  <si>
    <t>3934000:</t>
  </si>
  <si>
    <t>EBS:CAN通讯故障(39341,0)</t>
  </si>
  <si>
    <t>EBS:CAN bus off(39341,0)</t>
  </si>
  <si>
    <t>3934100:</t>
  </si>
  <si>
    <t>EBS:CAN通讯故障(39342,0)</t>
  </si>
  <si>
    <t>EBS:CAN bus off(39342,0)</t>
  </si>
  <si>
    <t>3934200:</t>
  </si>
  <si>
    <t>EBS:CAN通讯故障(39343,0)</t>
  </si>
  <si>
    <t>EBS:CAN bus off(39343,0)</t>
  </si>
  <si>
    <t>3934300:</t>
  </si>
  <si>
    <t>EBS:CAN通讯故障(39344,0)</t>
  </si>
  <si>
    <t>EBS:CAN bus off(39344,0)</t>
  </si>
  <si>
    <t>3934400:</t>
  </si>
  <si>
    <t>EBS:CAN通讯故障(39345,0)</t>
  </si>
  <si>
    <t>EBS:CAN bus off(39345,0)</t>
  </si>
  <si>
    <t>3934500:</t>
  </si>
  <si>
    <t>Brake CAN to EPM 5- Communication with EBS ECU insufficient (message timeout)</t>
  </si>
  <si>
    <t>EBS:CAN通讯故障(39594,0)</t>
  </si>
  <si>
    <t>EBS:CAN bus off(39594,0)</t>
  </si>
  <si>
    <t>EBS:EPM5与 EBS ECU 的通信不足 (报文超时)</t>
  </si>
  <si>
    <t>3959400:</t>
  </si>
  <si>
    <t>EBS:CAN通讯故障(39595,0)</t>
  </si>
  <si>
    <t>EBS:CAN bus off(39595,0)</t>
  </si>
  <si>
    <t>3959500:</t>
  </si>
  <si>
    <t>EBS:CAN通讯故障(39596,0)</t>
  </si>
  <si>
    <t>EBS:CAN bus off(39596,0)</t>
  </si>
  <si>
    <t>3959600:</t>
  </si>
  <si>
    <t>EBS:CAN通讯故障(39597,0)</t>
  </si>
  <si>
    <t>EBS:CAN bus off(39597,0)</t>
  </si>
  <si>
    <t>3959700:</t>
  </si>
  <si>
    <t>EBS:CAN通讯故障(39598,0)</t>
  </si>
  <si>
    <t>EBS:CAN bus off(39598,0)</t>
  </si>
  <si>
    <t>3959800:</t>
  </si>
  <si>
    <t>EBS:CAN通讯故障(39599,0)</t>
  </si>
  <si>
    <t>EBS:CAN bus off(39599,0)</t>
  </si>
  <si>
    <t>3959900:</t>
  </si>
  <si>
    <t>EBS:CAN通讯故障(39600,0)</t>
  </si>
  <si>
    <t>EBS:CAN bus off(39600,0)</t>
  </si>
  <si>
    <t>3960000:</t>
  </si>
  <si>
    <t>EBS:CAN通讯故障(39601,0)</t>
  </si>
  <si>
    <t>EBS:CAN bus off(39601,0)</t>
  </si>
  <si>
    <t>3960100:</t>
  </si>
  <si>
    <t>Brake CAN to EPM 6- Communication with EBS ECU insufficient (message timeout)</t>
  </si>
  <si>
    <t>EBS:CAN通讯故障(39850,0)</t>
  </si>
  <si>
    <t>EBS:CAN bus off(39850,0)</t>
  </si>
  <si>
    <t>EBS:EPM6与 EBS ECU 的通信不足 (报文超时)</t>
  </si>
  <si>
    <t>3985000:</t>
  </si>
  <si>
    <t>EBS:CAN通讯故障(39851,0)</t>
  </si>
  <si>
    <t>EBS:CAN bus off(39851,0)</t>
  </si>
  <si>
    <t>3985100:</t>
  </si>
  <si>
    <t>EBS:CAN通讯故障(39852,0)</t>
  </si>
  <si>
    <t>EBS:CAN bus off(39852,0)</t>
  </si>
  <si>
    <t>3985200:</t>
  </si>
  <si>
    <t>EBS:CAN通讯故障(39853,0)</t>
  </si>
  <si>
    <t>EBS:CAN bus off(39853,0)</t>
  </si>
  <si>
    <t>3985300:</t>
  </si>
  <si>
    <t>EBS:CAN通讯故障(39854,0)</t>
  </si>
  <si>
    <t>EBS:CAN bus off(39854,0)</t>
  </si>
  <si>
    <t>3985400:</t>
  </si>
  <si>
    <t>EBS:CAN通讯故障(39855,0)</t>
  </si>
  <si>
    <t>EBS:CAN bus off(39855,0)</t>
  </si>
  <si>
    <t>3985500:</t>
  </si>
  <si>
    <t>EBS:CAN通讯故障(39856,0)</t>
  </si>
  <si>
    <t>EBS:CAN bus off(39856,0)</t>
  </si>
  <si>
    <t>3985600:</t>
  </si>
  <si>
    <t>EBS:CAN通讯故障(39857,0)</t>
  </si>
  <si>
    <t>EBS:CAN bus off(39857,0)</t>
  </si>
  <si>
    <t>3985700:</t>
  </si>
  <si>
    <t>EPM 1 inlet valve- Signal voltage too low</t>
  </si>
  <si>
    <t>EBS:EPM故障(40982,0)</t>
  </si>
  <si>
    <t>EBS:EPM error(40982,0)</t>
  </si>
  <si>
    <t>EBS:EPM1进气控制阀信号电压过低</t>
  </si>
  <si>
    <t>4098200:</t>
  </si>
  <si>
    <t>EPM 2 inlet valve- Signal voltage too low</t>
  </si>
  <si>
    <t>EBS:EPM故障(41238,0)</t>
  </si>
  <si>
    <t>EBS:EPM error(41238,0)</t>
  </si>
  <si>
    <t>EBS:EPM2进气控制阀信号电压过低</t>
  </si>
  <si>
    <t>4123800:</t>
  </si>
  <si>
    <t>EPM 3 inlet valve- Signal voltage too low</t>
  </si>
  <si>
    <t>EBS:EPM故障(41494,0)</t>
  </si>
  <si>
    <t>EBS:EPM error(41494,0)</t>
  </si>
  <si>
    <t>EBS:EPM3进气控制阀信号电压过低</t>
  </si>
  <si>
    <t>4149400:</t>
  </si>
  <si>
    <t>EPM 4 inlet valve- Signal voltage too low</t>
  </si>
  <si>
    <t>EBS:EPM故障(41750,0)</t>
  </si>
  <si>
    <t>EBS:EPM error(41750,0)</t>
  </si>
  <si>
    <t>EBS:EPM4进气控制阀信号电压过低</t>
  </si>
  <si>
    <t>4175000:</t>
  </si>
  <si>
    <t>EPM 5 inlet valve- Signal voltage too low</t>
  </si>
  <si>
    <t>EBS:EPM故障(42006,0)</t>
  </si>
  <si>
    <t>EBS:EPM error(42006,0)</t>
  </si>
  <si>
    <t>EBS:EPM5进气控制阀信号电压过低</t>
  </si>
  <si>
    <t>4200600:</t>
  </si>
  <si>
    <t>EPM 6 inlet valve- Signal voltage too low</t>
  </si>
  <si>
    <t>EBS:EPM故障(42262,0)</t>
  </si>
  <si>
    <t>EBS:EPM error(42262,0)</t>
  </si>
  <si>
    <t>EBS:EPM6进气控制阀信号电压过低</t>
  </si>
  <si>
    <t>4226200:</t>
  </si>
  <si>
    <t>EPM 1 inlet valve- Open circuit</t>
  </si>
  <si>
    <t>EBS:EPM故障(40990,0)</t>
  </si>
  <si>
    <t>EBS:EPM error(40990,0)</t>
  </si>
  <si>
    <t>EBS:EPM1进气控制阀线路开路</t>
  </si>
  <si>
    <t>4099000:</t>
  </si>
  <si>
    <t>EPM 2 inlet valve- Open circuit</t>
  </si>
  <si>
    <t>EBS:EPM故障(41246,0)</t>
  </si>
  <si>
    <t>EBS:EPM error(41246,0)</t>
  </si>
  <si>
    <t>EBS:EPM2进气控制阀线路开路</t>
  </si>
  <si>
    <t>4124600:</t>
  </si>
  <si>
    <t>EPM 3 inlet valve- Open circuit</t>
  </si>
  <si>
    <t>EBS:EPM故障(41502,0)</t>
  </si>
  <si>
    <t>EBS:EPM error(41502,0)</t>
  </si>
  <si>
    <t>EBS:EPM3进气控制阀线路开路</t>
  </si>
  <si>
    <t>4150200:</t>
  </si>
  <si>
    <t>EPM 4 inlet valve- Open circuit</t>
  </si>
  <si>
    <t>EBS:EPM故障(41758,0)</t>
  </si>
  <si>
    <t>EBS:EPM error(41758,0)</t>
  </si>
  <si>
    <t>EBS:EPM4进气控制阀线路开路</t>
  </si>
  <si>
    <t>4175800:</t>
  </si>
  <si>
    <t>EPM 5 inlet valve- Open circuit</t>
  </si>
  <si>
    <t>EBS:EPM故障(42014,0)</t>
  </si>
  <si>
    <t>EBS:EPM error(42014,0)</t>
  </si>
  <si>
    <t>EBS:EPM5进气控制阀线路开路</t>
  </si>
  <si>
    <t>4201400:</t>
  </si>
  <si>
    <t>EPM 6 inlet valve- Open circuit</t>
  </si>
  <si>
    <t>EBS:EPM故障(42270,0)</t>
  </si>
  <si>
    <t>EBS:EPM error(42270,0)</t>
  </si>
  <si>
    <t>EBS:EPM6进气控制阀线路开路</t>
  </si>
  <si>
    <t>4227000:</t>
  </si>
  <si>
    <t>EPM 1 inlet valve- Short circuit to battery +</t>
  </si>
  <si>
    <t>EBS:EPM故障(40992,0)</t>
  </si>
  <si>
    <t>EBS:EPM error(40992,0)</t>
  </si>
  <si>
    <t>EBS:EPM1进气控制线短路到电源正</t>
  </si>
  <si>
    <t>4099200:</t>
  </si>
  <si>
    <t>EPM 2 inlet valve- Short circuit to battery +</t>
  </si>
  <si>
    <t>EBS:EPM故障(41248,0)</t>
  </si>
  <si>
    <t>EBS:EPM error(41248,0)</t>
  </si>
  <si>
    <t>EBS:EPM2进气控制线短路到电源正</t>
  </si>
  <si>
    <t>4124800:</t>
  </si>
  <si>
    <t>EPM 3 inlet valve- Short circuit to battery +</t>
  </si>
  <si>
    <t>EBS:EPM故障(41504,0)</t>
  </si>
  <si>
    <t>EBS:EPM error(41504,0)</t>
  </si>
  <si>
    <t>EBS:EPM3进气控制线短路到电源正</t>
  </si>
  <si>
    <t>4150400:</t>
  </si>
  <si>
    <t>EPM 4 inlet valve- Short circuit to battery +</t>
  </si>
  <si>
    <t>EBS:EPM故障(41760,0)</t>
  </si>
  <si>
    <t>EBS:EPM error(41760,0)</t>
  </si>
  <si>
    <t>EBS:EPM4进气控制线短路到电源正</t>
  </si>
  <si>
    <t>4176000:</t>
  </si>
  <si>
    <t>EPM 5 inlet valve- Short circuit to battery +</t>
  </si>
  <si>
    <t>EBS:EPM故障(42016,0)</t>
  </si>
  <si>
    <t>EBS:EPM error(42016,0)</t>
  </si>
  <si>
    <t>EBS:EPM5进气控制线短路到电源正</t>
  </si>
  <si>
    <t>4201600:</t>
  </si>
  <si>
    <t>EPM 6 inlet valve- Short circuit to battery +</t>
  </si>
  <si>
    <t>EBS:EPM故障(42272,0)</t>
  </si>
  <si>
    <t>EBS:EPM error(42272,0)</t>
  </si>
  <si>
    <t>EBS:EPM6进气控制线短路到电源正</t>
  </si>
  <si>
    <t>4227200:</t>
  </si>
  <si>
    <t>EPM 1 inlet valve- Short circuit to ground
(GND)</t>
  </si>
  <si>
    <t>EBS:EPM故障(40993,0)</t>
  </si>
  <si>
    <t>EBS:EPM error(40993,0)</t>
  </si>
  <si>
    <t>EBS:EPM1进气控制阀线短路到电源地线</t>
  </si>
  <si>
    <t>4099300:</t>
  </si>
  <si>
    <t>EPM 2 inlet valve- Short circuit to ground
(GND)</t>
  </si>
  <si>
    <t>EBS:EPM故障(41249,0)</t>
  </si>
  <si>
    <t>EBS:EPM error(41249,0)</t>
  </si>
  <si>
    <t>EBS:EPM2进气控制阀线短路到电源地线</t>
  </si>
  <si>
    <t>4124900:</t>
  </si>
  <si>
    <t>EPM 3 inlet valve- Short circuit to ground
(GND)</t>
  </si>
  <si>
    <t>EBS:EPM故障(41505,0)</t>
  </si>
  <si>
    <t>EBS:EPM error(41505,0)</t>
  </si>
  <si>
    <t>EBS:EPM3进气控制阀线短路到电源地线</t>
  </si>
  <si>
    <t>4150500:</t>
  </si>
  <si>
    <t>EPM 4 inlet valve- Short circuit to ground
(GND)</t>
  </si>
  <si>
    <t>EBS:EPM故障(41761,0)</t>
  </si>
  <si>
    <t>EBS:EPM error(41761,0)</t>
  </si>
  <si>
    <t>EBS:EPM4进气控制阀线短路到电源地线</t>
  </si>
  <si>
    <t>4176100:</t>
  </si>
  <si>
    <t>EPM 5 inlet valve- Short circuit to ground
(GND)</t>
  </si>
  <si>
    <t>EBS:EPM故障(42017,0)</t>
  </si>
  <si>
    <t>EBS:EPM error(42017,0)</t>
  </si>
  <si>
    <t>EBS:EPM5进气控制阀线短路到电源地线</t>
  </si>
  <si>
    <t>4201700:</t>
  </si>
  <si>
    <t>EPM 6 inlet valve- Short circuit to ground
(GND)</t>
  </si>
  <si>
    <t>EBS:EPM故障(42273,0)</t>
  </si>
  <si>
    <t>EBS:EPM error(42273,0)</t>
  </si>
  <si>
    <t>EBS:EPM6进气控制阀线短路到电源地线</t>
  </si>
  <si>
    <t>4227300:</t>
  </si>
  <si>
    <t>EPM 1 inlet valve- Fly-back diode cannot be switched, diode is open</t>
  </si>
  <si>
    <t>EBS:EPM故障(41003,0)</t>
  </si>
  <si>
    <t>EBS:EPM error(41003,0)</t>
  </si>
  <si>
    <t>EBS:EPM1进气控制阀内部电气故障</t>
  </si>
  <si>
    <t>4100300:</t>
  </si>
  <si>
    <t>EPM 2 inlet valve- Fly-back diode cannot be switched, diode is open</t>
  </si>
  <si>
    <t>EBS:EPM故障(41259,0)</t>
  </si>
  <si>
    <t>EBS:EPM error(41259,0)</t>
  </si>
  <si>
    <t>EBS:EPM2进气控制阀内部电气故障</t>
  </si>
  <si>
    <t>4125900:</t>
  </si>
  <si>
    <t>EPM 3 inlet valve- Fly-back diode cannot be switched, diode is open</t>
  </si>
  <si>
    <t>EBS:EPM故障(41515,0)</t>
  </si>
  <si>
    <t>EBS:EPM error(41515,0)</t>
  </si>
  <si>
    <t>EBS:EPM3进气控制阀内部电气故障</t>
  </si>
  <si>
    <t>4151500:</t>
  </si>
  <si>
    <t>EPM 4 inlet valve- Fly-back diode cannot be switched, diode is open</t>
  </si>
  <si>
    <t>EBS:EPM故障(41771,0)</t>
  </si>
  <si>
    <t>EBS:EPM error(41771,0)</t>
  </si>
  <si>
    <t>EBS:EPM4进气控制阀内部电气故障</t>
  </si>
  <si>
    <t>4177100:</t>
  </si>
  <si>
    <t>EPM 5 inlet valve- Fly-back diode cannot be switched, diode is open</t>
  </si>
  <si>
    <t>EBS:EPM故障(42027,0)</t>
  </si>
  <si>
    <t>EBS:EPM error(42027,0)</t>
  </si>
  <si>
    <t>EBS:EPM5进气控制阀内部电气故障</t>
  </si>
  <si>
    <t>4202700:</t>
  </si>
  <si>
    <t>EPM 6 inlet valve- Fly-back diode cannot be switched, diode is open</t>
  </si>
  <si>
    <t>EBS:EPM故障(42283,0)</t>
  </si>
  <si>
    <t>EBS:EPM error(42283,0)</t>
  </si>
  <si>
    <t>EBS:EPM6进气控制阀内部电气故障</t>
  </si>
  <si>
    <t>4228300:</t>
  </si>
  <si>
    <t>EPM 1 inlet valve- Fly-back diode cannot be switched, diode is closed</t>
  </si>
  <si>
    <t>EBS:EPM故障(41004,0)</t>
  </si>
  <si>
    <t>EBS:EPM error(41004,0)</t>
  </si>
  <si>
    <t>4100400:</t>
  </si>
  <si>
    <t>EPM 2 inlet valve- Fly-back diode cannot be switched, diode is closed</t>
  </si>
  <si>
    <t>EBS:EPM故障(41260,0)</t>
  </si>
  <si>
    <t>EBS:EPM error(41260,0)</t>
  </si>
  <si>
    <t>4126000:</t>
  </si>
  <si>
    <t>EPM 3 inlet valve- Fly-back diode cannot be switched, diode is closed</t>
  </si>
  <si>
    <t>EBS:EPM故障(41516,0)</t>
  </si>
  <si>
    <t>EBS:EPM error(41516,0)</t>
  </si>
  <si>
    <t>4151600:</t>
  </si>
  <si>
    <t>EPM 4 inlet valve- Fly-back diode cannot be switched, diode is closed</t>
  </si>
  <si>
    <t>EBS:EPM故障(41772,0)</t>
  </si>
  <si>
    <t>EBS:EPM error(41772,0)</t>
  </si>
  <si>
    <t>4177200:</t>
  </si>
  <si>
    <t>EPM 5 inlet valve- Fly-back diode cannot be switched, diode is closed</t>
  </si>
  <si>
    <t>EBS:EPM故障(42028,0)</t>
  </si>
  <si>
    <t>EBS:EPM error(42028,0)</t>
  </si>
  <si>
    <t>4202800:</t>
  </si>
  <si>
    <t>EPM 6 inlet valve- Fly-back diode cannot be switched, diode is closed</t>
  </si>
  <si>
    <t>EBS:EPM故障(42284,0)</t>
  </si>
  <si>
    <t>EBS:EPM error(42284,0)</t>
  </si>
  <si>
    <t>4228400:</t>
  </si>
  <si>
    <t>EPM 1 outlet valve- Signal voltage too low</t>
  </si>
  <si>
    <t>If the error is active permanently, check the EPM power supply cable. Replace it if
necessary. Otherwise check the vehicle power supply system.</t>
  </si>
  <si>
    <t>EBS:线路故障(43542,0)</t>
  </si>
  <si>
    <t>EBS:EPM error(43542,0)</t>
  </si>
  <si>
    <t>EBS:EPM1排气控制阀信号电压过低</t>
  </si>
  <si>
    <t>4354200:</t>
  </si>
  <si>
    <t>EPM 2 outlet valve- Signal voltage too low</t>
  </si>
  <si>
    <t>EBS:线路故障(43798,0)</t>
  </si>
  <si>
    <t>EBS:EPM error(43798,0)</t>
  </si>
  <si>
    <t>EBS:EPM2排气控制阀信号电压过低</t>
  </si>
  <si>
    <t>4379800:</t>
  </si>
  <si>
    <t>EPM 3 outlet valve- Signal voltage too low</t>
  </si>
  <si>
    <t>EBS:线路故障(44054,0)</t>
  </si>
  <si>
    <t>EBS:EPM error(44054,0)</t>
  </si>
  <si>
    <t>EBS:EPM3排气控制阀信号电压过低</t>
  </si>
  <si>
    <t>4405400:</t>
  </si>
  <si>
    <t>EPM 4 outlet valve- Signal voltage too low</t>
  </si>
  <si>
    <t>EBS:线路故障(44310,0)</t>
  </si>
  <si>
    <t>EBS:EPM error(44310,0)</t>
  </si>
  <si>
    <t>EBS:EPM4排气控制阀信号电压过低</t>
  </si>
  <si>
    <t>4431000:</t>
  </si>
  <si>
    <t>EPM 5 outlet valve- Signal voltage too low</t>
  </si>
  <si>
    <t>EBS:线路故障(44566,0)</t>
  </si>
  <si>
    <t>EBS:EPM error(44566,0)</t>
  </si>
  <si>
    <t>EBS:EPM5排气控制阀信号电压过低</t>
  </si>
  <si>
    <t>4456600:</t>
  </si>
  <si>
    <t>EPM 6 outlet valve- Signal voltage too low</t>
  </si>
  <si>
    <t>EBS:线路故障(44822,0)</t>
  </si>
  <si>
    <t>EBS:EPM error(44822,0)</t>
  </si>
  <si>
    <t>EBS:EPM6排气控制阀信号电压过低</t>
  </si>
  <si>
    <t>4482200:</t>
  </si>
  <si>
    <t>EPM 1 outlet valve- Open circuit</t>
  </si>
  <si>
    <t>EBS:EPM故障(43550,0)</t>
  </si>
  <si>
    <t>EBS:EPM error(43550,0)</t>
  </si>
  <si>
    <t>EBS:EPM1排气控制阀线路开路</t>
  </si>
  <si>
    <t>4355000:</t>
  </si>
  <si>
    <t>EPM 2 outlet valve- Open circuit</t>
  </si>
  <si>
    <t>EBS:EPM故障(43806,0)</t>
  </si>
  <si>
    <t>EBS:EPM error(43806,0)</t>
  </si>
  <si>
    <t>EBS:EPM2排气控制阀线路开路</t>
  </si>
  <si>
    <t>4380600:</t>
  </si>
  <si>
    <t>EPM 3 outlet valve- Open circuit</t>
  </si>
  <si>
    <t>EBS:EPM故障(44062,0)</t>
  </si>
  <si>
    <t>EBS:EPM error(44062,0)</t>
  </si>
  <si>
    <t>EBS:EPM3排气控制阀线路开路</t>
  </si>
  <si>
    <t>4406200:</t>
  </si>
  <si>
    <t>EPM 4 outlet valve- Open circuit</t>
  </si>
  <si>
    <t>EBS:EPM故障(44318,0)</t>
  </si>
  <si>
    <t>EBS:EPM error(44318,0)</t>
  </si>
  <si>
    <t>EBS:EPM4排气控制阀线路开路</t>
  </si>
  <si>
    <t>4431800:</t>
  </si>
  <si>
    <t>EPM 5 outlet valve- Open circuit</t>
  </si>
  <si>
    <t>EBS:EPM故障(44574,0)</t>
  </si>
  <si>
    <t>EBS:EPM error(44574,0)</t>
  </si>
  <si>
    <t>EBS:EPM5排气控制阀线路开路</t>
  </si>
  <si>
    <t>4457400:</t>
  </si>
  <si>
    <t>EPM 6 outlet valve- Open circuit</t>
  </si>
  <si>
    <t>EBS:EPM故障(44830,0)</t>
  </si>
  <si>
    <t>EBS:EPM error(44830,0)</t>
  </si>
  <si>
    <t>EBS:EPM6排气控制阀线路开路</t>
  </si>
  <si>
    <t>4483000:</t>
  </si>
  <si>
    <t>EPM 1 outlet valve- Short circuit to battery +</t>
  </si>
  <si>
    <t>EBS:EPM故障(43552,0)</t>
  </si>
  <si>
    <t>EBS:EPM error(43552,0)</t>
  </si>
  <si>
    <t>EBS:EPM1排气控制阀线路短路到电源正</t>
  </si>
  <si>
    <t>4355200:</t>
  </si>
  <si>
    <t>EPM 2 outlet valve- Short circuit to battery +</t>
  </si>
  <si>
    <t>EBS:EPM故障(43808,0)</t>
  </si>
  <si>
    <t>EBS:EPM error(43808,0)</t>
  </si>
  <si>
    <t>EBS:EPM2排气控制阀线路短路到电源正</t>
  </si>
  <si>
    <t>4380800:</t>
  </si>
  <si>
    <t>EPM 3 outlet valve- Short circuit to battery +</t>
  </si>
  <si>
    <t>EBS:EPM故障(44064,0)</t>
  </si>
  <si>
    <t>EBS:EPM error(44064,0)</t>
  </si>
  <si>
    <t>EBS:EPM3排气控制阀线路短路到电源正</t>
  </si>
  <si>
    <t>4406400:</t>
  </si>
  <si>
    <t>EPM 4 outlet valve- Short circuit to battery +</t>
  </si>
  <si>
    <t>EBS:EPM故障(44320,0)</t>
  </si>
  <si>
    <t>EBS:EPM error(44320,0)</t>
  </si>
  <si>
    <t>EBS:EPM4排气控制阀线路短路到电源正</t>
  </si>
  <si>
    <t>4432000:</t>
  </si>
  <si>
    <t>EPM 5 outlet valve- Short circuit to battery +</t>
  </si>
  <si>
    <t>EBS:EPM故障(44576,0)</t>
  </si>
  <si>
    <t>EBS:EPM error(44576,0)</t>
  </si>
  <si>
    <t>EBS:EPM5排气控制阀线路短路到电源正</t>
  </si>
  <si>
    <t>4457600:</t>
  </si>
  <si>
    <t>EPM 6 outlet valve- Short circuit to battery +</t>
  </si>
  <si>
    <t>EBS:EPM故障(44832,0)</t>
  </si>
  <si>
    <t>EBS:EPM error(44832,0)</t>
  </si>
  <si>
    <t>EBS:EPM6排气控制阀线路短路到电源正</t>
  </si>
  <si>
    <t>4483200:</t>
  </si>
  <si>
    <t>EPM 1 outlet valve- Short circuit to ground
(GND)</t>
  </si>
  <si>
    <t>EBS:EPM故障(43553,0)</t>
  </si>
  <si>
    <t>EBS:EPM error(43553,0)</t>
  </si>
  <si>
    <t>EBS:EPM1排气控制阀线路短路到电源地线</t>
  </si>
  <si>
    <t>4355300:</t>
  </si>
  <si>
    <t>EPM 2 outlet valve- Short circuit to ground
(GND)</t>
  </si>
  <si>
    <t>EBS:EPM故障(43809,0)</t>
  </si>
  <si>
    <t>EBS:EPM error(43809,0)</t>
  </si>
  <si>
    <t>EBS:EPM2排气控制阀线路短路到电源地线</t>
  </si>
  <si>
    <t>4380900:</t>
  </si>
  <si>
    <t>EPM 3 outlet valve- Short circuit to ground
(GND)</t>
  </si>
  <si>
    <t>EBS:EPM故障(44065,0)</t>
  </si>
  <si>
    <t>EBS:EPM error(44065,0)</t>
  </si>
  <si>
    <t>EBS:EPM3排气控制阀线路短路到电源地线</t>
  </si>
  <si>
    <t>4406500:</t>
  </si>
  <si>
    <t>EPM 4 outlet valve- Short circuit to ground
(GND)</t>
  </si>
  <si>
    <t>EBS:EPM故障(44321,0)</t>
  </si>
  <si>
    <t>EBS:EPM error(44321,0)</t>
  </si>
  <si>
    <t>EBS:EPM4排气控制阀线路短路到电源地线</t>
  </si>
  <si>
    <t>4432100:</t>
  </si>
  <si>
    <t>EPM 5 outlet valve- Short circuit to ground
(GND)</t>
  </si>
  <si>
    <t>EBS:EPM故障(44577,0)</t>
  </si>
  <si>
    <t>EBS:EPM error(44577,0)</t>
  </si>
  <si>
    <t>EBS:EPM5排气控制阀线路短路到电源地线</t>
  </si>
  <si>
    <t>4457700:</t>
  </si>
  <si>
    <t>EPM 6 outlet valve- Short circuit to ground
(GND)</t>
  </si>
  <si>
    <t>EBS:EPM故障(44833,0)</t>
  </si>
  <si>
    <t>EBS:EPM error(44833,0)</t>
  </si>
  <si>
    <t>EBS:EPM6排气控制阀线路短路到电源地线</t>
  </si>
  <si>
    <t>4483300:</t>
  </si>
  <si>
    <t>EPM 1 outlet valve- Fly-back diode cannot be switched, diode is open</t>
  </si>
  <si>
    <t>EBS:EPM故障(43563,0)</t>
  </si>
  <si>
    <t>EBS:EPM error(43563,0)</t>
  </si>
  <si>
    <t>EBS:EPM1排气控制阀内部电气故障</t>
  </si>
  <si>
    <t>4356300:</t>
  </si>
  <si>
    <t>EPM 2 outlet valve- Fly-back diode cannot be switched, diode is open</t>
  </si>
  <si>
    <t>EBS:EPM故障(43819,0)</t>
  </si>
  <si>
    <t>EBS:EPM error(43819,0)</t>
  </si>
  <si>
    <t>EBS:EPM2排气控制阀内部电气故障</t>
  </si>
  <si>
    <t>4381900:</t>
  </si>
  <si>
    <t>EPM 3 outlet valve- Fly-back diode cannot be switched, diode is open</t>
  </si>
  <si>
    <t>EBS:EPM故障(44075,0)</t>
  </si>
  <si>
    <t>EBS:EPM error(44075,0)</t>
  </si>
  <si>
    <t>EBS:EPM3排气控制阀内部电气故障</t>
  </si>
  <si>
    <t>4407500:</t>
  </si>
  <si>
    <t>EPM 4 outlet valve- Fly-back diode cannot be switched, diode is open</t>
  </si>
  <si>
    <t>EBS:EPM故障(44331,0)</t>
  </si>
  <si>
    <t>EBS:EPM error(44331,0)</t>
  </si>
  <si>
    <t>EBS:EPM4排气控制阀内部电气故障</t>
  </si>
  <si>
    <t>4433100:</t>
  </si>
  <si>
    <t>EPM 5 outlet valve- Fly-back diode cannot be switched, diode is open</t>
  </si>
  <si>
    <t>EBS:EPM故障(44587,0)</t>
  </si>
  <si>
    <t>EBS:EPM error(44587,0)</t>
  </si>
  <si>
    <t>EBS:EPM5排气控制阀内部电气故障</t>
  </si>
  <si>
    <t>4458700:</t>
  </si>
  <si>
    <t>EPM 6 outlet valve- Fly-back diode cannot be switched, diode is open</t>
  </si>
  <si>
    <t>EBS:EPM故障(44843,0)</t>
  </si>
  <si>
    <t>EBS:EPM error(44843,0)</t>
  </si>
  <si>
    <t>EBS:EPM6排气控制阀内部电气故障</t>
  </si>
  <si>
    <t>4484300:</t>
  </si>
  <si>
    <t>EPM 1 outlet valve- Fly-back diode cannot be switched, diode is closed</t>
  </si>
  <si>
    <t>EBS:EPM故障(43564,0)</t>
  </si>
  <si>
    <t>EBS:EPM error(43564,0)</t>
  </si>
  <si>
    <t>4356400:</t>
  </si>
  <si>
    <t>EPM 2 outlet valve- Fly-back diode cannot be switched, diode is closed</t>
  </si>
  <si>
    <t>EBS:EPM故障(43820,0)</t>
  </si>
  <si>
    <t>EBS:EPM error(43820,0)</t>
  </si>
  <si>
    <t>4382000:</t>
  </si>
  <si>
    <t>EPM 3 outlet valve- Fly-back diode cannot be switched, diode is closed</t>
  </si>
  <si>
    <t>EBS:EPM故障(44076,0)</t>
  </si>
  <si>
    <t>EBS:EPM error(44076,0)</t>
  </si>
  <si>
    <t>4407600:</t>
  </si>
  <si>
    <t>EPM 4 outlet valve- Fly-back diode cannot be switched, diode is closed</t>
  </si>
  <si>
    <t>EBS:EPM故障(44332,0)</t>
  </si>
  <si>
    <t>EBS:EPM error(44332,0)</t>
  </si>
  <si>
    <t>4433200:</t>
  </si>
  <si>
    <t>EPM 5 outlet valve- Fly-back diode cannot be switched, diode is closed</t>
  </si>
  <si>
    <t>EBS:EPM故障(44588,0)</t>
  </si>
  <si>
    <t>EBS:EPM error(44588,0)</t>
  </si>
  <si>
    <t>4458800:</t>
  </si>
  <si>
    <t>EPM 6 outlet valve- Fly-back diode cannot be switched, diode is closed</t>
  </si>
  <si>
    <t>EBS:EPM故障(44844,0)</t>
  </si>
  <si>
    <t>EBS:EPM error(44844,0)</t>
  </si>
  <si>
    <t>4484400:</t>
  </si>
  <si>
    <t>EPM 1 backup valve- Signal voltage too low</t>
  </si>
  <si>
    <t>If the error is active permanently, check
the EPM power supply cable. Replace it if necessary. Otherwise check the vehicle power supply system.</t>
  </si>
  <si>
    <t>EBS:线路故障(46102,0)</t>
  </si>
  <si>
    <t>EBS:EPM error(46102,0)</t>
  </si>
  <si>
    <t>EBS:EPM1备用阀信号电压过低</t>
  </si>
  <si>
    <t>4610200:</t>
  </si>
  <si>
    <t>EPM 2 backup valve- Signal voltage too low</t>
  </si>
  <si>
    <t>EBS:线路故障(46358,0)</t>
  </si>
  <si>
    <t>EBS:EPM error(46358,0)</t>
  </si>
  <si>
    <t>EBS:EPM2备用阀信号电压过低</t>
  </si>
  <si>
    <t>4635800:</t>
  </si>
  <si>
    <t>EPM 3 backup valve- Signal voltage too low</t>
  </si>
  <si>
    <t>EBS:线路故障(46614,0)</t>
  </si>
  <si>
    <t>EBS:EPM error(46614,0)</t>
  </si>
  <si>
    <t>EBS:EPM3备用阀信号电压过低</t>
  </si>
  <si>
    <t>4661400:</t>
  </si>
  <si>
    <t>EPM 4 backup valve- Signal voltage too low</t>
  </si>
  <si>
    <t>EBS:线路故障(46870,0)</t>
  </si>
  <si>
    <t>EBS:EPM error(46870,0)</t>
  </si>
  <si>
    <t>EBS:EPM4备用阀信号电压过低</t>
  </si>
  <si>
    <t>4687000:</t>
  </si>
  <si>
    <t>EPM 5 backup valve- Signal voltage too low</t>
  </si>
  <si>
    <t>EBS:线路故障(47126,0)</t>
  </si>
  <si>
    <t>EBS:EPM error(47126,0)</t>
  </si>
  <si>
    <t>EBS:EPM5备用阀信号电压过低</t>
  </si>
  <si>
    <t>4712600:</t>
  </si>
  <si>
    <t>EPM 6 backup valve- Signal voltage too low</t>
  </si>
  <si>
    <t>EBS:线路故障(47382,0)</t>
  </si>
  <si>
    <t>EBS:EPM error(47382,0)</t>
  </si>
  <si>
    <t>EBS:EPM6备用阀信号电压过低</t>
  </si>
  <si>
    <t>4738200:</t>
  </si>
  <si>
    <t>EPM 1 backup valve- Open circuit</t>
  </si>
  <si>
    <t>EBS:EPM故障(46110,0)</t>
  </si>
  <si>
    <t>EBS:EPM error(46110,0)</t>
  </si>
  <si>
    <t>EBS:EPM1备用阀线路开路</t>
  </si>
  <si>
    <t>4611000:</t>
  </si>
  <si>
    <t>EPM 2 backup valve- Open circuit</t>
  </si>
  <si>
    <t>EBS:EPM故障(46366,0)</t>
  </si>
  <si>
    <t>EBS:EPM error(46366,0)</t>
  </si>
  <si>
    <t>EBS:EPM2备用阀线路开路</t>
  </si>
  <si>
    <t>4636600:</t>
  </si>
  <si>
    <t>EPM 3 backup valve- Open circuit</t>
  </si>
  <si>
    <t>EBS:EPM故障(46622,0)</t>
  </si>
  <si>
    <t>EBS:EPM error(46622,0)</t>
  </si>
  <si>
    <t>EBS:EPM3备用阀线路开路</t>
  </si>
  <si>
    <t>4662200:</t>
  </si>
  <si>
    <t>EPM 4 backup valve- Open circuit</t>
  </si>
  <si>
    <t>EBS:EPM故障(46878,0)</t>
  </si>
  <si>
    <t>EBS:EPM error(46878,0)</t>
  </si>
  <si>
    <t>EBS:EPM4备用阀线路开路</t>
  </si>
  <si>
    <t>4687800:</t>
  </si>
  <si>
    <t>EPM 5 backup valve- Open circuit</t>
  </si>
  <si>
    <t>EBS:EPM故障(47134,0)</t>
  </si>
  <si>
    <t>EBS:EPM error(47134,0)</t>
  </si>
  <si>
    <t>EBS:EPM5备用阀线路开路</t>
  </si>
  <si>
    <t>4713400:</t>
  </si>
  <si>
    <t>EPM 6 backup valve- Open circuit</t>
  </si>
  <si>
    <t>EBS:EPM故障(47390,0)</t>
  </si>
  <si>
    <t>EBS:EPM error(47390,0)</t>
  </si>
  <si>
    <t>EBS:EPM6备用阀线路开路</t>
  </si>
  <si>
    <t>4739000:</t>
  </si>
  <si>
    <t>EPM 1 backup valve backup valve - Short circuit to battery +</t>
  </si>
  <si>
    <t>EBS:EPM故障(46112,0)</t>
  </si>
  <si>
    <t>EBS:EPM error(46112,0)</t>
  </si>
  <si>
    <t>EBS:EPM1备用阀线路短路到电源正</t>
  </si>
  <si>
    <t>4611200:</t>
  </si>
  <si>
    <t>EPM 2 backup valve backup valve - Short circuit to battery +</t>
  </si>
  <si>
    <t>EBS:EPM故障(46368,0)</t>
  </si>
  <si>
    <t>EBS:EPM error(46368,0)</t>
  </si>
  <si>
    <t>EBS:EPM2备用阀线路短路到电源正</t>
  </si>
  <si>
    <t>4636800:</t>
  </si>
  <si>
    <t>EPM 3 backup valve backup valve - Short circuit to battery +</t>
  </si>
  <si>
    <t>EBS:EPM故障(46624,0)</t>
  </si>
  <si>
    <t>EBS:EPM error(46624,0)</t>
  </si>
  <si>
    <t>EBS:EPM3备用阀线路短路到电源正</t>
  </si>
  <si>
    <t>4662400:</t>
  </si>
  <si>
    <t>EPM 4 backup valve backup valve - Short circuit to battery +</t>
  </si>
  <si>
    <t>EBS:EPM故障(46880,0)</t>
  </si>
  <si>
    <t>EBS:EPM error(46880,0)</t>
  </si>
  <si>
    <t>EBS:EPM4备用阀线路短路到电源正</t>
  </si>
  <si>
    <t>4688000:</t>
  </si>
  <si>
    <t>EPM 5 backup valve backup valve - Short circuit to battery +</t>
  </si>
  <si>
    <t>EBS:EPM故障(47136,0)</t>
  </si>
  <si>
    <t>EBS:EPM error(47136,0)</t>
  </si>
  <si>
    <t>EBS:EPM5备用阀线路短路到电源正</t>
  </si>
  <si>
    <t>4713600:</t>
  </si>
  <si>
    <t>EPM 6 backup valve backup valve - Short circuit to battery +</t>
  </si>
  <si>
    <t>EBS:EPM故障(47392,0)</t>
  </si>
  <si>
    <t>EBS:EPM error(47392,0)</t>
  </si>
  <si>
    <t>EBS:EPM6备用阀线路短路到电源正</t>
  </si>
  <si>
    <t>4739200:</t>
  </si>
  <si>
    <t>EPM 1 backup valve- Short circuit to ground
(GND)</t>
  </si>
  <si>
    <t>EBS:EPM故障(46113,0)</t>
  </si>
  <si>
    <t>EBS:EPM error(46113,0)</t>
  </si>
  <si>
    <t>EBS:EPM1备用阀线路短路到地</t>
  </si>
  <si>
    <t>4611300:</t>
  </si>
  <si>
    <t>EPM 2 backup valve- Short circuit to ground
(GND)</t>
  </si>
  <si>
    <t>EBS:EPM故障(46369,0)</t>
  </si>
  <si>
    <t>EBS:EPM error(46369,0)</t>
  </si>
  <si>
    <t>EBS:EPM2备用阀线路短路到地</t>
  </si>
  <si>
    <t>4636900:</t>
  </si>
  <si>
    <t>EPM 3 backup valve- Short circuit to ground
(GND)</t>
  </si>
  <si>
    <t>EBS:EPM故障(46625,0)</t>
  </si>
  <si>
    <t>EBS:EPM error(46625,0)</t>
  </si>
  <si>
    <t>EBS:EPM3备用阀线路短路到地</t>
  </si>
  <si>
    <t>4662500:</t>
  </si>
  <si>
    <t>EPM 4 backup valve- Short circuit to ground
(GND)</t>
  </si>
  <si>
    <t>EBS:EPM故障(46881,0)</t>
  </si>
  <si>
    <t>EBS:EPM error(46881,0)</t>
  </si>
  <si>
    <t>EBS:EPM4备用阀线路短路到地</t>
  </si>
  <si>
    <t>4688100:</t>
  </si>
  <si>
    <t>EPM 5 backup valve- Short circuit to ground
(GND)</t>
  </si>
  <si>
    <t>EBS:EPM故障(47137,0)</t>
  </si>
  <si>
    <t>EBS:EPM error(47137,0)</t>
  </si>
  <si>
    <t>EBS:EPM5备用阀线路短路到地</t>
  </si>
  <si>
    <t>4713700:</t>
  </si>
  <si>
    <t>EPM 6 backup valve- Short circuit to ground
(GND)</t>
  </si>
  <si>
    <t>EBS:EPM故障(47393,0)</t>
  </si>
  <si>
    <t>EBS:EPM error(47393,0)</t>
  </si>
  <si>
    <t>EBS:EPM6备用阀线路短路到地</t>
  </si>
  <si>
    <t>4739300:</t>
  </si>
  <si>
    <t>EPM 1 backup valve- Fly-back diode cannot be switched, diode is open</t>
  </si>
  <si>
    <t>EBS:EPM故障(46123,0)</t>
  </si>
  <si>
    <t>EBS:EPM error(46123,0)</t>
  </si>
  <si>
    <t>EBS:EPM1备用阀内部电气故障</t>
  </si>
  <si>
    <t>4612300:</t>
  </si>
  <si>
    <t>EPM 2 backup valve- Fly-back diode cannot be switched, diode is open</t>
  </si>
  <si>
    <t>EBS:EPM故障(46379,0)</t>
  </si>
  <si>
    <t>EBS:EPM error(46379,0)</t>
  </si>
  <si>
    <t>EBS:EPM2备用阀内部电气故障</t>
  </si>
  <si>
    <t>4637900:</t>
  </si>
  <si>
    <t>EPM 3 backup valve- Fly-back diode cannot be switched, diode is open</t>
  </si>
  <si>
    <t>EBS:EPM故障(46635,0)</t>
  </si>
  <si>
    <t>EBS:EPM error(46635,0)</t>
  </si>
  <si>
    <t>EBS:EPM3备用阀内部电气故障</t>
  </si>
  <si>
    <t>4663500:</t>
  </si>
  <si>
    <t>EPM 4 backup valve- Fly-back diode cannot be switched, diode is open</t>
  </si>
  <si>
    <t>EBS:EPM故障(46891,0)</t>
  </si>
  <si>
    <t>EBS:EPM error(46891,0)</t>
  </si>
  <si>
    <t>EBS:EPM4备用阀内部电气故障</t>
  </si>
  <si>
    <t>4689100:</t>
  </si>
  <si>
    <t>EPM 5 backup valve- Fly-back diode cannot be switched, diode is open</t>
  </si>
  <si>
    <t>EBS:EPM故障(47147,0)</t>
  </si>
  <si>
    <t>EBS:EPM error(47147,0)</t>
  </si>
  <si>
    <t>EBS:EPM5备用阀内部电气故障</t>
  </si>
  <si>
    <t>4714700:</t>
  </si>
  <si>
    <t>EPM 6 backup valve- Fly-back diode cannot be switched, diode is open</t>
  </si>
  <si>
    <t>EBS:EPM故障(47403,0)</t>
  </si>
  <si>
    <t>EBS:EPM error(47403,0)</t>
  </si>
  <si>
    <t>EBS:EPM6备用阀内部电气故障</t>
  </si>
  <si>
    <t>4740300:</t>
  </si>
  <si>
    <t>EPM 1 pressure sensor- Signal voltage too low</t>
  </si>
  <si>
    <t>EBS:EPM故障(48662,0)</t>
  </si>
  <si>
    <t>EBS:EPM error(48662,0)</t>
  </si>
  <si>
    <t>EBS:EPM1气压传感器信号电压过低</t>
  </si>
  <si>
    <t>4866200:</t>
  </si>
  <si>
    <t>EPM 2 pressure sensor- Signal voltage too low</t>
  </si>
  <si>
    <t>EBS:EPM故障(48918,0)</t>
  </si>
  <si>
    <t>EBS:EPM error(48918,0)</t>
  </si>
  <si>
    <t>EBS:EPM2气压传感器信号电压过低</t>
  </si>
  <si>
    <t>4891800:</t>
  </si>
  <si>
    <t>EPM 3 pressure sensor- Signal voltage too low</t>
  </si>
  <si>
    <t>EBS:EPM故障(49174,0)</t>
  </si>
  <si>
    <t>EBS:EPM error(49174,0)</t>
  </si>
  <si>
    <t>EBS:EPM3气压传感器信号电压过低</t>
  </si>
  <si>
    <t>4917400:</t>
  </si>
  <si>
    <t>EPM 4 pressure sensor- Signal voltage too low</t>
  </si>
  <si>
    <t>EBS:EPM故障(49430,0)</t>
  </si>
  <si>
    <t>EBS:EPM error(49430,0)</t>
  </si>
  <si>
    <t>EBS:EPM4气压传感器信号电压过低</t>
  </si>
  <si>
    <t>4943000:</t>
  </si>
  <si>
    <t>EPM 5 pressure sensor- Signal voltage too low</t>
  </si>
  <si>
    <t>EBS:EPM故障(49686,0)</t>
  </si>
  <si>
    <t>EBS:EPM error(49686,0)</t>
  </si>
  <si>
    <t>EBS:EPM5气压传感器信号电压过低</t>
  </si>
  <si>
    <t>4968600:</t>
  </si>
  <si>
    <t>EPM 6 pressure sensor- Signal voltage too low</t>
  </si>
  <si>
    <t>EBS:EPM故障(49942,0)</t>
  </si>
  <si>
    <t>EBS:EPM error(49942,0)</t>
  </si>
  <si>
    <t>EBS:EPM6气压传感器信号电压过低</t>
  </si>
  <si>
    <t>4994200:</t>
  </si>
  <si>
    <t>EPM 1 pressure sensor- Signal voltage too high</t>
  </si>
  <si>
    <t>EBS:EPM故障(48663,0)</t>
  </si>
  <si>
    <t>EBS:EPM error(48663,0)</t>
  </si>
  <si>
    <t>EBS:EPM1气压传感器信号电压过高</t>
  </si>
  <si>
    <t>4866300:</t>
  </si>
  <si>
    <t>EPM 2 pressure sensor- Signal voltage too high</t>
  </si>
  <si>
    <t>EBS:EPM故障(48919,0)</t>
  </si>
  <si>
    <t>EBS:EPM error(48919,0)</t>
  </si>
  <si>
    <t>EBS:EPM2气压传感器信号电压过高</t>
  </si>
  <si>
    <t>4891900:</t>
  </si>
  <si>
    <t>EPM 3 pressure sensor- Signal voltage too high</t>
  </si>
  <si>
    <t>EBS:EPM故障(49175,0)</t>
  </si>
  <si>
    <t>EBS:EPM error(49175,0)</t>
  </si>
  <si>
    <t>EBS:EPM3气压传感器信号电压过高</t>
  </si>
  <si>
    <t>4917500:</t>
  </si>
  <si>
    <t>EPM 4 pressure sensor- Signal voltage too high</t>
  </si>
  <si>
    <t>EBS:EPM故障(49431,0)</t>
  </si>
  <si>
    <t>EBS:EPM error(49431,0)</t>
  </si>
  <si>
    <t>EBS:EPM4气压传感器信号电压过高</t>
  </si>
  <si>
    <t>4943100:</t>
  </si>
  <si>
    <t>EPM 5 pressure sensor- Signal voltage too high</t>
  </si>
  <si>
    <t>EBS:EPM故障(49687,0)</t>
  </si>
  <si>
    <t>EBS:EPM error(49687,0)</t>
  </si>
  <si>
    <t>EBS:EPM5气压传感器信号电压过高</t>
  </si>
  <si>
    <t>4968700:</t>
  </si>
  <si>
    <t>EPM 6 pressure sensor- Signal voltage too high</t>
  </si>
  <si>
    <t>EBS:EPM故障(49943,0)</t>
  </si>
  <si>
    <t>EBS:EPM error(49943,0)</t>
  </si>
  <si>
    <t>EBS:EPM6气压传感器信号电压过高</t>
  </si>
  <si>
    <t>4994300:</t>
  </si>
  <si>
    <t>EPM 1 pressure sensor- learned offset too low</t>
  </si>
  <si>
    <t>EBS:EPM故障(48667,0)</t>
  </si>
  <si>
    <t>EBS:EPM error(48667,0)</t>
  </si>
  <si>
    <t>EBS:EPM1气压传感器学习的偏移量过低</t>
  </si>
  <si>
    <t>4866700:</t>
  </si>
  <si>
    <t>EPM 2 pressure sensor- learned offset too low</t>
  </si>
  <si>
    <t>EBS:EPM故障(48923,0)</t>
  </si>
  <si>
    <t>EBS:EPM error(48923,0)</t>
  </si>
  <si>
    <t>EBS:EPM2气压传感器学习的偏移量过低</t>
  </si>
  <si>
    <t>4892300:</t>
  </si>
  <si>
    <t>EPM 3 pressure sensor- learned offset too low</t>
  </si>
  <si>
    <t>EBS:EPM故障(49179,0)</t>
  </si>
  <si>
    <t>EBS:EPM error(49179,0)</t>
  </si>
  <si>
    <t>EBS:EPM3气压传感器学习的偏移量过低</t>
  </si>
  <si>
    <t>4917900:</t>
  </si>
  <si>
    <t>EPM 4 pressure sensor- learned offset too low</t>
  </si>
  <si>
    <t>EBS:EPM故障(49435,0)</t>
  </si>
  <si>
    <t>EBS:EPM error(49435,0)</t>
  </si>
  <si>
    <t>EBS:EPM4气压传感器学习的偏移量过低</t>
  </si>
  <si>
    <t>4943500:</t>
  </si>
  <si>
    <t>EPM 5 pressure sensor- learned offset too low</t>
  </si>
  <si>
    <t>EBS:EPM故障(49691,0)</t>
  </si>
  <si>
    <t>EBS:EPM error(49691,0)</t>
  </si>
  <si>
    <t>EBS:EPM5气压传感器学习的偏移量过低</t>
  </si>
  <si>
    <t>4969100:</t>
  </si>
  <si>
    <t>EPM 6 pressure sensor- learned offset too low</t>
  </si>
  <si>
    <t>EBS:EPM故障(49947,0)</t>
  </si>
  <si>
    <t>EBS:EPM error(49947,0)</t>
  </si>
  <si>
    <t>EBS:EPM6气压传感器学习的偏移量过低</t>
  </si>
  <si>
    <t>4994700:</t>
  </si>
  <si>
    <t>EPM 1 pressure sensor- learned offset too high</t>
  </si>
  <si>
    <t>Check EPM silencer. If plugged then
clean/replace it. If silencer is OK, then replace EPM.</t>
  </si>
  <si>
    <t>EBS:EPM故障(48668,0)</t>
  </si>
  <si>
    <t>EBS:EPM error(48668,0)</t>
  </si>
  <si>
    <t>EBS:EPM1气压传感器学习的偏移量过高</t>
  </si>
  <si>
    <t>4866800:</t>
  </si>
  <si>
    <t>EPM 2 pressure sensor- learned offset too high</t>
  </si>
  <si>
    <t>EBS:EPM故障(48924,0)</t>
  </si>
  <si>
    <t>EBS:EPM error(48924,0)</t>
  </si>
  <si>
    <t>EBS:EPM2气压传感器学习的偏移量过高</t>
  </si>
  <si>
    <t>4892400:</t>
  </si>
  <si>
    <t>EPM 3 pressure sensor- learned offset too high</t>
  </si>
  <si>
    <t>EBS:EPM故障(49180,0)</t>
  </si>
  <si>
    <t>EBS:EPM error(49180,0)</t>
  </si>
  <si>
    <t>EBS:EPM3气压传感器学习的偏移量过高</t>
  </si>
  <si>
    <t>4918000:</t>
  </si>
  <si>
    <t>EPM 4 pressure sensor- learned offset too high</t>
  </si>
  <si>
    <t>EBS:EPM故障(49436,0)</t>
  </si>
  <si>
    <t>EBS:EPM error(49436,0)</t>
  </si>
  <si>
    <t>EBS:EPM4气压传感器学习的偏移量过高</t>
  </si>
  <si>
    <t>4943600:</t>
  </si>
  <si>
    <t>EPM 5 pressure sensor- learned offset too high</t>
  </si>
  <si>
    <t>EBS:EPM故障(49692,0)</t>
  </si>
  <si>
    <t>EBS:EPM error(49692,0)</t>
  </si>
  <si>
    <t>EBS:EPM5气压传感器学习的偏移量过高</t>
  </si>
  <si>
    <t>4969200:</t>
  </si>
  <si>
    <t>EPM 6 pressure sensor- learned offset too high</t>
  </si>
  <si>
    <t>EBS:EPM故障(49948,0)</t>
  </si>
  <si>
    <t>EBS:EPM error(49948,0)</t>
  </si>
  <si>
    <t>EBS:EPM6气压传感器学习的偏移量过高</t>
  </si>
  <si>
    <t>4994800:</t>
  </si>
  <si>
    <t>EPM at wheel 1- Brake pressure signal error</t>
  </si>
  <si>
    <t>Check pneumatic piping or part, repair if
faulty. Check received values of the supply pressure sensors, If no fault is found in the pneumatic piping or part or at supply pressure value, replace EPM.</t>
  </si>
  <si>
    <t>EBS:气路故障(51260,0)</t>
  </si>
  <si>
    <t>EBS:Brake pressure signal error(51260,0)</t>
  </si>
  <si>
    <t>EBS:EPM1发送的气压难以置信</t>
  </si>
  <si>
    <t>5126000:</t>
  </si>
  <si>
    <t>EPM at wheel 2- Brake pressure signal error</t>
  </si>
  <si>
    <t>EBS:气路故障(51516,0)</t>
  </si>
  <si>
    <t>EBS:Brake pressure signal error(51516,0)</t>
  </si>
  <si>
    <t>EBS:EPM2发送的气压难以置信</t>
  </si>
  <si>
    <t>5151600:</t>
  </si>
  <si>
    <t>EPM at wheel 3- Brake pressure signal error</t>
  </si>
  <si>
    <t>EBS:气路故障(51772,0)</t>
  </si>
  <si>
    <t>EBS:Brake pressure signal error(51772,0)</t>
  </si>
  <si>
    <t>EBS:EPM3发送的气压难以置信</t>
  </si>
  <si>
    <t>5177200:</t>
  </si>
  <si>
    <t>EPM at wheel 4- Brake pressure signal error</t>
  </si>
  <si>
    <t>EBS:气路故障(52028,0)</t>
  </si>
  <si>
    <t>EBS:Brake pressure signal error(52028,0)</t>
  </si>
  <si>
    <t>EBS:EPM4发送的气压难以置信</t>
  </si>
  <si>
    <t>5202800:</t>
  </si>
  <si>
    <t>EPM at wheel 5- Brake pressure signal error</t>
  </si>
  <si>
    <t>EBS:气路故障(52284,0)</t>
  </si>
  <si>
    <t>EBS:Brake pressure signal error(52284,0)</t>
  </si>
  <si>
    <t>EBS:EPM5发送的气压难以置信</t>
  </si>
  <si>
    <t>5228400:</t>
  </si>
  <si>
    <t>EPM at wheel 6- Brake pressure signal error</t>
  </si>
  <si>
    <t>EBS:气路故障(52540,0)</t>
  </si>
  <si>
    <t>EBS:Brake pressure signal error(52540,0)</t>
  </si>
  <si>
    <t>EBS:EPM6发送的气压难以置信</t>
  </si>
  <si>
    <t>5254000:</t>
  </si>
  <si>
    <t>EPM at wheel 1- Pressure implausible when depressurizing</t>
  </si>
  <si>
    <t>Check EPM silencer. If plugged then clean/replace it. If silencer is OK, then
replace EPM</t>
  </si>
  <si>
    <t>EBS:EPM故障(51261,0)</t>
  </si>
  <si>
    <t>EBS:EPM error(51261,0)</t>
  </si>
  <si>
    <t>EBS:EPM1制动释放时气压难以置信</t>
  </si>
  <si>
    <t>5126100:</t>
  </si>
  <si>
    <t>EPM at wheel 2- Pressure implausible when depressurizing</t>
  </si>
  <si>
    <t>EBS:EPM故障(51517,0)</t>
  </si>
  <si>
    <t>EBS:EPM error(51517,0)</t>
  </si>
  <si>
    <t>EBS:EPM2制动释放时气压难以置信</t>
  </si>
  <si>
    <t>5151700:</t>
  </si>
  <si>
    <t>EPM at wheel 3- Pressure implausible when depressurizing</t>
  </si>
  <si>
    <t>EBS:EPM故障(51773,0)</t>
  </si>
  <si>
    <t>EBS:EPM error(51773,0)</t>
  </si>
  <si>
    <t>EBS:EPM3制动释放时气压难以置信</t>
  </si>
  <si>
    <t>5177300:</t>
  </si>
  <si>
    <t>EPM at wheel 4- Pressure implausible when depressurizing</t>
  </si>
  <si>
    <t>EBS:EPM故障(52029,0)</t>
  </si>
  <si>
    <t>EBS:EPM error(52029,0)</t>
  </si>
  <si>
    <t>EBS:EPM4制动释放时气压难以置信</t>
  </si>
  <si>
    <t>5202900:</t>
  </si>
  <si>
    <t>EPM at wheel 5- Pressure implausible when depressurizing</t>
  </si>
  <si>
    <t>EBS:EPM故障(52285,0)</t>
  </si>
  <si>
    <t>EBS:EPM error(52285,0)</t>
  </si>
  <si>
    <t>EBS:EPM5制动释放时气压难以置信</t>
  </si>
  <si>
    <t>5228500:</t>
  </si>
  <si>
    <t>EPM at wheel 6- Pressure implausible when depressurizing</t>
  </si>
  <si>
    <t>EBS:EPM故障(52541,0)</t>
  </si>
  <si>
    <t>EBS:EPM error(52541,0)</t>
  </si>
  <si>
    <t>EBS:EPM6制动释放时气压难以置信</t>
  </si>
  <si>
    <t>5254100:</t>
  </si>
  <si>
    <t>EPM at wheel 1- Transmitted full braking pressure incorrect</t>
  </si>
  <si>
    <t>Check pneumatic piping or part to EPM,
between EPM and wheel brake, between EPM and supply pressure, repair if faulty. If no fault is found in the pneumatic piping or part, replace EPM.</t>
  </si>
  <si>
    <t>EBS:气路故障(51262,0)</t>
  </si>
  <si>
    <t>EBS:Brake pressure signal error(51262,0)</t>
  </si>
  <si>
    <t>EBS:EPM1发送的全制动气压不正确</t>
  </si>
  <si>
    <t>5126200:</t>
  </si>
  <si>
    <t>EPM at wheel 2- Transmitted full braking pressure incorrect</t>
  </si>
  <si>
    <t>EBS:气路故障(51518,0)</t>
  </si>
  <si>
    <t>EBS:Brake pressure signal error(51518,0)</t>
  </si>
  <si>
    <t>EBS:EPM2发送的全制动气压不正确</t>
  </si>
  <si>
    <t>5151800:</t>
  </si>
  <si>
    <t>EPM at wheel 3- Transmitted full braking pressure incorrect</t>
  </si>
  <si>
    <t>EBS:气路故障(51774,0)</t>
  </si>
  <si>
    <t>EBS:Brake pressure signal error(51774,0)</t>
  </si>
  <si>
    <t>EBS:EPM3发送的全制动气压不正确</t>
  </si>
  <si>
    <t>5177400:</t>
  </si>
  <si>
    <t>EPM at wheel 4- Transmitted full braking pressure incorrect</t>
  </si>
  <si>
    <t>EBS:气路故障(52030,0)</t>
  </si>
  <si>
    <t>EBS:Brake pressure signal error(52030,0)</t>
  </si>
  <si>
    <t>EBS:EPM4发送的全制动气压不正确</t>
  </si>
  <si>
    <t>5203000:</t>
  </si>
  <si>
    <t>EPM at wheel 5- Transmitted full braking pressure incorrect</t>
  </si>
  <si>
    <t>EBS:气路故障(52286,0)</t>
  </si>
  <si>
    <t>EBS:Brake pressure signal error(52286,0)</t>
  </si>
  <si>
    <t>EBS:EPM5发送的全制动气压不正确</t>
  </si>
  <si>
    <t>5228600:</t>
  </si>
  <si>
    <t>EPM at wheel 6- Transmitted full braking pressure incorrect</t>
  </si>
  <si>
    <t>EBS:气路故障(52542,0)</t>
  </si>
  <si>
    <t>EBS:Brake pressure signal error(52542,0)</t>
  </si>
  <si>
    <t>EBS:EPM6发送的全制动气压不正确</t>
  </si>
  <si>
    <t>5254200:</t>
  </si>
  <si>
    <t>EPM at wheel 1- Pressure difference between the pressure specified by the ECU and the one reached at the EPM</t>
  </si>
  <si>
    <t>Check pneumatic piping between EPM
and supply pressure, and EPM and PCV, repair if faulty. Check values of received supply pressure signals, Check PCV operation with diagnostic tool, replace PCV if faulty If fault is found neither in the pneumatic piping, nor in the supply pressure sensors, nor in the PCV, then replace EPM.</t>
  </si>
  <si>
    <t>EBS:EBS故障(51263,0)</t>
  </si>
  <si>
    <t>EBS:EBSerror(51263,0)</t>
  </si>
  <si>
    <t>EBS:EPM1 ECU请求的压力与EPM实际压力差别大</t>
  </si>
  <si>
    <t>5126300:</t>
  </si>
  <si>
    <t>EPM at wheel 2- Pressure difference between the pressure specified by the ECU and the one reached at the EPM</t>
  </si>
  <si>
    <t>EBS:EBS故障(51519,0)</t>
  </si>
  <si>
    <t>EBS:EBSerror(51519,0)</t>
  </si>
  <si>
    <t>EBS:EPM2 ECU请求的压力与EPM实际压力差别大</t>
  </si>
  <si>
    <t>5151900:</t>
  </si>
  <si>
    <t>EPM at wheel 3- Pressure difference between the pressure specified by the ECU and the one reached at the EPM</t>
  </si>
  <si>
    <t>EBS:EBS故障(51775,0)</t>
  </si>
  <si>
    <t>EBS:EBSerror(51775,0)</t>
  </si>
  <si>
    <t>EBS:EPM3 ECU请求的压力与EPM实际压力差别大</t>
  </si>
  <si>
    <t>5177500:</t>
  </si>
  <si>
    <t>EPM at wheel 4- Pressure difference between the pressure specified by the ECU and the one reached at the EPM</t>
  </si>
  <si>
    <t>EBS:EBS故障(52031,0)</t>
  </si>
  <si>
    <t>EBS:EBSerror(52031,0)</t>
  </si>
  <si>
    <t>EBS:EPM4 ECU请求的压力与EPM实际压力差别大</t>
  </si>
  <si>
    <t>5203100:</t>
  </si>
  <si>
    <t>EPM at wheel 5- Pressure difference between the pressure specified by the ECU and the one reached at the EPM</t>
  </si>
  <si>
    <t>EBS:EBS故障(52287,0)</t>
  </si>
  <si>
    <t>EBS:EBSerror(52287,0)</t>
  </si>
  <si>
    <t>EBS:EPM5 ECU请求的压力与EPM实际压力差别大</t>
  </si>
  <si>
    <t>5228700:</t>
  </si>
  <si>
    <t>EPM at wheel 6- Pressure difference between the pressure specified by the ECU and the one reached at the EPM</t>
  </si>
  <si>
    <t>EBS:EBS故障(52543,0)</t>
  </si>
  <si>
    <t>EBS:EBSerror(52543,0)</t>
  </si>
  <si>
    <t>EBS:EPM6 ECU请求的压力与EPM实际压力差别大</t>
  </si>
  <si>
    <t>5254300:</t>
  </si>
  <si>
    <t>EPM at wheel 1- Backup function temporarily faulty</t>
  </si>
  <si>
    <t>Check pneumatic piping between FBM
and EPM, repair if faulty. Check backup pressure increase from FBM. Replace FBM if faulty. Check received values of supply pressure signals Otherwise EPM is defect, replace EPM.</t>
  </si>
  <si>
    <t>EBS:气路故障(51264,0)</t>
  </si>
  <si>
    <t>EBS:Brake pressure signal error(51264,0)</t>
  </si>
  <si>
    <t>EBS:EPM1备用功能出现暂时故障</t>
  </si>
  <si>
    <t>5126400:</t>
  </si>
  <si>
    <t>EPM at wheel 2- Backup function temporarily faulty</t>
  </si>
  <si>
    <t>EBS:气路故障(51520,0)</t>
  </si>
  <si>
    <t>EBS:Brake pressure signal error(51520,0)</t>
  </si>
  <si>
    <t>EBS:EPM2备用功能出现暂时故障</t>
  </si>
  <si>
    <t>5152000:</t>
  </si>
  <si>
    <t>EPM at wheel 3- Backup function temporarily faulty</t>
  </si>
  <si>
    <t>EBS:气路故障(51776,0)</t>
  </si>
  <si>
    <t>EBS:Brake pressure signal error(51776,0)</t>
  </si>
  <si>
    <t>EBS:EPM3备用功能出现暂时故障</t>
  </si>
  <si>
    <t>5177600:</t>
  </si>
  <si>
    <t>EPM at wheel 4- Backup function temporarily faulty</t>
  </si>
  <si>
    <t>EBS:气路故障(52032,0)</t>
  </si>
  <si>
    <t>EBS:Brake pressure signal error(52032,0)</t>
  </si>
  <si>
    <t>EBS:EPM4备用功能出现暂时故障</t>
  </si>
  <si>
    <t>5203200:</t>
  </si>
  <si>
    <t>EPM at wheel 5- Backup function temporarily faulty</t>
  </si>
  <si>
    <t>EBS:气路故障(52288,0)</t>
  </si>
  <si>
    <t>EBS:Brake pressure signal error(52288,0)</t>
  </si>
  <si>
    <t>EBS:EPM5备用功能出现暂时故障</t>
  </si>
  <si>
    <t>5228800:</t>
  </si>
  <si>
    <t>EPM at wheel 6- Backup function temporarily faulty</t>
  </si>
  <si>
    <t>EBS:气路故障(52544,0)</t>
  </si>
  <si>
    <t>EBS:Brake pressure signal error(52544,0)</t>
  </si>
  <si>
    <t>EBS:EPM6备用功能出现暂时故障</t>
  </si>
  <si>
    <t>5254400:</t>
  </si>
  <si>
    <t>EPM at wheel 1- Brake test temporarily incorrect</t>
  </si>
  <si>
    <t>Check pneumatic piping between EPM
and FBM, repair if faulty. Check exhaust of backup pressure by FBM. Check backup pressure dependent on FBM (de-
)actuation. Replace FBM if faulty If fault is neither found in the backup piping nor in the FBM, replace EPM.</t>
  </si>
  <si>
    <t>EBS:气路故障(51265,0)</t>
  </si>
  <si>
    <t>EBS:Brake pressure signal error(51265,0)</t>
  </si>
  <si>
    <t>EBS:EPM1制动测试暂时不正确</t>
  </si>
  <si>
    <t>5126500:</t>
  </si>
  <si>
    <t>EPM at wheel 2- Brake test temporarily incorrect</t>
  </si>
  <si>
    <t>EBS:气路故障(51521,0)</t>
  </si>
  <si>
    <t>EBS:Brake pressure signal error(51521,0)</t>
  </si>
  <si>
    <t>EBS:EPM2制动测试暂时不正确</t>
  </si>
  <si>
    <t>5152100:</t>
  </si>
  <si>
    <t>EPM at wheel 3- Brake test temporarily incorrect</t>
  </si>
  <si>
    <t>EBS:气路故障(51777,0)</t>
  </si>
  <si>
    <t>EBS:Brake pressure signal error(51777,0)</t>
  </si>
  <si>
    <t>EBS:EPM3制动测试暂时不正确</t>
  </si>
  <si>
    <t>5177700:</t>
  </si>
  <si>
    <t>EPM at wheel 4- Brake test temporarily incorrect</t>
  </si>
  <si>
    <t>EBS:气路故障(52033,0)</t>
  </si>
  <si>
    <t>EBS:Brake pressure signal error(52033,0)</t>
  </si>
  <si>
    <t>EBS:EPM4制动测试暂时不正确</t>
  </si>
  <si>
    <t>5203300:</t>
  </si>
  <si>
    <t>EPM at wheel 5- Brake test temporarily incorrect</t>
  </si>
  <si>
    <t>EBS:气路故障(52289,0)</t>
  </si>
  <si>
    <t>EBS:Brake pressure signal error(52289,0)</t>
  </si>
  <si>
    <t>EBS:EPM5制动测试暂时不正确</t>
  </si>
  <si>
    <t>5228900:</t>
  </si>
  <si>
    <t>EPM at wheel 6- Brake test temporarily incorrect</t>
  </si>
  <si>
    <t>EBS:气路故障(52545,0)</t>
  </si>
  <si>
    <t>EBS:Brake pressure signal error(52545,0)</t>
  </si>
  <si>
    <t>EBS:EPM6制动测试暂时不正确</t>
  </si>
  <si>
    <t>5254500:</t>
  </si>
  <si>
    <t>EPM at wheel 1- Pressure difference to EPM on the same axle too high</t>
  </si>
  <si>
    <t>Check EPM silencers. If plugged then
clean/replace them. Check pneumatic part between EPM and wheel brake, or branch of supply pressure between 2
EPMs at axle, repair if faulty. If fault is found neither in silencers, nor in the pneumatics, replace the faulty EPM.</t>
  </si>
  <si>
    <t>EBS:气路故障(51266,0)</t>
  </si>
  <si>
    <t>EBS:Brake pressure signal error(51266,0)</t>
  </si>
  <si>
    <t>EBS:EPM1与同一轴上的EPM气压差过大</t>
  </si>
  <si>
    <t>5126600:</t>
  </si>
  <si>
    <t>EPM at wheel 2- Pressure difference to EPM on the same axle too high</t>
  </si>
  <si>
    <t>EBS:气路故障(51522,0)</t>
  </si>
  <si>
    <t>EBS:Brake pressure signal error(51522,0)</t>
  </si>
  <si>
    <t>EBS:EPM2与同一轴上的EPM气压差过大</t>
  </si>
  <si>
    <t>5152200:</t>
  </si>
  <si>
    <t>EPM at wheel 3- Pressure difference to EPM on the same axle too high</t>
  </si>
  <si>
    <t>EBS:气路故障(51778,0)</t>
  </si>
  <si>
    <t>EBS:Brake pressure signal error(51778,0)</t>
  </si>
  <si>
    <t>EBS:EPM3与同一轴上的EPM气压差过大</t>
  </si>
  <si>
    <t>5177800:</t>
  </si>
  <si>
    <t>EPM at wheel 4- Pressure difference to EPM on the same axle too high</t>
  </si>
  <si>
    <t>EBS:气路故障(52034,0)</t>
  </si>
  <si>
    <t>EBS:Brake pressure signal error(52034,0)</t>
  </si>
  <si>
    <t>EBS:EPM4与同一轴上的EPM气压差过大</t>
  </si>
  <si>
    <t>5203400:</t>
  </si>
  <si>
    <t>EPM at wheel 5- Pressure difference to EPM on the same axle too high</t>
  </si>
  <si>
    <t>EBS:气路故障(52290,0)</t>
  </si>
  <si>
    <t>EBS:Brake pressure signal error(52290,0)</t>
  </si>
  <si>
    <t>EBS:EPM5与同一轴上的EPM气压差过大</t>
  </si>
  <si>
    <t>5229000:</t>
  </si>
  <si>
    <t>EPM at wheel 6- Pressure difference to EPM on the same axle too high</t>
  </si>
  <si>
    <t>EBS:气路故障(52546,0)</t>
  </si>
  <si>
    <t>EBS:Brake pressure signal error(52546,0)</t>
  </si>
  <si>
    <t>EBS:EPM6与同一轴上的EPM气压差过大</t>
  </si>
  <si>
    <t>5254600:</t>
  </si>
  <si>
    <t>EPM at wheel 1- Implausible pressure when not braked</t>
  </si>
  <si>
    <t>Check backup pressure during no brake application. If residual pressure is found,
check the silencer on the FBM for contamination, replace if necessary, check and correct installation of the FBM, replace FBM if faulty. If fault is not found in the FBM, replace EPM.</t>
  </si>
  <si>
    <t>EBS:气路故障(51267,0)</t>
  </si>
  <si>
    <t>EBS:Brake pressure signal error(51267,0)</t>
  </si>
  <si>
    <t>EBS:EPM1不制动时出现不可思议的气压</t>
  </si>
  <si>
    <t>5126700:</t>
  </si>
  <si>
    <t>EPM at wheel 2- Implausible pressure when not braked</t>
  </si>
  <si>
    <t>EBS:气路故障(51523,0)</t>
  </si>
  <si>
    <t>EBS:Brake pressure signal error(51523,0)</t>
  </si>
  <si>
    <t>EBS:EPM2不制动时出现不可思议的气压</t>
  </si>
  <si>
    <t>5152300:</t>
  </si>
  <si>
    <t>EPM at wheel 3- Implausible pressure when not braked</t>
  </si>
  <si>
    <t>EBS:气路故障(51779,0)</t>
  </si>
  <si>
    <t>EBS:Brake pressure signal error(51779,0)</t>
  </si>
  <si>
    <t>EBS:EPM3不制动时出现不可思议的气压</t>
  </si>
  <si>
    <t>5177900:</t>
  </si>
  <si>
    <t>EPM at wheel 4- Implausible pressure when not braked</t>
  </si>
  <si>
    <t>EBS:气路故障(52035,0)</t>
  </si>
  <si>
    <t>EBS:Brake pressure signal error(52035,0)</t>
  </si>
  <si>
    <t>EBS:EPM4不制动时出现不可思议的气压</t>
  </si>
  <si>
    <t>5203500:</t>
  </si>
  <si>
    <t>EPM at wheel 5- Implausible pressure when not braked</t>
  </si>
  <si>
    <t>EBS:气路故障(52291,0)</t>
  </si>
  <si>
    <t>EBS:Brake pressure signal error(52291,0)</t>
  </si>
  <si>
    <t>EBS:EPM5不制动时出现不可思议的气压</t>
  </si>
  <si>
    <t>5229100:</t>
  </si>
  <si>
    <t>EPM at wheel 6- Implausible pressure when not braked</t>
  </si>
  <si>
    <t>EBS:气路故障(52547,0)</t>
  </si>
  <si>
    <t>EBS:Brake pressure signal error(52547,0)</t>
  </si>
  <si>
    <t>EBS:EPM6不制动时出现不可思议的气压</t>
  </si>
  <si>
    <t>5254700:</t>
  </si>
  <si>
    <t>EPM at wheel 1- Pressure after breaking implausibly high</t>
  </si>
  <si>
    <t>Check EPM silencer. If plugged then
clean/replace it. If silencer is OK, then replace EPM</t>
  </si>
  <si>
    <t>EBS:EPM故障(51268,0)</t>
  </si>
  <si>
    <t>EBS:EPM error(51268,0)</t>
  </si>
  <si>
    <t>EBS:EPM1制动后气压难以置信-太高</t>
  </si>
  <si>
    <t>5126800:</t>
  </si>
  <si>
    <t>EPM at wheel 2- Pressure after breaking implausibly high</t>
  </si>
  <si>
    <t>EBS:EPM故障(51524,0)</t>
  </si>
  <si>
    <t>EBS:EPM error(51524,0)</t>
  </si>
  <si>
    <t>EBS:EPM2制动后气压难以置信-太高</t>
  </si>
  <si>
    <t>5152400:</t>
  </si>
  <si>
    <t>EPM at wheel 3- Pressure after breaking implausibly high</t>
  </si>
  <si>
    <t>EBS:EPM故障(51780,0)</t>
  </si>
  <si>
    <t>EBS:EPM error(51780,0)</t>
  </si>
  <si>
    <t>EBS:EPM3制动后气压难以置信-太高</t>
  </si>
  <si>
    <t>5178000:</t>
  </si>
  <si>
    <t>EPM at wheel 4- Pressure after breaking implausibly high</t>
  </si>
  <si>
    <t>EBS:EPM故障(52036,0)</t>
  </si>
  <si>
    <t>EBS:EPM error(52036,0)</t>
  </si>
  <si>
    <t>EBS:EPM4制动后气压难以置信-太高</t>
  </si>
  <si>
    <t>5203600:</t>
  </si>
  <si>
    <t>EPM at wheel 5- Pressure after breaking implausibly high</t>
  </si>
  <si>
    <t>EBS:EPM故障(52292,0)</t>
  </si>
  <si>
    <t>EBS:EPM error(52292,0)</t>
  </si>
  <si>
    <t>EBS:EPM5制动后气压难以置信-太高</t>
  </si>
  <si>
    <t>5229200:</t>
  </si>
  <si>
    <t>EPM at wheel 6- Pressure after breaking implausibly high</t>
  </si>
  <si>
    <t>EBS:EPM故障(52548,0)</t>
  </si>
  <si>
    <t>EBS:EPM error(52548,0)</t>
  </si>
  <si>
    <t>EBS:EPM6制动后气压难以置信-太高</t>
  </si>
  <si>
    <t>5254800:</t>
  </si>
  <si>
    <t>EPM at wheel 1- Implausible behaviour of the inlet valve</t>
  </si>
  <si>
    <t>EBS:EBS故障(51269,0)</t>
  </si>
  <si>
    <t>EBS:EBSerror(51269,0)</t>
  </si>
  <si>
    <t>EBS:EPM1进气阀门难以置信的行为</t>
  </si>
  <si>
    <t>5126900:</t>
  </si>
  <si>
    <t>EPM at wheel 2- Implausible behaviour of the inlet valve</t>
  </si>
  <si>
    <t>EBS:EBS故障(51525,0)</t>
  </si>
  <si>
    <t>EBS:EBSerror(51525,0)</t>
  </si>
  <si>
    <t>EBS:EPM2进气阀门难以置信的行为</t>
  </si>
  <si>
    <t>5152500:</t>
  </si>
  <si>
    <t>EPM at wheel 3- Implausible behaviour of the inlet valve</t>
  </si>
  <si>
    <t>EBS:EBS故障(51781,0)</t>
  </si>
  <si>
    <t>EBS:EBSerror(51781,0)</t>
  </si>
  <si>
    <t>EBS:EPM3进气阀门难以置信的行为</t>
  </si>
  <si>
    <t>5178100:</t>
  </si>
  <si>
    <t>EPM at wheel 4- Implausible behaviour of the inlet valve</t>
  </si>
  <si>
    <t>EBS:EBS故障(52037,0)</t>
  </si>
  <si>
    <t>EBS:EBSerror(52037,0)</t>
  </si>
  <si>
    <t>EBS:EPM4进气阀门难以置信的行为</t>
  </si>
  <si>
    <t>5203700:</t>
  </si>
  <si>
    <t>EPM at wheel 5- Implausible behaviour of the inlet valve</t>
  </si>
  <si>
    <t>EBS:EBS故障(52293,0)</t>
  </si>
  <si>
    <t>EBS:EBSerror(52293,0)</t>
  </si>
  <si>
    <t>EBS:EPM5进气阀门难以置信的行为</t>
  </si>
  <si>
    <t>5229300:</t>
  </si>
  <si>
    <t>EPM at wheel 6- Implausible behaviour of the inlet valve</t>
  </si>
  <si>
    <t>EBS:EBS故障(52549,0)</t>
  </si>
  <si>
    <t>EBS:EBSerror(52549,0)</t>
  </si>
  <si>
    <t>EBS:EPM6进气阀门难以置信的行为</t>
  </si>
  <si>
    <t>5254900:</t>
  </si>
  <si>
    <t>EPM at wheel 1- Implausible outlet valve position</t>
  </si>
  <si>
    <t>EBS:EPM故障(51270,0)</t>
  </si>
  <si>
    <t>EBS:EPM error(51270,0)</t>
  </si>
  <si>
    <t>EBS:EPM1排气控制阀难以置信的位置</t>
  </si>
  <si>
    <t>5127000:</t>
  </si>
  <si>
    <t>EPM at wheel 2- Implausible outlet valve position</t>
  </si>
  <si>
    <t>EBS:EPM故障(51526,0)</t>
  </si>
  <si>
    <t>EBS:EPM error(51526,0)</t>
  </si>
  <si>
    <t>EBS:EPM2排气控制阀难以置信的位置</t>
  </si>
  <si>
    <t>5152600:</t>
  </si>
  <si>
    <t>EPM at wheel 3- Implausible outlet valve position</t>
  </si>
  <si>
    <t>EBS:EPM故障(51782,0)</t>
  </si>
  <si>
    <t>EBS:EPM error(51782,0)</t>
  </si>
  <si>
    <t>EBS:EPM3排气控制阀难以置信的位置</t>
  </si>
  <si>
    <t>5178200:</t>
  </si>
  <si>
    <t>EPM at wheel 4- Implausible outlet valve position</t>
  </si>
  <si>
    <t>EBS:EPM故障(52038,0)</t>
  </si>
  <si>
    <t>EBS:EPM error(52038,0)</t>
  </si>
  <si>
    <t>EBS:EPM4排气控制阀难以置信的位置</t>
  </si>
  <si>
    <t>5203800:</t>
  </si>
  <si>
    <t>EPM at wheel 5- Implausible outlet valve position</t>
  </si>
  <si>
    <t>EBS:EPM故障(52294,0)</t>
  </si>
  <si>
    <t>EBS:EPM error(52294,0)</t>
  </si>
  <si>
    <t>EBS:EPM5排气控制阀难以置信的位置</t>
  </si>
  <si>
    <t>5229400:</t>
  </si>
  <si>
    <t>EPM at wheel 6- Implausible outlet valve position</t>
  </si>
  <si>
    <t>EBS:EPM故障(52550,0)</t>
  </si>
  <si>
    <t>EBS:EPM error(52550,0)</t>
  </si>
  <si>
    <t>EBS:EPM6排气控制阀难以置信的位置</t>
  </si>
  <si>
    <t>5255000:</t>
  </si>
  <si>
    <t>EPM at wheel 1- Residual pressure out of range</t>
  </si>
  <si>
    <t>Check actual pressure of EPM during not
braking. Check backup pressure from
FBM during not braking. If pressure &gt;
0bar the FBM is defect Check EPM silencer. If plugged then clean or replace it. Otherwise replace EPM</t>
  </si>
  <si>
    <t>EBS:EPM故障(51271,0)</t>
  </si>
  <si>
    <t>EBS:EPM error(51271,0)</t>
  </si>
  <si>
    <t>EBS:EPM1降压时压力难以置信</t>
  </si>
  <si>
    <t>5127100:</t>
  </si>
  <si>
    <t>EPM at wheel 2- Residual pressure out of range</t>
  </si>
  <si>
    <t>EBS:EPM故障(51527,0)</t>
  </si>
  <si>
    <t>EBS:EPM error(51527,0)</t>
  </si>
  <si>
    <t>EBS:EPM2降压时压力难以置信</t>
  </si>
  <si>
    <t>5152700:</t>
  </si>
  <si>
    <t>EPM at wheel 3- Residual pressure out of range</t>
  </si>
  <si>
    <t>EBS:EPM故障(51783,0)</t>
  </si>
  <si>
    <t>EBS:EPM error(51783,0)</t>
  </si>
  <si>
    <t>EBS:EPM3降压时压力难以置信</t>
  </si>
  <si>
    <t>5178300:</t>
  </si>
  <si>
    <t>EPM at wheel 4- Residual pressure out of range</t>
  </si>
  <si>
    <t>EBS:EPM故障(52039,0)</t>
  </si>
  <si>
    <t>EBS:EPM error(52039,0)</t>
  </si>
  <si>
    <t>EBS:EPM4降压时压力难以置信</t>
  </si>
  <si>
    <t>5203900:</t>
  </si>
  <si>
    <t>EPM at wheel 5- Residual pressure out of range</t>
  </si>
  <si>
    <t>EBS:EPM故障(52295,0)</t>
  </si>
  <si>
    <t>EBS:EPM error(52295,0)</t>
  </si>
  <si>
    <t>EBS:EPM5降压时压力难以置信</t>
  </si>
  <si>
    <t>5229500:</t>
  </si>
  <si>
    <t>EPM at wheel 6- Residual pressure out of range</t>
  </si>
  <si>
    <t>EBS:EPM故障(52551,0)</t>
  </si>
  <si>
    <t>EBS:EPM error(52551,0)</t>
  </si>
  <si>
    <t>EBS:EPM6降压时压力难以置信</t>
  </si>
  <si>
    <t>5255100:</t>
  </si>
  <si>
    <t>Wheel 1 (ALS or general)- Voltage out of range</t>
  </si>
  <si>
    <t>Check wiring to ALS. If correct, replace
ALS. If problem still persists, replace
EPM.</t>
  </si>
  <si>
    <t>EBS:轴载荷传感器故障(58899,0)</t>
  </si>
  <si>
    <t>EBS:ALS sensor error(58899,0)</t>
  </si>
  <si>
    <t>EBS:轮1轴载荷传感器电压超出范围</t>
  </si>
  <si>
    <t>5889900:</t>
  </si>
  <si>
    <t>Wheel 2 (ALS or general)- Voltage out of range</t>
  </si>
  <si>
    <t>EBS:轴载荷传感器故障(59155,0)</t>
  </si>
  <si>
    <t>EBS:ALS sensor error(59155,0)</t>
  </si>
  <si>
    <t>EBS:轮2轴载荷传感器电压超出范围</t>
  </si>
  <si>
    <t>5915500:</t>
  </si>
  <si>
    <t>Wheel 3 (ALS or general)- Voltage out of range</t>
  </si>
  <si>
    <t>EBS:轴载荷传感器故障(59411,0)</t>
  </si>
  <si>
    <t>EBS:ALS sensor error(59411,0)</t>
  </si>
  <si>
    <t>EBS:轮3轴载荷传感器电压超出范围</t>
  </si>
  <si>
    <t>5941100:</t>
  </si>
  <si>
    <t>Wheel 4 (ALS or general)- Voltage out of range</t>
  </si>
  <si>
    <t>EBS:轴载荷传感器故障(59667,0)</t>
  </si>
  <si>
    <t>EBS:ALS sensor error(59667,0)</t>
  </si>
  <si>
    <t>EBS:轮4轴载荷传感器电压超出范围</t>
  </si>
  <si>
    <t>5966700:</t>
  </si>
  <si>
    <t>Wheel 5 (ALS or general)- Voltage out of range</t>
  </si>
  <si>
    <t>EBS:轴载荷传感器故障(59923,0)</t>
  </si>
  <si>
    <t>EBS:ALS sensor error(59923,0)</t>
  </si>
  <si>
    <t>EBS:轮5轴载荷传感器电压超出范围</t>
  </si>
  <si>
    <t>5992300:</t>
  </si>
  <si>
    <t>Wheel 6 (ALS or general)- Voltage out of range</t>
  </si>
  <si>
    <t>EBS:轴载荷传感器故障(60179,0)</t>
  </si>
  <si>
    <t>EBS:ALS sensor error(60179,0)</t>
  </si>
  <si>
    <t>EBS:轮6轴载荷传感器电压超出范围</t>
  </si>
  <si>
    <t>6017900:</t>
  </si>
  <si>
    <t>Wheel 1 (ALS or general)- Internal error</t>
  </si>
  <si>
    <t>If ALS is connected to the EPM, check
wiring to ALS, replace it with a newer one having ALS circuit populated.</t>
  </si>
  <si>
    <t>EBS:轴载荷传感器故障(58925,0)</t>
  </si>
  <si>
    <t>EBS:ALS sensor error(58925,0)</t>
  </si>
  <si>
    <t>EBS:轮1轴载荷传感器线路故障</t>
  </si>
  <si>
    <t>5892500:</t>
  </si>
  <si>
    <t>Wheel 2 (ALS or general)- Internal error</t>
  </si>
  <si>
    <t>EBS:轴载荷传感器故障(59181,0)</t>
  </si>
  <si>
    <t>EBS:ALS sensor error(59181,0)</t>
  </si>
  <si>
    <t>EBS:轮2轴载荷传感器线路故障</t>
  </si>
  <si>
    <t>5918100:</t>
  </si>
  <si>
    <t>Wheel 3 (ALS or general)- Internal error</t>
  </si>
  <si>
    <t>EBS:轴载荷传感器故障(59437,0)</t>
  </si>
  <si>
    <t>EBS:ALS sensor error(59437,0)</t>
  </si>
  <si>
    <t>EBS:轮3轴载荷传感器线路故障</t>
  </si>
  <si>
    <t>5943700:</t>
  </si>
  <si>
    <t>Wheel 4 (ALS or general)- Internal error</t>
  </si>
  <si>
    <t>EBS:轴载荷传感器故障(59693,0)</t>
  </si>
  <si>
    <t>EBS:ALS sensor error(59693,0)</t>
  </si>
  <si>
    <t>EBS:轮4轴载荷传感器线路故障</t>
  </si>
  <si>
    <t>5969300:</t>
  </si>
  <si>
    <t>Wheel 5 (ALS or general)- Internal error</t>
  </si>
  <si>
    <t>EBS:轴载荷传感器故障(59949,0)</t>
  </si>
  <si>
    <t>EBS:ALS sensor error(59949,0)</t>
  </si>
  <si>
    <t>EBS:轮5轴载荷传感器线路故障</t>
  </si>
  <si>
    <t>5994900:</t>
  </si>
  <si>
    <t>Wheel 6 (ALS or general)- Internal error</t>
  </si>
  <si>
    <t>EBS:轴载荷传感器故障(60205,0)</t>
  </si>
  <si>
    <t>EBS:ALS sensor error(60205,0)</t>
  </si>
  <si>
    <t>EBS:轮6轴载荷传感器线路故障</t>
  </si>
  <si>
    <t>6020500:</t>
  </si>
  <si>
    <t>Wheel 1 (ALS or general) - poor braking performance</t>
  </si>
  <si>
    <t>Check the wheel brake and braking
effect, check the pneumatic lines from the EPM to the brake chamber, replace EPM if necessary.</t>
  </si>
  <si>
    <t>EBS:气路故障(58935,0)</t>
  </si>
  <si>
    <t>EBS:Brake pressure signal error(58935,0)</t>
  </si>
  <si>
    <t>EBS:轮1制动性能不佳</t>
  </si>
  <si>
    <t>5893500:</t>
  </si>
  <si>
    <t>Wheel 2 (ALS or general) - poor braking performance</t>
  </si>
  <si>
    <t>EBS:气路故障(59191,0)</t>
  </si>
  <si>
    <t>EBS:Brake pressure signal error(59191,0)</t>
  </si>
  <si>
    <t>EBS:轮2制动性能不佳</t>
  </si>
  <si>
    <t>5919100:</t>
  </si>
  <si>
    <t>Wheel 3 (ALS or general) - poor braking performance</t>
  </si>
  <si>
    <t>EBS:气路故障(59447,0)</t>
  </si>
  <si>
    <t>EBS:Brake pressure signal error(59447,0)</t>
  </si>
  <si>
    <t>EBS:轮3制动性能不佳</t>
  </si>
  <si>
    <t>5944700:</t>
  </si>
  <si>
    <t>Wheel 4 (ALS or general) - poor braking performance</t>
  </si>
  <si>
    <t>EBS:气路故障(59703,0)</t>
  </si>
  <si>
    <t>EBS:Brake pressure signal error(59703,0)</t>
  </si>
  <si>
    <t>EBS:轮4制动性能不佳</t>
  </si>
  <si>
    <t>5970300:</t>
  </si>
  <si>
    <t>Wheel 5 (ALS or general) - poor braking performance</t>
  </si>
  <si>
    <t>EBS:气路故障(59959,0)</t>
  </si>
  <si>
    <t>EBS:Brake pressure signal error(59959,0)</t>
  </si>
  <si>
    <t>EBS:轮5制动性能不佳</t>
  </si>
  <si>
    <t>5995900:</t>
  </si>
  <si>
    <t>Wheel 6 (ALS or general) - poor braking performance</t>
  </si>
  <si>
    <t>EBS:气路故障(60215,0)</t>
  </si>
  <si>
    <t>EBS:Brake pressure signal error(60215,0)</t>
  </si>
  <si>
    <t>EBS:轮6制动性能不佳</t>
  </si>
  <si>
    <t>6021500:</t>
  </si>
  <si>
    <t>Wheel 1 (ABS logic) - implausible ABS control</t>
  </si>
  <si>
    <t>Perform all tests and actions prescribed for the different WSS faults (faults with
WSS in their title).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</si>
  <si>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EBS:EBS故障(61492,0)</t>
  </si>
  <si>
    <t>EBS:EBSerror(61492,0)</t>
  </si>
  <si>
    <t>EBS:轮1难以置信的ABS控制</t>
  </si>
  <si>
    <t>6149200:</t>
  </si>
  <si>
    <t>Wheel 2 (ABS logic) - implausible ABS control</t>
  </si>
  <si>
    <t>EBS:EBS故障(61748,0)</t>
  </si>
  <si>
    <t>EBS:EBSerror(61748,0)</t>
  </si>
  <si>
    <t>EBS:轮2难以置信的ABS控制</t>
  </si>
  <si>
    <t>6174800:</t>
  </si>
  <si>
    <t>Wheel 3 (ABS logic) - implausible ABS control</t>
  </si>
  <si>
    <t>EBS:EBS故障(62004,0)</t>
  </si>
  <si>
    <t>EBS:EBSerror(62004,0)</t>
  </si>
  <si>
    <t>EBS:轮3难以置信的ABS控制</t>
  </si>
  <si>
    <t>6200400:</t>
  </si>
  <si>
    <t>Wheel 4 (ABS logic) - implausible ABS control</t>
  </si>
  <si>
    <t>EBS:EBS故障(62260,0)</t>
  </si>
  <si>
    <t>EBS:EBSerror(62260,0)</t>
  </si>
  <si>
    <t>EBS:轮4难以置信的ABS控制</t>
  </si>
  <si>
    <t>6226000:</t>
  </si>
  <si>
    <t>Wheel 5 (ABS logic) - implausible ABS control</t>
  </si>
  <si>
    <t>EBS:EBS故障(62516,0)</t>
  </si>
  <si>
    <t>EBS:EBSerror(62516,0)</t>
  </si>
  <si>
    <t>EBS:轮5难以置信的ABS控制</t>
  </si>
  <si>
    <t>6251600:</t>
  </si>
  <si>
    <t>Wheel 6 (ABS logic) - implausible ABS control</t>
  </si>
  <si>
    <t>EBS:EBS故障(62772,0)</t>
  </si>
  <si>
    <t>EBS:EBSerror(62772,0)</t>
  </si>
  <si>
    <t>EBS:轮6难以置信的ABS控制</t>
  </si>
  <si>
    <t>6277200:</t>
  </si>
  <si>
    <t>Wheel 1 (ABS logic)- implausible wheel speed during ABS control</t>
  </si>
  <si>
    <t>Perform all tests and actions prescribed
for the different WSS faults (faults with WSS in their title). Check tire, check pneumatic and mechanical parts of wheel brakes. Check if configuration stored in the central ECU corresponds to wheel rolling circumference and tone-wheel
teeth number. If those do not conform, then correct the configuration values or change the part of the vehicle.</t>
  </si>
  <si>
    <t>EBS:EBS故障(61493,0)</t>
  </si>
  <si>
    <t>EBS:EBSerror(61493,0)</t>
  </si>
  <si>
    <t>EBS:轮1在ABS工作过程中出现不可思议的轮速</t>
  </si>
  <si>
    <t>6149300:</t>
  </si>
  <si>
    <t>Wheel 2 (ABS logic)- implausible wheel speed during ABS control</t>
  </si>
  <si>
    <t>EBS:EBS故障(61749,0)</t>
  </si>
  <si>
    <t>EBS:EBSerror(61749,0)</t>
  </si>
  <si>
    <t>EBS:轮2在ABS工作过程中出现不可思议的轮速</t>
  </si>
  <si>
    <t>6174900:</t>
  </si>
  <si>
    <t>Wheel 3 (ABS logic)- implausible wheel speed during ABS control</t>
  </si>
  <si>
    <t>EBS:EBS故障(62005,0)</t>
  </si>
  <si>
    <t>EBS:EBSerror(62005,0)</t>
  </si>
  <si>
    <t>EBS:轮3在ABS工作过程中出现不可思议的轮速</t>
  </si>
  <si>
    <t>6200500:</t>
  </si>
  <si>
    <t>Wheel 4 (ABS logic)- implausible wheel speed during ABS control</t>
  </si>
  <si>
    <t>EBS:EBS故障(62261,0)</t>
  </si>
  <si>
    <t>EBS:EBSerror(62261,0)</t>
  </si>
  <si>
    <t>EBS:轮4在ABS工作过程中出现不可思议的轮速</t>
  </si>
  <si>
    <t>6226100:</t>
  </si>
  <si>
    <t>Wheel 5 (ABS logic)- implausible wheel speed during ABS control</t>
  </si>
  <si>
    <t>EBS:EBS故障(62517,0)</t>
  </si>
  <si>
    <t>EBS:EBSerror(62517,0)</t>
  </si>
  <si>
    <t>EBS:轮5在ABS工作过程中出现不可思议的轮速</t>
  </si>
  <si>
    <t>6251700:</t>
  </si>
  <si>
    <t>Wheel 6 (ABS logic)- implausible wheel speed during ABS control</t>
  </si>
  <si>
    <t>EBS:EBS故障(62773,0)</t>
  </si>
  <si>
    <t>EBS:EBSerror(62773,0)</t>
  </si>
  <si>
    <t>EBS:轮6在ABS工作过程中出现不可思议的轮速</t>
  </si>
  <si>
    <t>6277300:</t>
  </si>
  <si>
    <t>Wheel 1 (ABS logic)- implausible ABS
activation</t>
  </si>
  <si>
    <t>Perform all tests and actions prescribed
for the different WSS faults (faults with WSS in their title). Check the WSS's wire (connections and shielding), if everything OK replace WSS if necessary. Check if configuration stored in the central ECU corresponds to wheel rolling circumference and tone-wheel teeth number. If those do not conform, then correct the configuration values or change the part of the vehicle.</t>
  </si>
  <si>
    <t>EBS:EBS故障(61494,0)</t>
  </si>
  <si>
    <t>EBS:EBSerror(61494,0)</t>
  </si>
  <si>
    <t>EBS:轮1难以置信的ABS激活</t>
  </si>
  <si>
    <t>6149400:</t>
  </si>
  <si>
    <t>Wheel 2 (ABS logic)- implausible ABS
activation</t>
  </si>
  <si>
    <t>EBS:EBS故障(61750,0)</t>
  </si>
  <si>
    <t>EBS:EBSerror(61750,0)</t>
  </si>
  <si>
    <t>EBS:轮2难以置信的ABS激活</t>
  </si>
  <si>
    <t>6175000:</t>
  </si>
  <si>
    <t>Wheel 3 (ABS logic)- implausible ABS
activation</t>
  </si>
  <si>
    <t>EBS:EBS故障(62006,0)</t>
  </si>
  <si>
    <t>EBS:EBSerror(62006,0)</t>
  </si>
  <si>
    <t>EBS:轮3难以置信的ABS激活</t>
  </si>
  <si>
    <t>6200600:</t>
  </si>
  <si>
    <t>Wheel 4 (ABS logic)- implausible ABS
activation</t>
  </si>
  <si>
    <t>EBS:EBS故障(62262,0)</t>
  </si>
  <si>
    <t>EBS:EBSerror(62262,0)</t>
  </si>
  <si>
    <t>EBS:轮4难以置信的ABS激活</t>
  </si>
  <si>
    <t>6226200:</t>
  </si>
  <si>
    <t>Wheel 5 (ABS logic)- implausible ABS
activation</t>
  </si>
  <si>
    <t>EBS:EBS故障(62518,0)</t>
  </si>
  <si>
    <t>EBS:EBSerror(62518,0)</t>
  </si>
  <si>
    <t>EBS:轮5难以置信的ABS激活</t>
  </si>
  <si>
    <t>6251800:</t>
  </si>
  <si>
    <t>Wheel 6 (ABS logic)- implausible ABS
activation</t>
  </si>
  <si>
    <t>EBS:EBS故障(62774,0)</t>
  </si>
  <si>
    <t>EBS:EBSerror(62774,0)</t>
  </si>
  <si>
    <t>EBS:轮6难以置信的ABS激活</t>
  </si>
  <si>
    <t>6277400:</t>
  </si>
  <si>
    <t>Vehicle brake system - Application of the brake
pedal is required</t>
  </si>
  <si>
    <t>Press brake pedal as described in
Reverse test Group 1.</t>
  </si>
  <si>
    <t>EBS:脚阀故障(64969,0)</t>
  </si>
  <si>
    <t>EBS:FBM error(64969,0)</t>
  </si>
  <si>
    <t>EBS:汽车制动系统. 要求踩制动踏板</t>
  </si>
  <si>
    <t>6496900:</t>
  </si>
  <si>
    <t>Check the steering control signal.</t>
  </si>
  <si>
    <t>EBS:CAN通讯故障(65482,0)</t>
  </si>
  <si>
    <t>EBS:CAN bus off(65482,0)</t>
  </si>
  <si>
    <t>6548200:</t>
  </si>
  <si>
    <t>J1939 (power train CAN) -
Error when communicating with an ECU</t>
  </si>
  <si>
    <t>Check the CAN lines</t>
  </si>
  <si>
    <t>EBS:CAN通讯故障(65483,0)</t>
  </si>
  <si>
    <t>EBS:CAN bus off(65483,0)</t>
  </si>
  <si>
    <t>6548300:</t>
  </si>
  <si>
    <t>Error is outside the EBS system. Check
the weight signal</t>
  </si>
  <si>
    <t>EBS:CAN通讯故障(65508,0)</t>
  </si>
  <si>
    <t>EBS:CAN bus off(65508,0)</t>
  </si>
  <si>
    <t>6550800:</t>
  </si>
  <si>
    <t>EBS:CAN通讯故障(65510,0)</t>
  </si>
  <si>
    <t>EBS:CAN bus off(65510,0)</t>
  </si>
  <si>
    <t>6551000:</t>
  </si>
  <si>
    <t>EBS:CAN通讯故障(65511,0)</t>
  </si>
  <si>
    <t>EBS:CAN bus off(65511,0)</t>
  </si>
  <si>
    <t>6551100:</t>
  </si>
  <si>
    <t>J1939 (power train CAN) -
Timeout error when communicating with the engine brake signal</t>
  </si>
  <si>
    <t>Check the components and the wiring
responsible for the engine brake control signal.
Messages: ERC1-REX, Retarder configuration; SA= 0x29</t>
  </si>
  <si>
    <t>EBS:CAN通讯故障(65512,0)</t>
  </si>
  <si>
    <t>EBS:CAN bus off(65512,0)</t>
  </si>
  <si>
    <t>6551200:</t>
  </si>
  <si>
    <t>J1939 (power train CAN) - Timeout error when
communicating with the
FFR</t>
  </si>
  <si>
    <t>Check the components and the wiring responsible for the FFR (vehicle control
unit) signal.
Messages: AUXIO_R, EAC1, SWI2BC, BC_DR</t>
  </si>
  <si>
    <t>EBS:CAN通讯故障(65513,0)</t>
  </si>
  <si>
    <t>EBS:CAN bus off(65513,0)</t>
  </si>
  <si>
    <t>6551300:</t>
  </si>
  <si>
    <t>EBS:CAN通讯故障(65514,0)</t>
  </si>
  <si>
    <t>EBS:CAN bus off(65514,0)</t>
  </si>
  <si>
    <t>6551400:</t>
  </si>
  <si>
    <t>J1939 (power train CAN) - Timeout error when
communicating with the transmission control system</t>
  </si>
  <si>
    <t>Check the components and the wiring responsible for the transmission control
signal.
Messages: ETC1, ETC2, ETC7, ETC8; SA=0x03</t>
  </si>
  <si>
    <t>EBS:CAN通讯故障(65515,0)</t>
  </si>
  <si>
    <t>EBS:CAN bus off(65515,0)</t>
  </si>
  <si>
    <t>6551500:</t>
  </si>
  <si>
    <t>EBS:CAN通讯故障(65516,0)</t>
  </si>
  <si>
    <t>EBS:CAN bus off(65516,0)</t>
  </si>
  <si>
    <t>6551600:</t>
  </si>
  <si>
    <t>Check the APS (Air Processing System)
signal.
Message: Supply Pressure (AIR1)</t>
  </si>
  <si>
    <t>EBS:CAN通讯故障(65517,0)</t>
  </si>
  <si>
    <t>EBS:CAN bus off(65517,0)</t>
  </si>
  <si>
    <t>6551700:</t>
  </si>
  <si>
    <t>J1939 (power train CAN) - Timeout error when
communicating with the
CUV ECU</t>
  </si>
  <si>
    <t>Check the CUV (central vehicle control)
signal.
Message: XBR with SA=0x1B or 0x27</t>
  </si>
  <si>
    <t>EBS:CAN通讯故障(65518,0)</t>
  </si>
  <si>
    <t>EBS:CAN bus off(65518,0)</t>
  </si>
  <si>
    <t>EBS:J1939（传动系统CAN）-与整车控制器通讯超时</t>
  </si>
  <si>
    <t>6551800:</t>
  </si>
  <si>
    <t>EBS:CAN通讯故障(65519,0)</t>
  </si>
  <si>
    <t>EBS:CAN bus off(65519,0)</t>
  </si>
  <si>
    <t>6551900:</t>
  </si>
  <si>
    <t>J1939 (power train CAN) -
Timeout error when communicating with the ride control system</t>
  </si>
  <si>
    <t>Check the components and the wiring
responsible for the ride control signal. Messages: XBR with SA=0x26, OEL</t>
  </si>
  <si>
    <t>EBS:CAN通讯故障(65520,0)</t>
  </si>
  <si>
    <t>EBS:CAN bus off(65520,0)</t>
  </si>
  <si>
    <t>EBS:J1939（传动系统CAN）-XBR报文超时</t>
  </si>
  <si>
    <t>6552000:</t>
  </si>
  <si>
    <t>J1939 (power train CAN) - Timeout error when
communicating with the engine brake</t>
  </si>
  <si>
    <t>Check the components and the wiring responsible for the engine brake signal.
Messages: ERC1-RE, Retarder configuration; SA= 0x0F</t>
  </si>
  <si>
    <t>EBS:CAN通讯故障(65521,0)</t>
  </si>
  <si>
    <t>EBS:CAN bus off(65521,0)</t>
  </si>
  <si>
    <t>EBS:J1939（传动系统CAN）-ERC1-RE报文超时</t>
  </si>
  <si>
    <t>6552100:</t>
  </si>
  <si>
    <t>J1939 (power train CAN) -
Timeout error when communicating with the cruise control system</t>
  </si>
  <si>
    <t>Check the components and the wiring
responsible for the cruise control signal. Message: XBR with SA=0x11</t>
  </si>
  <si>
    <t>EBS:CAN通讯故障(65522,0)</t>
  </si>
  <si>
    <t>EBS:CAN bus off(65522,0)</t>
  </si>
  <si>
    <t>6552200:</t>
  </si>
  <si>
    <t>EBS:CAN通讯故障(65524,0)</t>
  </si>
  <si>
    <t>EBS:CAN bus off(65524,0)</t>
  </si>
  <si>
    <t>6552400:</t>
  </si>
  <si>
    <t>J1939 (power train CAN) - Timeout error or
implausible communication with the BBM ECU (Body Builder Module)</t>
  </si>
  <si>
    <t>Check the signal from the Body Builder
Module ECU</t>
  </si>
  <si>
    <t>EBS:CAN通讯故障(65526,0)</t>
  </si>
  <si>
    <t>EBS:CAN bus off(65526,0)</t>
  </si>
  <si>
    <t>EBS:J1939（传动系统CAN）-与车身控制器通讯超时</t>
  </si>
  <si>
    <t>6552600:</t>
  </si>
  <si>
    <t>EBS:整车减速度异常(2103,0)</t>
  </si>
  <si>
    <t>6553500:</t>
  </si>
  <si>
    <t>EBS:EBS(24832,0)</t>
  </si>
  <si>
    <t>EBS:线路故障(24862,0)</t>
  </si>
  <si>
    <t>EBS:线路故障(24863,0)</t>
  </si>
  <si>
    <t>EBS:线路故障(24864,0)</t>
  </si>
  <si>
    <t>EBS:线路故障(24865,0)</t>
  </si>
  <si>
    <t>EBS:线路故障(24867,0)</t>
  </si>
  <si>
    <t>EBS:线路故障(24870,0)</t>
  </si>
  <si>
    <t>BCM:位置灯继电器开路</t>
  </si>
  <si>
    <t>BCM:位置灯继电器或线路故障(518100,5)</t>
  </si>
  <si>
    <t>BCM:位置灯继电器短路</t>
  </si>
  <si>
    <t>BCM:位置灯继电器或线路故障(518100,6)</t>
  </si>
  <si>
    <t>BCM:远光灯继电器开路</t>
  </si>
  <si>
    <t>BCM:远光灯继电器或线路故障(518101,5)</t>
  </si>
  <si>
    <t>BCM:远光灯继电器短路</t>
  </si>
  <si>
    <t>BCM:远光灯继电器或线路故障(518101,6)</t>
  </si>
  <si>
    <t>BCM:辅助远光灯继电器开路</t>
  </si>
  <si>
    <t>BCM:辅助远光灯继电器或线路故障(518102,5)</t>
  </si>
  <si>
    <t>BCM:辅助远光灯继电器短路</t>
  </si>
  <si>
    <t>BCM:辅助远光灯继电器或线路故障(518102,6)</t>
  </si>
  <si>
    <t>BCM:近光灯继电器开路</t>
  </si>
  <si>
    <t>BCM:近光灯继电器或线路故障(518103,5)</t>
  </si>
  <si>
    <t>BCM:近光灯继电器短路</t>
  </si>
  <si>
    <t>BCM:近光灯继电器或线路故障(518103,6)</t>
  </si>
  <si>
    <t>BCM:前雾灯继电器开路</t>
  </si>
  <si>
    <t>BCM:前雾灯继电器或线路故障(518104,5)</t>
  </si>
  <si>
    <t>BCM:前雾灯继电器短路</t>
  </si>
  <si>
    <t>BCM:前雾灯继电器或线路故障(518104,6)</t>
  </si>
  <si>
    <t>BCM:昼间行车灯短路</t>
  </si>
  <si>
    <t>BCM:昼间行车灯或线路故障(518105,6)</t>
  </si>
  <si>
    <t>BCM:主车左前转向灯开路</t>
  </si>
  <si>
    <t>BCM:主车左前转向灯或线路故障(518106,5)</t>
  </si>
  <si>
    <t>BCM:主车左前转向灯短路</t>
  </si>
  <si>
    <t>BCM:主车左前转向灯或线路故障(518106,6)</t>
  </si>
  <si>
    <t>BCM:主车右前转向灯开路</t>
  </si>
  <si>
    <t>BCM:主车右前转向灯或线路故障(518107,5)</t>
  </si>
  <si>
    <t>BCM:主车右前转向灯短路</t>
  </si>
  <si>
    <t>BCM:主车右前转向灯或线路故障(518107,6)</t>
  </si>
  <si>
    <t>BCM:主车左侧转向灯开路</t>
  </si>
  <si>
    <t>BCM:主车左侧转向灯或线路故障(518108,5)</t>
  </si>
  <si>
    <t>BCM:主车左侧转向灯短路</t>
  </si>
  <si>
    <t>BCM:主车左侧转向灯或线路故障(518108,6)</t>
  </si>
  <si>
    <t>BCM:主车左侧转向灯过载</t>
  </si>
  <si>
    <t>BCM:主车左侧转向灯或线路故障(518108,13)</t>
  </si>
  <si>
    <t>BCM:主车右侧转向灯开路</t>
  </si>
  <si>
    <t>BCM:主车右侧转向灯或线路故障(518109,5)</t>
  </si>
  <si>
    <t>BCM:主车右侧转向灯短路</t>
  </si>
  <si>
    <t>BCM:主车右侧转向灯或线路故障(518109,6)</t>
  </si>
  <si>
    <t>BCM:主车右侧转向灯过载</t>
  </si>
  <si>
    <t>BCM:主车右侧转向灯或线路故障(518109,13)</t>
  </si>
  <si>
    <t>BCM:主车左后转向灯开路</t>
  </si>
  <si>
    <t>BCM:主车左后转向灯或线路故障(518110,5)</t>
  </si>
  <si>
    <t>BCM:主车左后转向灯短路</t>
  </si>
  <si>
    <t>BCM:主车左后转向灯或线路故障(518110,6)</t>
  </si>
  <si>
    <t>BCM:主车左后转向灯过载</t>
  </si>
  <si>
    <t>BCM:主车左后转向灯或线路故障(518110,13)</t>
  </si>
  <si>
    <t>BCM:主车右后转向灯开路</t>
  </si>
  <si>
    <t>BCM:主车右后转向灯或线路故障(518111,5)</t>
  </si>
  <si>
    <t>BCM:主车右后转向灯短路</t>
  </si>
  <si>
    <t>BCM:主车右后转向灯或线路故障(518111,6)</t>
  </si>
  <si>
    <t>BCM:主车右后转向灯过载</t>
  </si>
  <si>
    <t>BCM:主车右后转向灯或线路故障(518111,13)</t>
  </si>
  <si>
    <t>BCM:主车制动灯开路</t>
  </si>
  <si>
    <t>BCM:主车制动灯或线路故障(518112,5)</t>
  </si>
  <si>
    <t>BCM:主车制动灯短路</t>
  </si>
  <si>
    <t>BCM:主车制动灯或线路故障(518112,6)</t>
  </si>
  <si>
    <t>BCM:主车制动灯过载</t>
  </si>
  <si>
    <t>BCM:主车制动灯或线路故障(518112,13)</t>
  </si>
  <si>
    <t>BCM:主车倒车灯开路</t>
  </si>
  <si>
    <t>BCM:主车倒车灯或线路故障(518113,5)</t>
  </si>
  <si>
    <t>BCM:主车倒车灯短路</t>
  </si>
  <si>
    <t>BCM:主车倒车灯或线路故障(518113,6)</t>
  </si>
  <si>
    <t>BCM:主车倒车灯过载</t>
  </si>
  <si>
    <t>BCM:主车倒车灯或线路故障(518113,13)</t>
  </si>
  <si>
    <t>BCM:主车后雾灯开路</t>
  </si>
  <si>
    <t>BCM:主车后雾灯或线路故障(518114,5)</t>
  </si>
  <si>
    <t>BCM:主车后雾灯短路</t>
  </si>
  <si>
    <t>BCM:主车后雾灯或线路故障(518114,6)</t>
  </si>
  <si>
    <t>BCM:主车后雾灯过载</t>
  </si>
  <si>
    <t>BCM:主车后雾灯或线路故障(518114,13)</t>
  </si>
  <si>
    <t>BCM:主车后位置灯开路</t>
  </si>
  <si>
    <t>BCM:主车后位置灯或线路故障(518115,5)</t>
  </si>
  <si>
    <t>BCM:主车后位置灯短路</t>
  </si>
  <si>
    <t>BCM:主车后位置灯或线路故障(518115,6)</t>
  </si>
  <si>
    <t>BCM:主车后位置灯过载</t>
  </si>
  <si>
    <t>BCM:主车后位置灯或线路故障(518115,13)</t>
  </si>
  <si>
    <t>BCM:挂车左转向灯开路</t>
  </si>
  <si>
    <t>BCM:挂车左转向灯或线路故障(518116,5)</t>
  </si>
  <si>
    <t>BCM:挂车左转向灯短路</t>
  </si>
  <si>
    <t>BCM:挂车左转向灯或线路故障(518116,6)</t>
  </si>
  <si>
    <t>BCM:挂车左转向灯过载</t>
  </si>
  <si>
    <t>BCM:挂车左转向灯或线路故障(518116,13)</t>
  </si>
  <si>
    <t>BCM:挂车右转向灯开路</t>
  </si>
  <si>
    <t>BCM:挂车右转向灯或线路故障(518117,5)</t>
  </si>
  <si>
    <t>BCM:挂车右转向灯短路</t>
  </si>
  <si>
    <t>BCM:挂车右转向灯或线路故障(518117,6)</t>
  </si>
  <si>
    <t>BCM:挂车右转向灯过载</t>
  </si>
  <si>
    <t>BCM:挂车右转向灯或线路故障(518117,13)</t>
  </si>
  <si>
    <t>BCM:挂车制动灯开路</t>
  </si>
  <si>
    <t>BCM:挂车制动灯或线路故障(518118,5)</t>
  </si>
  <si>
    <t>BCM:挂车制动灯短路</t>
  </si>
  <si>
    <t>BCM:挂车制动灯或线路故障(518118,6)</t>
  </si>
  <si>
    <t>BCM:挂车制动灯过载</t>
  </si>
  <si>
    <t>BCM:挂车制动灯或线路故障(518118,13)</t>
  </si>
  <si>
    <t>BCM:挂车倒车灯开路</t>
  </si>
  <si>
    <t>BCM:挂车制动灯或线路故障(518119,5)</t>
  </si>
  <si>
    <t>BCM:挂车倒车灯短路</t>
  </si>
  <si>
    <t>BCM:挂车倒车灯或线路故障(518119,6)</t>
  </si>
  <si>
    <t>BCM:挂车倒车灯过载</t>
  </si>
  <si>
    <t>BCM:挂车倒车灯或线路故障(518119,13)</t>
  </si>
  <si>
    <t>BCM:挂车后雾灯开路</t>
  </si>
  <si>
    <t>BCM:挂车倒车灯或线路故障(518120,5)</t>
  </si>
  <si>
    <t>BCM:挂车后雾灯短路</t>
  </si>
  <si>
    <t>BCM:挂车后雾灯或线路故障(518120,6)</t>
  </si>
  <si>
    <t>BCM:挂车后雾灯过载</t>
  </si>
  <si>
    <t>BCM:挂车后雾灯或线路故障(518120,13)</t>
  </si>
  <si>
    <t>BCM:雨刮高速继电器开路</t>
  </si>
  <si>
    <t>BCM:雨刮高速继电器或线路故障(518121,5)</t>
  </si>
  <si>
    <t>BCM:雨刮高速继电器短路</t>
  </si>
  <si>
    <t>BCM:雨刮高速继电器或线路故障(518121,6)</t>
  </si>
  <si>
    <t>BCM:雨刮低速继电器开路</t>
  </si>
  <si>
    <t>BCM:雨刮低速继电器或线路故障(518122,5)</t>
  </si>
  <si>
    <t>BCM:雨刮低速继电器短路</t>
  </si>
  <si>
    <t>BCM:雨刮低速继电器或线路故障(518122,6)</t>
  </si>
  <si>
    <t>BCM:洗涤电机开路</t>
  </si>
  <si>
    <t>BCM:洗涤电机或线路故障(518123,5)</t>
  </si>
  <si>
    <t>BCM:洗涤电机短路</t>
  </si>
  <si>
    <t>BCM:洗涤电机或线路故障(518123,6)</t>
  </si>
  <si>
    <t>BCM:洗涤电机过载</t>
  </si>
  <si>
    <t>BCM:洗涤电机或线路故障(518123,13)</t>
  </si>
  <si>
    <t>BCM:危险报警指示灯短路</t>
  </si>
  <si>
    <t>BCM:危险报警指示灯或线路故障(518124,6)</t>
  </si>
  <si>
    <t>BCM:灯光旋钮背光灯短路</t>
  </si>
  <si>
    <t>BCM:灯光旋钮背光灯或线路故障(518125,6)</t>
  </si>
  <si>
    <t>BCM:电源1故障</t>
  </si>
  <si>
    <t>BCM:电源1故障(518126,5)</t>
  </si>
  <si>
    <t>BCM:电源2故障</t>
  </si>
  <si>
    <t>BCM:电源2故障(518127,5)</t>
  </si>
  <si>
    <t>BCM:电源3故障</t>
  </si>
  <si>
    <t>BCM:电源3故障(518128,5)</t>
  </si>
  <si>
    <t>BCM:电源4故障</t>
  </si>
  <si>
    <t>BCM:电源4故障(518129,5)</t>
  </si>
  <si>
    <t>BCM:5V传感器电源短路到电源</t>
  </si>
  <si>
    <t>BCM:传感器电源故障(518131,3)</t>
  </si>
  <si>
    <t>BCM:5V传感器电源短路到地</t>
  </si>
  <si>
    <t>BCM:传感器电源故障(518131,4)</t>
  </si>
  <si>
    <t>BCM:气喇叭电磁阀开路</t>
  </si>
  <si>
    <t>BCM:气喇叭电磁阀或线路故障(518136,5)</t>
  </si>
  <si>
    <t>BCM:气喇叭电磁阀短路</t>
  </si>
  <si>
    <t>BCM:气喇叭电磁阀或线路故障(518136,6)</t>
  </si>
  <si>
    <t>BCM:电喇叭继电器开路</t>
  </si>
  <si>
    <t>BCM:电喇叭继电器或线路故障(518137,5)</t>
  </si>
  <si>
    <t>BCM:电喇叭继电器短路</t>
  </si>
  <si>
    <t>BCM:电喇叭继电器或线路故障(518137,6)</t>
  </si>
  <si>
    <t>BCM:阅读灯短路</t>
  </si>
  <si>
    <t>BCM:阅读灯或线路故障(518138,6)</t>
  </si>
  <si>
    <t>BCM:后照灯继电器开路</t>
  </si>
  <si>
    <t>BCM:后照灯继电器或线路故障(518139,5)</t>
  </si>
  <si>
    <t>BCM:后照灯继电器短路</t>
  </si>
  <si>
    <t>BCM:后照灯继电器或线路故障(518139,6)</t>
  </si>
  <si>
    <t>BCM:轮间差速电磁阀开路</t>
  </si>
  <si>
    <t>BCM:轮间差速电磁阀或线路故障(518140,5)</t>
  </si>
  <si>
    <t>BCM:轮间差速电磁阀短路</t>
  </si>
  <si>
    <t>BCM:轮间差速电磁阀或线路故障(518140,6)</t>
  </si>
  <si>
    <t>BCM:轴间差速电磁阀开路</t>
  </si>
  <si>
    <t>BCM:轴间差速电磁阀或线路故障(518141,5)</t>
  </si>
  <si>
    <t>BCM:轴间差速电磁阀短路</t>
  </si>
  <si>
    <t>BCM:轴间差速电磁阀或线路故障(518141,6)</t>
  </si>
  <si>
    <t>BCM:取力电磁阀开路</t>
  </si>
  <si>
    <t>BCM:取力电磁阀或线路故障(518142,5)</t>
  </si>
  <si>
    <t>BCM:取力电磁阀短路</t>
  </si>
  <si>
    <t>BCM:取力电磁阀或线路故障(518142,6)</t>
  </si>
  <si>
    <t>BCM:预留传感器信号短路到电源</t>
  </si>
  <si>
    <t>BCM:预留传感器信号电压高(518148,3)</t>
  </si>
  <si>
    <t>BCM:预留传感器信号短路到地</t>
  </si>
  <si>
    <t>BCM:预留传感器信号电压低(518148,4)</t>
  </si>
  <si>
    <t>BCM:电源电压过高</t>
  </si>
  <si>
    <t>BCM:电源电压过高(518151,0)</t>
  </si>
  <si>
    <t>BCM:电源电压过低</t>
  </si>
  <si>
    <t>BCM:电源电压过低(518151,1)</t>
  </si>
  <si>
    <t>原始故障描述(兼容D760&amp;D320&amp;D560 DCM)</t>
  </si>
  <si>
    <t>Fault description-IC Homepage</t>
  </si>
  <si>
    <t>1</t>
  </si>
  <si>
    <t>DCM:司机侧玻璃升降电机开路</t>
  </si>
  <si>
    <t>DCM:driver side window motor open circuit</t>
  </si>
  <si>
    <t>518001</t>
  </si>
  <si>
    <t>5</t>
  </si>
  <si>
    <t>DCM:司机侧车窗电机或线路故障(518001,5)</t>
  </si>
  <si>
    <t>DCM:left window motor open circuit(518001,5)</t>
  </si>
  <si>
    <t>51800105,</t>
  </si>
  <si>
    <t>51800105:</t>
  </si>
  <si>
    <r>
      <rPr>
        <sz val="11"/>
        <color theme="1"/>
        <rFont val="宋体"/>
        <charset val="134"/>
        <scheme val="minor"/>
      </rPr>
      <t>V</t>
    </r>
    <r>
      <rPr>
        <sz val="11"/>
        <color theme="1"/>
        <rFont val="宋体"/>
        <charset val="134"/>
        <scheme val="minor"/>
      </rPr>
      <t xml:space="preserve">ar_ui_ErrNo := </t>
    </r>
  </si>
  <si>
    <t>2</t>
  </si>
  <si>
    <t>DCM:司机侧玻璃升降电机短路到地</t>
  </si>
  <si>
    <t>DCM:driver side window motor grounded circuit</t>
  </si>
  <si>
    <t>6</t>
  </si>
  <si>
    <t>DCM:司机侧车窗电机或线路故障(518001,6)</t>
  </si>
  <si>
    <t>DCM:left window motor short to GND(518001,6)</t>
  </si>
  <si>
    <t>51800106,</t>
  </si>
  <si>
    <t>51800106:</t>
  </si>
  <si>
    <t>3</t>
  </si>
  <si>
    <t>DCM:司机侧门锁电机开路</t>
  </si>
  <si>
    <t>DCM:driver side door lock motor open circuit</t>
  </si>
  <si>
    <t>518002</t>
  </si>
  <si>
    <t>DCM:司机侧门锁电机或线路故障(518002,5)</t>
  </si>
  <si>
    <t>DCM:left lock motor open circuit(518002,5)</t>
  </si>
  <si>
    <t>51800205,</t>
  </si>
  <si>
    <t>51800205:</t>
  </si>
  <si>
    <t>4</t>
  </si>
  <si>
    <t>DCM:司机侧门锁电机短路到地</t>
  </si>
  <si>
    <t>DCM:driver side door lock motor grounded circuit</t>
  </si>
  <si>
    <t>DCM:司机侧门锁电机或线路故障(518002,6)</t>
  </si>
  <si>
    <t>DCM:left lock motor short to GND(518002,6)</t>
  </si>
  <si>
    <t>51800206,</t>
  </si>
  <si>
    <t>51800206:</t>
  </si>
  <si>
    <t>DCM:司机侧后视镜上下调节电机开路</t>
  </si>
  <si>
    <t>DCM:upper and lower motor of driver side rearview mirror open circuit</t>
  </si>
  <si>
    <t>518003</t>
  </si>
  <si>
    <t>DCM:司机侧后视镜上下调节电机或线路故障(518003,5)</t>
  </si>
  <si>
    <t>DCM:left back mirror motor open circuit(518003,5)</t>
  </si>
  <si>
    <t>51800305,</t>
  </si>
  <si>
    <t>51800305:</t>
  </si>
  <si>
    <t>DCM:司机侧后视镜上下调节电机短路到地</t>
  </si>
  <si>
    <t>DCM:upper and lower motor of driver side rearview mirror grounded circuit</t>
  </si>
  <si>
    <t>DCM:司机侧后视镜上下调节电机或线路故障(518003,6)</t>
  </si>
  <si>
    <t>DCM:left back mirror motor short to GND(518003,6)</t>
  </si>
  <si>
    <t>51800306,</t>
  </si>
  <si>
    <t>51800306:</t>
  </si>
  <si>
    <t>7</t>
  </si>
  <si>
    <t>DCM:司机侧后视镜左右调节电机开路</t>
  </si>
  <si>
    <t>DCM:left and right motor of driver side rearview mirror open circuit</t>
  </si>
  <si>
    <t>518004</t>
  </si>
  <si>
    <t>DCM:司机侧后视镜左右调节电机或线路故障(518004,5)</t>
  </si>
  <si>
    <t>DCM:left back mirror motor open circuit(518004,5)</t>
  </si>
  <si>
    <t>51800405,</t>
  </si>
  <si>
    <t>51800405:</t>
  </si>
  <si>
    <t>8</t>
  </si>
  <si>
    <t>DCM:司机侧后视镜左右调节电机短路到地</t>
  </si>
  <si>
    <t>DCM:left and right motor of driver side rearview mirror grounded circuit</t>
  </si>
  <si>
    <t>DCM:司机侧后视镜左右调节电机或线路故障(518004,6)</t>
  </si>
  <si>
    <t>DCM:left back mirror motor short to GND(518004,6)</t>
  </si>
  <si>
    <t>51800406,</t>
  </si>
  <si>
    <t>51800406:</t>
  </si>
  <si>
    <t>9</t>
  </si>
  <si>
    <t>DCM:司机侧后视镜加热器开路</t>
  </si>
  <si>
    <t>DCM:heater of driver side rearview mirror open circuit</t>
  </si>
  <si>
    <t>518005</t>
  </si>
  <si>
    <t>DCM:司机侧后视镜加热器或线路故障(518005,5)</t>
  </si>
  <si>
    <t>DCM:left back mirror heater open circuit(518005,5)</t>
  </si>
  <si>
    <t>51800505,</t>
  </si>
  <si>
    <t>51800505:</t>
  </si>
  <si>
    <t>10</t>
  </si>
  <si>
    <t>DCM:司机侧后视镜加热器短路到地</t>
  </si>
  <si>
    <t>DCM:heater of driver side rearview mirror grounded circuit</t>
  </si>
  <si>
    <t>DCM:司机侧后视镜加热器或线路故障(518005,6)</t>
  </si>
  <si>
    <t>DCM:left back mirror heater short to GND(518005,6)</t>
  </si>
  <si>
    <t>51800506,</t>
  </si>
  <si>
    <t>51800506:</t>
  </si>
  <si>
    <t>11</t>
  </si>
  <si>
    <t>DCM:乘客侧玻璃升降电机开路</t>
  </si>
  <si>
    <t>DCM:passenger side window motor open circuit</t>
  </si>
  <si>
    <t>518006</t>
  </si>
  <si>
    <t>DCM:乘客侧车窗电机或线路故障(518006,5)</t>
  </si>
  <si>
    <t>RDCM:right window motor open circuit(518006,5)</t>
  </si>
  <si>
    <t>51800605,</t>
  </si>
  <si>
    <t>51800605:</t>
  </si>
  <si>
    <t>12</t>
  </si>
  <si>
    <t>DCM:乘客侧玻璃升降电机短路到地</t>
  </si>
  <si>
    <t>DCM:passenger side window motor grounded circuit</t>
  </si>
  <si>
    <t>DCM:乘客侧车窗电机或线路故障(518006,6)</t>
  </si>
  <si>
    <t>RDCM:right window motor short to GND(518006,6)</t>
  </si>
  <si>
    <t>51800606,</t>
  </si>
  <si>
    <t>51800606:</t>
  </si>
  <si>
    <t>13</t>
  </si>
  <si>
    <t>DCM:乘客侧门锁电机开路</t>
  </si>
  <si>
    <t>DCM:right door lock motor open circuit</t>
  </si>
  <si>
    <t>518007</t>
  </si>
  <si>
    <t>DCM:乘客侧门锁电机或线路故障(518007,5)</t>
  </si>
  <si>
    <t>DCM:right lock motor open circuit(518007,5)</t>
  </si>
  <si>
    <t>51800705,</t>
  </si>
  <si>
    <t>51800705:</t>
  </si>
  <si>
    <t>14</t>
  </si>
  <si>
    <t>DCM:乘客侧门锁电机短路到地</t>
  </si>
  <si>
    <t>DCM:right door lock motor grounded circuit</t>
  </si>
  <si>
    <t>DCM:乘客侧门锁电机或线路故障(518007,6)</t>
  </si>
  <si>
    <t>DCM:right lock motor short to GND(518007,6)</t>
  </si>
  <si>
    <t>51800706,</t>
  </si>
  <si>
    <t>51800706:</t>
  </si>
  <si>
    <t>DCM:乘客侧后视镜上下调节电机开路</t>
  </si>
  <si>
    <t>DCM:upper and lower motor of passenger side rearview mirror open circuit</t>
  </si>
  <si>
    <t>518008</t>
  </si>
  <si>
    <t>DCM:乘客侧后视镜上下调节电机或线路故障(518008,5)</t>
  </si>
  <si>
    <t>DCM:right back mirror motor open circuit(518008,5)</t>
  </si>
  <si>
    <t>51800805,</t>
  </si>
  <si>
    <t>51800805:</t>
  </si>
  <si>
    <t>DCM:乘客侧后视镜上下调节电机短路到地</t>
  </si>
  <si>
    <t>DCM:upper and lower motor of passenger side rearview mirror grounded circuit</t>
  </si>
  <si>
    <t>DCM:乘客侧后视镜上下调节电机或线路故障(518008,6)</t>
  </si>
  <si>
    <t>DCM:right back mirror motor short to GND(518008,6)</t>
  </si>
  <si>
    <t>51800806,</t>
  </si>
  <si>
    <t>51800806:</t>
  </si>
  <si>
    <t>17</t>
  </si>
  <si>
    <t>DCM:乘客侧后视镜左右调节电机开路</t>
  </si>
  <si>
    <t>DCM:left and right motor of passenger side rearview open circuit</t>
  </si>
  <si>
    <t>518009</t>
  </si>
  <si>
    <t>DCM:乘客侧后视镜左右调节电机或线路故障(518009,5)</t>
  </si>
  <si>
    <t>DCM:right back mirror motor open circuit(518009,5)</t>
  </si>
  <si>
    <t>51800905,</t>
  </si>
  <si>
    <t>51800905:</t>
  </si>
  <si>
    <t>18</t>
  </si>
  <si>
    <t>DCM:乘客侧后视镜左右调节电机短路到地</t>
  </si>
  <si>
    <t>DCM:left and right motor of passenger side rearview mirror grounded circuit</t>
  </si>
  <si>
    <t>DCM:乘客侧后视镜左右调节电机或线路故障(518009,6)</t>
  </si>
  <si>
    <t>DCM:right back mirror motor short to GND(518009,6)</t>
  </si>
  <si>
    <t>51800906,</t>
  </si>
  <si>
    <t>51800906:</t>
  </si>
  <si>
    <t>19</t>
  </si>
  <si>
    <t>DCM:乘客侧后视镜加热器开路</t>
  </si>
  <si>
    <t>DCM:heater of passenger side rearview mirror open circuit</t>
  </si>
  <si>
    <t>518010</t>
  </si>
  <si>
    <t>DCM:乘客侧后视镜加热器或线路故障(518010,5)</t>
  </si>
  <si>
    <t>DCM:right back mirror heater open circuit(518010,5)</t>
  </si>
  <si>
    <t>51801005,</t>
  </si>
  <si>
    <t>51801005:</t>
  </si>
  <si>
    <t>20</t>
  </si>
  <si>
    <t>DCM:乘客侧后视镜加热器短路到地</t>
  </si>
  <si>
    <t>DCM:heater of passenger side rearview mirror grounded circuit</t>
  </si>
  <si>
    <t>DCM:乘客侧后视镜加热器或线路故障(518010,6)</t>
  </si>
  <si>
    <t>DCM:right back mirror heater short to GND(518010,6)</t>
  </si>
  <si>
    <t>51801006,</t>
  </si>
  <si>
    <t>51801006:</t>
  </si>
  <si>
    <t>21</t>
  </si>
  <si>
    <t>DCM:后视镜加热指示灯短路到地</t>
  </si>
  <si>
    <t>DCM:defrog indication lamp grounded circuit</t>
  </si>
  <si>
    <t>518011</t>
  </si>
  <si>
    <t>DCM:后视镜加热指示灯或线路故障(518011,6)</t>
  </si>
  <si>
    <t>DCM:defrog indicator short to GND(518011,6)</t>
  </si>
  <si>
    <t>51801106,</t>
  </si>
  <si>
    <t>51801106:</t>
  </si>
  <si>
    <t>22</t>
  </si>
  <si>
    <t>DCM:电源1故障</t>
  </si>
  <si>
    <t>DCM:power 1 fault</t>
  </si>
  <si>
    <t>518012</t>
  </si>
  <si>
    <t>DCM:电源1故障(518012,4)</t>
  </si>
  <si>
    <t>DCM:power 1 failure(518012,4)</t>
  </si>
  <si>
    <t>51801204,</t>
  </si>
  <si>
    <t>51801204:</t>
  </si>
  <si>
    <t>23</t>
  </si>
  <si>
    <t>DCM:电源2故障</t>
  </si>
  <si>
    <t>DCM:power 2 fault</t>
  </si>
  <si>
    <t>518013</t>
  </si>
  <si>
    <t>DCM:电源2故障(518013,4)</t>
  </si>
  <si>
    <t>DCM:power 2 failure(518013,4)</t>
  </si>
  <si>
    <t>51801304,</t>
  </si>
  <si>
    <t>51801304:</t>
  </si>
  <si>
    <t>24</t>
  </si>
  <si>
    <t>DCM:电源3故障</t>
  </si>
  <si>
    <t>DCM:power 3 fault</t>
  </si>
  <si>
    <t>518014</t>
  </si>
  <si>
    <t>DCM:电源3故障(518014,4)</t>
  </si>
  <si>
    <t>DCM:power 3 failure(518014,4)</t>
  </si>
  <si>
    <t>51801404,</t>
  </si>
  <si>
    <t>51801404:</t>
  </si>
  <si>
    <t>25</t>
  </si>
  <si>
    <t>DCM:电源电压过高</t>
  </si>
  <si>
    <t>DCM:power supply voltage high</t>
  </si>
  <si>
    <t>DCM:电源电压过高(518017,0)</t>
  </si>
  <si>
    <t>DCM:power supply voltage high(518017,0)</t>
  </si>
  <si>
    <t>51801700,</t>
  </si>
  <si>
    <t>51801700:</t>
  </si>
  <si>
    <t>26</t>
  </si>
  <si>
    <t>DCM:电源电压过低</t>
  </si>
  <si>
    <t>DCM:power supply voltage low</t>
  </si>
  <si>
    <t>DCM:电源电压过低(518017,1)</t>
  </si>
  <si>
    <t>DCM:power supply voltage low(518017,1)</t>
  </si>
  <si>
    <t>51801701,</t>
  </si>
  <si>
    <t>51801701:</t>
  </si>
  <si>
    <t>原始故障描述(东风商用车通讯协议和故障代码20180322)</t>
  </si>
  <si>
    <t>外1内2</t>
  </si>
  <si>
    <t>运动状态下位置17胎压传感器信号丢失超过15分钟</t>
  </si>
  <si>
    <t>左前传感器信号丢失</t>
  </si>
  <si>
    <t>TPMS:左前胎压传感器信号丢失(520001,9)</t>
  </si>
  <si>
    <t>TPMS:alxe 1 left sensor signal lost(520001,9)</t>
  </si>
  <si>
    <t>运动状态下位置19胎压传感器信号丢失超过15分钟</t>
  </si>
  <si>
    <t>右前传感器信号丢失</t>
  </si>
  <si>
    <t>TPMS:右前胎压传感器信号丢失(520002,9)</t>
  </si>
  <si>
    <t>TPMS:alxe 1 right sensor signal lost(520002,9)</t>
  </si>
  <si>
    <t>运动状态下位置26胎压传感器信号丢失超过15分钟</t>
  </si>
  <si>
    <t>二轴左外传感器信号丢失</t>
  </si>
  <si>
    <t>TPMS:二轴左外胎压传感器信号丢失(520003,9)</t>
  </si>
  <si>
    <t>TPMS:alxe 2 L1 sensor signal lost(520003,9)</t>
  </si>
  <si>
    <t>运动状态下位置27胎压传感器信号丢失超过15分钟</t>
  </si>
  <si>
    <t>二轴左内传感器信号丢失</t>
  </si>
  <si>
    <t>TPMS:二轴左内胎压传感器信号丢失(520004,9)</t>
  </si>
  <si>
    <t>TPMS:alxe 2 L2 sensor signal lost(520004,9)</t>
  </si>
  <si>
    <t>运动状态下位置29胎压传感器信号丢失超过15分钟</t>
  </si>
  <si>
    <t>二轴右内传感器信号丢失</t>
  </si>
  <si>
    <t>TPMS:二轴右内胎压传感器信号丢失(520005,9)</t>
  </si>
  <si>
    <t>TPMS:alxe 2 R2 sensor signal lost(520005,9)</t>
  </si>
  <si>
    <t>运动状态下位置2A胎压传感器信号丢失超过15分钟</t>
  </si>
  <si>
    <t>二轴右外传感器信号丢失</t>
  </si>
  <si>
    <t>TPMS:二轴右外胎压传感器信号丢失(520006,9)</t>
  </si>
  <si>
    <t>TPMS:alxe 2 R1 sensor signal lost(520006,9)</t>
  </si>
  <si>
    <t>运动状态下位置36胎压传感器信号丢失超过15分钟</t>
  </si>
  <si>
    <t>三轴左外传感器信号丢失</t>
  </si>
  <si>
    <t>TPMS:三轴左外胎压传感器信号丢失(520007,9)</t>
  </si>
  <si>
    <t>TPMS:alxe 3 L1 sensor signal lost(520007,9)</t>
  </si>
  <si>
    <t>运动状态下位置37胎压传感器信号丢失超过15分钟</t>
  </si>
  <si>
    <t>三轴左内传感器信号丢失</t>
  </si>
  <si>
    <t>TPMS:三轴左内胎压传感器信号丢失(520008,9)</t>
  </si>
  <si>
    <t>TPMS:alxe 3 L2 sensor signal lost(520008,9)</t>
  </si>
  <si>
    <t>运动状态下位置39胎压传感器信号丢失超过15分钟</t>
  </si>
  <si>
    <t>三轴右内传感器信号丢失</t>
  </si>
  <si>
    <t>TPMS:三轴右内胎压传感器信号丢失(520009,9)</t>
  </si>
  <si>
    <t>TPMS:alxe 3 R2 sensor signal lost(520009,9)</t>
  </si>
  <si>
    <t>运动状态下位置3A胎压传感器信号丢失超过15分钟</t>
  </si>
  <si>
    <t>三轴右外传感器信号丢失</t>
  </si>
  <si>
    <t>TPMS:三轴右外胎压传感器信号丢失(520010,9)</t>
  </si>
  <si>
    <t>TPMS:alxe 3 R1 sensor signal lost(520010,9)</t>
  </si>
  <si>
    <t>运动状态下位置46胎压传感器信号丢失超过15分钟</t>
  </si>
  <si>
    <t>四轴左外传感器信号丢失</t>
  </si>
  <si>
    <t>TPMS:四轴左外胎压传感器信号丢失(520011,9)</t>
  </si>
  <si>
    <t>TPMS:alxe 4 L1 sensor signal lost(520011,9)</t>
  </si>
  <si>
    <t>运动状态下位置47胎压传感器信号丢失超过15分钟</t>
  </si>
  <si>
    <t>四轴左内传感器信号丢失</t>
  </si>
  <si>
    <t>TPMS:四轴左内胎压传感器信号丢失(520012,9)</t>
  </si>
  <si>
    <t>TPMS:alxe 4 L2 sensor signal lost(520012,9)</t>
  </si>
  <si>
    <t>运动状态下位置49胎压传感器信号丢失超过15分钟</t>
  </si>
  <si>
    <t>四轴右内传感器信号丢失</t>
  </si>
  <si>
    <t>TPMS:四轴右内胎压传感器信号丢失(520013,9)</t>
  </si>
  <si>
    <t>TPMS:alxe 4 R2 sensor signal lost(520013,9)</t>
  </si>
  <si>
    <t>运动状态下位置4A胎压传感器信号丢失超过15分钟</t>
  </si>
  <si>
    <t>四轴右外传感器信号丢失</t>
  </si>
  <si>
    <t>TPMS:四轴右外胎压传感器信号丢失(520014,9)</t>
  </si>
  <si>
    <t>TPMS:alxe 4 R1 sensor signal lost(520014,9)</t>
  </si>
  <si>
    <t>5个传送周期内位置17胎压传感器电池电量低于10%</t>
  </si>
  <si>
    <t>左前传感器电量低</t>
  </si>
  <si>
    <t>TPMS:左前胎压传感器电量低(3509,24)</t>
  </si>
  <si>
    <t>TPMS:alxe 1 L sensor low battery(3509,24)</t>
  </si>
  <si>
    <t>5个传送周期内位置19胎压传感器电池电量低于10%</t>
  </si>
  <si>
    <t>右前传感器电量低</t>
  </si>
  <si>
    <t>TPMS:右前胎压传感器电量低(3510,24)</t>
  </si>
  <si>
    <t>TPMS:alxe 1 R sensor low battery(3510,24)</t>
  </si>
  <si>
    <t>5个传送周期内位置26胎压传感器电池电量低于10%</t>
  </si>
  <si>
    <t>二轴左外传感器电量低</t>
  </si>
  <si>
    <t>TPMS:二轴左外胎压传感器电量低(3511,24)</t>
  </si>
  <si>
    <t>TPMS:alxe 2 L1 sensor low battery(3511,24)</t>
  </si>
  <si>
    <t>5个传送周期内位置27胎压传感器电池电量低于10%</t>
  </si>
  <si>
    <t>二轴左内传感器电量低</t>
  </si>
  <si>
    <t>TPMS:二轴左内胎压传感器电量低(3512,24)</t>
  </si>
  <si>
    <t>TPMS:alxe 2 L2 sensor low battery(3512,24)</t>
  </si>
  <si>
    <t>5个传送周期内位置29胎压传感器电池电量低于10%</t>
  </si>
  <si>
    <t>二轴右内传感器电量低</t>
  </si>
  <si>
    <t>TPMS:二轴右内胎压传感器电量低(3513,24)</t>
  </si>
  <si>
    <t>TPMS:alxe 2 R2 sensor low battery(3513,24)</t>
  </si>
  <si>
    <t>5个传送周期内位置2A胎压传感器电池电量低于10%</t>
  </si>
  <si>
    <t>二轴右外传感器电量低</t>
  </si>
  <si>
    <t>TPMS:二轴右外胎压传感器电量低(3514,24)</t>
  </si>
  <si>
    <t>TPMS:alxe 2 R1 sensor low battery(3514,24)</t>
  </si>
  <si>
    <t>5个传送周期内位置36胎压传感器电池电量低于10%</t>
  </si>
  <si>
    <t>三轴左外传感器电量低</t>
  </si>
  <si>
    <t>TPMS:三轴左外胎压传感器电量低(5125,24)</t>
  </si>
  <si>
    <t>TPMS:alxe 3 L1 sensor low battery(5125,24)</t>
  </si>
  <si>
    <t>5个传送周期内位置37胎压传感器电池电量低于10%</t>
  </si>
  <si>
    <t>三轴左内传感器电量低</t>
  </si>
  <si>
    <t>TPMS:三轴左内胎压传感器电量低(5126,24)</t>
  </si>
  <si>
    <t>TPMS:alxe 3 L2 sensor low battery(5126,24)</t>
  </si>
  <si>
    <t>5个传送周期内位置39胎压传感器电池电量低于10%</t>
  </si>
  <si>
    <t>三轴右内传感器电量低</t>
  </si>
  <si>
    <t>TPMS:三轴右内胎压传感器电量低(5127,24)</t>
  </si>
  <si>
    <t>TPMS:alxe 3 R2 sensor low battery(5127,24)</t>
  </si>
  <si>
    <t>5个传送周期内位置3A胎压传感器电池电量低于10%</t>
  </si>
  <si>
    <t>三轴右外传感器电量低</t>
  </si>
  <si>
    <t>TPMS:三轴右外胎压传感器电量低(5128,24)</t>
  </si>
  <si>
    <t>TPMS:alxe 3 R1 sensor low battery(5128,24)</t>
  </si>
  <si>
    <t>5个传送周期内位置46胎压传感器电池电量低于10%</t>
  </si>
  <si>
    <t>四轴左外传感器电量低</t>
  </si>
  <si>
    <t>TPMS:四轴左外胎压传感器电量低(5129,24)</t>
  </si>
  <si>
    <t>TPMS:alxe 4 L1 sensor low battery(5129,24)</t>
  </si>
  <si>
    <t>5个传送周期内位置47胎压传感器电池电量低于10%</t>
  </si>
  <si>
    <t>四轴左内传感器电量低</t>
  </si>
  <si>
    <t>TPMS:四轴左内胎压传感器电量低(5130,24)</t>
  </si>
  <si>
    <t>TPMS:alxe 4 L2 sensor low battery(5130,24)</t>
  </si>
  <si>
    <t>27</t>
  </si>
  <si>
    <t>5个传送周期内位置49胎压传感器电池电量低于10%</t>
  </si>
  <si>
    <t>四轴右内传感器电量低</t>
  </si>
  <si>
    <t>TPMS:四轴右内胎压传感器电量低(5131,24)</t>
  </si>
  <si>
    <t>TPMS:alxe 4 R2 sensor low battery(5131,24)</t>
  </si>
  <si>
    <t>28</t>
  </si>
  <si>
    <t>5个传送周期内位置4A胎压传感器电池电量低于10%</t>
  </si>
  <si>
    <t>四轴右外传感器电量低</t>
  </si>
  <si>
    <t>TPMS:四轴右外胎压传感器电量低(5132,24)</t>
  </si>
  <si>
    <t>TPMS:alxe 4 R1 sensor low battery(5132,24)</t>
  </si>
  <si>
    <t>29</t>
  </si>
  <si>
    <t>5个传送周期内位置08胎压传感器电池电量低于10%</t>
  </si>
  <si>
    <t>备胎传感器电量低</t>
  </si>
  <si>
    <t>TPMS:备胎胎压传感器电量低(5133,24)</t>
  </si>
  <si>
    <t>TPMS:spare tyre sensor low battery(5133,24)</t>
  </si>
  <si>
    <t>30</t>
  </si>
  <si>
    <t>唤醒接收器报文发出后超过10秒钟未收到接收器信号</t>
  </si>
  <si>
    <t>接收器18信号丢失</t>
  </si>
  <si>
    <t>TPMS:接收器18信号丢失(519001,9)</t>
  </si>
  <si>
    <t>TPMS:receiver 18 signal lost(519001,9)</t>
  </si>
  <si>
    <t>31</t>
  </si>
  <si>
    <t>接收器27信号丢失</t>
  </si>
  <si>
    <t>TPMS:接收器27信号丢失(519002,10)</t>
  </si>
  <si>
    <t>TPMS:receiver 27 signal lost(519002,10)</t>
  </si>
  <si>
    <t>32</t>
  </si>
  <si>
    <t>接收器29信号丢失</t>
  </si>
  <si>
    <t>TPMS:接收器29信号丢失(519003,11)</t>
  </si>
  <si>
    <t>TPMS:receiver 29 signal lost(519003,11)</t>
  </si>
  <si>
    <t>33</t>
  </si>
  <si>
    <t>胎压控制器对接收器进行配置时出现错误</t>
  </si>
  <si>
    <t>接收器配置错误</t>
  </si>
  <si>
    <t>TPMS:接收器配置错误(518005,11)</t>
  </si>
  <si>
    <t>TPMS:receiver configured error(518005,11)</t>
  </si>
  <si>
    <t>34</t>
  </si>
  <si>
    <t>胎压控制器供电电压低于20V超过5秒钟</t>
  </si>
  <si>
    <t>控制器电压过低</t>
  </si>
  <si>
    <t>TPMS:控制器电压过低(168,4)</t>
  </si>
  <si>
    <t>TPMS:ECU power supply voltage low(168,4)</t>
  </si>
  <si>
    <t>35</t>
  </si>
  <si>
    <t>胎压控制器供电电压高于32V超过5秒钟</t>
  </si>
  <si>
    <t>控制器电压过高</t>
  </si>
  <si>
    <t>TPMS:控制器电压过高(168,3)</t>
  </si>
  <si>
    <t>TPMS:ECU power supply voltage high(168,3)</t>
  </si>
  <si>
    <t>36</t>
  </si>
  <si>
    <t>胎压控制器超过5秒钟未收到点火报文</t>
  </si>
  <si>
    <t>点火报文丢失</t>
  </si>
  <si>
    <t>TPMS:ON档CAN信号超时(518002,9)</t>
  </si>
  <si>
    <t>TPMS:ON CAN signal timeout(518002,9)</t>
  </si>
  <si>
    <t>37</t>
  </si>
  <si>
    <t>胎压控制器超过5秒钟未收到环境温度报文</t>
  </si>
  <si>
    <t>环境温度报文丢失</t>
  </si>
  <si>
    <t>TPMS:环境温度CAN报文超时(171,9)</t>
  </si>
  <si>
    <t>TPMS:AMB CAN message timeout(171,9)</t>
  </si>
  <si>
    <t>ID：18FECA41，车身CAN</t>
  </si>
  <si>
    <t>Fault description</t>
  </si>
  <si>
    <t>仪表主界面故障描述</t>
  </si>
  <si>
    <t>66</t>
  </si>
  <si>
    <t>系统未标定</t>
  </si>
  <si>
    <t>HJYX：Nocalibrated（66,9）</t>
  </si>
  <si>
    <t>HJYX：系统未标定（66,9）</t>
  </si>
  <si>
    <t>6609:</t>
  </si>
  <si>
    <t>67</t>
  </si>
  <si>
    <t>前摄像头故障</t>
  </si>
  <si>
    <t>HJYX：camera failure（67,12）</t>
  </si>
  <si>
    <t>HJYX：前摄像头故障（67,12）</t>
  </si>
  <si>
    <t>6712:</t>
  </si>
  <si>
    <t>68</t>
  </si>
  <si>
    <t>左前摄像头故障</t>
  </si>
  <si>
    <t>HJYX：camera failure（68,12）</t>
  </si>
  <si>
    <t>HJYX：左前摄像头故障（68,12）</t>
  </si>
  <si>
    <t>6812:</t>
  </si>
  <si>
    <t>69</t>
  </si>
  <si>
    <t>左后摄像头故障</t>
  </si>
  <si>
    <t>HJYX：camera failure（69,12）</t>
  </si>
  <si>
    <t>HJYX：左后摄像头故障（69,12）</t>
  </si>
  <si>
    <t>6912:</t>
  </si>
  <si>
    <t>70</t>
  </si>
  <si>
    <t>右前摄像头故障</t>
  </si>
  <si>
    <t>HJYX：camera failure（70,12）</t>
  </si>
  <si>
    <t>HJYX：右前摄像头故障（70,12）</t>
  </si>
  <si>
    <t>7012:</t>
  </si>
  <si>
    <t>71</t>
  </si>
  <si>
    <t>右后摄像头故障</t>
  </si>
  <si>
    <t>HJYX：camera failure（71,12）</t>
  </si>
  <si>
    <t>HJYX：右后摄像头故障（71,12）</t>
  </si>
  <si>
    <t>7112:</t>
  </si>
  <si>
    <t>72</t>
  </si>
  <si>
    <t>控制器故障</t>
  </si>
  <si>
    <t>HJYX：ECU failure（72,12）</t>
  </si>
  <si>
    <t>HJYX: 主机故障（72,12）</t>
  </si>
  <si>
    <t>7212:</t>
  </si>
  <si>
    <t>73</t>
  </si>
  <si>
    <t>SD卡异常</t>
  </si>
  <si>
    <t>HJYX：SD failure（73,12）</t>
  </si>
  <si>
    <t>HJYX: SD卡异常（73,12）</t>
  </si>
  <si>
    <t>7312:</t>
  </si>
  <si>
    <t>6609,</t>
  </si>
  <si>
    <t>6712,</t>
  </si>
  <si>
    <t>6812,</t>
  </si>
  <si>
    <t>6912,</t>
  </si>
  <si>
    <t>7012,</t>
  </si>
  <si>
    <t>7112,</t>
  </si>
  <si>
    <t>7212,</t>
  </si>
  <si>
    <t>7312,</t>
  </si>
  <si>
    <t>ID：18FECAE7,车身CAN</t>
  </si>
  <si>
    <t>摄像头开路故障</t>
  </si>
  <si>
    <r>
      <rPr>
        <sz val="12"/>
        <rFont val="宋体"/>
        <charset val="134"/>
        <scheme val="minor"/>
      </rPr>
      <t xml:space="preserve">DFMS：Camera </t>
    </r>
    <r>
      <rPr>
        <sz val="10.5"/>
        <rFont val="Calibri"/>
        <charset val="134"/>
      </rPr>
      <t>open-circuit</t>
    </r>
    <r>
      <rPr>
        <sz val="10"/>
        <rFont val="Arial Unicode MS"/>
        <charset val="134"/>
      </rPr>
      <t>（91,5）</t>
    </r>
  </si>
  <si>
    <t>疲劳驾驶：摄像头开路故障（91,5）</t>
  </si>
  <si>
    <t>5B</t>
  </si>
  <si>
    <t>9105:</t>
  </si>
  <si>
    <t>摄像头短路故障</t>
  </si>
  <si>
    <r>
      <rPr>
        <sz val="12"/>
        <rFont val="宋体"/>
        <charset val="134"/>
        <scheme val="minor"/>
      </rPr>
      <t xml:space="preserve">DFMS：Camera </t>
    </r>
    <r>
      <rPr>
        <sz val="10.5"/>
        <rFont val="Calibri"/>
        <charset val="134"/>
      </rPr>
      <t>short-circuit</t>
    </r>
    <r>
      <rPr>
        <sz val="10"/>
        <rFont val="Arial Unicode MS"/>
        <charset val="134"/>
      </rPr>
      <t xml:space="preserve">（92,6）          </t>
    </r>
  </si>
  <si>
    <t>疲劳驾驶：摄像头短路故障（92,6）</t>
  </si>
  <si>
    <t>5C</t>
  </si>
  <si>
    <t>9206:</t>
  </si>
  <si>
    <t>红外灯开路故障</t>
  </si>
  <si>
    <r>
      <rPr>
        <sz val="12"/>
        <rFont val="宋体"/>
        <charset val="134"/>
        <scheme val="minor"/>
      </rPr>
      <t xml:space="preserve">DFMS：Infrared  light </t>
    </r>
    <r>
      <rPr>
        <sz val="10.5"/>
        <rFont val="Calibri"/>
        <charset val="134"/>
      </rPr>
      <t>open-circuit</t>
    </r>
    <r>
      <rPr>
        <sz val="10"/>
        <rFont val="Arial Unicode MS"/>
        <charset val="134"/>
      </rPr>
      <t>（93，5）</t>
    </r>
  </si>
  <si>
    <t>疲劳驾驶：红外灯开路故障（93,5）</t>
  </si>
  <si>
    <t>5D</t>
  </si>
  <si>
    <t>9305:</t>
  </si>
  <si>
    <t>红外灯短路故障</t>
  </si>
  <si>
    <r>
      <rPr>
        <sz val="12"/>
        <rFont val="宋体"/>
        <charset val="134"/>
        <scheme val="minor"/>
      </rPr>
      <t xml:space="preserve">DFMS：Infrared  light </t>
    </r>
    <r>
      <rPr>
        <sz val="10.5"/>
        <rFont val="Calibri"/>
        <charset val="134"/>
      </rPr>
      <t>short-circuit</t>
    </r>
    <r>
      <rPr>
        <sz val="10"/>
        <rFont val="Arial Unicode MS"/>
        <charset val="134"/>
      </rPr>
      <t>（94,6）</t>
    </r>
  </si>
  <si>
    <t>疲劳驾驶：红外灯短路故障（94,6）</t>
  </si>
  <si>
    <t>9406:</t>
  </si>
  <si>
    <t>9105,</t>
  </si>
  <si>
    <t>9206,</t>
  </si>
  <si>
    <t>9305,</t>
  </si>
  <si>
    <t>9406,</t>
  </si>
  <si>
    <t>更改后</t>
  </si>
  <si>
    <t>燃电系统:输出电流超过极限值（三级）</t>
  </si>
  <si>
    <t>FCU:输出电流超过极限值（11181,0)</t>
  </si>
  <si>
    <t>燃电系统:氢气压力高限值（三级）</t>
  </si>
  <si>
    <t>FCU:氢气压力高限值（522000,0）</t>
  </si>
  <si>
    <t>燃电系统:氢气压力低限值（三级）</t>
  </si>
  <si>
    <t>FCU:氢气压力低限值（522000,1）</t>
  </si>
  <si>
    <t>燃电系统:循环水压高限值（三级）</t>
  </si>
  <si>
    <t>FCU:循环水压高限值（522001,0）</t>
  </si>
  <si>
    <t>燃电系统:循环水压低限值（三级）</t>
  </si>
  <si>
    <t>FCU:循环水压低限值（522001,1）</t>
  </si>
  <si>
    <t>燃电系统:空压高限值（三级）</t>
  </si>
  <si>
    <t>FCU:空压高限值（522002,0）</t>
  </si>
  <si>
    <t>燃电系统:空压低限值（三级）</t>
  </si>
  <si>
    <t>FCU:空压低限值（522002,1）</t>
  </si>
  <si>
    <t>燃电系统:水入温度高限值（三级）</t>
  </si>
  <si>
    <t>FCU:水入温度高限值（11187,0）</t>
  </si>
  <si>
    <t>FCU:水出温度高限值（11188,0）</t>
  </si>
  <si>
    <t>燃电系统:最小单池电压限值（三级）</t>
  </si>
  <si>
    <t>FCU:最小单池电压限值（11172,1）</t>
  </si>
  <si>
    <t>FCU:最小单体电池电压过低报警（11172,1）</t>
  </si>
  <si>
    <t>20211104更新</t>
  </si>
  <si>
    <t>燃电系统:电堆电流高限值（三级）</t>
  </si>
  <si>
    <t>FCU:电堆电流高限值（522003,0）</t>
  </si>
  <si>
    <t>燃电系统:电堆电压低限值（三级）</t>
  </si>
  <si>
    <t>FCU:电堆电压低限值（522004,1）</t>
  </si>
  <si>
    <t>燃电系统:回流泵电流高限值（三级）</t>
  </si>
  <si>
    <t>FCU:回流泵电流高限值（522005,0）</t>
  </si>
  <si>
    <t>燃电系统:升压DC通讯故障（三级）</t>
  </si>
  <si>
    <t>FCU:升压DC通讯故障（522006,12）</t>
  </si>
  <si>
    <t>燃电系统:VCU通讯故障（三级）</t>
  </si>
  <si>
    <t>FCU:VCU通讯故障（522007,12）</t>
  </si>
  <si>
    <t>燃电系统:输出电流超过极限值（二级）</t>
  </si>
  <si>
    <t>FCU:输出电流超过极限值（11181,6）</t>
  </si>
  <si>
    <t>燃电系统:氢气压力高限值（二级）</t>
  </si>
  <si>
    <t>FCU:氢气压力高限值（522000,16）</t>
  </si>
  <si>
    <t>燃电系统:氢气压力低限值（二级）</t>
  </si>
  <si>
    <t>FCU:氢气压力低限值（522000,18）</t>
  </si>
  <si>
    <t>燃电系统:循环水压高限值（二级）</t>
  </si>
  <si>
    <t>FCU:循环水压高限值（522001,16）</t>
  </si>
  <si>
    <t>燃电系统:循环水压低限值（二级）</t>
  </si>
  <si>
    <t>FCU:循环水压低限值（522001,18）</t>
  </si>
  <si>
    <t>燃电系统:空压高限值（二级）</t>
  </si>
  <si>
    <t>FCU:空压高限值（522002,16）</t>
  </si>
  <si>
    <t>燃电系统:空压低限值（二级）</t>
  </si>
  <si>
    <t>FCU:空压低限值（522002,18）</t>
  </si>
  <si>
    <t>燃电系统:水入温度高限值（二级）</t>
  </si>
  <si>
    <t>FCU:水入温度高限值（11187,16）</t>
  </si>
  <si>
    <t>燃电系统:水出温度高限值（二级）</t>
  </si>
  <si>
    <t>FCU:水出温度高限值（11188,16）</t>
  </si>
  <si>
    <t>燃电系统:最小单池电压限值（二级）</t>
  </si>
  <si>
    <t>FCU:最小单池电压限值（11172,18）</t>
  </si>
  <si>
    <t>燃电系统:电堆电流高限值（二级）</t>
  </si>
  <si>
    <t>FCU:电堆电流高限值（522003,16）</t>
  </si>
  <si>
    <t>燃电系统:电堆电压低限值（二级）</t>
  </si>
  <si>
    <t>FCU:电堆电压低限值（522004,18）</t>
  </si>
  <si>
    <t>燃电系统:回流泵电流高限值（二级）</t>
  </si>
  <si>
    <t>FCU:回流泵电流高限值（522005,16）</t>
  </si>
  <si>
    <t>燃电系统：空压机通讯故障（二级）</t>
  </si>
  <si>
    <t>FCU：空压机通讯故障（522008,19）</t>
  </si>
  <si>
    <t>燃电系统：回流泵通讯故障（二级）</t>
  </si>
  <si>
    <t>FCU：回流泵通讯故障（522009,19）</t>
  </si>
  <si>
    <t>燃电系统：巡检1通讯故障（二级）</t>
  </si>
  <si>
    <t>FCU：巡检1通讯故障（522010,19）</t>
  </si>
  <si>
    <t>燃电系统：巡检2通讯故障（二级）</t>
  </si>
  <si>
    <t>FCU：巡检2通讯故障（522011,19）</t>
  </si>
  <si>
    <t>燃电系统：电压电流传感器通讯故障（二级）</t>
  </si>
  <si>
    <t>FCU：电压电流传感器通讯故障（522012,19）</t>
  </si>
  <si>
    <t>燃电系统：电堆电压高（二级）</t>
  </si>
  <si>
    <t>FCU：电堆电压高（522004,16）</t>
  </si>
  <si>
    <t>燃电系统:输出电流超过极限值（一级）</t>
  </si>
  <si>
    <t>FCU:输出电流超过极限值（11181,15）</t>
  </si>
  <si>
    <t>V1.11版本FCU删除，仪表暂不删除
V1.14 可以删除</t>
  </si>
  <si>
    <t>燃电系统:氢气压力高限值（一级）</t>
  </si>
  <si>
    <t>FCU:氢气压力高限值（522000,15）</t>
  </si>
  <si>
    <t>燃电系统:氢气压力低限值（一级）</t>
  </si>
  <si>
    <t>FCU:氢气压力低限值（522000,17）</t>
  </si>
  <si>
    <t>燃电系统:循环水压高限值（一级）</t>
  </si>
  <si>
    <t>FCU:循环水压高限值（522001,15）</t>
  </si>
  <si>
    <t>燃电系统:循环水压低限值（一级）</t>
  </si>
  <si>
    <t>FCU:循环水压低限值（522001,17）</t>
  </si>
  <si>
    <t>燃电系统:空压高限值（一级）</t>
  </si>
  <si>
    <t>FCU:空压高限值（522002,15）</t>
  </si>
  <si>
    <t>燃电系统:空压低限值（一级）</t>
  </si>
  <si>
    <t>FCU:空压低限值（522002,17）</t>
  </si>
  <si>
    <t>燃电系统:水入温度高限值（一级）</t>
  </si>
  <si>
    <t>FCU:水入温度高限值（11187,15）</t>
  </si>
  <si>
    <t>燃电系统:水出温度高限值（一级）</t>
  </si>
  <si>
    <t>FCU:水出温度高限值（11188,15）</t>
  </si>
  <si>
    <t>燃电系统:最小单池电压限值（一级）</t>
  </si>
  <si>
    <t>FCU:最小单池电压限值（11172,17）</t>
  </si>
  <si>
    <t>燃电系统:电堆电流高限值（一级）</t>
  </si>
  <si>
    <t>FCU:电堆电流高限值（522003,15）</t>
  </si>
  <si>
    <t>燃电系统:电堆电压低限值（一级）</t>
  </si>
  <si>
    <t>FCU:电堆电压低限值（522004,17）</t>
  </si>
  <si>
    <t>燃电系统:回流泵电流高限值（一级）</t>
  </si>
  <si>
    <t>FCU:回流泵电流高限值（522005,15）</t>
  </si>
  <si>
    <t>电堆电压高</t>
  </si>
  <si>
    <t>20210602新增</t>
  </si>
  <si>
    <t>空压机通讯故障</t>
  </si>
  <si>
    <t>巡检1通讯故障</t>
  </si>
  <si>
    <t>电堆散热器控制器通讯故障</t>
  </si>
  <si>
    <t>空压机控制器过温警告</t>
  </si>
  <si>
    <t>空压机控制器过温报警</t>
  </si>
  <si>
    <t>空压机过温警告</t>
  </si>
  <si>
    <t>空压机过温报警</t>
  </si>
  <si>
    <t>燃料电池系统故障</t>
  </si>
  <si>
    <t>低压供电欠压报警</t>
  </si>
  <si>
    <t>FCU：低压供电欠压报警（ 522017，1）</t>
  </si>
  <si>
    <t>20211030新增</t>
  </si>
  <si>
    <t>燃料电池专用冷却液缺液，请尽快加注</t>
  </si>
  <si>
    <t>专用冷却液液位过低</t>
  </si>
  <si>
    <t>FCU：专用冷却液液位过低 （522016，18）</t>
  </si>
  <si>
    <t>整车急停有效</t>
  </si>
  <si>
    <t>FCU：整车急停有效（ 522027，12）</t>
  </si>
  <si>
    <t>HMS异常</t>
  </si>
  <si>
    <t>FCU：HMS异常（522028，12）</t>
  </si>
  <si>
    <t>V1.14由522026，12更新为（522028，12）</t>
  </si>
  <si>
    <t>FCU：燃料电池系统故障（522029，19）</t>
  </si>
  <si>
    <t>V1.14_20230406</t>
  </si>
  <si>
    <t>FCU：燃料电池系统故障（522029，12）</t>
  </si>
  <si>
    <t>DCDC 电容端过压</t>
  </si>
  <si>
    <t>FCU：DCDC 电容端过压（522030，16）</t>
  </si>
  <si>
    <t>FCU：DCDC 电容端过压（522030，0）</t>
  </si>
  <si>
    <t>DCDC 电容端欠压</t>
  </si>
  <si>
    <t>FCU：DCDC 电容端欠压（522030，18）</t>
  </si>
  <si>
    <t>FCU：DCDC 电容端欠压（522030，1）</t>
  </si>
  <si>
    <t>DCDC 电容端过流</t>
  </si>
  <si>
    <t>FCU：DCDC 电容端过流（522031，16）</t>
  </si>
  <si>
    <t>FCU：DCDC 电容端过流（522031，0）</t>
  </si>
  <si>
    <t>DCDC 电池端过压</t>
  </si>
  <si>
    <t>FCU：DCDC 电池端过压（522032，16）</t>
  </si>
  <si>
    <t>FCU：DCDC 电池端过压（522032，0）</t>
  </si>
  <si>
    <t>DCDC 电池端欠压</t>
  </si>
  <si>
    <t>FCU：DCDC 电池端欠压（522032，18）</t>
  </si>
  <si>
    <t>FCU：DCDC 电池端欠压（522032，1）</t>
  </si>
  <si>
    <t>DCDC 电池端过流</t>
  </si>
  <si>
    <t>FCU：DCDC 电池端过流（522033，16）</t>
  </si>
  <si>
    <t>FCU：DCDC 电池端过流（522033，0）</t>
  </si>
  <si>
    <t>DCDC过热</t>
  </si>
  <si>
    <t>FCU：DCDC 过热（522034，16）</t>
  </si>
  <si>
    <t>FCU：DCDC 过热（522034，0）</t>
  </si>
  <si>
    <t>DCDC短路保护</t>
  </si>
  <si>
    <t>FCU：DCDC 短路保护（522035，4）</t>
  </si>
  <si>
    <t>DCDC通信丢失故障</t>
  </si>
  <si>
    <t>FCU：DCDC 通信丢失故障（2853，19）</t>
  </si>
  <si>
    <t>FCU：DCDC 通信丢失故障（2853，12）</t>
  </si>
  <si>
    <t>DCDC 过热</t>
  </si>
  <si>
    <t>DCDC 短路保护</t>
  </si>
  <si>
    <t>DCDC 通信丢失故障</t>
  </si>
  <si>
    <t>瓶压过高＞42 Mpa</t>
  </si>
  <si>
    <t>HMS:瓶压过高(522040,0)</t>
  </si>
  <si>
    <t>瓶压过高＞38 Mpa</t>
  </si>
  <si>
    <t>HMS:瓶压过高(522040,16)</t>
  </si>
  <si>
    <t>瓶压过低＜2 Mpa</t>
  </si>
  <si>
    <t>HMS:瓶压过低(522041,1)</t>
  </si>
  <si>
    <t>氢瓶压力低，请尽快加氢</t>
  </si>
  <si>
    <t>瓶压过低＜3 Mpa</t>
  </si>
  <si>
    <t>HMS:瓶压过低(522041,18)</t>
  </si>
  <si>
    <t>管压过高＞1.35 Mpa</t>
  </si>
  <si>
    <t>HMS:管压过高(522042,16)</t>
  </si>
  <si>
    <t>管压过高＞1.5 Mpa</t>
  </si>
  <si>
    <t>HMS:管压过高(522042,0)</t>
  </si>
  <si>
    <t>管压过低＜0.85 Mpa</t>
  </si>
  <si>
    <t>HMS:管压过低(522043,18)</t>
  </si>
  <si>
    <t>管压过低＜0.75 Mpa</t>
  </si>
  <si>
    <t>HMS:管压过低(522043,1)</t>
  </si>
  <si>
    <t>瓶温过高 ＞85℃</t>
  </si>
  <si>
    <t>HMS:瓶温过高(522044,0)</t>
  </si>
  <si>
    <t>瓶温过高 ＞70℃</t>
  </si>
  <si>
    <t>HMS:瓶温过高(522044,16)</t>
  </si>
  <si>
    <t>氢气泄露 ＞10000PPM</t>
  </si>
  <si>
    <t>HMS:氢气泄露(522045,16)</t>
  </si>
  <si>
    <t>氢气泄露 ＞6000PPM</t>
  </si>
  <si>
    <t>HMS:氢气泄露(522045,15)</t>
  </si>
  <si>
    <t>V1.11氢系统删除，仪表暂不处理</t>
  </si>
  <si>
    <t>V1.14 不删除</t>
  </si>
  <si>
    <t>氢泄露传感器1故障数据异常</t>
  </si>
  <si>
    <t>氢泄露传感器2故障数据异常</t>
  </si>
  <si>
    <t>氢泄露传感器3故障数据异常</t>
  </si>
  <si>
    <t>氢泄露传感器4故障数据异常</t>
  </si>
  <si>
    <t>氢泄露传感器5故障数据异常</t>
  </si>
  <si>
    <t>通讯故障，收不到控制报文60s后关闭</t>
  </si>
  <si>
    <t>温度传感器1故障 数据异常</t>
  </si>
  <si>
    <t>温度传感器2故障 数据异常</t>
  </si>
  <si>
    <t>温度传感器3故障 数据异常</t>
  </si>
  <si>
    <t>温度传感器4故障 数据异常</t>
  </si>
  <si>
    <t>温度传感器5故障 数据异常</t>
  </si>
  <si>
    <t>温度传感器6故障 数据异常</t>
  </si>
  <si>
    <t>温度传感器7故障 数据异常</t>
  </si>
  <si>
    <t>温度传感器8故障 数据异常</t>
  </si>
  <si>
    <t>压力传感器1故障数据异常</t>
  </si>
  <si>
    <t>压力传感器2故障数据异常</t>
  </si>
  <si>
    <t>压力传感器3故障数据异常</t>
  </si>
  <si>
    <t>瓶温过低</t>
  </si>
  <si>
    <t>氢气泄露</t>
  </si>
  <si>
    <t>车载供氢系统故障</t>
  </si>
  <si>
    <t>通讯故障</t>
  </si>
  <si>
    <t>源地址0xA7</t>
  </si>
  <si>
    <t>点灯策略</t>
  </si>
  <si>
    <t>仪表显示</t>
  </si>
  <si>
    <t>(DEC)</t>
  </si>
  <si>
    <t>电机冷却风扇故障</t>
  </si>
  <si>
    <t>ATS：电机冷却风扇故障（9691，12）</t>
  </si>
  <si>
    <t>进水温度传感器故障</t>
  </si>
  <si>
    <t>ATS：进水温度传感器故障（12836，12）</t>
  </si>
  <si>
    <t>出水温度传感器故障</t>
  </si>
  <si>
    <t>ATS：出水温度传感器故障（12837，12）</t>
  </si>
  <si>
    <t>进水温度传感器掉线</t>
  </si>
  <si>
    <t>ATS：进水温度传感器掉线（12836，5）</t>
  </si>
  <si>
    <t>出水温度传感器掉线</t>
  </si>
  <si>
    <t>ATS：出水温度传感器掉线（12837，5）</t>
  </si>
  <si>
    <t>CAN通讯异常</t>
  </si>
  <si>
    <t>ATS：CAN通讯异常(639,23)</t>
  </si>
  <si>
    <t>源地址0xA8</t>
  </si>
  <si>
    <t>故障代码同SHEET《电机故障代码表EF_PCAN》，仅源地址不同</t>
  </si>
  <si>
    <t>故障名称</t>
  </si>
  <si>
    <t xml:space="preserve">输出严重过压 </t>
  </si>
  <si>
    <t>外挂DCDC：输出严重过压 (521600,0)</t>
  </si>
  <si>
    <t>外挂DCDC：输出过压(521600,16)</t>
  </si>
  <si>
    <t xml:space="preserve">输出过流 </t>
  </si>
  <si>
    <t>外挂DCDC：输出过流 (521601,0)</t>
  </si>
  <si>
    <t xml:space="preserve">过温保护 </t>
  </si>
  <si>
    <t>外挂DCDC：过温保护 (521602,7)</t>
  </si>
  <si>
    <t xml:space="preserve">输入过压 </t>
  </si>
  <si>
    <t>外挂DCDC：输入过压 (521603,0)</t>
  </si>
  <si>
    <t xml:space="preserve">输入欠压 </t>
  </si>
  <si>
    <t>外挂DCDC：输入欠压 (521604,4)</t>
  </si>
  <si>
    <t>外挂DCDC：过温告警(521605,3)</t>
  </si>
  <si>
    <t xml:space="preserve">输出欠压 </t>
  </si>
  <si>
    <t>外挂DCDC：输出欠压 (521606,1)</t>
  </si>
  <si>
    <t>外挂DCDC：通讯故障 (521607,12)</t>
  </si>
  <si>
    <t>外挂DCDC：模块故障(521608,11)</t>
  </si>
  <si>
    <t xml:space="preserve">辅源欠压 </t>
  </si>
  <si>
    <t>外挂DCDC：辅源欠压 (521609,1)</t>
  </si>
  <si>
    <r>
      <rPr>
        <sz val="10"/>
        <color theme="1"/>
        <rFont val="宋体"/>
        <charset val="134"/>
      </rPr>
      <t>输出严重过压</t>
    </r>
    <r>
      <rPr>
        <sz val="10"/>
        <color theme="1"/>
        <rFont val="Times New Roman"/>
        <charset val="134"/>
      </rPr>
      <t xml:space="preserve"> </t>
    </r>
  </si>
  <si>
    <t>外挂DCDC2：输出严重过压 (521600,0)</t>
  </si>
  <si>
    <t>外挂DCDC2：输出过压(521600,16)</t>
  </si>
  <si>
    <r>
      <rPr>
        <sz val="10"/>
        <color theme="1"/>
        <rFont val="宋体"/>
        <charset val="134"/>
      </rPr>
      <t>输出过流</t>
    </r>
    <r>
      <rPr>
        <sz val="10"/>
        <color theme="1"/>
        <rFont val="Times New Roman"/>
        <charset val="134"/>
      </rPr>
      <t xml:space="preserve"> </t>
    </r>
  </si>
  <si>
    <t>外挂DCDC2：输出过流 (521601,0)</t>
  </si>
  <si>
    <r>
      <rPr>
        <sz val="10"/>
        <color theme="1"/>
        <rFont val="宋体"/>
        <charset val="134"/>
      </rPr>
      <t>过温保护</t>
    </r>
    <r>
      <rPr>
        <sz val="10"/>
        <color theme="1"/>
        <rFont val="Times New Roman"/>
        <charset val="134"/>
      </rPr>
      <t xml:space="preserve"> </t>
    </r>
  </si>
  <si>
    <t>外挂DCDC2：过温保护 (521602,7)</t>
  </si>
  <si>
    <r>
      <rPr>
        <sz val="10"/>
        <color theme="1"/>
        <rFont val="宋体"/>
        <charset val="134"/>
      </rPr>
      <t>输入过压</t>
    </r>
    <r>
      <rPr>
        <sz val="10"/>
        <color theme="1"/>
        <rFont val="Times New Roman"/>
        <charset val="134"/>
      </rPr>
      <t xml:space="preserve"> </t>
    </r>
  </si>
  <si>
    <t>外挂DCDC2：输入过压 (521603,0)</t>
  </si>
  <si>
    <r>
      <rPr>
        <sz val="10"/>
        <color theme="1"/>
        <rFont val="宋体"/>
        <charset val="134"/>
      </rPr>
      <t>输入欠压</t>
    </r>
    <r>
      <rPr>
        <sz val="10"/>
        <color theme="1"/>
        <rFont val="Times New Roman"/>
        <charset val="134"/>
      </rPr>
      <t xml:space="preserve"> </t>
    </r>
  </si>
  <si>
    <t>外挂DCDC2：输入欠压 (521604,4)</t>
  </si>
  <si>
    <t>外挂DCDC2：过温告警(521605,3)</t>
  </si>
  <si>
    <r>
      <rPr>
        <sz val="10"/>
        <color theme="1"/>
        <rFont val="宋体"/>
        <charset val="134"/>
      </rPr>
      <t>输出欠压</t>
    </r>
    <r>
      <rPr>
        <sz val="10"/>
        <color theme="1"/>
        <rFont val="Times New Roman"/>
        <charset val="134"/>
      </rPr>
      <t xml:space="preserve"> </t>
    </r>
  </si>
  <si>
    <t>外挂DCDC2：输出欠压 (521606,1)</t>
  </si>
  <si>
    <r>
      <rPr>
        <sz val="10"/>
        <color theme="1"/>
        <rFont val="宋体"/>
        <charset val="134"/>
      </rPr>
      <t>通讯故障</t>
    </r>
    <r>
      <rPr>
        <sz val="10"/>
        <color theme="1"/>
        <rFont val="Times New Roman"/>
        <charset val="134"/>
      </rPr>
      <t xml:space="preserve"> </t>
    </r>
  </si>
  <si>
    <t>外挂DCDC2：通讯故障 (521607,12)</t>
  </si>
  <si>
    <t>外挂DCDC2：模块故障(521608,11)</t>
  </si>
  <si>
    <r>
      <rPr>
        <sz val="10"/>
        <color theme="1"/>
        <rFont val="宋体"/>
        <charset val="134"/>
      </rPr>
      <t>辅源欠压</t>
    </r>
    <r>
      <rPr>
        <sz val="10"/>
        <color theme="1"/>
        <rFont val="Times New Roman"/>
        <charset val="134"/>
      </rPr>
      <t xml:space="preserve"> </t>
    </r>
  </si>
  <si>
    <t>外挂DCDC2：辅源欠压 (521609,1)</t>
  </si>
  <si>
    <t>EBS Brake switch : Abnormal frequency or pulse width or period</t>
  </si>
  <si>
    <t>EPB:(1121,8)</t>
  </si>
  <si>
    <t>EBS Brake switch : Abnormal update rate</t>
  </si>
  <si>
    <t>EPB:(1121,9)</t>
  </si>
  <si>
    <t>Tachograf vehicle speed : Abnormal update rate</t>
  </si>
  <si>
    <t>EPB:(1324,9)</t>
  </si>
  <si>
    <t>Key switch battery potential : Abnormal rate of change</t>
  </si>
  <si>
    <t>EPB:(158,10)</t>
  </si>
  <si>
    <t>Key switch battery potential : Voltage above normal, or shorted to high source</t>
  </si>
  <si>
    <t>EPB:(158,3)</t>
  </si>
  <si>
    <t>Battery Potential / Power Input 1 : Data valid but above normal operational range</t>
  </si>
  <si>
    <t>EPB:(168,0)</t>
  </si>
  <si>
    <t>Battery Potential / Power Input 1 : Data valid but below normal operational range</t>
  </si>
  <si>
    <t>EPB:(168,1)</t>
  </si>
  <si>
    <t>Battery Potential / Power Input 1 : Bad intelligent device or component</t>
  </si>
  <si>
    <t>EPB:(168,12)</t>
  </si>
  <si>
    <t>Battery Potential / Power Input 1 : Current below normal or open circuit</t>
  </si>
  <si>
    <t>EPB:(168,5)</t>
  </si>
  <si>
    <t>VDC Fully operational : Abnormal update rate</t>
  </si>
  <si>
    <t>EPB:(1814,9)</t>
  </si>
  <si>
    <t>Product system manifold pressure : Bad intelligent device or component</t>
  </si>
  <si>
    <t>EPB:(3132,12)</t>
  </si>
  <si>
    <t>Product system manifold pressure : Voltage above normal, or shorted to high source</t>
  </si>
  <si>
    <t>EPB:(3132,3)</t>
  </si>
  <si>
    <t>Product system manifold pressure : Voltage below normal, or shorted to low source</t>
  </si>
  <si>
    <t>EPB:(3132,4)</t>
  </si>
  <si>
    <t>Product system manifold pressure : Current below normal or open circuit</t>
  </si>
  <si>
    <t>EPB:(3132,5)</t>
  </si>
  <si>
    <t>Right hand header height min setpoint : Data valid but above normal operational range</t>
  </si>
  <si>
    <t>EPB:(3136,0)</t>
  </si>
  <si>
    <t>Right hand header height min setpoint : Data Valid But Above Normal Operating Range U Moderately Severe Level</t>
  </si>
  <si>
    <t>EPB:(3136,16)</t>
  </si>
  <si>
    <t>Pneumatic Supply pressure : Abnormal update rate</t>
  </si>
  <si>
    <t>EPB:(46,9)</t>
  </si>
  <si>
    <t>Actual Engine - Percent Torque : Abnormal update rate</t>
  </si>
  <si>
    <t>EPB:(513,9)</t>
  </si>
  <si>
    <t>Diag Vehicle State Message : Data erratic, intermittent or incorrect</t>
  </si>
  <si>
    <t>EPB:(516096,2)</t>
  </si>
  <si>
    <t>Diag Vehicle State Message : Abnormal frequency or pulse width or period</t>
  </si>
  <si>
    <t>EPB:(516096,8)</t>
  </si>
  <si>
    <t>EXT 1 ECU : Bad intelligent device or component</t>
  </si>
  <si>
    <t>EPB:(516097,12)</t>
  </si>
  <si>
    <t>EXT 1 ECU : Data erratic, intermittent or incorrect</t>
  </si>
  <si>
    <t>EPB:(516097,2)</t>
  </si>
  <si>
    <t>EXT 1 ECU : Abnormal frequency or pulse width or period</t>
  </si>
  <si>
    <t>EPB:(516097,8)</t>
  </si>
  <si>
    <t>EXT 1 ECU : Abnormal update rate</t>
  </si>
  <si>
    <t>EPB:(516097,9)</t>
  </si>
  <si>
    <t>EXT 2 ECU : Bad intelligent device or component</t>
  </si>
  <si>
    <t>EPB:(516098,12)</t>
  </si>
  <si>
    <t>EXT 2 ECU : Data erratic, intermittent or incorrect</t>
  </si>
  <si>
    <t>EPB:(516098,2)</t>
  </si>
  <si>
    <t>EXT 2 ECU : Abnormal frequency or pulse width or period</t>
  </si>
  <si>
    <t>EPB:(516098,8)</t>
  </si>
  <si>
    <t>EXT 2 ECU : Abnormal update rate</t>
  </si>
  <si>
    <t>EPB:(516098,9)</t>
  </si>
  <si>
    <t>EXT 3 ECU : Bad intelligent device or component</t>
  </si>
  <si>
    <t>EPB:(516099,12)</t>
  </si>
  <si>
    <t>EXT 3 ECU : Data erratic, intermittent or incorrect</t>
  </si>
  <si>
    <t>EPB:(516099,2)</t>
  </si>
  <si>
    <t>EXT 3 ECU : Abnormal frequency or pulse width or period</t>
  </si>
  <si>
    <t>EPB:(516099,8)</t>
  </si>
  <si>
    <t>EXT 3 ECU : Abnormal update rate</t>
  </si>
  <si>
    <t>EPB:(516099,9)</t>
  </si>
  <si>
    <t>Transmission Current Gear : Abnormal update rate</t>
  </si>
  <si>
    <t>EPB:(523,9)</t>
  </si>
  <si>
    <t>Park brake command : Abnormal rate of change</t>
  </si>
  <si>
    <t>EPB:(5630,10)</t>
  </si>
  <si>
    <t>Park brake command : Bad intelligent device or component</t>
  </si>
  <si>
    <t>EPB:(5630,12)</t>
  </si>
  <si>
    <t>Park brake command : Data erratic, intermittent or incorrect</t>
  </si>
  <si>
    <t>EPB:(5630,2)</t>
  </si>
  <si>
    <t>Park brake command : Data drifted high</t>
  </si>
  <si>
    <t>EPB:(5630,20)</t>
  </si>
  <si>
    <t>Park brake command : Abnormal frequency or pulse width or period</t>
  </si>
  <si>
    <t>EPB:(5630,8)</t>
  </si>
  <si>
    <t>Park brake command : Abnormal update rate</t>
  </si>
  <si>
    <t>EPB:(5360,9)</t>
  </si>
  <si>
    <t>Parking brake On Actuator : Mechanical system not responding or out of adjustment</t>
  </si>
  <si>
    <t>EPB:(617,7)</t>
  </si>
  <si>
    <t>Parking brake Off Actuator : Mechanical system not responding or out of adjustment</t>
  </si>
  <si>
    <t>EPB:(618,7)</t>
  </si>
  <si>
    <t>Parking Brake Actuator : Abnormal rate of change</t>
  </si>
  <si>
    <t>EPB:(619,10)</t>
  </si>
  <si>
    <t>Parking Brake Actuator : Special instructions</t>
  </si>
  <si>
    <t>EPB:(619,14)</t>
  </si>
  <si>
    <t>Parking Brake Actuator : Mechanical system not responding or out of adjustment</t>
  </si>
  <si>
    <t>EPB:(619,7)</t>
  </si>
  <si>
    <t>Proprietary Network 1 : Current below normal or open circuit</t>
  </si>
  <si>
    <t>EPB:(625,5)</t>
  </si>
  <si>
    <t>Controller 1 : Out of calibration</t>
  </si>
  <si>
    <t>EPB:(629,13)</t>
  </si>
  <si>
    <t>Controller 1 : Special instructions</t>
  </si>
  <si>
    <t>EPB:(629,14)</t>
  </si>
  <si>
    <t>Controller 1 : Data erratic, intermittent or incorrect</t>
  </si>
  <si>
    <t>EPB:(629,2)</t>
  </si>
  <si>
    <t>Controller 1 : Abnormal update rate</t>
  </si>
  <si>
    <t>EPB:(629,9)</t>
  </si>
  <si>
    <t>Calibration Memory : Out of calibration</t>
  </si>
  <si>
    <t>EPB:(630,13)</t>
  </si>
  <si>
    <t>Calibration Memory : Data erratic, intermittent or incorrect</t>
  </si>
  <si>
    <t>EPB:(630,2)</t>
  </si>
  <si>
    <t>J1939 Network 1-Primary Vehicle Network : Current below normal or open circuit</t>
  </si>
  <si>
    <t>EPB:(639,5)</t>
  </si>
  <si>
    <t>Auxiliary I/O 08 : Abnormal update rate</t>
  </si>
  <si>
    <t>EPB:(708,9)</t>
  </si>
  <si>
    <t>Headway Controller Brake Input Monitor : Bad intelligent device or component</t>
  </si>
  <si>
    <t>EPB:(887,12)</t>
  </si>
  <si>
    <t>Headway Controller Brake Input Monitor : Abnormal update rate</t>
  </si>
  <si>
    <t>EPB:(887,9)</t>
  </si>
  <si>
    <t>故障类型</t>
  </si>
  <si>
    <t>DTC(hex)</t>
  </si>
  <si>
    <t>故障现象</t>
  </si>
  <si>
    <t>供电过高</t>
  </si>
  <si>
    <t>0x523303</t>
  </si>
  <si>
    <t xml:space="preserve"> 高 </t>
  </si>
  <si>
    <t>ON档电供电电压过高（大于32V）</t>
  </si>
  <si>
    <t>供电电压异常（13138，3）</t>
  </si>
  <si>
    <t xml:space="preserve">故障灯亮，且仪表文字显示故障码
</t>
  </si>
  <si>
    <t>供电过低</t>
  </si>
  <si>
    <t>0x523304</t>
  </si>
  <si>
    <t>+</t>
  </si>
  <si>
    <t>供电电压异常（13138，4）</t>
  </si>
  <si>
    <t>阀电没接</t>
  </si>
  <si>
    <t>0x523305</t>
  </si>
  <si>
    <t>EPB模块总成阀电（常电）未接</t>
  </si>
  <si>
    <t>供电电压异常（13138，5）</t>
  </si>
  <si>
    <t>CAN报文丢失</t>
  </si>
  <si>
    <t>0xc10009</t>
  </si>
  <si>
    <t>低</t>
  </si>
  <si>
    <t>CAN通讯异常(193,9)</t>
  </si>
  <si>
    <t>CAN 断路</t>
  </si>
  <si>
    <t>0xc11005</t>
  </si>
  <si>
    <t>中</t>
  </si>
  <si>
    <t>CAN线断路</t>
  </si>
  <si>
    <t>CAN通讯异常(4289,5)</t>
  </si>
  <si>
    <t>开关内部故障</t>
  </si>
  <si>
    <t>0x52380B</t>
  </si>
  <si>
    <t>EPB开关发生故障</t>
  </si>
  <si>
    <t>EPB开关故障（14418，11）</t>
  </si>
  <si>
    <t>阀体内部故障</t>
  </si>
  <si>
    <t>0x52390B</t>
  </si>
  <si>
    <t>EPB模块总成阀体内部故障</t>
  </si>
  <si>
    <t>EPB模块总成故障（14674，11）</t>
  </si>
  <si>
    <t>主阀电供电过高</t>
  </si>
  <si>
    <t>0x523b03</t>
  </si>
  <si>
    <t>主阀电电压高于32V</t>
  </si>
  <si>
    <t>供电电压异常（15186，3）</t>
  </si>
  <si>
    <t>仪表不显示故障码，通过诊断仪读取故障</t>
  </si>
  <si>
    <t>主阀电供电过低</t>
  </si>
  <si>
    <t>0x523b04</t>
  </si>
  <si>
    <t>主阀电电压低于16V</t>
  </si>
  <si>
    <t>供电电压异常（15186，4）</t>
  </si>
  <si>
    <t>主阀电没接</t>
  </si>
  <si>
    <t>0x523b05</t>
  </si>
  <si>
    <t>主阀电未接</t>
  </si>
  <si>
    <t>供电电压异常（15186，5）</t>
  </si>
  <si>
    <t>备用阀电源未接</t>
  </si>
  <si>
    <t>0x523505</t>
  </si>
  <si>
    <t>备用阀电未接</t>
  </si>
  <si>
    <t>供电电压异常（13650，5）</t>
  </si>
  <si>
    <t>临停阀制动端对电源短路</t>
  </si>
  <si>
    <t>0x523003</t>
  </si>
  <si>
    <t>临停继动阀制动端对电源短路</t>
  </si>
  <si>
    <t>临停阀故障（12370，3）</t>
  </si>
  <si>
    <t>临停阀制动端对地短路</t>
  </si>
  <si>
    <t>0x523006</t>
  </si>
  <si>
    <t>临停继动阀制动端对地短路</t>
  </si>
  <si>
    <t>临停阀故障（12370，6）</t>
  </si>
  <si>
    <t>仅仪表文字显示故障码</t>
  </si>
  <si>
    <t>临停阀制动端断路</t>
  </si>
  <si>
    <t>0x523005</t>
  </si>
  <si>
    <t>临停继动阀制动端断路</t>
  </si>
  <si>
    <t>临停阀故障（12370，5）</t>
  </si>
  <si>
    <t>临停排气对电源短路</t>
  </si>
  <si>
    <t>0x523403</t>
  </si>
  <si>
    <t>临停继动阀缓解端对电源短路</t>
  </si>
  <si>
    <t>临停阀故障（13394，3）</t>
  </si>
  <si>
    <t>临停排气对地短路</t>
  </si>
  <si>
    <t>0x523406</t>
  </si>
  <si>
    <t>临停继动阀缓解端对地短路</t>
  </si>
  <si>
    <t>临停阀故障（13394，6）</t>
  </si>
  <si>
    <t>临停排气断路</t>
  </si>
  <si>
    <t>0x523405</t>
  </si>
  <si>
    <t>临停继动阀缓解端断路</t>
  </si>
  <si>
    <t>临停阀故障（13394，5）</t>
  </si>
  <si>
    <t>挂车独立制动端对电源短路</t>
  </si>
  <si>
    <t>0x523603</t>
  </si>
  <si>
    <t>挂车独立制动电磁阀对电源短路</t>
  </si>
  <si>
    <t>挂车独立制动电磁阀故障（13906，3）</t>
  </si>
  <si>
    <t>挂车独立制动端对地短路</t>
  </si>
  <si>
    <t>0x523606</t>
  </si>
  <si>
    <t>挂车独立制动电磁阀对地短路</t>
  </si>
  <si>
    <t>挂车独立制动电磁阀故障（13906，6）</t>
  </si>
  <si>
    <t>挂车独立制动端断路</t>
  </si>
  <si>
    <t>0x523605</t>
  </si>
  <si>
    <t>挂车独立制动电磁阀断路</t>
  </si>
  <si>
    <t>挂车独立制动电磁阀故障（13906，5）</t>
  </si>
  <si>
    <t>行车压力传感器低于量程范围</t>
  </si>
  <si>
    <t>0x523A04</t>
  </si>
  <si>
    <t>行车压力传感器输出异常</t>
  </si>
  <si>
    <t>行车压力传感器故障
（14930，4）</t>
  </si>
  <si>
    <t>行车压力传感器超过量产范围</t>
  </si>
  <si>
    <t>0x523A03</t>
  </si>
  <si>
    <t>行车压力传感器故障
（14930，3）</t>
  </si>
  <si>
    <t>制动状态低于正常的行车压力</t>
  </si>
  <si>
    <t>0x524A01</t>
  </si>
  <si>
    <t>车辆制动时，制动管路无气</t>
  </si>
  <si>
    <t>行车制动管路故障（19026，1）</t>
  </si>
  <si>
    <t>行车状态高于正常的行车压力</t>
  </si>
  <si>
    <t>0x524B00</t>
  </si>
  <si>
    <t>车辆未制动时，制动管路有气</t>
  </si>
  <si>
    <t>行车制动管路故障（19282，0）</t>
  </si>
  <si>
    <t>行车气路漏气速率过大</t>
  </si>
  <si>
    <t>0x524C0A</t>
  </si>
  <si>
    <t>制动管路漏气</t>
  </si>
  <si>
    <t>行车制动管路故障（19538，10）</t>
  </si>
  <si>
    <t>EBS故障无法响应XBR</t>
  </si>
  <si>
    <t>0x526703</t>
  </si>
  <si>
    <t>EBS系统无法响应XBR请求</t>
  </si>
  <si>
    <t>制动系统响应异常(26450,3)</t>
  </si>
  <si>
    <t>仪表不显示故障码，仅可通过诊断仪读取故障码</t>
  </si>
  <si>
    <t>EBS故障无法响应临停</t>
  </si>
  <si>
    <t>0x523703</t>
  </si>
  <si>
    <t>EBS系统无法响应临时停车制动请求</t>
  </si>
  <si>
    <t>制动系统响应异常(14162,3)</t>
  </si>
  <si>
    <t>模块充气超时</t>
  </si>
  <si>
    <t>0x524907</t>
  </si>
  <si>
    <t>驻车系统充气超时</t>
  </si>
  <si>
    <t>模块充气超时（18770，7）</t>
  </si>
  <si>
    <t>模块排气超时</t>
  </si>
  <si>
    <t>0x525907</t>
  </si>
  <si>
    <t>驻车系统排气超时</t>
  </si>
  <si>
    <t>模块排气超时（22866，7）</t>
  </si>
  <si>
    <t>模块驻车压力传感器低于量程范围</t>
  </si>
  <si>
    <t>0x525A04</t>
  </si>
  <si>
    <t>驻车压力传感器输出异常</t>
  </si>
  <si>
    <t>驻车压力传感器故障（23122，4）</t>
  </si>
  <si>
    <t>模块驻车压力传感器超出量程范围</t>
  </si>
  <si>
    <t>0x525A03</t>
  </si>
  <si>
    <t>驻车压力传感器故障（23122，3）</t>
  </si>
  <si>
    <t>模块倾角传感器未标定</t>
  </si>
  <si>
    <t>0x521010</t>
  </si>
  <si>
    <t>倾角传感器未标定</t>
  </si>
  <si>
    <t>倾角传感器故障（4178，16）</t>
  </si>
  <si>
    <t>模块倾角传感器故障</t>
  </si>
  <si>
    <t>0x521042</t>
  </si>
  <si>
    <t>倾角传感器故障</t>
  </si>
  <si>
    <t>倾角传感器故障（135250，2）</t>
  </si>
  <si>
    <t>模块驻车电磁阀对电源短路</t>
  </si>
  <si>
    <t>0x524103</t>
  </si>
  <si>
    <t>驻车电磁阀对电源短路</t>
  </si>
  <si>
    <t>驻车电磁阀故障（16722，3）</t>
  </si>
  <si>
    <t>模块驻车电磁阀对地短路</t>
  </si>
  <si>
    <t>0x524106</t>
  </si>
  <si>
    <t>驻车电磁阀对地短路</t>
  </si>
  <si>
    <t>驻车电磁阀故障（16722，6）</t>
  </si>
  <si>
    <t>模块驻车电磁阀断路</t>
  </si>
  <si>
    <t>0x524105</t>
  </si>
  <si>
    <t>驻车电磁阀断路</t>
  </si>
  <si>
    <t>驻车电磁阀故障（16722，5）</t>
  </si>
  <si>
    <t>模块释放电磁阀对电源短路</t>
  </si>
  <si>
    <t>0x524203</t>
  </si>
  <si>
    <t>释放电磁阀对电源短路</t>
  </si>
  <si>
    <t>释放电磁阀故障（16978，3）</t>
  </si>
  <si>
    <t>模块释放电磁阀对地短路</t>
  </si>
  <si>
    <t>0x524206</t>
  </si>
  <si>
    <t>释放电磁阀对地短路</t>
  </si>
  <si>
    <t>释放电磁阀故障（16978，6）</t>
  </si>
  <si>
    <t>模块释放电磁阀断路</t>
  </si>
  <si>
    <t>0x524205</t>
  </si>
  <si>
    <t>释放电磁阀断路</t>
  </si>
  <si>
    <t>释放电磁阀故障（16978，5）</t>
  </si>
  <si>
    <t>模块挂车检测电磁阀对电源短路</t>
  </si>
  <si>
    <t>0x524303</t>
  </si>
  <si>
    <t>挂车检测电磁阀对电源短路</t>
  </si>
  <si>
    <t>挂车检测电磁阀故障（17234，3）</t>
  </si>
  <si>
    <t>模块挂车检测电磁阀对地短路</t>
  </si>
  <si>
    <t>0x524306</t>
  </si>
  <si>
    <t>挂车检测电磁阀对地短路</t>
  </si>
  <si>
    <t>挂车检测电磁阀故障（17234，6）</t>
  </si>
  <si>
    <t>模块挂车检测电磁阀断路</t>
  </si>
  <si>
    <t>0x524305</t>
  </si>
  <si>
    <t>挂车检测电磁阀断路</t>
  </si>
  <si>
    <t>挂车检测电磁阀故障（17234，5）</t>
  </si>
  <si>
    <t>ECU读取内存故障</t>
  </si>
  <si>
    <t>0x525319</t>
  </si>
  <si>
    <t>ECU故障（21330，25）</t>
  </si>
  <si>
    <t>ECU写内存故障</t>
  </si>
  <si>
    <t>0x525318</t>
  </si>
  <si>
    <t>ECU故障（21330，24）</t>
  </si>
  <si>
    <t>开关释放端对电短路</t>
  </si>
  <si>
    <t>0x824503</t>
  </si>
  <si>
    <t>EPB开关故障（17794，3）</t>
  </si>
  <si>
    <t>开关释放端对地短路</t>
  </si>
  <si>
    <t>0x824506</t>
  </si>
  <si>
    <t>EPB开关故障（17794，6）</t>
  </si>
  <si>
    <t>开关释放端断路</t>
  </si>
  <si>
    <t>0x824505</t>
  </si>
  <si>
    <t>EPB开关故障（17794，5）</t>
  </si>
  <si>
    <t>开关驻车端对电短路</t>
  </si>
  <si>
    <t>0x824603</t>
  </si>
  <si>
    <t>EPB开关故障（18050，3）</t>
  </si>
  <si>
    <t>开关驻车端对地短路</t>
  </si>
  <si>
    <t>0x824606</t>
  </si>
  <si>
    <t>EPB开关故障（18050，6）</t>
  </si>
  <si>
    <t>开关驻车端断路</t>
  </si>
  <si>
    <t>0x824605</t>
  </si>
  <si>
    <t>EPB开关故障（18050，5）</t>
  </si>
  <si>
    <t>开关线性不成比例</t>
  </si>
  <si>
    <t>0x824600</t>
  </si>
  <si>
    <t>EPB开关故障（18050，0）</t>
  </si>
  <si>
    <t>开关卡滞</t>
  </si>
  <si>
    <t>0x82460A</t>
  </si>
  <si>
    <t>EPB开关故障（18050，10）</t>
  </si>
  <si>
    <t>开关未接</t>
  </si>
  <si>
    <t>0x824602</t>
  </si>
  <si>
    <t>EPB开关故障（18050，2）</t>
  </si>
  <si>
    <t>开关供电异常</t>
  </si>
  <si>
    <t>0x824705</t>
  </si>
  <si>
    <t>EPB开关故障（18306，5）</t>
  </si>
  <si>
    <t>开关CAN Busoff</t>
  </si>
  <si>
    <t>0xc24613</t>
  </si>
  <si>
    <t>EPB开关故障（18114，19）</t>
  </si>
  <si>
    <t>整车CAN Busoff</t>
  </si>
  <si>
    <t>0xc15713</t>
  </si>
  <si>
    <t>整车CAN故障（22465，19）</t>
  </si>
  <si>
    <t>档位信号丢失</t>
  </si>
  <si>
    <t>0xc33209</t>
  </si>
  <si>
    <t>档位信号丢失（12995，9）</t>
  </si>
  <si>
    <t>油门信号丢失</t>
  </si>
  <si>
    <t>0xc33309</t>
  </si>
  <si>
    <t>油门信号丢失（13251，9）</t>
  </si>
  <si>
    <t>扭矩信号丢失</t>
  </si>
  <si>
    <t>0xc33409</t>
  </si>
  <si>
    <t>扭矩信号丢失（13507，9）</t>
  </si>
  <si>
    <t>脚刹信号丢失</t>
  </si>
  <si>
    <t>0xc33509</t>
  </si>
  <si>
    <t>脚刹信号丢失（13763，9）</t>
  </si>
  <si>
    <t>气压信号丢失</t>
  </si>
  <si>
    <t>0xc33609</t>
  </si>
  <si>
    <t>气压信号丢失（14019，9）</t>
  </si>
  <si>
    <t>转速信号丢失</t>
  </si>
  <si>
    <t>0xc33709</t>
  </si>
  <si>
    <t>转速信号丢失（14275，9）</t>
  </si>
  <si>
    <t>车速信号丢失</t>
  </si>
  <si>
    <t>0xc33809</t>
  </si>
  <si>
    <t>车速信号丢失（14531，9）</t>
  </si>
  <si>
    <t>ABS轮速报文丢失</t>
  </si>
  <si>
    <t>0xc33909</t>
  </si>
  <si>
    <t>ABS轮速报文丢失（14787，9）</t>
  </si>
  <si>
    <t>安全带信号丢失</t>
  </si>
  <si>
    <t>0xc33109</t>
  </si>
  <si>
    <t>安全带信号丢失（12739，9）</t>
  </si>
  <si>
    <t>Ready丢失</t>
  </si>
  <si>
    <t>0xc33A09</t>
  </si>
  <si>
    <t>Ready信号丢失</t>
  </si>
  <si>
    <t>Ready信号丢失（15043，9）</t>
  </si>
  <si>
    <t>Haltbrake丢失</t>
  </si>
  <si>
    <t>0xc33B09</t>
  </si>
  <si>
    <t>Haltbrake信号丢失</t>
  </si>
  <si>
    <t>Haltbrake信号丢失（15299，9）</t>
  </si>
  <si>
    <t>XBR丢失</t>
  </si>
  <si>
    <t>0xc33C09</t>
  </si>
  <si>
    <t>XBR信号丢失</t>
  </si>
  <si>
    <t>XBR信号丢失（15555，9）</t>
  </si>
  <si>
    <t>档位信号无效</t>
  </si>
  <si>
    <t>0xc13202</t>
  </si>
  <si>
    <t>档位信号无效（12993，2）</t>
  </si>
  <si>
    <t>油门信号无效</t>
  </si>
  <si>
    <t>0xc13302</t>
  </si>
  <si>
    <t>油门信号无效（13249，2）</t>
  </si>
  <si>
    <t>扭矩信号无效</t>
  </si>
  <si>
    <t>0xc13402</t>
  </si>
  <si>
    <t>扭矩信号无效（13505，2）</t>
  </si>
  <si>
    <t>脚刹信号无效</t>
  </si>
  <si>
    <t>0xc13502</t>
  </si>
  <si>
    <t>脚刹信号无效（13761，2）</t>
  </si>
  <si>
    <t>气压信号无效</t>
  </si>
  <si>
    <t>0xc13602</t>
  </si>
  <si>
    <t>气压信号无效（14017，2）</t>
  </si>
  <si>
    <t>转速信号无效</t>
  </si>
  <si>
    <t>0xc13702</t>
  </si>
  <si>
    <t>转速信号无效（14273，2）</t>
  </si>
  <si>
    <t>0xc13802</t>
  </si>
  <si>
    <t>车速信号无效（14529，2）</t>
  </si>
  <si>
    <t>ABS轮速信号无效</t>
  </si>
  <si>
    <t>0xc13902</t>
  </si>
  <si>
    <t>ABS轮速信号无效（14785，2）</t>
  </si>
  <si>
    <t>安全带信号无效</t>
  </si>
  <si>
    <t>0xc13102</t>
  </si>
  <si>
    <t>安全带信号无效（14737，2）</t>
  </si>
  <si>
    <t>Ready无效</t>
  </si>
  <si>
    <t>0xc13A02</t>
  </si>
  <si>
    <t>Ready信号无效</t>
  </si>
  <si>
    <t>Ready信号无效（15041，2）</t>
  </si>
  <si>
    <t>Haltbrake无效</t>
  </si>
  <si>
    <t>0xc13B02</t>
  </si>
  <si>
    <t>Haltbrake信号无效</t>
  </si>
  <si>
    <t>Haltbrake信号无效（15297，2）</t>
  </si>
  <si>
    <t>XBR无效</t>
  </si>
  <si>
    <t>0xc13C02</t>
  </si>
  <si>
    <t>XBR信号无效</t>
  </si>
  <si>
    <t>XBR信号无效（15553，2）</t>
  </si>
  <si>
    <t>输入车速异常跳变</t>
  </si>
  <si>
    <t>0xc3220A</t>
  </si>
  <si>
    <t>车速异常跳变</t>
  </si>
  <si>
    <t>车速异常跳变（8899，10）</t>
  </si>
  <si>
    <t>车速误差过大</t>
  </si>
  <si>
    <t>0xc3221A</t>
  </si>
  <si>
    <t>车速误差过大（8899，26）</t>
  </si>
  <si>
    <t>驻车状态高于正常的驻车压力</t>
  </si>
  <si>
    <t>0x534A01</t>
  </si>
  <si>
    <t>驻车状态驻车压力过高</t>
  </si>
  <si>
    <t>驻车压力异常（19027，1）</t>
  </si>
  <si>
    <t>行车状态低于正常的驻车压力</t>
  </si>
  <si>
    <t>0x534B00</t>
  </si>
  <si>
    <t>行车状态驻车压力过低</t>
  </si>
  <si>
    <t>驻车压力异常（19283，0）</t>
  </si>
  <si>
    <t>驻车气路漏气速率过大</t>
  </si>
  <si>
    <t>0x534C0A</t>
  </si>
  <si>
    <t>驻车管路漏气速率过大</t>
  </si>
  <si>
    <t>驻车压力异常（19539，10）</t>
  </si>
  <si>
    <t>AutoDrive_ADCU报文丢失</t>
  </si>
  <si>
    <t>0xc13309</t>
  </si>
  <si>
    <t>AutoDrive_ADCU报文丢失（13249，9）</t>
  </si>
  <si>
    <t>AutoDrive_ADCU校验错误</t>
  </si>
  <si>
    <t>0xc13409</t>
  </si>
  <si>
    <t>AutoDrive_ADCU校验错误（13505，9）</t>
  </si>
  <si>
    <t>AutoDrive_ADCU Counter错误</t>
  </si>
  <si>
    <t>0xc13509</t>
  </si>
  <si>
    <t>AutoDrive_ADCU Counter错误（13761，9）</t>
  </si>
  <si>
    <t>AutoDrive_rADCU报文丢失</t>
  </si>
  <si>
    <t>0xc13609</t>
  </si>
  <si>
    <t>AutoDrive_rADCU报文丢失（14017，9）</t>
  </si>
  <si>
    <t>AutoDrive_rADCU校验错误</t>
  </si>
  <si>
    <t>0xc13709</t>
  </si>
  <si>
    <t>AutoDrive_rADCU校验错误（14273，9）</t>
  </si>
  <si>
    <t>AutoDrive_rADCU Counter错误</t>
  </si>
  <si>
    <t>0xc13809</t>
  </si>
  <si>
    <t>AutoDrive_rADCU Counter错误（14529，9）</t>
  </si>
  <si>
    <t>EPBC1_ADCU丢失</t>
  </si>
  <si>
    <t>0xc13909</t>
  </si>
  <si>
    <t>EPBC1_ADCU丢失（14785，9）</t>
  </si>
  <si>
    <t>EPBC1_ADCU校验错误</t>
  </si>
  <si>
    <t>0xc14a09</t>
  </si>
  <si>
    <t>EPBC1_ADCU校验错误（19137，9）</t>
  </si>
  <si>
    <t>EPBC1_ADCU Counter错误</t>
  </si>
  <si>
    <t>0xc14b09</t>
  </si>
  <si>
    <t>EPBC1_ADCU Counter错误（19393，9）</t>
  </si>
  <si>
    <t>EPBC1_rADCU丢失</t>
  </si>
  <si>
    <t>0xc14c09</t>
  </si>
  <si>
    <t>EPBC1_rADCU丢失（19649，9）</t>
  </si>
  <si>
    <t>EPBC1_rADCU校验错误</t>
  </si>
  <si>
    <t>0xc14d09</t>
  </si>
  <si>
    <t>EPBC1_rADCU校验错误（19905，9）</t>
  </si>
  <si>
    <t>EPBC1_rADCU Counter错误</t>
  </si>
  <si>
    <t>0xc14e09</t>
  </si>
  <si>
    <t>EPBC1_rADCU Counter错误（20161，9）</t>
  </si>
  <si>
    <t>安装角度偏差过大-X方向</t>
  </si>
  <si>
    <t>0x514f0d</t>
  </si>
  <si>
    <t>安装角度偏差过大（20305，13）</t>
  </si>
  <si>
    <t>安装角度偏差过大-Y方向</t>
  </si>
  <si>
    <t>0x51500d</t>
  </si>
  <si>
    <t>安装角度偏差过大（20561，13）</t>
  </si>
  <si>
    <t>左边传感器对地短路故障</t>
  </si>
  <si>
    <t>0x517106</t>
  </si>
  <si>
    <t>轮速传感器故障（29009，6）</t>
  </si>
  <si>
    <t>左边传感器对电短路故障</t>
  </si>
  <si>
    <t>0x517103</t>
  </si>
  <si>
    <t>轮速传感器故障（29009，3）</t>
  </si>
  <si>
    <t>左边传感器断路故障</t>
  </si>
  <si>
    <t>0x517105</t>
  </si>
  <si>
    <t>轮速传感器故障（29009，5）</t>
  </si>
  <si>
    <t>左边传感器缺齿</t>
  </si>
  <si>
    <t>0x517107</t>
  </si>
  <si>
    <t>轮速传感器故障（29009，7）</t>
  </si>
  <si>
    <t>左边传感器间隙过大</t>
  </si>
  <si>
    <t>0x517101</t>
  </si>
  <si>
    <t>轮速传感器故障（29009，1）</t>
  </si>
  <si>
    <t>右边传感器对地短路故障</t>
  </si>
  <si>
    <t>0x518106</t>
  </si>
  <si>
    <t>轮速传感器故障（33105，6）</t>
  </si>
  <si>
    <t>右边传感器对电短路故障</t>
  </si>
  <si>
    <t>0x518103</t>
  </si>
  <si>
    <t>轮速传感器故障（33105，3）</t>
  </si>
  <si>
    <t>右边传感器断路故障</t>
  </si>
  <si>
    <t>0x518105</t>
  </si>
  <si>
    <t>轮速传感器故障（33105，5）</t>
  </si>
  <si>
    <t>右边传感器缺齿</t>
  </si>
  <si>
    <t>0x518107</t>
  </si>
  <si>
    <t>轮速传感器故障（33105，7）</t>
  </si>
  <si>
    <t>右边传感器间隙过大</t>
  </si>
  <si>
    <t>0x518101</t>
  </si>
  <si>
    <t>轮速传感器故障（33105，1）</t>
  </si>
  <si>
    <t>主阀电继电器无法驱动输出</t>
  </si>
  <si>
    <t>0x523204</t>
  </si>
  <si>
    <t>继电器工作异常（12882，4）</t>
  </si>
  <si>
    <t>备用阀电继电器无法驱动输出</t>
  </si>
  <si>
    <t>0x523104</t>
  </si>
  <si>
    <t>继电器工作异常（12626，4）</t>
  </si>
  <si>
    <t>主阀电继电器无法切断输出</t>
  </si>
  <si>
    <t>0x523203</t>
  </si>
  <si>
    <t>继电器工作异常（12882，3）</t>
  </si>
  <si>
    <t>备用阀电继电器无法切断输出</t>
  </si>
  <si>
    <t>0x523103</t>
  </si>
  <si>
    <t>继电器工作异常（12626，3）</t>
  </si>
  <si>
    <t>ON电供电过高</t>
  </si>
  <si>
    <t>0x523803</t>
  </si>
  <si>
    <t>供电电压异常（14418，3）</t>
  </si>
  <si>
    <t>ON电供电过低</t>
  </si>
  <si>
    <t>0x523804</t>
  </si>
  <si>
    <t>供电电压异常（14418，4）</t>
  </si>
  <si>
    <t>备用阀电供电过高</t>
  </si>
  <si>
    <t>0x523503</t>
  </si>
  <si>
    <t>供电电压异常（13650，3）</t>
  </si>
  <si>
    <t>备用阀电供电过低</t>
  </si>
  <si>
    <t>0x523504</t>
  </si>
  <si>
    <t>供电电压异常（13650，4）</t>
  </si>
  <si>
    <t>离合信号丢失</t>
  </si>
  <si>
    <t>0xc33D09</t>
  </si>
  <si>
    <t>离合信号丢失（15811，9）</t>
  </si>
  <si>
    <t>离合信号无效</t>
  </si>
  <si>
    <t>0xc14f02</t>
  </si>
  <si>
    <t>离合信号无效（20417，2）</t>
  </si>
  <si>
    <t>驻车开关闭合位置异常</t>
  </si>
  <si>
    <t>0x824804</t>
  </si>
  <si>
    <t>EPB开关故障（18562，4）</t>
  </si>
  <si>
    <t>缓解开关闭合位置异常</t>
  </si>
  <si>
    <t>0x824903</t>
  </si>
  <si>
    <t>EPB开关故障（18818，3）</t>
  </si>
  <si>
    <t>驻车指示灯对电短路</t>
  </si>
  <si>
    <t>0x824A03</t>
  </si>
  <si>
    <t>EPB开关故障（19074，3）</t>
  </si>
  <si>
    <t>驻车指示灯断路</t>
  </si>
  <si>
    <t>0x824B05</t>
  </si>
  <si>
    <t>EPB开关故障（19330，5）</t>
  </si>
  <si>
    <t>临停指示灯对电短路</t>
  </si>
  <si>
    <t>0x824C03</t>
  </si>
  <si>
    <t>EPB开关故障（19586，3）</t>
  </si>
  <si>
    <t>临停指示灯断路</t>
  </si>
  <si>
    <t>0x824D05</t>
  </si>
  <si>
    <t>EPB开关故障（19842，5）</t>
  </si>
  <si>
    <t>挂车指示灯对电短路</t>
  </si>
  <si>
    <t>0x824E03</t>
  </si>
  <si>
    <t>EPB开关故障（20098，3）</t>
  </si>
  <si>
    <t>挂车指示灯断路</t>
  </si>
  <si>
    <t>0x824F05</t>
  </si>
  <si>
    <t>EPB开关故障（20354，5）</t>
  </si>
  <si>
    <t>EPB系统失效</t>
  </si>
  <si>
    <t>0x52880b</t>
  </si>
  <si>
    <t>高</t>
  </si>
  <si>
    <t>EPB系统严重故障</t>
  </si>
  <si>
    <t>EPB系统严重故障（34898，11）</t>
  </si>
  <si>
    <t>硬线驻车灯断路</t>
  </si>
  <si>
    <t>0x832505</t>
  </si>
  <si>
    <t>硬线驻车灯断路（9603，5）</t>
  </si>
  <si>
    <t>硬线驻车灯对电短路</t>
  </si>
  <si>
    <t>0x832503</t>
  </si>
  <si>
    <t>硬线驻车灯对电短路（9604，3）</t>
  </si>
  <si>
    <t>驻车开关冗余硬线异常</t>
  </si>
  <si>
    <t>0x832605</t>
  </si>
  <si>
    <t>驻车开关冗余硬线异常（9859，5）</t>
  </si>
  <si>
    <t>缓解开关冗余硬线异常</t>
  </si>
  <si>
    <t>0x832705</t>
  </si>
  <si>
    <t>缓解开关冗余硬线异常（10115，5）</t>
  </si>
  <si>
    <t>冗余CANbusoff</t>
  </si>
  <si>
    <t>0xc15813</t>
  </si>
  <si>
    <t>冗余CAN故障（22721，19）</t>
  </si>
  <si>
    <t>冗余can报文故障</t>
  </si>
  <si>
    <t>0xc30009</t>
  </si>
  <si>
    <t>冗余can中EPB需求的报文丢失</t>
  </si>
  <si>
    <t>冗余can信号丢失（195，9）</t>
  </si>
  <si>
    <t>蓝色是一代二代EPB独有的故障码，绿色是一代二代和三代共有的故障码，白色是三代独有的故障码</t>
  </si>
  <si>
    <t>ECAS:控制器严重内部故障</t>
  </si>
  <si>
    <t>ECAS:ECU故障（629,11）</t>
  </si>
  <si>
    <t>ECAS:控制器内部故障</t>
  </si>
  <si>
    <t>ECAS:ECU故障（629,14）</t>
  </si>
  <si>
    <t>629</t>
  </si>
  <si>
    <t>ECAS:控制器内部校验错误</t>
  </si>
  <si>
    <t>ECAS:ECU故障（629,2）</t>
  </si>
  <si>
    <t>ECAS:控制器内部EEPROM存储错误</t>
  </si>
  <si>
    <t>ECAS:ECU故障（630,14）</t>
  </si>
  <si>
    <t>ECAS:控制器内部EEPROM兼容性故障</t>
  </si>
  <si>
    <t>ECAS:ECU故障（1635,12）</t>
  </si>
  <si>
    <t>ECAS:控制器内部EEPROM校验故障</t>
  </si>
  <si>
    <t>ECAS:ECU故障（1635,2）</t>
  </si>
  <si>
    <t>ECAS:控制器内部EEPROM写入故障</t>
  </si>
  <si>
    <t>ECAS:ECU故障（630,11）</t>
  </si>
  <si>
    <t>ECAS:控制器内部EEPROM部件故障</t>
  </si>
  <si>
    <t>ECAS:ECU故障（630,13）</t>
  </si>
  <si>
    <t>ECAS:控制器软件与硬件不兼容故障</t>
  </si>
  <si>
    <t>ECAS:ECU故障（629,12）</t>
  </si>
  <si>
    <t>ECAS:控制器硬件故障</t>
  </si>
  <si>
    <t>ECAS:ECU故障（629,10）</t>
  </si>
  <si>
    <t>ECAS:控制器bootloader软件不兼容</t>
  </si>
  <si>
    <t>ECAS:ECU故障（234,12）</t>
  </si>
  <si>
    <t>ECAS:控制器驱动软件故障</t>
  </si>
  <si>
    <t>ECAS:ECU故障（234,1）</t>
  </si>
  <si>
    <t>ECAS:控制器软件驱动ROM测试故障</t>
  </si>
  <si>
    <t>ECAS:ECU故障（234,2）</t>
  </si>
  <si>
    <t>ECAS:控制器EEPROM配置不可信故障</t>
  </si>
  <si>
    <t>ECAS:ECU故障（630,12）</t>
  </si>
  <si>
    <t>ECAS:控制器EEPROM参数不可信</t>
  </si>
  <si>
    <t>ECAS:ECU故障（630,2）</t>
  </si>
  <si>
    <t>ECAS:ECAS高度控制错误</t>
  </si>
  <si>
    <t>ECAS:高度控制未达目标值（1827,11）</t>
  </si>
  <si>
    <t>ECAS:控制器电压过高</t>
  </si>
  <si>
    <t>ECAS:供电电压异常(627，3)</t>
  </si>
  <si>
    <t>ECAS:控制器电压过低</t>
  </si>
  <si>
    <t>ECAS:供电电压异常(627，4)</t>
  </si>
  <si>
    <t>ECAS:车辆起动时控制器供电电压过低</t>
  </si>
  <si>
    <t>ECAS：供电电压异常(627，5)</t>
  </si>
  <si>
    <t>ECAS:控制器电压传感器电压超过范围值</t>
  </si>
  <si>
    <t>ECAS：供电电压异常(3509，13)</t>
  </si>
  <si>
    <t>ECAS:控制器电压传感器电压短路到地</t>
  </si>
  <si>
    <t>ECAS:供电电压异常(3509，4)</t>
  </si>
  <si>
    <t>ECAS:控制器电压传感器电压短路到电源</t>
  </si>
  <si>
    <t>ECAS:供电电压异常(3509，3)</t>
  </si>
  <si>
    <t>ECAS:总线Bus-off</t>
  </si>
  <si>
    <t>ECAS：CAN通讯故障（639，11）</t>
  </si>
  <si>
    <t>ECAS:TD时间报文通讯超时</t>
  </si>
  <si>
    <t>ECAS：TD时间报文通讯超时(523860，19)</t>
  </si>
  <si>
    <t>ECAS:ASC2报文通讯超时</t>
  </si>
  <si>
    <t>ECAS：ASC2报文通讯超时(523861，19)</t>
  </si>
  <si>
    <t>ECAS:ASC6报文通讯超时</t>
  </si>
  <si>
    <t>ECAS:ASC2报文通讯超时(523862，19)</t>
  </si>
  <si>
    <t>ECAS:EEC1报文通讯超时</t>
  </si>
  <si>
    <t>ECAS：EEC1报文通讯超时(523863，19)</t>
  </si>
  <si>
    <t>ECAS:EBC1报文通讯超时</t>
  </si>
  <si>
    <t>ECAS：EBC1报文通讯超时(523864，19)</t>
  </si>
  <si>
    <t>ECAS:EBC2报文通讯超时</t>
  </si>
  <si>
    <t>ECAS：EBC2报文通讯超时(523865，19)</t>
  </si>
  <si>
    <t>ECAS:EBC3报文通讯超时</t>
  </si>
  <si>
    <t>ECAS：EBC3报文通讯超时(523866，19)</t>
  </si>
  <si>
    <t>ECAS:TCO1报文通讯超时</t>
  </si>
  <si>
    <t>ECAS：TCO1报文通讯超时(523867，19)</t>
  </si>
  <si>
    <t>ECAS:VDC1报文通讯超时</t>
  </si>
  <si>
    <t>ECAS：VDC1报文通讯超时(523868，19)</t>
  </si>
  <si>
    <t>ECAS:VDC2报文通讯超时</t>
  </si>
  <si>
    <t>ECAS：VDC2报文通讯超时(523869，19)</t>
  </si>
  <si>
    <t>ECAS:AIR1报文通讯超时</t>
  </si>
  <si>
    <t>ECAS：AIR1报文通讯超时(523870，19)</t>
  </si>
  <si>
    <t>ECAS:CCVS报文通讯超时</t>
  </si>
  <si>
    <t>ECAS：AIR1报文通讯超时(523871，19)</t>
  </si>
  <si>
    <t>ECAS:制动信号故障</t>
  </si>
  <si>
    <t>ECAS：制动信号故障(1066，11)</t>
  </si>
  <si>
    <t>ECAS:ECAS进口电磁阀电源线短路到低</t>
  </si>
  <si>
    <t>ECAS：电磁阀线路故障(701，4)</t>
  </si>
  <si>
    <t>ECAS:ECAS进口电磁阀电源线短路到高</t>
  </si>
  <si>
    <t>ECAS：电磁阀线路故障(701，3)</t>
  </si>
  <si>
    <t>ECAS:ECAS进口电磁阀电源线开路</t>
  </si>
  <si>
    <t>ECAS：电磁阀线路故障(701，5)</t>
  </si>
  <si>
    <t>ECAS:ECAS进口电磁阀电源线与公共地短路</t>
  </si>
  <si>
    <t>ECAS：电磁阀线路故障(701，6)</t>
  </si>
  <si>
    <t>ECAS:ECAS进口电磁阀电源线与其余线束短路</t>
  </si>
  <si>
    <t>ECAS：电磁阀线路故障(701，1)</t>
  </si>
  <si>
    <t>ECAS:ECAS出口电磁阀电源线短路到低</t>
  </si>
  <si>
    <t>ECAS：电磁阀线路故障(702，4)</t>
  </si>
  <si>
    <t>ECAS:ECAS出口电磁阀电源线短路到高</t>
  </si>
  <si>
    <t>ECAS：电磁阀线路故障(702，3)</t>
  </si>
  <si>
    <t>ECAS:ECAS出口电磁阀电源线开路</t>
  </si>
  <si>
    <t>ECAS：电磁阀线路故障(702，5)</t>
  </si>
  <si>
    <t>ECAS:ECAS出口电磁阀电源线与公共地短路</t>
  </si>
  <si>
    <t>ECAS：电磁阀线路故障(702，6)</t>
  </si>
  <si>
    <t>ECAS:ECAS出口电磁阀电源线与其余线束短路</t>
  </si>
  <si>
    <t>ECAS：电磁阀线路故障(702，1)</t>
  </si>
  <si>
    <t>ECAS:ECAS电磁阀地线短路到低</t>
  </si>
  <si>
    <t>ECAS：电磁阀线路故障(713，4)</t>
  </si>
  <si>
    <t>ECAS:ECAS电磁阀地线短路到高</t>
  </si>
  <si>
    <t>ECAS：电磁阀线路故障(713，3)</t>
  </si>
  <si>
    <t>ECAS:ECAS电磁阀地线开路</t>
  </si>
  <si>
    <t>ECAS：电磁阀线路故障(713，5)</t>
  </si>
  <si>
    <t>ECAS:ECAS电磁阀地线与公共地短路</t>
  </si>
  <si>
    <t>ECAS：电磁阀线路故障(713，6)</t>
  </si>
  <si>
    <t>ECAS:ECAS电磁阀地线与其余线束短路</t>
  </si>
  <si>
    <t>ECAS：电磁阀线路故障(713，1)</t>
  </si>
  <si>
    <t>ECAS:ECAS高度传感器信号不可信</t>
  </si>
  <si>
    <t>ECAS：高度传感器故障(3840，11)</t>
  </si>
  <si>
    <t>ECAS:ECAS高度传感器信号超过标定值</t>
  </si>
  <si>
    <t>ECAS：高度传感器故障(3840，13)</t>
  </si>
  <si>
    <t>ECAS:ECAS高度传感器部件故障</t>
  </si>
  <si>
    <t>ECAS：高度传感器故障(3840，12)</t>
  </si>
  <si>
    <t>ECAS:ECAS轴荷气压传感器信号不可信</t>
  </si>
  <si>
    <r>
      <rPr>
        <sz val="11"/>
        <color theme="1"/>
        <rFont val="宋体"/>
        <charset val="134"/>
        <scheme val="minor"/>
      </rPr>
      <t>ECAS：轴荷气压传感器故障(</t>
    </r>
    <r>
      <rPr>
        <sz val="12"/>
        <color theme="1"/>
        <rFont val="宋体"/>
        <charset val="134"/>
      </rPr>
      <t>3841，11)</t>
    </r>
  </si>
  <si>
    <t>ECAS:ECAS轴荷气压传感器信号超过标定值</t>
  </si>
  <si>
    <r>
      <rPr>
        <sz val="11"/>
        <color theme="1"/>
        <rFont val="宋体"/>
        <charset val="134"/>
        <scheme val="minor"/>
      </rPr>
      <t>ECAS：轴荷气压传感器故障(</t>
    </r>
    <r>
      <rPr>
        <sz val="12"/>
        <color theme="1"/>
        <rFont val="宋体"/>
        <charset val="134"/>
      </rPr>
      <t>3841，13)</t>
    </r>
  </si>
  <si>
    <t>ECAS:ECAS轴荷气压传感器部件故障</t>
  </si>
  <si>
    <r>
      <rPr>
        <sz val="11"/>
        <color theme="1"/>
        <rFont val="宋体"/>
        <charset val="134"/>
        <scheme val="minor"/>
      </rPr>
      <t>ECAS：轴荷气压传感器故障(</t>
    </r>
    <r>
      <rPr>
        <sz val="12"/>
        <color theme="1"/>
        <rFont val="宋体"/>
        <charset val="134"/>
      </rPr>
      <t>3841，12)</t>
    </r>
  </si>
  <si>
    <t>ECAS:ECAS传感器组配置错误</t>
  </si>
  <si>
    <t>ECAS：传感器配置故障(523880，2)</t>
  </si>
  <si>
    <t>ECAS:ECAS系统自检故障</t>
  </si>
  <si>
    <t>ECAS：系统自检故障（3039,31）</t>
  </si>
  <si>
    <t>ECAS：系统自检故障（1742,31）</t>
  </si>
  <si>
    <t>ECAS：系统自检故障（1753,31）</t>
  </si>
  <si>
    <r>
      <rPr>
        <sz val="11"/>
        <color theme="1"/>
        <rFont val="宋体"/>
        <charset val="134"/>
        <scheme val="minor"/>
      </rPr>
      <t>ECAS：系统自检故障（1741,</t>
    </r>
    <r>
      <rPr>
        <sz val="12"/>
        <color theme="1"/>
        <rFont val="宋体"/>
        <charset val="134"/>
      </rPr>
      <t>15）</t>
    </r>
  </si>
  <si>
    <t>ECAS:ECAS中桥负轴荷超载</t>
  </si>
  <si>
    <t xml:space="preserve">ECAS：中桥轴荷超出最大允许值（521121,15） </t>
  </si>
  <si>
    <t>ECAS:ECAS后桥负轴荷超载</t>
  </si>
  <si>
    <t>ECAS：中桥轴荷超出最大允许值（521122,15）</t>
  </si>
  <si>
    <t>NO.</t>
  </si>
  <si>
    <t xml:space="preserve"> 仪表显示内容</t>
  </si>
  <si>
    <t>ECU的EEPROM数据写入故障</t>
  </si>
  <si>
    <t>ECAS:控制器内部故障(274430,11)</t>
  </si>
  <si>
    <t>ECU内部VFF电源故障</t>
  </si>
  <si>
    <t>ECAS:控制器内部故障(274430,2)</t>
  </si>
  <si>
    <t>气压传感器供电故障</t>
  </si>
  <si>
    <t>ECAS:遥控器电源或线路故障(274222,3)</t>
  </si>
  <si>
    <t>阀电源与主电源短路</t>
  </si>
  <si>
    <t>ECAS:电磁阀电源或线路故障(274210,3)</t>
  </si>
  <si>
    <t>阀电源与地线短路</t>
  </si>
  <si>
    <t>ECAS:电磁阀电源或线路故障(274210,6)</t>
  </si>
  <si>
    <t>遥控器电源与主电源短路</t>
  </si>
  <si>
    <t>ECAS:遥控器电源或线路故障(274223,3)</t>
  </si>
  <si>
    <t>遥控器或电缆线电气故障</t>
  </si>
  <si>
    <t>ECAS:遥控器或线路故障(274224,3)</t>
  </si>
  <si>
    <t>前桥高度传感器与地线短路</t>
  </si>
  <si>
    <t>ECAS:前桥高度传感器或线路故障(274192,6)</t>
  </si>
  <si>
    <t>前桥高度传感器开路</t>
  </si>
  <si>
    <t>ECAS:前桥高度传感器或线路故障(274192,5)</t>
  </si>
  <si>
    <t>前桥高度传感器超出范围</t>
  </si>
  <si>
    <t>ECAS:前桥高度传感器或线路故障(274192,4)</t>
  </si>
  <si>
    <t>左后高度传感器与地线短路</t>
  </si>
  <si>
    <t>ECAS:后桥高度传感器或线路故障(274195,6)</t>
  </si>
  <si>
    <t>左后高度传感器与主电源短路</t>
  </si>
  <si>
    <t>ECAS:后桥高度传感器或线路故障(274195,5)</t>
  </si>
  <si>
    <t>左后高度传感器超出范围</t>
  </si>
  <si>
    <t>ECAS:后桥高度传感器或线路故障(274195,4)</t>
  </si>
  <si>
    <t>右后高度传感器与地线短路</t>
  </si>
  <si>
    <t>ECAS:后桥高度传感器或线路故障(274194,6)</t>
  </si>
  <si>
    <t>右后高度传感器与电源短路</t>
  </si>
  <si>
    <t>ECAS:后桥高度传感器或线路故障(274194,5)</t>
  </si>
  <si>
    <t>右后高度传感器超出范围</t>
  </si>
  <si>
    <t>ECAS:后桥高度传感器或线路故障(274194,4)</t>
  </si>
  <si>
    <t>前桥气压传感器与地线短路</t>
  </si>
  <si>
    <t>ECAS:前桥气囊气压传感器或线路故障(274198,6)</t>
  </si>
  <si>
    <t>前桥气压传感器与电源短路</t>
  </si>
  <si>
    <t>ECAS:前桥气囊气压传感器或线路故障(274198,3)</t>
  </si>
  <si>
    <t>前桥气压传感器开路</t>
  </si>
  <si>
    <t>ECAS:前桥气囊气压传感器或线路故障(274198,5)</t>
  </si>
  <si>
    <t>左后气压传感器与地线短路</t>
  </si>
  <si>
    <t>ECAS:驱动桥气囊气压传感器或线路故障(274201,6)</t>
  </si>
  <si>
    <t>左后气压传感器与电源短路</t>
  </si>
  <si>
    <t>ECAS:驱动桥气囊气压传感器或线路故障(274201,3)</t>
  </si>
  <si>
    <t>左后气压传感器开路</t>
  </si>
  <si>
    <t>ECAS:驱动桥气囊气压传感器或线路故障(274201,5)</t>
  </si>
  <si>
    <t>右后气压传感器与地线短路</t>
  </si>
  <si>
    <t>ECAS:驱动桥气囊气压传感器或线路故障(274200,6)</t>
  </si>
  <si>
    <t>右后气压传感器与电源短路</t>
  </si>
  <si>
    <t>ECAS:驱动桥气囊气压传感器或线路故障(274200,3)</t>
  </si>
  <si>
    <t>右后气压传感器开路</t>
  </si>
  <si>
    <t>ECAS:驱动桥气囊气压传感器或线路故障(274200,5)</t>
  </si>
  <si>
    <t>第三桥左气压传感器与地线短路</t>
  </si>
  <si>
    <t>ECAS:第三桥气囊气压传感器或线路故障(274203,6)</t>
  </si>
  <si>
    <t>第三桥左气压传感器与电源短路</t>
  </si>
  <si>
    <t>ECAS:第三桥气囊气压传感器或线路故障(274203,3)</t>
  </si>
  <si>
    <t>第三桥左气压传感器开路</t>
  </si>
  <si>
    <t>ECAS:第三桥气囊气压传感器或线路故障(274203,5)</t>
  </si>
  <si>
    <t>第三桥右气压传感器与地线短路</t>
  </si>
  <si>
    <t>ECAS:第三桥气囊气压传感器或线路故障(274202,6)</t>
  </si>
  <si>
    <t>第三桥右气压传感器与电源短路</t>
  </si>
  <si>
    <t>ECAS:第三桥气囊气压传感器或线路故障(274202,3)</t>
  </si>
  <si>
    <t>第三桥右气压传感器开路</t>
  </si>
  <si>
    <t>ECAS:第三桥气囊气压传感器或线路故障(274202,5)</t>
  </si>
  <si>
    <t>提升气囊气压传感器与地线短路</t>
  </si>
  <si>
    <t>ECAS:提升气囊气压传感器或线路故障(274204,6)</t>
  </si>
  <si>
    <t>提升气囊气压传感器与电源短路</t>
  </si>
  <si>
    <t>ECAS:提升气囊气压传感器或线路故障(274204,3)</t>
  </si>
  <si>
    <t>提升气囊气压传感器开路</t>
  </si>
  <si>
    <t>ECAS:提升气囊气压传感器或线路故障(274204,5)</t>
  </si>
  <si>
    <t>前桥阀与地线短路</t>
  </si>
  <si>
    <t>ECAS:前桥电磁阀或线路故障(274177,6)</t>
  </si>
  <si>
    <t>前桥阀与电源短路</t>
  </si>
  <si>
    <t>ECAS:前桥电磁阀或线路故障(274177,3)</t>
  </si>
  <si>
    <t>前桥阀开路</t>
  </si>
  <si>
    <t>ECAS:前桥电磁阀或线路故障(274177,5)</t>
  </si>
  <si>
    <t>左后阀与地线短路</t>
  </si>
  <si>
    <t>ECAS:驱动桥电磁阀或线路故障(274180,6)</t>
  </si>
  <si>
    <t>左后阀与电源短路</t>
  </si>
  <si>
    <t>ECAS:驱动桥电磁阀或线路故障(274180,3)</t>
  </si>
  <si>
    <t>左后阀开路</t>
  </si>
  <si>
    <t>ECAS:驱动桥电磁阀或线路故障(274180,5)</t>
  </si>
  <si>
    <t>后桥中央阀与地线短路</t>
  </si>
  <si>
    <t>ECAS:驱动桥电磁阀或线路故障(274183,6)</t>
  </si>
  <si>
    <t>后桥中央阀与电源短路</t>
  </si>
  <si>
    <t>ECAS:驱动桥电磁阀或线路故障(274183,3)</t>
  </si>
  <si>
    <t>后桥中央阀开路</t>
  </si>
  <si>
    <t>ECAS:驱动桥电磁阀或线路故障(274183,5)</t>
  </si>
  <si>
    <t>右后阀与地线短路</t>
  </si>
  <si>
    <t>ECAS:驱动桥电磁阀或线路故障(274179,6)</t>
  </si>
  <si>
    <t>右后阀与电源短路</t>
  </si>
  <si>
    <t>ECAS:驱动桥电磁阀或线路故障(274179,3)</t>
  </si>
  <si>
    <t>右后阀开路</t>
  </si>
  <si>
    <t>ECAS:驱动桥电磁阀或线路故障(274179,5)</t>
  </si>
  <si>
    <t>第三桥左电磁阀与地线短路</t>
  </si>
  <si>
    <t>ECAS:第三桥电磁阀或线路故障(274182,6)</t>
  </si>
  <si>
    <t>第三桥左电磁阀与阀电源短路</t>
  </si>
  <si>
    <t>ECAS:第三桥电磁阀或线路故障(274182,3)</t>
  </si>
  <si>
    <t>第三桥左电磁阀开路</t>
  </si>
  <si>
    <t>ECAS:第三桥电磁阀或线路故障(274182,5)</t>
  </si>
  <si>
    <t>第三桥右电磁阀与地线短路</t>
  </si>
  <si>
    <t>ECAS:第三桥电磁阀或线路故障(274181,6)</t>
  </si>
  <si>
    <t>第三桥右电磁阀与阀电源短路</t>
  </si>
  <si>
    <t>ECAS:第三桥电磁阀或线路故障(274181,3)</t>
  </si>
  <si>
    <t>第三桥右电磁阀开路</t>
  </si>
  <si>
    <t>ECAS:第三桥电磁阀或线路故障(274181,5)</t>
  </si>
  <si>
    <t>第三桥中央电磁阀与地线短路</t>
  </si>
  <si>
    <t>ECAS:第三桥电磁阀或线路故障(274219,6)</t>
  </si>
  <si>
    <t>第三桥中央电磁阀与阀电源短路</t>
  </si>
  <si>
    <t>ECAS:第三桥电磁阀或线路故障(274219,3)</t>
  </si>
  <si>
    <t>第三桥中央电磁阀开路</t>
  </si>
  <si>
    <t>ECAS:第三桥电磁阀或线路故障(274219,5)</t>
  </si>
  <si>
    <t>提升电磁阀与地线短路</t>
  </si>
  <si>
    <t>ECAS:提升气囊电磁阀或线路故障(274186,6)</t>
  </si>
  <si>
    <t>提升电磁阀与阀电源短路</t>
  </si>
  <si>
    <t>ECAS:提升气囊电磁阀或线路故障(274186,3)</t>
  </si>
  <si>
    <t>提升电磁阀开路</t>
  </si>
  <si>
    <t>ECAS:提升气囊电磁阀或线路故障(274186,5)</t>
  </si>
  <si>
    <t>CCVS通讯超时</t>
  </si>
  <si>
    <t>ECAS:CAN总线信号超时(274237,9)</t>
  </si>
  <si>
    <t>TCO1通讯超时</t>
  </si>
  <si>
    <t>ECAS:CAN总线信号超时(274244,9)</t>
  </si>
  <si>
    <t>ASC2通讯超时</t>
  </si>
  <si>
    <t>ECAS:CAN总线信号超时(274251,9)</t>
  </si>
  <si>
    <t>换电系统:换电连接器过温轻微故障(522241,15)</t>
  </si>
  <si>
    <t>V1.14 删除</t>
  </si>
  <si>
    <r>
      <rPr>
        <strike/>
        <sz val="11"/>
        <color theme="1"/>
        <rFont val="宋体"/>
        <charset val="134"/>
        <scheme val="minor"/>
      </rPr>
      <t>换电系统:换电连接器过温</t>
    </r>
    <r>
      <rPr>
        <strike/>
        <sz val="11"/>
        <color theme="1"/>
        <rFont val="宋体"/>
        <charset val="134"/>
        <scheme val="minor"/>
      </rPr>
      <t>一般</t>
    </r>
    <r>
      <rPr>
        <strike/>
        <sz val="11"/>
        <color theme="1"/>
        <rFont val="宋体"/>
        <charset val="134"/>
        <scheme val="minor"/>
      </rPr>
      <t>故障(522241,16)</t>
    </r>
  </si>
  <si>
    <t>V1.14 由过温一般故障更新为过温故障</t>
  </si>
  <si>
    <t>换电系统:换电连接器过温严重故障(522241,0)</t>
  </si>
  <si>
    <t>换电机构锁止故障</t>
  </si>
  <si>
    <t>换电系统:换电机构锁止故障(522242,5)</t>
  </si>
  <si>
    <t>V1.14 由（522242，7）更新为（522242，5）</t>
  </si>
  <si>
    <t>换电系统:换电连接器持续断开故障(522243,5)</t>
  </si>
  <si>
    <t>换电系统:换电连接器瞬断轻微故障(522243,15)</t>
  </si>
  <si>
    <t>换电系统:换电连接器瞬断一般故障(522243,16)</t>
  </si>
  <si>
    <t>换电系统:换电连接器瞬断严重故障(522243,0)</t>
  </si>
  <si>
    <t>换电连接器温感故障</t>
  </si>
  <si>
    <t>换电系统:换电连接器温感失效故障(522244,2)</t>
  </si>
  <si>
    <t>换电系统:换电连接器温感断线故障(522244,5)</t>
  </si>
  <si>
    <t>换电系统:换电连接器温感短路故障(522244,6)</t>
  </si>
  <si>
    <r>
      <rPr>
        <sz val="9"/>
        <color rgb="FF000000"/>
        <rFont val="宋体"/>
        <charset val="134"/>
      </rPr>
      <t>换电控制器接收</t>
    </r>
    <r>
      <rPr>
        <sz val="9"/>
        <color rgb="FF000000"/>
        <rFont val="Times New Roman"/>
        <charset val="134"/>
      </rPr>
      <t>CAN</t>
    </r>
    <r>
      <rPr>
        <sz val="9"/>
        <color rgb="FF000000"/>
        <rFont val="宋体"/>
        <charset val="134"/>
      </rPr>
      <t>信息超时</t>
    </r>
  </si>
  <si>
    <t>换电系统:换电控制器接收CAN信息超时(522245,9)</t>
  </si>
  <si>
    <t>换电系统:换电控制器自检故障(522239,12)</t>
  </si>
  <si>
    <t>换电控制器输入电压异常</t>
  </si>
  <si>
    <t>换电系统:换电控制器输入电压异常(522238,13)</t>
  </si>
  <si>
    <t>换电系统无线通讯故障</t>
  </si>
  <si>
    <t>换电系统:无线通讯故障(522237,12)</t>
  </si>
  <si>
    <t>换电过程中驻车状态异常</t>
  </si>
  <si>
    <t>换电系统:换电过程中驻车状态异常(522235,12)</t>
  </si>
  <si>
    <t>换电机构电磁阀或电机故障</t>
  </si>
  <si>
    <t>换电系统:换电机构电磁阀或电机故障(522234,7)</t>
  </si>
  <si>
    <t>换电机构液压或气压异常</t>
  </si>
  <si>
    <t>换电系统:换电机构液压或气压异常(522233,7)</t>
  </si>
  <si>
    <t>换电系统换电柜不匹配</t>
  </si>
  <si>
    <t>换电系统:电池箱换电柜不匹配(522232,23)</t>
  </si>
  <si>
    <t>V1.14 新增</t>
  </si>
  <si>
    <t>换电系统:温控机组故障(522240,12)</t>
  </si>
  <si>
    <t>换电连接器温感开路故障</t>
  </si>
  <si>
    <t>换电系统:换电连接器温感开路故障(522244,5)</t>
  </si>
  <si>
    <t>源地址：0x8F</t>
  </si>
  <si>
    <t>FTS：电子冷却风扇故障(9691,12)</t>
  </si>
  <si>
    <t>FTS：进水温度传感器故障(12836,12)</t>
  </si>
  <si>
    <t>FTS：出水温度传感器故障(12837,12)</t>
  </si>
  <si>
    <t>FTS：进水温度传感器掉线(12836,5)</t>
  </si>
  <si>
    <t>FTS：出水温度传感器掉线(12837,5)</t>
  </si>
  <si>
    <t>FTS：CAN通讯异常(639,23)</t>
  </si>
  <si>
    <t>燃料电池冷却液液位低，请添加冷却液</t>
  </si>
  <si>
    <t>FTS：液位低或液位传感器故障(2430,12)</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</si>
</sst>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08">
    <font>
      <sz val="11"/>
      <color theme="1"/>
      <name val="宋体"/>
      <charset val="134"/>
      <scheme val="minor"/>
    </font>
    <font>
      <sz val="11"/>
      <name val="宋体"/>
      <charset val="134"/>
    </font>
    <font>
      <sz val="11"/>
      <name val="宋体"/>
      <charset val="134"/>
      <scheme val="minor"/>
    </font>
    <font>
      <sz val="10"/>
      <color theme="1"/>
      <name val="微软雅黑"/>
      <charset val="134"/>
    </font>
    <font>
      <sz val="10"/>
      <name val="宋体"/>
      <charset val="134"/>
    </font>
    <font>
      <b/>
      <sz val="11"/>
      <color rgb="FF1D1B10"/>
      <name val="宋体"/>
      <charset val="134"/>
    </font>
    <font>
      <b/>
      <sz val="11"/>
      <color rgb="FF000000"/>
      <name val="宋体"/>
      <charset val="134"/>
    </font>
    <font>
      <sz val="9"/>
      <color theme="1"/>
      <name val="Times New Roman"/>
      <charset val="134"/>
    </font>
    <font>
      <sz val="9"/>
      <color theme="1"/>
      <name val="宋体"/>
      <charset val="134"/>
    </font>
    <font>
      <strike/>
      <sz val="9"/>
      <color rgb="FFFF0000"/>
      <name val="Times New Roman"/>
      <charset val="134"/>
    </font>
    <font>
      <sz val="11"/>
      <color rgb="FFFF0000"/>
      <name val="宋体"/>
      <charset val="134"/>
      <scheme val="minor"/>
    </font>
    <font>
      <strike/>
      <sz val="9"/>
      <color theme="1"/>
      <name val="宋体"/>
      <charset val="134"/>
    </font>
    <font>
      <strike/>
      <sz val="9"/>
      <color rgb="FF000000"/>
      <name val="Times New Roman"/>
      <charset val="134"/>
    </font>
    <font>
      <strike/>
      <sz val="11"/>
      <color theme="1"/>
      <name val="宋体"/>
      <charset val="134"/>
      <scheme val="minor"/>
    </font>
    <font>
      <sz val="9"/>
      <color rgb="FF000000"/>
      <name val="宋体"/>
      <charset val="134"/>
    </font>
    <font>
      <strike/>
      <sz val="9"/>
      <color rgb="FF000000"/>
      <name val="宋体"/>
      <charset val="134"/>
    </font>
    <font>
      <sz val="9"/>
      <color rgb="FFFF0000"/>
      <name val="Times New Roman"/>
      <charset val="134"/>
    </font>
    <font>
      <sz val="9"/>
      <color rgb="FF000000"/>
      <name val="Times New Roman"/>
      <charset val="134"/>
    </font>
    <font>
      <sz val="11"/>
      <color theme="1"/>
      <name val="宋体"/>
      <charset val="134"/>
      <scheme val="minor"/>
    </font>
    <font>
      <b/>
      <sz val="11"/>
      <color theme="1"/>
      <name val="宋体"/>
      <charset val="134"/>
    </font>
    <font>
      <b/>
      <sz val="11"/>
      <color rgb="FF0070C0"/>
      <name val="微软雅黑"/>
      <charset val="134"/>
    </font>
    <font>
      <sz val="11"/>
      <color theme="1"/>
      <name val="微软雅黑"/>
      <charset val="134"/>
    </font>
    <font>
      <sz val="11"/>
      <color rgb="FF000000"/>
      <name val="微软雅黑"/>
      <charset val="134"/>
    </font>
    <font>
      <sz val="11"/>
      <color rgb="FFFF0000"/>
      <name val="微软雅黑"/>
      <charset val="134"/>
    </font>
    <font>
      <b/>
      <sz val="18"/>
      <color theme="1"/>
      <name val="宋体"/>
      <charset val="134"/>
      <scheme val="minor"/>
    </font>
    <font>
      <sz val="11"/>
      <color rgb="FF000000"/>
      <name val="宋体"/>
      <charset val="134"/>
      <scheme val="minor"/>
    </font>
    <font>
      <sz val="10"/>
      <color theme="1"/>
      <name val="Times New Roman"/>
      <charset val="134"/>
    </font>
    <font>
      <sz val="12"/>
      <color rgb="FF000000"/>
      <name val="宋体"/>
      <charset val="134"/>
    </font>
    <font>
      <b/>
      <sz val="10"/>
      <color theme="1"/>
      <name val="宋体"/>
      <charset val="134"/>
    </font>
    <font>
      <b/>
      <sz val="10"/>
      <color theme="1"/>
      <name val="Times New Roman"/>
      <charset val="134"/>
    </font>
    <font>
      <sz val="10"/>
      <color theme="1"/>
      <name val="宋体"/>
      <charset val="134"/>
    </font>
    <font>
      <b/>
      <sz val="10"/>
      <color rgb="FF000000"/>
      <name val="宋体"/>
      <charset val="134"/>
    </font>
    <font>
      <sz val="10"/>
      <color rgb="FF000000"/>
      <name val="宋体"/>
      <charset val="134"/>
    </font>
    <font>
      <sz val="10"/>
      <color rgb="FF000000"/>
      <name val="Calibri"/>
      <charset val="134"/>
    </font>
    <font>
      <strike/>
      <sz val="11"/>
      <color theme="1"/>
      <name val="宋体"/>
      <charset val="134"/>
      <scheme val="minor"/>
    </font>
    <font>
      <sz val="10"/>
      <color theme="1"/>
      <name val="宋体"/>
      <charset val="134"/>
      <scheme val="minor"/>
    </font>
    <font>
      <sz val="11"/>
      <color rgb="FFFF0000"/>
      <name val="宋体"/>
      <charset val="134"/>
      <scheme val="minor"/>
    </font>
    <font>
      <sz val="11"/>
      <name val="宋体"/>
      <charset val="134"/>
      <scheme val="minor"/>
    </font>
    <font>
      <sz val="10"/>
      <name val="宋体"/>
      <charset val="134"/>
      <scheme val="minor"/>
    </font>
    <font>
      <b/>
      <sz val="12"/>
      <color theme="1"/>
      <name val="宋体"/>
      <charset val="134"/>
    </font>
    <font>
      <sz val="12"/>
      <color theme="1"/>
      <name val="宋体"/>
      <charset val="134"/>
      <scheme val="minor"/>
    </font>
    <font>
      <sz val="12"/>
      <name val="宋体"/>
      <charset val="134"/>
      <scheme val="minor"/>
    </font>
    <font>
      <sz val="12"/>
      <color theme="1"/>
      <name val="宋体"/>
      <charset val="134"/>
    </font>
    <font>
      <sz val="14"/>
      <color theme="1"/>
      <name val="宋体"/>
      <charset val="134"/>
      <scheme val="minor"/>
    </font>
    <font>
      <b/>
      <sz val="12"/>
      <color theme="2" tint="-0.899990844447157"/>
      <name val="宋体"/>
      <charset val="134"/>
      <scheme val="minor"/>
    </font>
    <font>
      <sz val="12"/>
      <name val="宋体"/>
      <charset val="134"/>
    </font>
    <font>
      <sz val="12"/>
      <color theme="2" tint="-0.899990844447157"/>
      <name val="宋体"/>
      <charset val="134"/>
    </font>
    <font>
      <sz val="12"/>
      <color theme="2" tint="-0.899990844447157"/>
      <name val="宋体"/>
      <charset val="134"/>
      <scheme val="minor"/>
    </font>
    <font>
      <sz val="10"/>
      <name val="宋体"/>
      <charset val="134"/>
      <scheme val="minor"/>
    </font>
    <font>
      <b/>
      <sz val="11"/>
      <color theme="1"/>
      <name val="宋体"/>
      <charset val="134"/>
      <scheme val="minor"/>
    </font>
    <font>
      <strike/>
      <sz val="11"/>
      <color rgb="FFFF0000"/>
      <name val="宋体"/>
      <charset val="134"/>
      <scheme val="minor"/>
    </font>
    <font>
      <sz val="10"/>
      <name val="Arial"/>
      <charset val="134"/>
    </font>
    <font>
      <sz val="10"/>
      <color theme="1"/>
      <name val="Arial"/>
      <charset val="134"/>
    </font>
    <font>
      <sz val="11"/>
      <color rgb="FF000000"/>
      <name val="宋体"/>
      <charset val="134"/>
    </font>
    <font>
      <sz val="11"/>
      <color rgb="FFFF0000"/>
      <name val="宋体"/>
      <charset val="134"/>
    </font>
    <font>
      <sz val="10"/>
      <color rgb="FFFF0000"/>
      <name val="宋体"/>
      <charset val="134"/>
    </font>
    <font>
      <sz val="10"/>
      <color rgb="FFFF0000"/>
      <name val="Arial"/>
      <charset val="134"/>
    </font>
    <font>
      <strike/>
      <sz val="11"/>
      <color rgb="FF000000"/>
      <name val="宋体"/>
      <charset val="134"/>
      <scheme val="minor"/>
    </font>
    <font>
      <b/>
      <sz val="11"/>
      <name val="宋体"/>
      <charset val="134"/>
      <scheme val="minor"/>
    </font>
    <font>
      <sz val="10"/>
      <color rgb="FF000000"/>
      <name val="微软雅黑"/>
      <charset val="134"/>
    </font>
    <font>
      <strike/>
      <sz val="11"/>
      <name val="宋体"/>
      <charset val="134"/>
      <scheme val="minor"/>
    </font>
    <font>
      <sz val="10"/>
      <name val="微软雅黑"/>
      <charset val="134"/>
    </font>
    <font>
      <sz val="11"/>
      <color theme="1"/>
      <name val="宋体"/>
      <charset val="134"/>
    </font>
    <font>
      <sz val="11"/>
      <color theme="1"/>
      <name val="Times New Roman"/>
      <charset val="134"/>
    </font>
    <font>
      <b/>
      <sz val="12"/>
      <color theme="2" tint="-0.899990844447157"/>
      <name val="宋体"/>
      <charset val="134"/>
    </font>
    <font>
      <sz val="12"/>
      <color rgb="FFFF0000"/>
      <name val="宋体"/>
      <charset val="134"/>
    </font>
    <font>
      <strike/>
      <sz val="12"/>
      <color theme="2" tint="-0.899990844447157"/>
      <name val="宋体"/>
      <charset val="134"/>
    </font>
    <font>
      <strike/>
      <sz val="12"/>
      <color theme="2" tint="-0.899960325937681"/>
      <name val="宋体"/>
      <charset val="134"/>
    </font>
    <font>
      <sz val="10.5"/>
      <name val="宋体"/>
      <charset val="134"/>
    </font>
    <font>
      <sz val="10.5"/>
      <name val="Arial"/>
      <charset val="134"/>
    </font>
    <font>
      <sz val="9"/>
      <color theme="1"/>
      <name val="宋体"/>
      <charset val="134"/>
      <scheme val="minor"/>
    </font>
    <font>
      <strike/>
      <sz val="11"/>
      <name val="宋体"/>
      <charset val="134"/>
    </font>
    <font>
      <sz val="11"/>
      <color rgb="FF000000"/>
      <name val="宋体"/>
      <charset val="134"/>
      <scheme val="minor"/>
    </font>
    <font>
      <b/>
      <sz val="11"/>
      <color theme="1"/>
      <name val="微软雅黑"/>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sz val="10"/>
      <color indexed="8"/>
      <name val="Arial"/>
      <charset val="134"/>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9C0006"/>
      <name val="宋体"/>
      <charset val="134"/>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0"/>
      <color indexed="8"/>
      <name val="Calibri"/>
      <charset val="134"/>
    </font>
    <font>
      <sz val="11"/>
      <color rgb="FF9C0006"/>
      <name val="宋体"/>
      <charset val="134"/>
      <scheme val="minor"/>
    </font>
    <font>
      <sz val="11"/>
      <color indexed="8"/>
      <name val="宋体"/>
      <charset val="134"/>
    </font>
    <font>
      <sz val="11"/>
      <color theme="1"/>
      <name val="Tahoma"/>
      <charset val="134"/>
    </font>
    <font>
      <sz val="11"/>
      <color theme="1"/>
      <name val="Arial"/>
      <charset val="238"/>
    </font>
    <font>
      <sz val="11"/>
      <color rgb="FF006100"/>
      <name val="宋体"/>
      <charset val="134"/>
      <scheme val="minor"/>
    </font>
    <font>
      <sz val="10.5"/>
      <name val="Calibri"/>
      <charset val="134"/>
    </font>
    <font>
      <sz val="10"/>
      <name val="Arial Unicode MS"/>
      <charset val="134"/>
    </font>
    <font>
      <sz val="10"/>
      <name val="Times New Roman"/>
      <charset val="134"/>
    </font>
    <font>
      <sz val="11"/>
      <color rgb="FF000000"/>
      <name val="Arial"/>
      <charset val="134"/>
    </font>
    <font>
      <b/>
      <sz val="9"/>
      <name val="宋体"/>
      <charset val="134"/>
    </font>
    <font>
      <sz val="9"/>
      <name val="宋体"/>
      <charset val="134"/>
    </font>
  </fonts>
  <fills count="49">
    <fill>
      <patternFill patternType="none"/>
    </fill>
    <fill>
      <patternFill patternType="gray125"/>
    </fill>
    <fill>
      <patternFill patternType="solid">
        <fgColor rgb="FFFFC000"/>
        <bgColor indexed="64"/>
      </patternFill>
    </fill>
    <fill>
      <patternFill patternType="solid">
        <fgColor theme="9" tint="0.799981688894314"/>
        <bgColor indexed="64"/>
      </patternFill>
    </fill>
    <fill>
      <patternFill patternType="solid">
        <fgColor rgb="FF92D050"/>
        <bgColor indexed="64"/>
      </patternFill>
    </fill>
    <fill>
      <patternFill patternType="solid">
        <fgColor theme="0" tint="-0.149998474074526"/>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theme="7" tint="0.399914548173467"/>
        <bgColor indexed="64"/>
      </patternFill>
    </fill>
    <fill>
      <patternFill patternType="solid">
        <fgColor theme="4" tint="0.399914548173467"/>
        <bgColor indexed="64"/>
      </patternFill>
    </fill>
    <fill>
      <patternFill patternType="solid">
        <fgColor rgb="FF00B050"/>
        <bgColor indexed="64"/>
      </patternFill>
    </fill>
    <fill>
      <patternFill patternType="solid">
        <fgColor theme="0"/>
        <bgColor indexed="64"/>
      </patternFill>
    </fill>
    <fill>
      <patternFill patternType="solid">
        <fgColor theme="0" tint="-0.349986266670736"/>
        <bgColor indexed="64"/>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rgb="FFFFC7CE"/>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C6EFCE"/>
        <bgColor indexed="64"/>
      </patternFill>
    </fill>
    <fill>
      <patternFill patternType="solid">
        <fgColor rgb="FFFFFFCC"/>
        <bgColor indexed="64"/>
      </patternFill>
    </fill>
  </fills>
  <borders count="3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76">
    <xf numFmtId="0" fontId="0" fillId="0" borderId="0">
      <alignment vertical="center"/>
    </xf>
    <xf numFmtId="42" fontId="74" fillId="0" borderId="0" applyFont="0" applyFill="0" applyBorder="0" applyAlignment="0" applyProtection="0">
      <alignment vertical="center"/>
    </xf>
    <xf numFmtId="0" fontId="75" fillId="15" borderId="0" applyNumberFormat="0" applyBorder="0" applyAlignment="0" applyProtection="0">
      <alignment vertical="center"/>
    </xf>
    <xf numFmtId="0" fontId="76" fillId="16" borderId="24" applyNumberFormat="0" applyAlignment="0" applyProtection="0">
      <alignment vertical="center"/>
    </xf>
    <xf numFmtId="44" fontId="74" fillId="0" borderId="0" applyFont="0" applyFill="0" applyBorder="0" applyAlignment="0" applyProtection="0">
      <alignment vertical="center"/>
    </xf>
    <xf numFmtId="41" fontId="74" fillId="0" borderId="0" applyFont="0" applyFill="0" applyBorder="0" applyAlignment="0" applyProtection="0">
      <alignment vertical="center"/>
    </xf>
    <xf numFmtId="0" fontId="75" fillId="17" borderId="0" applyNumberFormat="0" applyBorder="0" applyAlignment="0" applyProtection="0">
      <alignment vertical="center"/>
    </xf>
    <xf numFmtId="0" fontId="77" fillId="18" borderId="0" applyNumberFormat="0" applyBorder="0" applyAlignment="0" applyProtection="0">
      <alignment vertical="center"/>
    </xf>
    <xf numFmtId="43" fontId="74" fillId="0" borderId="0" applyFont="0" applyFill="0" applyBorder="0" applyAlignment="0" applyProtection="0">
      <alignment vertical="center"/>
    </xf>
    <xf numFmtId="0" fontId="78" fillId="19" borderId="0" applyNumberFormat="0" applyBorder="0" applyAlignment="0" applyProtection="0">
      <alignment vertical="center"/>
    </xf>
    <xf numFmtId="0" fontId="79" fillId="0" borderId="0" applyNumberFormat="0" applyFill="0" applyBorder="0" applyAlignment="0" applyProtection="0">
      <alignment vertical="center"/>
    </xf>
    <xf numFmtId="9" fontId="74" fillId="0" borderId="0" applyFont="0" applyFill="0" applyBorder="0" applyAlignment="0" applyProtection="0">
      <alignment vertical="center"/>
    </xf>
    <xf numFmtId="0" fontId="80" fillId="0" borderId="0" applyNumberFormat="0" applyFill="0" applyBorder="0" applyAlignment="0" applyProtection="0">
      <alignment vertical="center"/>
    </xf>
    <xf numFmtId="0" fontId="18" fillId="0" borderId="0"/>
    <xf numFmtId="0" fontId="74" fillId="20" borderId="25" applyNumberFormat="0" applyFont="0" applyAlignment="0" applyProtection="0">
      <alignment vertical="center"/>
    </xf>
    <xf numFmtId="0" fontId="78" fillId="21" borderId="0" applyNumberFormat="0" applyBorder="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0"/>
    <xf numFmtId="0" fontId="0" fillId="0" borderId="0">
      <alignment vertical="center"/>
    </xf>
    <xf numFmtId="0" fontId="85" fillId="0" borderId="0" applyNumberFormat="0" applyFill="0" applyBorder="0" applyAlignment="0" applyProtection="0">
      <alignment vertical="center"/>
    </xf>
    <xf numFmtId="0" fontId="86" fillId="0" borderId="26" applyNumberFormat="0" applyFill="0" applyAlignment="0" applyProtection="0">
      <alignment vertical="center"/>
    </xf>
    <xf numFmtId="0" fontId="87" fillId="0" borderId="26" applyNumberFormat="0" applyFill="0" applyAlignment="0" applyProtection="0">
      <alignment vertical="center"/>
    </xf>
    <xf numFmtId="0" fontId="78" fillId="22" borderId="0" applyNumberFormat="0" applyBorder="0" applyAlignment="0" applyProtection="0">
      <alignment vertical="center"/>
    </xf>
    <xf numFmtId="0" fontId="81" fillId="0" borderId="27" applyNumberFormat="0" applyFill="0" applyAlignment="0" applyProtection="0">
      <alignment vertical="center"/>
    </xf>
    <xf numFmtId="0" fontId="78" fillId="23" borderId="0" applyNumberFormat="0" applyBorder="0" applyAlignment="0" applyProtection="0">
      <alignment vertical="center"/>
    </xf>
    <xf numFmtId="0" fontId="88" fillId="24" borderId="28" applyNumberFormat="0" applyAlignment="0" applyProtection="0">
      <alignment vertical="center"/>
    </xf>
    <xf numFmtId="0" fontId="89" fillId="24" borderId="24" applyNumberFormat="0" applyAlignment="0" applyProtection="0">
      <alignment vertical="center"/>
    </xf>
    <xf numFmtId="0" fontId="90" fillId="25" borderId="29" applyNumberFormat="0" applyAlignment="0" applyProtection="0">
      <alignment vertical="center"/>
    </xf>
    <xf numFmtId="0" fontId="91" fillId="26" borderId="0" applyNumberFormat="0" applyBorder="0" applyAlignment="0" applyProtection="0">
      <alignment vertical="center"/>
    </xf>
    <xf numFmtId="0" fontId="75" fillId="27" borderId="0" applyNumberFormat="0" applyBorder="0" applyAlignment="0" applyProtection="0">
      <alignment vertical="center"/>
    </xf>
    <xf numFmtId="0" fontId="78" fillId="28" borderId="0" applyNumberFormat="0" applyBorder="0" applyAlignment="0" applyProtection="0">
      <alignment vertical="center"/>
    </xf>
    <xf numFmtId="0" fontId="92" fillId="0" borderId="30" applyNumberFormat="0" applyFill="0" applyAlignment="0" applyProtection="0">
      <alignment vertical="center"/>
    </xf>
    <xf numFmtId="0" fontId="93" fillId="0" borderId="31" applyNumberFormat="0" applyFill="0" applyAlignment="0" applyProtection="0">
      <alignment vertical="center"/>
    </xf>
    <xf numFmtId="0" fontId="94" fillId="29" borderId="0" applyNumberFormat="0" applyBorder="0" applyAlignment="0" applyProtection="0">
      <alignment vertical="center"/>
    </xf>
    <xf numFmtId="0" fontId="95" fillId="30" borderId="0" applyNumberFormat="0" applyBorder="0" applyAlignment="0" applyProtection="0">
      <alignment vertical="center"/>
    </xf>
    <xf numFmtId="0" fontId="75" fillId="31" borderId="0" applyNumberFormat="0" applyBorder="0" applyAlignment="0" applyProtection="0">
      <alignment vertical="center"/>
    </xf>
    <xf numFmtId="0" fontId="78" fillId="32" borderId="0" applyNumberFormat="0" applyBorder="0" applyAlignment="0" applyProtection="0">
      <alignment vertical="center"/>
    </xf>
    <xf numFmtId="0" fontId="18" fillId="0" borderId="0"/>
    <xf numFmtId="0" fontId="75" fillId="33" borderId="0" applyNumberFormat="0" applyBorder="0" applyAlignment="0" applyProtection="0">
      <alignment vertical="center"/>
    </xf>
    <xf numFmtId="0" fontId="75" fillId="34" borderId="0" applyNumberFormat="0" applyBorder="0" applyAlignment="0" applyProtection="0">
      <alignment vertical="center"/>
    </xf>
    <xf numFmtId="0" fontId="0" fillId="0" borderId="0">
      <alignment vertical="center"/>
    </xf>
    <xf numFmtId="0" fontId="45" fillId="0" borderId="0">
      <alignment vertical="center"/>
    </xf>
    <xf numFmtId="0" fontId="75" fillId="35" borderId="0" applyNumberFormat="0" applyBorder="0" applyAlignment="0" applyProtection="0">
      <alignment vertical="center"/>
    </xf>
    <xf numFmtId="0" fontId="75" fillId="36" borderId="0" applyNumberFormat="0" applyBorder="0" applyAlignment="0" applyProtection="0">
      <alignment vertical="center"/>
    </xf>
    <xf numFmtId="0" fontId="78" fillId="37" borderId="0" applyNumberFormat="0" applyBorder="0" applyAlignment="0" applyProtection="0">
      <alignment vertical="center"/>
    </xf>
    <xf numFmtId="0" fontId="78" fillId="38" borderId="0" applyNumberFormat="0" applyBorder="0" applyAlignment="0" applyProtection="0">
      <alignment vertical="center"/>
    </xf>
    <xf numFmtId="0" fontId="75" fillId="39" borderId="0" applyNumberFormat="0" applyBorder="0" applyAlignment="0" applyProtection="0">
      <alignment vertical="center"/>
    </xf>
    <xf numFmtId="0" fontId="51" fillId="0" borderId="0"/>
    <xf numFmtId="0" fontId="75" fillId="40" borderId="0" applyNumberFormat="0" applyBorder="0" applyAlignment="0" applyProtection="0">
      <alignment vertical="center"/>
    </xf>
    <xf numFmtId="0" fontId="78" fillId="41" borderId="0" applyNumberFormat="0" applyBorder="0" applyAlignment="0" applyProtection="0">
      <alignment vertical="center"/>
    </xf>
    <xf numFmtId="0" fontId="51" fillId="0" borderId="0"/>
    <xf numFmtId="0" fontId="52" fillId="0" borderId="0"/>
    <xf numFmtId="0" fontId="75" fillId="42" borderId="0" applyNumberFormat="0" applyBorder="0" applyAlignment="0" applyProtection="0">
      <alignment vertical="center"/>
    </xf>
    <xf numFmtId="0" fontId="78" fillId="43" borderId="0" applyNumberFormat="0" applyBorder="0" applyAlignment="0" applyProtection="0">
      <alignment vertical="center"/>
    </xf>
    <xf numFmtId="0" fontId="78" fillId="44" borderId="0" applyNumberFormat="0" applyBorder="0" applyAlignment="0" applyProtection="0">
      <alignment vertical="center"/>
    </xf>
    <xf numFmtId="0" fontId="96" fillId="0" borderId="0" applyNumberFormat="0" applyFill="0" applyBorder="0" applyProtection="0">
      <alignment horizontal="left" vertical="top"/>
    </xf>
    <xf numFmtId="0" fontId="75" fillId="45" borderId="0" applyNumberFormat="0" applyBorder="0" applyAlignment="0" applyProtection="0">
      <alignment vertical="center"/>
    </xf>
    <xf numFmtId="0" fontId="78" fillId="46" borderId="0" applyNumberFormat="0" applyBorder="0" applyAlignment="0" applyProtection="0">
      <alignment vertical="center"/>
    </xf>
    <xf numFmtId="0" fontId="0" fillId="0" borderId="0"/>
    <xf numFmtId="0" fontId="45" fillId="0" borderId="0">
      <alignment vertical="center"/>
    </xf>
    <xf numFmtId="0" fontId="97" fillId="26" borderId="0" applyNumberFormat="0" applyBorder="0" applyAlignment="0" applyProtection="0"/>
    <xf numFmtId="0" fontId="98" fillId="0" borderId="0">
      <alignment vertical="center"/>
    </xf>
    <xf numFmtId="0" fontId="18" fillId="0" borderId="0">
      <alignment vertical="center"/>
    </xf>
    <xf numFmtId="0" fontId="18" fillId="0" borderId="0"/>
    <xf numFmtId="0" fontId="18" fillId="0" borderId="0"/>
    <xf numFmtId="0" fontId="0" fillId="0" borderId="0"/>
    <xf numFmtId="0" fontId="99" fillId="0" borderId="0"/>
    <xf numFmtId="0" fontId="18" fillId="0" borderId="0">
      <alignment vertical="center"/>
    </xf>
    <xf numFmtId="0" fontId="0" fillId="0" borderId="0"/>
    <xf numFmtId="0" fontId="18" fillId="0" borderId="0"/>
    <xf numFmtId="0" fontId="100" fillId="0" borderId="0"/>
    <xf numFmtId="0" fontId="0" fillId="0" borderId="0"/>
    <xf numFmtId="0" fontId="101" fillId="47" borderId="0" applyNumberFormat="0" applyBorder="0" applyAlignment="0" applyProtection="0">
      <alignment vertical="center"/>
    </xf>
    <xf numFmtId="0" fontId="0" fillId="48" borderId="25" applyNumberFormat="0" applyFont="0" applyAlignment="0" applyProtection="0">
      <alignment vertical="center"/>
    </xf>
  </cellStyleXfs>
  <cellXfs count="441">
    <xf numFmtId="0" fontId="0" fillId="0" borderId="0" xfId="0">
      <alignment vertical="center"/>
    </xf>
    <xf numFmtId="0" fontId="0" fillId="2" borderId="1" xfId="0" applyFill="1" applyBorder="1" applyAlignment="1">
      <alignment horizontal="left"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xf>
    <xf numFmtId="0" fontId="0" fillId="0" borderId="1" xfId="0" applyBorder="1">
      <alignment vertical="center"/>
    </xf>
    <xf numFmtId="0" fontId="1" fillId="2" borderId="1" xfId="0" applyFont="1" applyFill="1" applyBorder="1" applyAlignment="1">
      <alignment horizontal="center" vertical="center"/>
    </xf>
    <xf numFmtId="0" fontId="3" fillId="0" borderId="1" xfId="0" applyFont="1" applyBorder="1" applyAlignment="1"/>
    <xf numFmtId="0" fontId="2" fillId="3" borderId="1" xfId="69" applyFont="1" applyFill="1" applyBorder="1" applyAlignment="1">
      <alignment horizontal="center" vertical="center" wrapText="1"/>
    </xf>
    <xf numFmtId="0" fontId="1" fillId="3" borderId="1" xfId="0" applyFont="1" applyFill="1" applyBorder="1" applyAlignment="1">
      <alignment horizontal="left" vertical="center"/>
    </xf>
    <xf numFmtId="0" fontId="4" fillId="0"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7" fillId="0" borderId="1" xfId="0" applyFont="1" applyBorder="1" applyAlignment="1">
      <alignment horizontal="center" vertical="center"/>
    </xf>
    <xf numFmtId="0" fontId="8" fillId="0" borderId="1" xfId="0" applyFont="1" applyBorder="1" applyAlignment="1">
      <alignment horizontal="justify" vertical="center" wrapText="1"/>
    </xf>
    <xf numFmtId="0" fontId="9" fillId="5" borderId="1" xfId="0" applyFont="1" applyFill="1" applyBorder="1" applyAlignment="1">
      <alignment horizontal="center" vertical="center" wrapText="1"/>
    </xf>
    <xf numFmtId="0" fontId="10" fillId="5" borderId="1" xfId="0" applyFont="1" applyFill="1" applyBorder="1">
      <alignment vertical="center"/>
    </xf>
    <xf numFmtId="0" fontId="11" fillId="2"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3" fillId="5" borderId="1" xfId="0" applyFont="1" applyFill="1" applyBorder="1">
      <alignment vertical="center"/>
    </xf>
    <xf numFmtId="0" fontId="0" fillId="0" borderId="0" xfId="0" applyAlignment="1">
      <alignment vertical="center" wrapText="1"/>
    </xf>
    <xf numFmtId="0" fontId="0" fillId="6" borderId="0" xfId="0" applyFill="1">
      <alignment vertical="center"/>
    </xf>
    <xf numFmtId="0" fontId="14" fillId="0" borderId="1" xfId="0" applyFont="1" applyBorder="1" applyAlignment="1">
      <alignment horizontal="justify" vertical="center" wrapText="1"/>
    </xf>
    <xf numFmtId="0" fontId="15" fillId="7" borderId="1" xfId="0" applyFont="1" applyFill="1" applyBorder="1" applyAlignment="1">
      <alignment horizontal="center" vertical="center"/>
    </xf>
    <xf numFmtId="0" fontId="14" fillId="0" borderId="1" xfId="0" applyFont="1" applyBorder="1" applyAlignment="1">
      <alignment horizontal="justify" vertical="center"/>
    </xf>
    <xf numFmtId="0" fontId="14" fillId="8" borderId="1" xfId="0" applyFont="1" applyFill="1" applyBorder="1" applyAlignment="1">
      <alignment horizontal="center" vertical="center"/>
    </xf>
    <xf numFmtId="0" fontId="16" fillId="4" borderId="1" xfId="0" applyFont="1" applyFill="1" applyBorder="1" applyAlignment="1">
      <alignment horizontal="center" vertical="center" wrapText="1"/>
    </xf>
    <xf numFmtId="0" fontId="10" fillId="4" borderId="1" xfId="0" applyFont="1" applyFill="1" applyBorder="1">
      <alignment vertical="center"/>
    </xf>
    <xf numFmtId="0" fontId="17" fillId="4" borderId="1" xfId="0" applyFont="1" applyFill="1" applyBorder="1" applyAlignment="1">
      <alignment horizontal="center" vertical="center" wrapText="1"/>
    </xf>
    <xf numFmtId="0" fontId="0" fillId="4" borderId="1" xfId="0" applyFill="1" applyBorder="1">
      <alignment vertical="center"/>
    </xf>
    <xf numFmtId="0" fontId="12" fillId="5" borderId="1" xfId="0" applyFont="1" applyFill="1" applyBorder="1" applyAlignment="1">
      <alignment horizontal="center" vertical="center"/>
    </xf>
    <xf numFmtId="0" fontId="8" fillId="0" borderId="1" xfId="0" applyFont="1" applyBorder="1" applyAlignment="1">
      <alignment horizontal="center" vertical="center" wrapText="1"/>
    </xf>
    <xf numFmtId="0" fontId="0" fillId="0" borderId="0" xfId="0" applyAlignment="1">
      <alignment horizontal="left" vertical="center"/>
    </xf>
    <xf numFmtId="0" fontId="18" fillId="0" borderId="1" xfId="0" applyFont="1" applyBorder="1" applyAlignment="1">
      <alignment horizontal="left" vertical="center"/>
    </xf>
    <xf numFmtId="0" fontId="18" fillId="0" borderId="0" xfId="0" applyFont="1" applyAlignment="1">
      <alignment horizontal="left" vertical="center"/>
    </xf>
    <xf numFmtId="0" fontId="18" fillId="0" borderId="0" xfId="0" applyFont="1">
      <alignment vertical="center"/>
    </xf>
    <xf numFmtId="0" fontId="19" fillId="4" borderId="1" xfId="0" applyFont="1" applyFill="1" applyBorder="1" applyAlignment="1">
      <alignment horizontal="left" vertical="center" wrapText="1"/>
    </xf>
    <xf numFmtId="0" fontId="18" fillId="4" borderId="1" xfId="0" applyFont="1" applyFill="1" applyBorder="1" applyAlignment="1">
      <alignment horizontal="center" vertical="center" wrapText="1"/>
    </xf>
    <xf numFmtId="0" fontId="18" fillId="4" borderId="1" xfId="0" applyFont="1" applyFill="1" applyBorder="1" applyAlignment="1">
      <alignment horizontal="center" vertical="center"/>
    </xf>
    <xf numFmtId="0" fontId="18" fillId="0" borderId="1" xfId="0" applyFont="1" applyBorder="1">
      <alignment vertical="center"/>
    </xf>
    <xf numFmtId="0" fontId="18" fillId="0" borderId="1" xfId="39" applyBorder="1"/>
    <xf numFmtId="0" fontId="18" fillId="0" borderId="0" xfId="39"/>
    <xf numFmtId="0" fontId="6" fillId="9" borderId="2" xfId="39" applyFont="1" applyFill="1" applyBorder="1" applyAlignment="1">
      <alignment horizontal="center" vertical="center" wrapText="1"/>
    </xf>
    <xf numFmtId="0" fontId="6" fillId="9" borderId="3" xfId="39" applyFont="1" applyFill="1" applyBorder="1" applyAlignment="1">
      <alignment horizontal="center" vertical="center" wrapText="1"/>
    </xf>
    <xf numFmtId="0" fontId="20" fillId="4" borderId="1" xfId="39" applyFont="1" applyFill="1" applyBorder="1" applyAlignment="1">
      <alignment horizontal="center" vertical="center" wrapText="1"/>
    </xf>
    <xf numFmtId="0" fontId="3" fillId="10" borderId="1" xfId="39" applyFont="1" applyFill="1" applyBorder="1" applyAlignment="1">
      <alignment horizontal="center" vertical="center"/>
    </xf>
    <xf numFmtId="0" fontId="3" fillId="7" borderId="1" xfId="39" applyFont="1" applyFill="1" applyBorder="1" applyAlignment="1">
      <alignment horizontal="center" vertical="center"/>
    </xf>
    <xf numFmtId="0" fontId="21" fillId="10" borderId="1" xfId="39" applyFont="1" applyFill="1" applyBorder="1" applyAlignment="1">
      <alignment horizontal="center" vertical="center"/>
    </xf>
    <xf numFmtId="0" fontId="3" fillId="6" borderId="1" xfId="39" applyFont="1" applyFill="1" applyBorder="1" applyAlignment="1">
      <alignment horizontal="center" vertical="center"/>
    </xf>
    <xf numFmtId="0" fontId="3" fillId="2" borderId="1" xfId="39" applyFont="1" applyFill="1" applyBorder="1" applyAlignment="1">
      <alignment horizontal="center" vertical="center"/>
    </xf>
    <xf numFmtId="0" fontId="22" fillId="10" borderId="1" xfId="39" applyFont="1" applyFill="1" applyBorder="1" applyAlignment="1">
      <alignment horizontal="center" vertical="center" wrapText="1"/>
    </xf>
    <xf numFmtId="0" fontId="22" fillId="0" borderId="1" xfId="39" applyFont="1" applyBorder="1" applyAlignment="1">
      <alignment horizontal="center" vertical="center" wrapText="1"/>
    </xf>
    <xf numFmtId="0" fontId="3" fillId="0" borderId="1" xfId="39" applyFont="1" applyBorder="1" applyAlignment="1">
      <alignment horizontal="center" vertical="center"/>
    </xf>
    <xf numFmtId="0" fontId="22" fillId="11" borderId="1" xfId="39" applyFont="1" applyFill="1" applyBorder="1" applyAlignment="1">
      <alignment horizontal="center" vertical="center" wrapText="1"/>
    </xf>
    <xf numFmtId="0" fontId="3" fillId="11" borderId="1" xfId="39" applyFont="1" applyFill="1" applyBorder="1" applyAlignment="1">
      <alignment horizontal="center" vertical="center"/>
    </xf>
    <xf numFmtId="0" fontId="3" fillId="11" borderId="1" xfId="39" applyFont="1" applyFill="1" applyBorder="1" applyAlignment="1">
      <alignment horizontal="center" vertical="center" wrapText="1"/>
    </xf>
    <xf numFmtId="0" fontId="3" fillId="10" borderId="1" xfId="39" applyFont="1" applyFill="1" applyBorder="1" applyAlignment="1">
      <alignment horizontal="center" vertical="center" wrapText="1"/>
    </xf>
    <xf numFmtId="0" fontId="3" fillId="0" borderId="1" xfId="39" applyFont="1" applyBorder="1" applyAlignment="1">
      <alignment horizontal="center" vertical="center" wrapText="1"/>
    </xf>
    <xf numFmtId="0" fontId="22" fillId="0" borderId="2" xfId="39" applyFont="1" applyBorder="1" applyAlignment="1">
      <alignment horizontal="center" vertical="center" wrapText="1"/>
    </xf>
    <xf numFmtId="0" fontId="3" fillId="2" borderId="2" xfId="39" applyFont="1" applyFill="1" applyBorder="1" applyAlignment="1">
      <alignment horizontal="center" vertical="center"/>
    </xf>
    <xf numFmtId="0" fontId="3" fillId="0" borderId="2" xfId="39" applyFont="1" applyBorder="1" applyAlignment="1">
      <alignment horizontal="center" vertical="center"/>
    </xf>
    <xf numFmtId="0" fontId="23" fillId="0" borderId="1" xfId="39" applyFont="1" applyBorder="1" applyAlignment="1">
      <alignment horizontal="center" vertical="center" wrapText="1"/>
    </xf>
    <xf numFmtId="0" fontId="20" fillId="4" borderId="2" xfId="39" applyFont="1" applyFill="1" applyBorder="1" applyAlignment="1">
      <alignment horizontal="center" vertical="center" wrapText="1"/>
    </xf>
    <xf numFmtId="0" fontId="3" fillId="6" borderId="2" xfId="39" applyFont="1" applyFill="1" applyBorder="1" applyAlignment="1">
      <alignment horizontal="center" vertical="center"/>
    </xf>
    <xf numFmtId="0" fontId="20" fillId="4" borderId="4" xfId="39" applyFont="1" applyFill="1" applyBorder="1" applyAlignment="1">
      <alignment horizontal="center" vertical="center" wrapText="1"/>
    </xf>
    <xf numFmtId="0" fontId="24" fillId="0" borderId="0" xfId="39" applyFont="1" applyAlignment="1">
      <alignment horizontal="center" wrapText="1"/>
    </xf>
    <xf numFmtId="0" fontId="3" fillId="0" borderId="2" xfId="39" applyFont="1" applyBorder="1" applyAlignment="1">
      <alignment horizontal="center" vertical="center" wrapText="1"/>
    </xf>
    <xf numFmtId="0" fontId="0" fillId="0" borderId="0" xfId="0" applyAlignment="1">
      <alignment horizontal="center" vertical="center"/>
    </xf>
    <xf numFmtId="0" fontId="25" fillId="4" borderId="1" xfId="0" applyFont="1" applyFill="1" applyBorder="1" applyAlignment="1">
      <alignment horizontal="center" vertical="center"/>
    </xf>
    <xf numFmtId="0" fontId="0" fillId="0" borderId="1" xfId="0" applyBorder="1" applyAlignment="1">
      <alignment horizontal="center" vertical="center"/>
    </xf>
    <xf numFmtId="0" fontId="26" fillId="0" borderId="1" xfId="0" applyFont="1" applyBorder="1" applyAlignment="1">
      <alignment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1" xfId="0" applyFont="1" applyBorder="1" applyAlignment="1">
      <alignment vertical="center" wrapText="1"/>
    </xf>
    <xf numFmtId="0" fontId="26" fillId="0" borderId="1" xfId="0" applyFont="1" applyBorder="1" applyAlignment="1">
      <alignment horizontal="center" vertical="center" wrapText="1"/>
    </xf>
    <xf numFmtId="0" fontId="30" fillId="0" borderId="1" xfId="0" applyFont="1" applyBorder="1" applyAlignment="1">
      <alignment horizontal="left" vertical="center" wrapText="1"/>
    </xf>
    <xf numFmtId="0" fontId="0" fillId="0" borderId="5" xfId="0" applyBorder="1" applyAlignment="1">
      <alignment horizontal="left" vertical="center"/>
    </xf>
    <xf numFmtId="0" fontId="31" fillId="4" borderId="1" xfId="0" applyFont="1" applyFill="1" applyBorder="1" applyAlignment="1">
      <alignment horizontal="center" vertical="center" wrapText="1"/>
    </xf>
    <xf numFmtId="0" fontId="31" fillId="4" borderId="2" xfId="0" applyFont="1" applyFill="1" applyBorder="1" applyAlignment="1">
      <alignment horizontal="center" vertical="center" wrapText="1"/>
    </xf>
    <xf numFmtId="0" fontId="31" fillId="4" borderId="3" xfId="0" applyFont="1" applyFill="1" applyBorder="1" applyAlignment="1">
      <alignment horizontal="center" vertical="center" wrapText="1"/>
    </xf>
    <xf numFmtId="0" fontId="32" fillId="4" borderId="1" xfId="0" applyFont="1" applyFill="1" applyBorder="1" applyAlignment="1">
      <alignment horizontal="center" vertical="center" wrapText="1"/>
    </xf>
    <xf numFmtId="0" fontId="32" fillId="2" borderId="1" xfId="0" applyFont="1" applyFill="1" applyBorder="1" applyAlignment="1">
      <alignment horizontal="center" vertical="center" wrapText="1"/>
    </xf>
    <xf numFmtId="0" fontId="32" fillId="4" borderId="1" xfId="0" applyFont="1" applyFill="1" applyBorder="1" applyAlignment="1">
      <alignment vertical="center" wrapText="1"/>
    </xf>
    <xf numFmtId="0" fontId="33" fillId="4" borderId="1" xfId="0" applyFont="1" applyFill="1" applyBorder="1" applyAlignment="1">
      <alignment horizontal="center" vertical="center" wrapText="1"/>
    </xf>
    <xf numFmtId="0" fontId="0" fillId="4" borderId="0" xfId="0" applyFill="1">
      <alignment vertical="center"/>
    </xf>
    <xf numFmtId="0" fontId="30" fillId="4" borderId="1" xfId="0" applyFont="1" applyFill="1" applyBorder="1">
      <alignment vertical="center"/>
    </xf>
    <xf numFmtId="0" fontId="1" fillId="3" borderId="1" xfId="0" applyFont="1" applyFill="1" applyBorder="1" applyAlignment="1">
      <alignment horizontal="center" vertical="center"/>
    </xf>
    <xf numFmtId="0" fontId="0" fillId="3" borderId="1" xfId="0" applyFill="1" applyBorder="1">
      <alignment vertical="center"/>
    </xf>
    <xf numFmtId="0" fontId="33" fillId="3" borderId="1" xfId="0" applyFont="1" applyFill="1" applyBorder="1" applyAlignment="1">
      <alignment horizontal="center" vertical="center" wrapText="1"/>
    </xf>
    <xf numFmtId="0" fontId="32" fillId="3" borderId="1" xfId="0" applyFont="1" applyFill="1" applyBorder="1" applyAlignment="1">
      <alignment horizontal="center" vertical="center" wrapText="1"/>
    </xf>
    <xf numFmtId="0" fontId="32" fillId="3" borderId="1" xfId="0" applyFont="1" applyFill="1" applyBorder="1" applyAlignment="1">
      <alignment vertical="center" wrapText="1"/>
    </xf>
    <xf numFmtId="0" fontId="0" fillId="3" borderId="0" xfId="0" applyFill="1">
      <alignment vertical="center"/>
    </xf>
    <xf numFmtId="0" fontId="30" fillId="3" borderId="1" xfId="0" applyFont="1" applyFill="1" applyBorder="1">
      <alignment vertical="center"/>
    </xf>
    <xf numFmtId="0" fontId="18" fillId="0" borderId="1" xfId="0" applyFont="1" applyBorder="1" applyAlignment="1">
      <alignment horizontal="center" vertical="center"/>
    </xf>
    <xf numFmtId="0" fontId="18" fillId="2" borderId="1" xfId="0" applyFont="1" applyFill="1" applyBorder="1" applyAlignment="1">
      <alignment horizontal="center" vertical="center"/>
    </xf>
    <xf numFmtId="0" fontId="18" fillId="0" borderId="1" xfId="0" applyFont="1" applyFill="1" applyBorder="1" applyAlignment="1">
      <alignment horizontal="center" vertical="center"/>
    </xf>
    <xf numFmtId="0" fontId="0" fillId="0" borderId="1" xfId="0" applyBorder="1" applyAlignment="1"/>
    <xf numFmtId="0" fontId="0" fillId="0" borderId="1" xfId="0" applyBorder="1" applyAlignment="1">
      <alignment horizontal="center"/>
    </xf>
    <xf numFmtId="0" fontId="0" fillId="0" borderId="0" xfId="0" applyAlignment="1"/>
    <xf numFmtId="0" fontId="18" fillId="8" borderId="1" xfId="0" applyFont="1" applyFill="1" applyBorder="1" applyAlignment="1">
      <alignment horizontal="center" vertical="center"/>
    </xf>
    <xf numFmtId="0" fontId="34" fillId="0" borderId="1" xfId="0" applyFont="1" applyBorder="1" applyAlignment="1">
      <alignment horizontal="center" vertical="center"/>
    </xf>
    <xf numFmtId="0" fontId="34" fillId="2" borderId="1" xfId="0" applyFont="1" applyFill="1" applyBorder="1" applyAlignment="1">
      <alignment horizontal="center" vertical="center"/>
    </xf>
    <xf numFmtId="0" fontId="34" fillId="0" borderId="1" xfId="0" applyFont="1" applyFill="1" applyBorder="1" applyAlignment="1">
      <alignment horizontal="center" vertical="center"/>
    </xf>
    <xf numFmtId="0" fontId="34" fillId="0" borderId="1" xfId="0" applyFont="1" applyBorder="1" applyAlignment="1"/>
    <xf numFmtId="0" fontId="34" fillId="0" borderId="1" xfId="0" applyFont="1" applyBorder="1" applyAlignment="1">
      <alignment horizontal="center"/>
    </xf>
    <xf numFmtId="0" fontId="34" fillId="0" borderId="1" xfId="0" applyFont="1" applyBorder="1">
      <alignment vertical="center"/>
    </xf>
    <xf numFmtId="0" fontId="0" fillId="4" borderId="0" xfId="0" applyFill="1" applyAlignment="1"/>
    <xf numFmtId="0" fontId="35" fillId="0" borderId="1" xfId="0" applyFont="1" applyFill="1" applyBorder="1" applyAlignment="1">
      <alignment horizontal="center" vertical="center" wrapText="1"/>
    </xf>
    <xf numFmtId="0" fontId="0" fillId="0" borderId="1" xfId="0" applyBorder="1" applyAlignment="1">
      <alignment vertical="center"/>
    </xf>
    <xf numFmtId="0" fontId="36" fillId="0" borderId="1" xfId="0" applyFont="1" applyBorder="1" applyAlignment="1">
      <alignment horizontal="center" vertical="center"/>
    </xf>
    <xf numFmtId="0" fontId="36" fillId="2" borderId="1" xfId="0" applyFont="1" applyFill="1" applyBorder="1" applyAlignment="1">
      <alignment horizontal="center" vertical="center"/>
    </xf>
    <xf numFmtId="0" fontId="36" fillId="0" borderId="1" xfId="0" applyFont="1" applyFill="1" applyBorder="1" applyAlignment="1">
      <alignment horizontal="center" vertical="center"/>
    </xf>
    <xf numFmtId="0" fontId="36" fillId="0" borderId="1" xfId="0" applyFont="1" applyBorder="1" applyAlignment="1"/>
    <xf numFmtId="0" fontId="36" fillId="0" borderId="1" xfId="0" applyFont="1" applyBorder="1" applyAlignment="1">
      <alignment horizontal="center"/>
    </xf>
    <xf numFmtId="0" fontId="36" fillId="0" borderId="1" xfId="0" applyFont="1" applyBorder="1">
      <alignment vertical="center"/>
    </xf>
    <xf numFmtId="0" fontId="18" fillId="0" borderId="1" xfId="0" applyFont="1" applyBorder="1" applyAlignment="1"/>
    <xf numFmtId="0" fontId="18" fillId="7" borderId="1" xfId="0" applyFont="1" applyFill="1" applyBorder="1" applyAlignment="1">
      <alignment horizontal="center" vertical="center"/>
    </xf>
    <xf numFmtId="0" fontId="0" fillId="4" borderId="1" xfId="0" applyFill="1" applyBorder="1" applyAlignment="1"/>
    <xf numFmtId="0" fontId="0" fillId="4" borderId="1" xfId="0" applyFill="1" applyBorder="1" applyAlignment="1">
      <alignment horizontal="center"/>
    </xf>
    <xf numFmtId="0" fontId="0" fillId="4" borderId="1" xfId="0" applyFill="1" applyBorder="1" applyAlignment="1">
      <alignment horizontal="center" vertical="center"/>
    </xf>
    <xf numFmtId="0" fontId="18" fillId="4" borderId="1" xfId="0" applyFont="1" applyFill="1" applyBorder="1" applyAlignment="1">
      <alignment horizontal="left" vertical="center" wrapText="1"/>
    </xf>
    <xf numFmtId="0" fontId="0" fillId="2" borderId="1" xfId="0" applyFill="1" applyBorder="1" applyAlignment="1">
      <alignment horizontal="center" vertical="center"/>
    </xf>
    <xf numFmtId="0" fontId="0" fillId="2" borderId="1" xfId="0" applyFill="1" applyBorder="1" applyAlignment="1"/>
    <xf numFmtId="0" fontId="0" fillId="2" borderId="1" xfId="0" applyFill="1" applyBorder="1" applyAlignment="1">
      <alignment horizontal="center"/>
    </xf>
    <xf numFmtId="0" fontId="0" fillId="2" borderId="1" xfId="0" applyFill="1" applyBorder="1">
      <alignment vertical="center"/>
    </xf>
    <xf numFmtId="0" fontId="0" fillId="0" borderId="0" xfId="0" applyAlignment="1">
      <alignment horizontal="left" vertical="center" wrapText="1"/>
    </xf>
    <xf numFmtId="0" fontId="37" fillId="0" borderId="1" xfId="0" applyFont="1" applyBorder="1" applyAlignment="1">
      <alignment horizontal="left" vertical="center"/>
    </xf>
    <xf numFmtId="0" fontId="2" fillId="0" borderId="1" xfId="0" applyFont="1" applyBorder="1" applyAlignment="1">
      <alignment horizontal="left" vertical="center" wrapText="1"/>
    </xf>
    <xf numFmtId="0" fontId="37" fillId="2" borderId="1" xfId="0" applyFont="1" applyFill="1" applyBorder="1" applyAlignment="1">
      <alignment horizontal="center" vertical="center"/>
    </xf>
    <xf numFmtId="0" fontId="37" fillId="0" borderId="1" xfId="0" applyFont="1" applyFill="1" applyBorder="1" applyAlignment="1">
      <alignment horizontal="center" vertical="center"/>
    </xf>
    <xf numFmtId="0" fontId="37" fillId="8" borderId="1" xfId="0" applyFont="1" applyFill="1" applyBorder="1" applyAlignment="1">
      <alignment horizontal="center" vertical="center"/>
    </xf>
    <xf numFmtId="0" fontId="36" fillId="0" borderId="1" xfId="0" applyFont="1" applyBorder="1" applyAlignment="1">
      <alignment horizontal="left" vertical="center" wrapText="1"/>
    </xf>
    <xf numFmtId="0" fontId="36" fillId="0" borderId="1" xfId="0" applyFont="1" applyBorder="1" applyAlignment="1">
      <alignment horizontal="left" vertical="center"/>
    </xf>
    <xf numFmtId="0" fontId="0" fillId="11" borderId="1" xfId="0" applyFill="1" applyBorder="1" applyAlignment="1">
      <alignment horizontal="center" vertical="center"/>
    </xf>
    <xf numFmtId="0" fontId="38" fillId="0" borderId="1" xfId="0" applyFont="1" applyFill="1" applyBorder="1" applyAlignment="1">
      <alignment horizontal="center" vertical="center" wrapText="1"/>
    </xf>
    <xf numFmtId="0" fontId="2" fillId="0" borderId="2" xfId="0" applyFont="1" applyBorder="1" applyAlignment="1">
      <alignment horizontal="left" vertical="center"/>
    </xf>
    <xf numFmtId="0" fontId="0" fillId="6" borderId="1" xfId="0" applyFill="1" applyBorder="1" applyAlignment="1">
      <alignment horizontal="center" vertical="center"/>
    </xf>
    <xf numFmtId="0" fontId="37" fillId="6" borderId="1" xfId="0" applyFont="1" applyFill="1" applyBorder="1" applyAlignment="1">
      <alignment horizontal="left" vertical="center"/>
    </xf>
    <xf numFmtId="0" fontId="2" fillId="6" borderId="1" xfId="0" applyFont="1" applyFill="1" applyBorder="1" applyAlignment="1">
      <alignment horizontal="left" vertical="center"/>
    </xf>
    <xf numFmtId="0" fontId="0" fillId="6" borderId="1" xfId="0" applyFill="1" applyBorder="1" applyAlignment="1">
      <alignment horizontal="left" vertical="center"/>
    </xf>
    <xf numFmtId="0" fontId="3" fillId="6" borderId="1" xfId="0" applyFont="1" applyFill="1" applyBorder="1" applyAlignment="1"/>
    <xf numFmtId="0" fontId="3" fillId="6" borderId="1" xfId="0" applyFont="1" applyFill="1" applyBorder="1" applyAlignment="1">
      <alignment horizontal="left"/>
    </xf>
    <xf numFmtId="0" fontId="2" fillId="0" borderId="0" xfId="0" applyFont="1" applyAlignment="1">
      <alignment horizontal="left" vertical="center" wrapText="1"/>
    </xf>
    <xf numFmtId="0" fontId="2" fillId="0" borderId="0" xfId="0" applyFont="1" applyAlignment="1">
      <alignment horizontal="center" vertical="center"/>
    </xf>
    <xf numFmtId="0" fontId="36" fillId="0" borderId="2" xfId="0" applyFont="1" applyBorder="1" applyAlignment="1">
      <alignment horizontal="left" vertical="center" wrapText="1"/>
    </xf>
    <xf numFmtId="0" fontId="36" fillId="0" borderId="6" xfId="0" applyFont="1" applyBorder="1" applyAlignment="1">
      <alignment horizontal="left" vertical="center" wrapText="1"/>
    </xf>
    <xf numFmtId="0" fontId="36" fillId="0" borderId="3" xfId="0" applyFont="1" applyBorder="1" applyAlignment="1">
      <alignment horizontal="left" vertical="center" wrapText="1"/>
    </xf>
    <xf numFmtId="0" fontId="2" fillId="6" borderId="1" xfId="0" applyFont="1" applyFill="1" applyBorder="1" applyAlignment="1">
      <alignment horizontal="left" vertical="center" wrapText="1"/>
    </xf>
    <xf numFmtId="0" fontId="2" fillId="0" borderId="0" xfId="0" applyFont="1" applyAlignment="1">
      <alignment horizontal="center" vertical="center" wrapText="1"/>
    </xf>
    <xf numFmtId="0" fontId="0" fillId="6" borderId="1" xfId="0" applyFill="1" applyBorder="1" applyAlignment="1">
      <alignment horizontal="left" vertical="center" wrapText="1"/>
    </xf>
    <xf numFmtId="0" fontId="18" fillId="0" borderId="5" xfId="39" applyBorder="1" applyAlignment="1">
      <alignment horizontal="left"/>
    </xf>
    <xf numFmtId="0" fontId="39" fillId="0" borderId="1" xfId="65" applyFont="1" applyBorder="1" applyAlignment="1">
      <alignment horizontal="left" vertical="center" wrapText="1"/>
    </xf>
    <xf numFmtId="0" fontId="40" fillId="0" borderId="1" xfId="65" applyFont="1" applyBorder="1" applyAlignment="1">
      <alignment horizontal="left" wrapText="1"/>
    </xf>
    <xf numFmtId="0" fontId="41" fillId="0" borderId="1" xfId="65" applyFont="1" applyBorder="1" applyAlignment="1">
      <alignment horizontal="left" wrapText="1"/>
    </xf>
    <xf numFmtId="0" fontId="40" fillId="0" borderId="1" xfId="60" applyFont="1" applyBorder="1" applyAlignment="1">
      <alignment horizontal="left" vertical="center" wrapText="1"/>
    </xf>
    <xf numFmtId="0" fontId="42" fillId="0" borderId="1" xfId="60" applyFont="1" applyBorder="1" applyAlignment="1">
      <alignment horizontal="left" vertical="center" wrapText="1"/>
    </xf>
    <xf numFmtId="0" fontId="40" fillId="12" borderId="1" xfId="60" applyFont="1" applyFill="1" applyBorder="1" applyAlignment="1">
      <alignment horizontal="left" vertical="center" wrapText="1"/>
    </xf>
    <xf numFmtId="0" fontId="42" fillId="12" borderId="1" xfId="60" applyFont="1" applyFill="1" applyBorder="1" applyAlignment="1">
      <alignment horizontal="left" vertical="center" wrapText="1"/>
    </xf>
    <xf numFmtId="0" fontId="43" fillId="0" borderId="0" xfId="39" applyFont="1" applyAlignment="1">
      <alignment horizontal="center"/>
    </xf>
    <xf numFmtId="0" fontId="0" fillId="0" borderId="0" xfId="70"/>
    <xf numFmtId="0" fontId="0" fillId="0" borderId="0" xfId="70" applyAlignment="1">
      <alignment horizontal="center"/>
    </xf>
    <xf numFmtId="0" fontId="0" fillId="0" borderId="0" xfId="70" applyAlignment="1">
      <alignment horizontal="left"/>
    </xf>
    <xf numFmtId="0" fontId="44" fillId="4" borderId="1" xfId="52" applyFont="1" applyFill="1" applyBorder="1" applyAlignment="1">
      <alignment horizontal="center" vertical="center" wrapText="1"/>
    </xf>
    <xf numFmtId="0" fontId="44" fillId="4" borderId="4" xfId="52" applyFont="1" applyFill="1" applyBorder="1" applyAlignment="1">
      <alignment horizontal="center" vertical="center" wrapText="1"/>
    </xf>
    <xf numFmtId="0" fontId="44" fillId="4" borderId="7" xfId="52" applyFont="1" applyFill="1" applyBorder="1" applyAlignment="1">
      <alignment horizontal="center" vertical="center" wrapText="1"/>
    </xf>
    <xf numFmtId="0" fontId="45" fillId="0" borderId="1" xfId="70" applyFont="1" applyBorder="1" applyAlignment="1">
      <alignment horizontal="center" vertical="center" wrapText="1"/>
    </xf>
    <xf numFmtId="0" fontId="41" fillId="0" borderId="1" xfId="70" applyFont="1" applyBorder="1" applyAlignment="1">
      <alignment horizontal="center" vertical="center" wrapText="1"/>
    </xf>
    <xf numFmtId="0" fontId="45" fillId="0" borderId="1" xfId="70" applyFont="1" applyBorder="1" applyAlignment="1">
      <alignment horizontal="left" vertical="center" wrapText="1"/>
    </xf>
    <xf numFmtId="0" fontId="41" fillId="0" borderId="1" xfId="70" applyFont="1" applyBorder="1" applyAlignment="1">
      <alignment horizontal="left" vertical="center" wrapText="1"/>
    </xf>
    <xf numFmtId="0" fontId="0" fillId="0" borderId="0" xfId="60"/>
    <xf numFmtId="0" fontId="0" fillId="0" borderId="0" xfId="60" applyAlignment="1">
      <alignment horizontal="left"/>
    </xf>
    <xf numFmtId="49" fontId="46" fillId="0" borderId="1" xfId="60" applyNumberFormat="1" applyFont="1" applyBorder="1" applyAlignment="1">
      <alignment horizontal="center" vertical="center" wrapText="1"/>
    </xf>
    <xf numFmtId="0" fontId="46" fillId="0" borderId="1" xfId="39" applyFont="1" applyBorder="1" applyAlignment="1">
      <alignment horizontal="left" vertical="center" wrapText="1"/>
    </xf>
    <xf numFmtId="49" fontId="46" fillId="0" borderId="1" xfId="39" applyNumberFormat="1" applyFont="1" applyBorder="1" applyAlignment="1">
      <alignment horizontal="center" vertical="center" wrapText="1"/>
    </xf>
    <xf numFmtId="49" fontId="46" fillId="0" borderId="1" xfId="60" applyNumberFormat="1" applyFont="1" applyBorder="1" applyAlignment="1">
      <alignment horizontal="left" vertical="center" wrapText="1"/>
    </xf>
    <xf numFmtId="0" fontId="46" fillId="0" borderId="1" xfId="52" applyFont="1" applyBorder="1" applyAlignment="1">
      <alignment horizontal="left" vertical="center" wrapText="1"/>
    </xf>
    <xf numFmtId="0" fontId="47" fillId="0" borderId="1" xfId="60" applyFont="1" applyBorder="1" applyAlignment="1">
      <alignment horizontal="left" vertical="center" wrapText="1"/>
    </xf>
    <xf numFmtId="0" fontId="47" fillId="0" borderId="1" xfId="39" applyFont="1" applyBorder="1" applyAlignment="1">
      <alignment horizontal="center" vertical="center" wrapText="1"/>
    </xf>
    <xf numFmtId="0" fontId="47" fillId="0" borderId="1" xfId="70" applyFont="1" applyBorder="1" applyAlignment="1">
      <alignment horizontal="left" vertical="center" wrapText="1"/>
    </xf>
    <xf numFmtId="0" fontId="48" fillId="0" borderId="0" xfId="52" applyFont="1" applyAlignment="1">
      <alignment horizontal="center" vertical="center" wrapText="1"/>
    </xf>
    <xf numFmtId="0" fontId="36" fillId="0" borderId="0" xfId="70" applyFont="1"/>
    <xf numFmtId="0" fontId="2" fillId="0" borderId="0" xfId="70" applyFont="1"/>
    <xf numFmtId="0" fontId="45" fillId="0" borderId="1" xfId="60" applyFont="1" applyBorder="1" applyAlignment="1">
      <alignment horizontal="left" vertical="center" wrapText="1"/>
    </xf>
    <xf numFmtId="0" fontId="40" fillId="0" borderId="1" xfId="39" applyFont="1" applyBorder="1" applyAlignment="1">
      <alignment horizontal="center" vertical="center" wrapText="1"/>
    </xf>
    <xf numFmtId="0" fontId="0" fillId="0" borderId="0" xfId="70" applyAlignment="1">
      <alignment horizontal="left" wrapText="1"/>
    </xf>
    <xf numFmtId="0" fontId="18" fillId="11" borderId="1" xfId="39" applyFill="1" applyBorder="1" applyAlignment="1">
      <alignment horizontal="left" vertical="center"/>
    </xf>
    <xf numFmtId="0" fontId="18" fillId="11" borderId="1" xfId="39" applyFill="1" applyBorder="1" applyAlignment="1">
      <alignment vertical="center"/>
    </xf>
    <xf numFmtId="0" fontId="18" fillId="0" borderId="1" xfId="39" applyBorder="1" applyAlignment="1">
      <alignment horizontal="left"/>
    </xf>
    <xf numFmtId="0" fontId="49" fillId="11" borderId="1" xfId="39" applyFont="1" applyFill="1" applyBorder="1" applyAlignment="1">
      <alignment vertical="center"/>
    </xf>
    <xf numFmtId="0" fontId="18" fillId="6" borderId="1" xfId="39" applyFill="1" applyBorder="1" applyAlignment="1">
      <alignment horizontal="left"/>
    </xf>
    <xf numFmtId="0" fontId="18" fillId="6" borderId="1" xfId="39" applyFill="1" applyBorder="1"/>
    <xf numFmtId="0" fontId="18" fillId="0" borderId="0" xfId="39" applyAlignment="1">
      <alignment horizontal="left"/>
    </xf>
    <xf numFmtId="0" fontId="44" fillId="4" borderId="1" xfId="52" applyFont="1" applyFill="1" applyBorder="1" applyAlignment="1">
      <alignment horizontal="center" vertical="center"/>
    </xf>
    <xf numFmtId="0" fontId="44" fillId="4" borderId="4" xfId="52" applyFont="1" applyFill="1" applyBorder="1" applyAlignment="1">
      <alignment horizontal="center" vertical="center"/>
    </xf>
    <xf numFmtId="0" fontId="46" fillId="0" borderId="1" xfId="65" applyFont="1" applyBorder="1" applyAlignment="1">
      <alignment horizontal="center" vertical="center" wrapText="1"/>
    </xf>
    <xf numFmtId="0" fontId="46" fillId="12" borderId="1" xfId="65" applyFont="1" applyFill="1" applyBorder="1" applyAlignment="1">
      <alignment horizontal="left" vertical="center" wrapText="1"/>
    </xf>
    <xf numFmtId="0" fontId="46" fillId="0" borderId="1" xfId="65" applyFont="1" applyBorder="1" applyAlignment="1">
      <alignment horizontal="left" vertical="center" wrapText="1"/>
    </xf>
    <xf numFmtId="49" fontId="46" fillId="0" borderId="1" xfId="65" applyNumberFormat="1" applyFont="1" applyBorder="1" applyAlignment="1">
      <alignment horizontal="center" vertical="center" wrapText="1"/>
    </xf>
    <xf numFmtId="0" fontId="46" fillId="6" borderId="1" xfId="65" applyFont="1" applyFill="1" applyBorder="1" applyAlignment="1">
      <alignment horizontal="center" vertical="center" wrapText="1"/>
    </xf>
    <xf numFmtId="0" fontId="46" fillId="6" borderId="1" xfId="65" applyFont="1" applyFill="1" applyBorder="1" applyAlignment="1">
      <alignment horizontal="left" vertical="center" wrapText="1"/>
    </xf>
    <xf numFmtId="0" fontId="18" fillId="0" borderId="0" xfId="0" applyFont="1" applyAlignment="1">
      <alignment horizontal="center" vertical="center"/>
    </xf>
    <xf numFmtId="0" fontId="18" fillId="0" borderId="1" xfId="0" applyFont="1" applyBorder="1" applyAlignment="1">
      <alignment horizontal="center" vertical="center" wrapText="1"/>
    </xf>
    <xf numFmtId="0" fontId="25" fillId="0" borderId="1" xfId="0" applyFont="1" applyBorder="1" applyAlignment="1">
      <alignment horizontal="center" vertical="center"/>
    </xf>
    <xf numFmtId="0" fontId="18" fillId="0" borderId="1" xfId="0" applyFont="1" applyBorder="1" applyAlignment="1">
      <alignment horizontal="left" vertical="center" wrapText="1"/>
    </xf>
    <xf numFmtId="49" fontId="50" fillId="0" borderId="1" xfId="0" applyNumberFormat="1" applyFont="1" applyBorder="1" applyAlignment="1">
      <alignment horizontal="left" vertical="center" wrapText="1"/>
    </xf>
    <xf numFmtId="49" fontId="50" fillId="0" borderId="1" xfId="0" applyNumberFormat="1" applyFont="1" applyBorder="1" applyAlignment="1">
      <alignment horizontal="center" vertical="center" wrapText="1"/>
    </xf>
    <xf numFmtId="49" fontId="50" fillId="0" borderId="1" xfId="0" applyNumberFormat="1" applyFont="1" applyBorder="1">
      <alignment vertical="center"/>
    </xf>
    <xf numFmtId="0" fontId="4" fillId="6" borderId="1" xfId="0" applyFont="1" applyFill="1" applyBorder="1" applyAlignment="1">
      <alignment horizontal="justify" vertical="center" wrapText="1"/>
    </xf>
    <xf numFmtId="0" fontId="51" fillId="6" borderId="1" xfId="0" applyFont="1" applyFill="1" applyBorder="1" applyAlignment="1">
      <alignment horizontal="justify" vertical="center" wrapText="1"/>
    </xf>
    <xf numFmtId="0" fontId="37" fillId="6" borderId="1" xfId="0" applyFont="1" applyFill="1" applyBorder="1">
      <alignment vertical="center"/>
    </xf>
    <xf numFmtId="0" fontId="3" fillId="0" borderId="1" xfId="0" applyFont="1" applyBorder="1" applyAlignment="1">
      <alignment horizontal="center" vertical="center"/>
    </xf>
    <xf numFmtId="0" fontId="25" fillId="0" borderId="1" xfId="0" applyFont="1" applyBorder="1" applyAlignment="1">
      <alignment horizontal="center" vertical="center" wrapText="1"/>
    </xf>
    <xf numFmtId="0" fontId="25" fillId="0" borderId="1" xfId="0" applyFont="1" applyBorder="1" applyAlignment="1">
      <alignment horizontal="left" vertical="center" wrapText="1"/>
    </xf>
    <xf numFmtId="0" fontId="25" fillId="2" borderId="1" xfId="0" applyFont="1" applyFill="1" applyBorder="1" applyAlignment="1">
      <alignment horizontal="center" vertical="center" wrapText="1"/>
    </xf>
    <xf numFmtId="0" fontId="30" fillId="0" borderId="1" xfId="0" applyFont="1" applyBorder="1" applyAlignment="1">
      <alignment horizontal="justify" vertical="center" wrapText="1"/>
    </xf>
    <xf numFmtId="0" fontId="52" fillId="0" borderId="1" xfId="0" applyFont="1" applyBorder="1" applyAlignment="1">
      <alignment horizontal="justify" vertical="center" wrapText="1"/>
    </xf>
    <xf numFmtId="0" fontId="3" fillId="0" borderId="2" xfId="0" applyFont="1" applyBorder="1" applyAlignment="1"/>
    <xf numFmtId="0" fontId="0" fillId="6" borderId="1" xfId="0" applyFill="1" applyBorder="1">
      <alignment vertical="center"/>
    </xf>
    <xf numFmtId="0" fontId="53" fillId="0" borderId="1" xfId="0" applyFont="1" applyBorder="1" applyAlignment="1">
      <alignment horizontal="center" vertical="center" wrapText="1"/>
    </xf>
    <xf numFmtId="0" fontId="53" fillId="0" borderId="1" xfId="0" applyFont="1" applyBorder="1" applyAlignment="1">
      <alignment horizontal="left" vertical="center" wrapText="1"/>
    </xf>
    <xf numFmtId="0" fontId="53" fillId="2" borderId="1" xfId="0" applyFont="1" applyFill="1" applyBorder="1" applyAlignment="1">
      <alignment horizontal="center" vertical="center" wrapText="1"/>
    </xf>
    <xf numFmtId="0" fontId="53" fillId="0" borderId="1" xfId="0" applyFont="1" applyBorder="1" applyAlignment="1">
      <alignment horizontal="left" vertical="center"/>
    </xf>
    <xf numFmtId="0" fontId="53" fillId="0" borderId="1" xfId="0" applyFont="1" applyBorder="1" applyAlignment="1">
      <alignment horizontal="center" vertical="center"/>
    </xf>
    <xf numFmtId="0" fontId="53" fillId="7" borderId="1" xfId="0" applyFont="1" applyFill="1" applyBorder="1" applyAlignment="1">
      <alignment horizontal="center" vertical="center" wrapText="1"/>
    </xf>
    <xf numFmtId="0" fontId="54" fillId="0" borderId="1" xfId="0" applyFont="1" applyBorder="1" applyAlignment="1">
      <alignment horizontal="left" vertical="center" wrapText="1"/>
    </xf>
    <xf numFmtId="0" fontId="0" fillId="0" borderId="1" xfId="0" applyBorder="1" applyAlignment="1">
      <alignment horizontal="left" vertical="center"/>
    </xf>
    <xf numFmtId="0" fontId="1" fillId="4" borderId="1" xfId="0" applyFont="1" applyFill="1" applyBorder="1" applyAlignment="1">
      <alignment horizontal="left" vertical="center"/>
    </xf>
    <xf numFmtId="0" fontId="0" fillId="8" borderId="1" xfId="0" applyFill="1" applyBorder="1" applyAlignment="1">
      <alignment horizontal="center" vertical="center"/>
    </xf>
    <xf numFmtId="0" fontId="1" fillId="8" borderId="1" xfId="0" applyFont="1" applyFill="1" applyBorder="1" applyAlignment="1">
      <alignment horizontal="left" vertical="center"/>
    </xf>
    <xf numFmtId="0" fontId="1" fillId="0" borderId="1" xfId="0" applyFont="1" applyBorder="1" applyAlignment="1">
      <alignment horizontal="left" vertical="center"/>
    </xf>
    <xf numFmtId="0" fontId="37" fillId="0" borderId="8" xfId="0" applyFont="1" applyBorder="1">
      <alignment vertical="center"/>
    </xf>
    <xf numFmtId="0" fontId="0" fillId="0" borderId="2" xfId="0" applyBorder="1" applyAlignment="1">
      <alignment horizontal="center" vertical="center"/>
    </xf>
    <xf numFmtId="0" fontId="0" fillId="0" borderId="2" xfId="0" applyBorder="1">
      <alignment vertical="center"/>
    </xf>
    <xf numFmtId="0" fontId="0" fillId="0" borderId="2" xfId="0" applyBorder="1" applyAlignment="1">
      <alignment horizontal="left" vertical="center"/>
    </xf>
    <xf numFmtId="0" fontId="1" fillId="0" borderId="2" xfId="0" applyFont="1" applyBorder="1" applyAlignment="1">
      <alignment horizontal="left" vertical="center"/>
    </xf>
    <xf numFmtId="0" fontId="18" fillId="6" borderId="1" xfId="0" applyFont="1" applyFill="1" applyBorder="1">
      <alignment vertical="center"/>
    </xf>
    <xf numFmtId="0" fontId="18" fillId="6" borderId="1" xfId="0" applyFont="1" applyFill="1" applyBorder="1" applyAlignment="1">
      <alignment horizontal="left" vertical="center"/>
    </xf>
    <xf numFmtId="0" fontId="18" fillId="6" borderId="1" xfId="0" applyFont="1" applyFill="1" applyBorder="1" applyAlignment="1">
      <alignment horizontal="center" vertical="center"/>
    </xf>
    <xf numFmtId="0" fontId="0" fillId="7" borderId="1" xfId="0" applyFill="1" applyBorder="1" applyAlignment="1">
      <alignment horizontal="center" vertical="center"/>
    </xf>
    <xf numFmtId="0" fontId="2" fillId="0" borderId="1" xfId="0" applyFont="1" applyBorder="1" applyAlignment="1">
      <alignment horizontal="center" vertical="center" wrapText="1"/>
    </xf>
    <xf numFmtId="0" fontId="2" fillId="0" borderId="4" xfId="0" applyFont="1" applyBorder="1" applyAlignment="1">
      <alignment horizontal="left"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7" fillId="0" borderId="0" xfId="0" applyFont="1" applyAlignment="1">
      <alignment horizontal="left" vertical="center"/>
    </xf>
    <xf numFmtId="0" fontId="0" fillId="0" borderId="1" xfId="0" applyBorder="1" applyAlignment="1">
      <alignment vertical="center" wrapText="1"/>
    </xf>
    <xf numFmtId="0" fontId="25" fillId="8" borderId="1" xfId="0" applyFont="1" applyFill="1" applyBorder="1" applyAlignment="1">
      <alignment horizontal="center" vertical="center"/>
    </xf>
    <xf numFmtId="0" fontId="25" fillId="2" borderId="1" xfId="0" applyFont="1" applyFill="1" applyBorder="1" applyAlignment="1">
      <alignment horizontal="center" vertical="center"/>
    </xf>
    <xf numFmtId="0" fontId="25" fillId="7" borderId="1" xfId="0" applyFont="1" applyFill="1" applyBorder="1" applyAlignment="1">
      <alignment horizontal="center" vertical="center"/>
    </xf>
    <xf numFmtId="0" fontId="55" fillId="6" borderId="1" xfId="0" applyFont="1" applyFill="1" applyBorder="1" applyAlignment="1">
      <alignment horizontal="justify" vertical="center" wrapText="1"/>
    </xf>
    <xf numFmtId="0" fontId="56" fillId="6" borderId="1" xfId="0" applyFont="1" applyFill="1" applyBorder="1" applyAlignment="1">
      <alignment horizontal="justify" vertical="center" wrapText="1"/>
    </xf>
    <xf numFmtId="0" fontId="57" fillId="0" borderId="1" xfId="0" applyFont="1" applyBorder="1" applyAlignment="1">
      <alignment horizontal="left" vertical="center" wrapText="1"/>
    </xf>
    <xf numFmtId="0" fontId="57" fillId="0" borderId="1" xfId="0" applyFont="1" applyBorder="1" applyAlignment="1">
      <alignment horizontal="center" vertical="center"/>
    </xf>
    <xf numFmtId="0" fontId="0" fillId="4" borderId="1" xfId="0" applyFill="1" applyBorder="1" applyAlignment="1">
      <alignment vertical="center" wrapText="1"/>
    </xf>
    <xf numFmtId="0" fontId="30" fillId="6" borderId="1" xfId="0" applyFont="1" applyFill="1" applyBorder="1" applyAlignment="1">
      <alignment horizontal="justify" vertical="center" wrapText="1"/>
    </xf>
    <xf numFmtId="0" fontId="52" fillId="6" borderId="1" xfId="0" applyFont="1" applyFill="1" applyBorder="1" applyAlignment="1">
      <alignment horizontal="justify" vertical="center" wrapText="1"/>
    </xf>
    <xf numFmtId="0" fontId="30" fillId="4" borderId="1" xfId="0" applyFont="1" applyFill="1" applyBorder="1" applyAlignment="1">
      <alignment horizontal="justify" vertical="center" wrapText="1"/>
    </xf>
    <xf numFmtId="0" fontId="26" fillId="4" borderId="1" xfId="0" applyFont="1" applyFill="1" applyBorder="1" applyAlignment="1">
      <alignment horizontal="justify" vertical="center" wrapText="1"/>
    </xf>
    <xf numFmtId="0" fontId="30" fillId="4" borderId="1" xfId="0" applyFont="1" applyFill="1" applyBorder="1" applyAlignment="1">
      <alignment horizontal="left" vertical="center" wrapText="1"/>
    </xf>
    <xf numFmtId="0" fontId="52" fillId="4" borderId="1" xfId="0" applyFont="1" applyFill="1" applyBorder="1" applyAlignment="1">
      <alignment horizontal="left" vertical="center" wrapText="1"/>
    </xf>
    <xf numFmtId="0" fontId="37" fillId="0" borderId="0" xfId="0" applyFont="1" applyAlignment="1">
      <alignment horizontal="center" vertical="center"/>
    </xf>
    <xf numFmtId="0" fontId="37" fillId="0" borderId="0" xfId="0" applyFont="1">
      <alignment vertical="center"/>
    </xf>
    <xf numFmtId="0" fontId="0" fillId="0" borderId="0" xfId="0" applyAlignment="1">
      <alignment horizontal="left" vertical="center"/>
    </xf>
    <xf numFmtId="0" fontId="2" fillId="0" borderId="1" xfId="0" applyFont="1" applyBorder="1" applyAlignment="1">
      <alignment horizontal="center" vertical="center"/>
    </xf>
    <xf numFmtId="0" fontId="58" fillId="0" borderId="1" xfId="0" applyFont="1" applyBorder="1" applyAlignment="1">
      <alignment horizontal="center" vertical="center" wrapText="1"/>
    </xf>
    <xf numFmtId="0" fontId="58" fillId="0" borderId="1" xfId="0" applyFont="1" applyBorder="1" applyAlignment="1">
      <alignment horizontal="left" vertical="center" wrapText="1"/>
    </xf>
    <xf numFmtId="0" fontId="2" fillId="2" borderId="1" xfId="0" applyFont="1" applyFill="1" applyBorder="1" applyAlignment="1">
      <alignment horizontal="center" vertical="center"/>
    </xf>
    <xf numFmtId="0" fontId="59" fillId="0" borderId="1" xfId="0" applyFont="1" applyBorder="1" applyAlignment="1">
      <alignment horizontal="left" vertical="center" wrapText="1"/>
    </xf>
    <xf numFmtId="0" fontId="2" fillId="7" borderId="1" xfId="0" applyFont="1" applyFill="1" applyBorder="1" applyAlignment="1">
      <alignment horizontal="center" vertical="center"/>
    </xf>
    <xf numFmtId="0" fontId="60" fillId="0" borderId="1" xfId="0" applyFont="1" applyBorder="1" applyAlignment="1">
      <alignment horizontal="center" vertical="center"/>
    </xf>
    <xf numFmtId="0" fontId="60" fillId="0" borderId="1" xfId="0" applyFont="1" applyBorder="1" applyAlignment="1">
      <alignment horizontal="left" vertical="center" wrapText="1"/>
    </xf>
    <xf numFmtId="0" fontId="60" fillId="0" borderId="1" xfId="0" applyFont="1" applyBorder="1" applyAlignment="1">
      <alignment horizontal="center" vertical="center" wrapText="1"/>
    </xf>
    <xf numFmtId="0" fontId="2" fillId="13" borderId="1" xfId="0" applyFont="1" applyFill="1" applyBorder="1" applyAlignment="1">
      <alignment horizontal="center" vertical="center"/>
    </xf>
    <xf numFmtId="0" fontId="61" fillId="0" borderId="1" xfId="0" applyFont="1" applyBorder="1" applyAlignment="1">
      <alignment vertical="center" wrapText="1"/>
    </xf>
    <xf numFmtId="0" fontId="61" fillId="0" borderId="1" xfId="0" applyFont="1" applyBorder="1" applyAlignment="1">
      <alignment horizontal="center" vertical="center" wrapText="1"/>
    </xf>
    <xf numFmtId="0" fontId="61" fillId="0" borderId="1" xfId="0" applyFont="1" applyBorder="1" applyAlignment="1">
      <alignment horizontal="left" vertical="center" wrapText="1"/>
    </xf>
    <xf numFmtId="49" fontId="61" fillId="0" borderId="1" xfId="0" applyNumberFormat="1" applyFont="1" applyBorder="1" applyAlignment="1" applyProtection="1">
      <alignment vertical="center" wrapText="1"/>
      <protection locked="0"/>
    </xf>
    <xf numFmtId="0" fontId="61" fillId="0" borderId="1" xfId="0" applyFont="1" applyBorder="1" applyAlignment="1" applyProtection="1">
      <alignment vertical="center" wrapText="1"/>
      <protection locked="0"/>
    </xf>
    <xf numFmtId="0" fontId="49" fillId="0" borderId="1" xfId="0" applyFont="1" applyBorder="1">
      <alignment vertical="center"/>
    </xf>
    <xf numFmtId="0" fontId="0" fillId="0" borderId="1" xfId="0" applyBorder="1" applyAlignment="1">
      <alignment horizontal="left" vertical="center"/>
    </xf>
    <xf numFmtId="0" fontId="0" fillId="0" borderId="1" xfId="0" applyFill="1" applyBorder="1">
      <alignment vertical="center"/>
    </xf>
    <xf numFmtId="0" fontId="0" fillId="6" borderId="8" xfId="0" applyFill="1" applyBorder="1">
      <alignment vertical="center"/>
    </xf>
    <xf numFmtId="0" fontId="0" fillId="2" borderId="1" xfId="0" applyFill="1" applyBorder="1" applyAlignment="1">
      <alignment horizontal="left" vertical="center"/>
    </xf>
    <xf numFmtId="0" fontId="59" fillId="2" borderId="1" xfId="0" applyFont="1" applyFill="1" applyBorder="1" applyAlignment="1">
      <alignment horizontal="left" vertical="center" wrapText="1"/>
    </xf>
    <xf numFmtId="0" fontId="13" fillId="0" borderId="1" xfId="0" applyFont="1" applyBorder="1">
      <alignment vertical="center"/>
    </xf>
    <xf numFmtId="0" fontId="18" fillId="11" borderId="1" xfId="0" applyFont="1" applyFill="1" applyBorder="1" applyAlignment="1">
      <alignment horizontal="left" vertical="center" wrapText="1"/>
    </xf>
    <xf numFmtId="0" fontId="59" fillId="11" borderId="1" xfId="0" applyFont="1" applyFill="1" applyBorder="1" applyAlignment="1">
      <alignment horizontal="left" vertical="center" wrapText="1"/>
    </xf>
    <xf numFmtId="0" fontId="60" fillId="0" borderId="1" xfId="0" applyFont="1" applyBorder="1" applyAlignment="1">
      <alignment horizontal="left" vertical="center"/>
    </xf>
    <xf numFmtId="0" fontId="60" fillId="0" borderId="1" xfId="0" applyFont="1" applyBorder="1" applyAlignment="1" applyProtection="1">
      <alignment horizontal="left" vertical="center" wrapText="1"/>
      <protection locked="0"/>
    </xf>
    <xf numFmtId="49" fontId="2" fillId="0" borderId="1" xfId="0" applyNumberFormat="1" applyFont="1" applyBorder="1" applyAlignment="1" applyProtection="1">
      <alignment horizontal="left" vertical="center" wrapText="1"/>
      <protection locked="0"/>
    </xf>
    <xf numFmtId="0" fontId="37" fillId="0" borderId="1" xfId="0" applyFont="1" applyBorder="1" applyAlignment="1">
      <alignment horizontal="center" vertical="center"/>
    </xf>
    <xf numFmtId="0" fontId="2" fillId="6" borderId="1" xfId="0" applyFont="1" applyFill="1" applyBorder="1" applyAlignment="1">
      <alignment horizontal="center" vertical="center"/>
    </xf>
    <xf numFmtId="0" fontId="37"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37" fillId="0" borderId="1" xfId="0" applyFont="1" applyBorder="1" applyAlignment="1">
      <alignment horizontal="left" vertical="center" wrapText="1"/>
    </xf>
    <xf numFmtId="0" fontId="2" fillId="8" borderId="1" xfId="0" applyFont="1" applyFill="1" applyBorder="1" applyAlignment="1">
      <alignment horizontal="center" vertical="center"/>
    </xf>
    <xf numFmtId="0" fontId="0" fillId="0" borderId="0" xfId="0" applyBorder="1">
      <alignment vertical="center"/>
    </xf>
    <xf numFmtId="0" fontId="34" fillId="0" borderId="1" xfId="0" applyFont="1" applyFill="1" applyBorder="1">
      <alignment vertical="center"/>
    </xf>
    <xf numFmtId="0" fontId="0" fillId="6" borderId="0" xfId="0" applyFill="1" applyBorder="1">
      <alignment vertical="center"/>
    </xf>
    <xf numFmtId="0" fontId="0" fillId="0" borderId="0" xfId="0" applyFill="1" applyBorder="1">
      <alignment vertical="center"/>
    </xf>
    <xf numFmtId="0" fontId="0" fillId="6" borderId="1" xfId="0" applyFill="1" applyBorder="1" applyAlignment="1">
      <alignment horizontal="left" vertical="center"/>
    </xf>
    <xf numFmtId="0" fontId="0" fillId="0" borderId="1" xfId="0" applyFill="1" applyBorder="1" applyAlignment="1">
      <alignment horizontal="left" vertical="center"/>
    </xf>
    <xf numFmtId="0" fontId="0" fillId="0" borderId="0" xfId="0" applyFill="1">
      <alignment vertical="center"/>
    </xf>
    <xf numFmtId="0" fontId="0" fillId="0" borderId="8" xfId="0" applyBorder="1">
      <alignment vertical="center"/>
    </xf>
    <xf numFmtId="0" fontId="34" fillId="0" borderId="1" xfId="0" applyFont="1" applyBorder="1" applyAlignment="1">
      <alignment horizontal="left" vertical="center"/>
    </xf>
    <xf numFmtId="0" fontId="37" fillId="6" borderId="8" xfId="0" applyFont="1" applyFill="1" applyBorder="1">
      <alignment vertical="center"/>
    </xf>
    <xf numFmtId="0" fontId="18" fillId="0" borderId="9" xfId="0" applyFont="1" applyBorder="1" applyAlignment="1">
      <alignment horizontal="left" vertical="center"/>
    </xf>
    <xf numFmtId="0" fontId="62" fillId="0" borderId="10" xfId="0" applyFont="1" applyBorder="1" applyAlignment="1">
      <alignment horizontal="center" vertical="center" wrapText="1"/>
    </xf>
    <xf numFmtId="0" fontId="18" fillId="0" borderId="10" xfId="0" applyFont="1" applyBorder="1" applyAlignment="1">
      <alignment horizontal="center" vertical="center"/>
    </xf>
    <xf numFmtId="0" fontId="18" fillId="0" borderId="11" xfId="0" applyFont="1" applyBorder="1" applyAlignment="1">
      <alignment horizontal="center" vertical="center"/>
    </xf>
    <xf numFmtId="0" fontId="0" fillId="0" borderId="12" xfId="0" applyBorder="1" applyAlignment="1">
      <alignment horizontal="left" vertical="center"/>
    </xf>
    <xf numFmtId="0" fontId="62" fillId="0" borderId="1" xfId="0" applyFont="1" applyBorder="1" applyAlignment="1">
      <alignment horizontal="justify" vertical="center" wrapText="1"/>
    </xf>
    <xf numFmtId="0" fontId="0" fillId="0" borderId="4" xfId="0" applyBorder="1" applyAlignment="1">
      <alignment horizontal="center" vertical="center"/>
    </xf>
    <xf numFmtId="0" fontId="63" fillId="0" borderId="1" xfId="0" applyFont="1" applyBorder="1" applyAlignment="1">
      <alignment horizontal="justify" vertical="center" wrapText="1"/>
    </xf>
    <xf numFmtId="0" fontId="0" fillId="0" borderId="13" xfId="0" applyBorder="1" applyAlignment="1">
      <alignment horizontal="left" vertical="center"/>
    </xf>
    <xf numFmtId="0" fontId="0" fillId="0" borderId="14" xfId="0" applyBorder="1">
      <alignment vertical="center"/>
    </xf>
    <xf numFmtId="0" fontId="0" fillId="0" borderId="14" xfId="0" applyBorder="1" applyAlignment="1">
      <alignment horizontal="center" vertical="center"/>
    </xf>
    <xf numFmtId="0" fontId="0" fillId="0" borderId="15" xfId="0" applyBorder="1" applyAlignment="1">
      <alignment horizontal="center" vertical="center"/>
    </xf>
    <xf numFmtId="0" fontId="10" fillId="0" borderId="1" xfId="0" applyFont="1" applyBorder="1">
      <alignment vertical="center"/>
    </xf>
    <xf numFmtId="0" fontId="49" fillId="0" borderId="0" xfId="39" applyFont="1" applyAlignment="1">
      <alignment horizontal="center"/>
    </xf>
    <xf numFmtId="0" fontId="34" fillId="0" borderId="0" xfId="39" applyFont="1"/>
    <xf numFmtId="0" fontId="34" fillId="6" borderId="0" xfId="39" applyFont="1" applyFill="1"/>
    <xf numFmtId="0" fontId="18" fillId="12" borderId="0" xfId="39" applyFill="1"/>
    <xf numFmtId="0" fontId="18" fillId="0" borderId="0" xfId="39" applyAlignment="1">
      <alignment horizontal="center"/>
    </xf>
    <xf numFmtId="0" fontId="18" fillId="0" borderId="0" xfId="39" applyAlignment="1">
      <alignment horizontal="left" wrapText="1"/>
    </xf>
    <xf numFmtId="0" fontId="64" fillId="4" borderId="16" xfId="39" applyFont="1" applyFill="1" applyBorder="1" applyAlignment="1">
      <alignment horizontal="center" vertical="center" wrapText="1"/>
    </xf>
    <xf numFmtId="0" fontId="44" fillId="4" borderId="15" xfId="52" applyFont="1" applyFill="1" applyBorder="1" applyAlignment="1">
      <alignment horizontal="center" vertical="center" wrapText="1"/>
    </xf>
    <xf numFmtId="0" fontId="46" fillId="0" borderId="16" xfId="39" applyFont="1" applyBorder="1" applyAlignment="1">
      <alignment horizontal="left" vertical="center" wrapText="1"/>
    </xf>
    <xf numFmtId="0" fontId="46" fillId="0" borderId="16" xfId="39" applyFont="1" applyBorder="1" applyAlignment="1">
      <alignment horizontal="center" vertical="center" wrapText="1"/>
    </xf>
    <xf numFmtId="0" fontId="46" fillId="0" borderId="17" xfId="39" applyFont="1" applyBorder="1" applyAlignment="1">
      <alignment horizontal="center" vertical="center" wrapText="1"/>
    </xf>
    <xf numFmtId="0" fontId="65" fillId="0" borderId="16" xfId="39" applyFont="1" applyBorder="1" applyAlignment="1">
      <alignment horizontal="left" vertical="center" wrapText="1"/>
    </xf>
    <xf numFmtId="0" fontId="66" fillId="6" borderId="16" xfId="39" applyFont="1" applyFill="1" applyBorder="1" applyAlignment="1">
      <alignment horizontal="center" vertical="center" wrapText="1"/>
    </xf>
    <xf numFmtId="0" fontId="66" fillId="6" borderId="17" xfId="39" applyFont="1" applyFill="1" applyBorder="1" applyAlignment="1">
      <alignment horizontal="center" vertical="center" wrapText="1"/>
    </xf>
    <xf numFmtId="0" fontId="66" fillId="6" borderId="16" xfId="39" applyFont="1" applyFill="1" applyBorder="1" applyAlignment="1">
      <alignment horizontal="left" vertical="center" wrapText="1"/>
    </xf>
    <xf numFmtId="0" fontId="46" fillId="4" borderId="16" xfId="39" applyFont="1" applyFill="1" applyBorder="1" applyAlignment="1">
      <alignment horizontal="center" vertical="center" wrapText="1"/>
    </xf>
    <xf numFmtId="0" fontId="46" fillId="4" borderId="17" xfId="39" applyFont="1" applyFill="1" applyBorder="1" applyAlignment="1">
      <alignment horizontal="center" vertical="center" wrapText="1"/>
    </xf>
    <xf numFmtId="0" fontId="46" fillId="4" borderId="16" xfId="39" applyFont="1" applyFill="1" applyBorder="1" applyAlignment="1">
      <alignment horizontal="left" vertical="center" wrapText="1"/>
    </xf>
    <xf numFmtId="0" fontId="46" fillId="7" borderId="16" xfId="39" applyFont="1" applyFill="1" applyBorder="1" applyAlignment="1">
      <alignment horizontal="left" vertical="center" wrapText="1"/>
    </xf>
    <xf numFmtId="0" fontId="67" fillId="6" borderId="16" xfId="39" applyFont="1" applyFill="1" applyBorder="1" applyAlignment="1">
      <alignment horizontal="center" vertical="center" wrapText="1"/>
    </xf>
    <xf numFmtId="0" fontId="67" fillId="6" borderId="17" xfId="39" applyFont="1" applyFill="1" applyBorder="1" applyAlignment="1">
      <alignment horizontal="center" vertical="center" wrapText="1"/>
    </xf>
    <xf numFmtId="0" fontId="67" fillId="6" borderId="16" xfId="39" applyFont="1" applyFill="1" applyBorder="1" applyAlignment="1">
      <alignment horizontal="left" vertical="center" wrapText="1"/>
    </xf>
    <xf numFmtId="0" fontId="46" fillId="12" borderId="16" xfId="39" applyFont="1" applyFill="1" applyBorder="1" applyAlignment="1">
      <alignment horizontal="center" vertical="center" wrapText="1"/>
    </xf>
    <xf numFmtId="0" fontId="46" fillId="12" borderId="17" xfId="39" applyFont="1" applyFill="1" applyBorder="1" applyAlignment="1">
      <alignment horizontal="center" vertical="center" wrapText="1"/>
    </xf>
    <xf numFmtId="0" fontId="46" fillId="12" borderId="16" xfId="39" applyFont="1" applyFill="1" applyBorder="1" applyAlignment="1">
      <alignment horizontal="left" vertical="center" wrapText="1"/>
    </xf>
    <xf numFmtId="0" fontId="65" fillId="12" borderId="16" xfId="39" applyFont="1" applyFill="1" applyBorder="1" applyAlignment="1">
      <alignment horizontal="left" vertical="center" wrapText="1"/>
    </xf>
    <xf numFmtId="0" fontId="66" fillId="6" borderId="17" xfId="39" applyFont="1" applyFill="1" applyBorder="1" applyAlignment="1">
      <alignment horizontal="left" vertical="center" wrapText="1"/>
    </xf>
    <xf numFmtId="0" fontId="48" fillId="0" borderId="1" xfId="39" applyFont="1" applyBorder="1" applyAlignment="1">
      <alignment horizontal="center" vertical="center" wrapText="1"/>
    </xf>
    <xf numFmtId="0" fontId="40" fillId="0" borderId="1" xfId="39" applyFont="1" applyBorder="1" applyAlignment="1">
      <alignment horizontal="left" vertical="center" wrapText="1"/>
    </xf>
    <xf numFmtId="0" fontId="46" fillId="0" borderId="17" xfId="39" applyFont="1" applyBorder="1" applyAlignment="1">
      <alignment horizontal="left" vertical="center" wrapText="1"/>
    </xf>
    <xf numFmtId="0" fontId="40" fillId="0" borderId="2" xfId="39" applyFont="1" applyBorder="1" applyAlignment="1">
      <alignment horizontal="left" vertical="center" wrapText="1"/>
    </xf>
    <xf numFmtId="0" fontId="46" fillId="12" borderId="1" xfId="39" applyFont="1" applyFill="1" applyBorder="1" applyAlignment="1">
      <alignment horizontal="left" vertical="center" wrapText="1"/>
    </xf>
    <xf numFmtId="0" fontId="48" fillId="12" borderId="1" xfId="39" applyFont="1" applyFill="1" applyBorder="1" applyAlignment="1">
      <alignment horizontal="left" vertical="center" wrapText="1"/>
    </xf>
    <xf numFmtId="0" fontId="48" fillId="12" borderId="1" xfId="39" applyFont="1" applyFill="1" applyBorder="1" applyAlignment="1">
      <alignment horizontal="center" vertical="center" wrapText="1"/>
    </xf>
    <xf numFmtId="0" fontId="18" fillId="12" borderId="1" xfId="39" applyFill="1" applyBorder="1" applyAlignment="1">
      <alignment horizontal="left" wrapText="1"/>
    </xf>
    <xf numFmtId="0" fontId="18" fillId="12" borderId="1" xfId="39" applyFill="1" applyBorder="1" applyAlignment="1">
      <alignment horizontal="left"/>
    </xf>
    <xf numFmtId="0" fontId="48" fillId="12" borderId="1" xfId="0" applyFont="1" applyFill="1" applyBorder="1" applyAlignment="1">
      <alignment horizontal="left" vertical="center"/>
    </xf>
    <xf numFmtId="0" fontId="18" fillId="0" borderId="0" xfId="39" applyAlignment="1">
      <alignment horizontal="left"/>
    </xf>
    <xf numFmtId="0" fontId="1" fillId="7" borderId="1" xfId="0" applyFont="1" applyFill="1" applyBorder="1" applyAlignment="1">
      <alignment horizontal="center" vertical="center"/>
    </xf>
    <xf numFmtId="0" fontId="4" fillId="0" borderId="1" xfId="0" applyFont="1" applyBorder="1" applyAlignment="1">
      <alignment horizontal="left" vertical="center" wrapText="1"/>
    </xf>
    <xf numFmtId="0" fontId="51" fillId="0" borderId="1" xfId="0" applyFont="1" applyBorder="1" applyAlignment="1">
      <alignment horizontal="left" vertical="center" wrapText="1"/>
    </xf>
    <xf numFmtId="0" fontId="1" fillId="8" borderId="1" xfId="0" applyFont="1" applyFill="1" applyBorder="1" applyAlignment="1">
      <alignment horizontal="center" vertical="center"/>
    </xf>
    <xf numFmtId="0" fontId="4" fillId="8" borderId="1" xfId="0" applyFont="1" applyFill="1" applyBorder="1" applyAlignment="1">
      <alignment horizontal="left" vertical="center" wrapText="1"/>
    </xf>
    <xf numFmtId="0" fontId="51" fillId="8"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51" fillId="6" borderId="1" xfId="0" applyFont="1" applyFill="1" applyBorder="1" applyAlignment="1">
      <alignment horizontal="center" vertical="center" wrapText="1"/>
    </xf>
    <xf numFmtId="0" fontId="1" fillId="6" borderId="1" xfId="0" applyFont="1" applyFill="1" applyBorder="1" applyAlignment="1">
      <alignment horizontal="left" vertical="center"/>
    </xf>
    <xf numFmtId="0" fontId="68" fillId="6" borderId="1" xfId="0" applyFont="1" applyFill="1" applyBorder="1" applyAlignment="1">
      <alignment horizontal="left" vertical="center" wrapText="1"/>
    </xf>
    <xf numFmtId="0" fontId="69" fillId="6" borderId="1" xfId="0" applyFont="1" applyFill="1" applyBorder="1" applyAlignment="1">
      <alignment horizontal="center" vertical="center" wrapText="1"/>
    </xf>
    <xf numFmtId="0" fontId="51" fillId="8" borderId="1" xfId="0" applyFont="1" applyFill="1" applyBorder="1" applyAlignment="1">
      <alignment horizontal="left" vertical="center" wrapText="1"/>
    </xf>
    <xf numFmtId="0" fontId="36" fillId="0" borderId="0" xfId="0" applyFont="1" applyAlignment="1">
      <alignment horizontal="center" vertical="center"/>
    </xf>
    <xf numFmtId="0" fontId="1" fillId="0" borderId="4" xfId="0" applyFont="1" applyBorder="1" applyAlignment="1">
      <alignment horizontal="center" vertical="center"/>
    </xf>
    <xf numFmtId="0" fontId="1" fillId="0" borderId="1" xfId="0" applyFont="1" applyFill="1" applyBorder="1" applyAlignment="1">
      <alignment horizontal="center" vertical="center"/>
    </xf>
    <xf numFmtId="0" fontId="0" fillId="2" borderId="18" xfId="60" applyFont="1" applyFill="1" applyBorder="1" applyAlignment="1">
      <alignment horizontal="center"/>
    </xf>
    <xf numFmtId="0" fontId="3" fillId="0" borderId="1" xfId="0" applyFont="1" applyBorder="1">
      <alignment vertical="center"/>
    </xf>
    <xf numFmtId="0" fontId="0" fillId="2" borderId="0" xfId="0" applyFill="1">
      <alignment vertical="center"/>
    </xf>
    <xf numFmtId="0" fontId="0" fillId="8" borderId="18" xfId="60" applyFont="1" applyFill="1" applyBorder="1" applyAlignment="1">
      <alignment horizontal="center"/>
    </xf>
    <xf numFmtId="0" fontId="0" fillId="0" borderId="1" xfId="60" applyFont="1" applyFill="1" applyBorder="1" applyAlignment="1">
      <alignment horizontal="center"/>
    </xf>
    <xf numFmtId="0" fontId="2" fillId="8"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0" fillId="2" borderId="18" xfId="60" applyFont="1" applyFill="1" applyBorder="1" applyAlignment="1">
      <alignment horizontal="center" vertical="center"/>
    </xf>
    <xf numFmtId="0" fontId="70" fillId="0" borderId="1" xfId="60" applyFont="1" applyFill="1" applyBorder="1" applyAlignment="1">
      <alignment horizontal="center" vertical="center" wrapText="1"/>
    </xf>
    <xf numFmtId="0" fontId="71" fillId="3" borderId="1" xfId="0" applyFont="1" applyFill="1" applyBorder="1" applyAlignment="1">
      <alignment horizontal="center" vertical="center"/>
    </xf>
    <xf numFmtId="0" fontId="60" fillId="3" borderId="1" xfId="0" applyFont="1" applyFill="1" applyBorder="1" applyAlignment="1">
      <alignment horizontal="left" vertical="center"/>
    </xf>
    <xf numFmtId="0" fontId="1" fillId="6" borderId="1" xfId="0" applyFont="1" applyFill="1" applyBorder="1" applyAlignment="1">
      <alignment horizontal="center" vertical="center"/>
    </xf>
    <xf numFmtId="0" fontId="1" fillId="6" borderId="2" xfId="0" applyFont="1" applyFill="1" applyBorder="1" applyAlignment="1">
      <alignment horizontal="center" vertical="center"/>
    </xf>
    <xf numFmtId="0" fontId="0" fillId="2" borderId="19" xfId="60" applyFont="1" applyFill="1" applyBorder="1" applyAlignment="1">
      <alignment horizontal="center"/>
    </xf>
    <xf numFmtId="0" fontId="3" fillId="0" borderId="2" xfId="0" applyFont="1" applyBorder="1">
      <alignment vertical="center"/>
    </xf>
    <xf numFmtId="0" fontId="1" fillId="6" borderId="2" xfId="0" applyFont="1" applyFill="1" applyBorder="1" applyAlignment="1">
      <alignment horizontal="left" vertical="center"/>
    </xf>
    <xf numFmtId="0" fontId="0" fillId="2" borderId="1" xfId="60" applyFont="1" applyFill="1" applyBorder="1" applyAlignment="1">
      <alignment horizontal="center"/>
    </xf>
    <xf numFmtId="0" fontId="0" fillId="2" borderId="1" xfId="60" applyFont="1" applyFill="1" applyBorder="1" applyAlignment="1">
      <alignment horizontal="center" vertical="center"/>
    </xf>
    <xf numFmtId="0" fontId="3" fillId="0" borderId="1" xfId="0" applyFont="1" applyBorder="1" applyAlignment="1">
      <alignment vertical="center"/>
    </xf>
    <xf numFmtId="0" fontId="1" fillId="6" borderId="1" xfId="0" applyFont="1" applyFill="1" applyBorder="1" applyAlignment="1">
      <alignment horizontal="left" vertical="center" wrapText="1"/>
    </xf>
    <xf numFmtId="0" fontId="0" fillId="7" borderId="0" xfId="60" applyFill="1"/>
    <xf numFmtId="0" fontId="0" fillId="0" borderId="0" xfId="60" applyAlignment="1">
      <alignment horizontal="center"/>
    </xf>
    <xf numFmtId="0" fontId="0" fillId="0" borderId="16" xfId="60" applyBorder="1" applyAlignment="1">
      <alignment horizontal="left"/>
    </xf>
    <xf numFmtId="0" fontId="0" fillId="0" borderId="16" xfId="60" applyFont="1" applyBorder="1" applyAlignment="1">
      <alignment horizontal="center"/>
    </xf>
    <xf numFmtId="0" fontId="25" fillId="0" borderId="16" xfId="60" applyFont="1" applyBorder="1" applyAlignment="1">
      <alignment horizontal="center" vertical="center" wrapText="1"/>
    </xf>
    <xf numFmtId="0" fontId="0" fillId="8" borderId="16" xfId="60" applyFill="1" applyBorder="1" applyAlignment="1">
      <alignment horizontal="left"/>
    </xf>
    <xf numFmtId="0" fontId="0" fillId="8" borderId="16" xfId="60" applyFont="1" applyFill="1" applyBorder="1" applyAlignment="1">
      <alignment horizontal="center"/>
    </xf>
    <xf numFmtId="0" fontId="18" fillId="8" borderId="16" xfId="60" applyFont="1" applyFill="1" applyBorder="1" applyAlignment="1">
      <alignment horizontal="center" vertical="center" wrapText="1"/>
    </xf>
    <xf numFmtId="0" fontId="18" fillId="8" borderId="16" xfId="60" applyFont="1" applyFill="1" applyBorder="1" applyAlignment="1">
      <alignment horizontal="left" vertical="center" wrapText="1"/>
    </xf>
    <xf numFmtId="0" fontId="0" fillId="0" borderId="16" xfId="60" applyBorder="1" applyAlignment="1">
      <alignment horizontal="left" vertical="center"/>
    </xf>
    <xf numFmtId="0" fontId="0" fillId="7" borderId="16" xfId="60" applyFont="1" applyFill="1" applyBorder="1" applyAlignment="1">
      <alignment horizontal="center" vertical="center"/>
    </xf>
    <xf numFmtId="0" fontId="0" fillId="0" borderId="16" xfId="60" applyFont="1" applyBorder="1" applyAlignment="1">
      <alignment horizontal="center" vertical="center"/>
    </xf>
    <xf numFmtId="0" fontId="18" fillId="14" borderId="16" xfId="60" applyFont="1" applyFill="1" applyBorder="1" applyAlignment="1">
      <alignment horizontal="center" vertical="center" wrapText="1"/>
    </xf>
    <xf numFmtId="0" fontId="18" fillId="0" borderId="16" xfId="60" applyFont="1" applyBorder="1" applyAlignment="1">
      <alignment horizontal="left" vertical="center" wrapText="1"/>
    </xf>
    <xf numFmtId="0" fontId="0" fillId="2" borderId="16" xfId="60" applyFont="1" applyFill="1" applyBorder="1" applyAlignment="1">
      <alignment horizontal="center"/>
    </xf>
    <xf numFmtId="0" fontId="18" fillId="0" borderId="16" xfId="60" applyFont="1" applyBorder="1" applyAlignment="1">
      <alignment horizontal="center" vertical="center" wrapText="1"/>
    </xf>
    <xf numFmtId="0" fontId="18" fillId="8" borderId="16" xfId="60" applyFont="1" applyFill="1" applyBorder="1" applyAlignment="1">
      <alignment vertical="top" wrapText="1"/>
    </xf>
    <xf numFmtId="0" fontId="25" fillId="8" borderId="16" xfId="60" applyFont="1" applyFill="1" applyBorder="1" applyAlignment="1">
      <alignment horizontal="center" vertical="center" wrapText="1"/>
    </xf>
    <xf numFmtId="0" fontId="25" fillId="0" borderId="16" xfId="60" applyFont="1" applyBorder="1" applyAlignment="1">
      <alignment horizontal="left" vertical="center" wrapText="1"/>
    </xf>
    <xf numFmtId="0" fontId="72" fillId="0" borderId="16" xfId="60" applyFont="1" applyBorder="1" applyAlignment="1">
      <alignment horizontal="left" vertical="center" wrapText="1"/>
    </xf>
    <xf numFmtId="0" fontId="18" fillId="0" borderId="17" xfId="60" applyFont="1" applyBorder="1" applyAlignment="1">
      <alignment horizontal="left" vertical="center" wrapText="1"/>
    </xf>
    <xf numFmtId="0" fontId="0" fillId="7" borderId="16" xfId="60" applyFill="1" applyBorder="1" applyAlignment="1">
      <alignment horizontal="left"/>
    </xf>
    <xf numFmtId="0" fontId="18" fillId="7" borderId="16" xfId="60" applyFont="1" applyFill="1" applyBorder="1" applyAlignment="1">
      <alignment horizontal="center" vertical="center" wrapText="1"/>
    </xf>
    <xf numFmtId="0" fontId="18" fillId="7" borderId="18" xfId="60" applyFont="1" applyFill="1" applyBorder="1" applyAlignment="1">
      <alignment horizontal="left" vertical="center" wrapText="1"/>
    </xf>
    <xf numFmtId="0" fontId="0" fillId="7" borderId="1" xfId="60" applyFill="1" applyBorder="1"/>
    <xf numFmtId="0" fontId="18" fillId="8" borderId="20" xfId="60" applyFont="1" applyFill="1" applyBorder="1" applyAlignment="1">
      <alignment horizontal="left" vertical="center" wrapText="1"/>
    </xf>
    <xf numFmtId="0" fontId="0" fillId="6" borderId="16" xfId="60" applyFill="1" applyBorder="1" applyAlignment="1">
      <alignment horizontal="left"/>
    </xf>
    <xf numFmtId="0" fontId="18" fillId="6" borderId="16" xfId="60" applyFont="1" applyFill="1" applyBorder="1" applyAlignment="1">
      <alignment horizontal="center" vertical="center" wrapText="1"/>
    </xf>
    <xf numFmtId="0" fontId="18" fillId="6" borderId="16" xfId="60" applyFont="1" applyFill="1" applyBorder="1" applyAlignment="1">
      <alignment horizontal="left" vertical="center" wrapText="1"/>
    </xf>
    <xf numFmtId="0" fontId="0" fillId="0" borderId="0" xfId="60" applyFont="1"/>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0" fillId="0" borderId="3" xfId="0" applyBorder="1">
      <alignment vertical="center"/>
    </xf>
    <xf numFmtId="0" fontId="0" fillId="0" borderId="0" xfId="73"/>
    <xf numFmtId="0" fontId="73" fillId="2" borderId="1" xfId="73" applyFont="1" applyFill="1" applyBorder="1"/>
    <xf numFmtId="0" fontId="21" fillId="0" borderId="1" xfId="73" applyFont="1" applyBorder="1"/>
    <xf numFmtId="0" fontId="21" fillId="0" borderId="1" xfId="73" applyFont="1" applyBorder="1" applyAlignment="1">
      <alignment wrapText="1"/>
    </xf>
    <xf numFmtId="0" fontId="21" fillId="0" borderId="1" xfId="73" applyFont="1" applyBorder="1" applyAlignment="1">
      <alignment vertical="center"/>
    </xf>
    <xf numFmtId="0" fontId="21" fillId="4" borderId="1" xfId="73" applyFont="1" applyFill="1" applyBorder="1"/>
    <xf numFmtId="0" fontId="0" fillId="0" borderId="0" xfId="73" applyFont="1"/>
    <xf numFmtId="0" fontId="0" fillId="2" borderId="1" xfId="0" applyFill="1" applyBorder="1" applyAlignment="1">
      <alignment vertical="center" wrapText="1"/>
    </xf>
  </cellXfs>
  <cellStyles count="76">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常规 6" xfId="13"/>
    <cellStyle name="注释" xfId="14" builtinId="10"/>
    <cellStyle name="60% - 强调文字颜色 2" xfId="15" builtinId="36"/>
    <cellStyle name="标题 4" xfId="16" builtinId="19"/>
    <cellStyle name="警告文本" xfId="17" builtinId="11"/>
    <cellStyle name="标题" xfId="18" builtinId="15"/>
    <cellStyle name="Normal_Sheet2" xfId="19"/>
    <cellStyle name="常规 2 5" xfId="20"/>
    <cellStyle name="解释性文本" xfId="21" builtinId="53"/>
    <cellStyle name="标题 1" xfId="22" builtinId="16"/>
    <cellStyle name="标题 2" xfId="23" builtinId="17"/>
    <cellStyle name="60% - 强调文字颜色 1" xfId="24" builtinId="32"/>
    <cellStyle name="标题 3" xfId="25" builtinId="18"/>
    <cellStyle name="60% - 强调文字颜色 4" xfId="26" builtinId="44"/>
    <cellStyle name="输出" xfId="27" builtinId="21"/>
    <cellStyle name="计算" xfId="28" builtinId="22"/>
    <cellStyle name="检查单元格" xfId="29" builtinId="23"/>
    <cellStyle name="差_Sheet1" xfId="30"/>
    <cellStyle name="20% - 强调文字颜色 6" xfId="31" builtinId="50"/>
    <cellStyle name="强调文字颜色 2" xfId="32" builtinId="33"/>
    <cellStyle name="链接单元格" xfId="33" builtinId="24"/>
    <cellStyle name="汇总" xfId="34" builtinId="25"/>
    <cellStyle name="好" xfId="35" builtinId="26"/>
    <cellStyle name="适中" xfId="36" builtinId="28"/>
    <cellStyle name="20% - 强调文字颜色 5" xfId="37" builtinId="46"/>
    <cellStyle name="强调文字颜色 1" xfId="38" builtinId="29"/>
    <cellStyle name="常规 2 2 2" xfId="39"/>
    <cellStyle name="20% - 强调文字颜色 1" xfId="40" builtinId="30"/>
    <cellStyle name="40% - 强调文字颜色 1" xfId="41" builtinId="31"/>
    <cellStyle name="常规 2 2 3" xfId="42"/>
    <cellStyle name="Standard 2" xfId="43"/>
    <cellStyle name="20% - 强调文字颜色 2" xfId="44" builtinId="34"/>
    <cellStyle name="40% - 强调文字颜色 2" xfId="45" builtinId="35"/>
    <cellStyle name="强调文字颜色 3" xfId="46" builtinId="37"/>
    <cellStyle name="强调文字颜色 4" xfId="47" builtinId="41"/>
    <cellStyle name="20% - 强调文字颜色 4" xfId="48" builtinId="42"/>
    <cellStyle name="Normal 2" xfId="49"/>
    <cellStyle name="40% - 强调文字颜色 4" xfId="50" builtinId="43"/>
    <cellStyle name="强调文字颜色 5" xfId="51" builtinId="45"/>
    <cellStyle name="常规 2 2" xfId="52"/>
    <cellStyle name="Normal 3" xfId="53"/>
    <cellStyle name="40% - 强调文字颜色 5" xfId="54" builtinId="47"/>
    <cellStyle name="60% - 强调文字颜色 5" xfId="55" builtinId="48"/>
    <cellStyle name="强调文字颜色 6" xfId="56" builtinId="49"/>
    <cellStyle name="常规 2 3" xfId="57"/>
    <cellStyle name="40% - 强调文字颜色 6" xfId="58" builtinId="51"/>
    <cellStyle name="60% - 强调文字颜色 6" xfId="59" builtinId="52"/>
    <cellStyle name="常规 2 4" xfId="60"/>
    <cellStyle name="Normal 5" xfId="61"/>
    <cellStyle name="差 2" xfId="62"/>
    <cellStyle name="常规 2" xfId="63"/>
    <cellStyle name="常规 3" xfId="64"/>
    <cellStyle name="常规 3 2" xfId="65"/>
    <cellStyle name="常规 3 3" xfId="66"/>
    <cellStyle name="常规 3 4" xfId="67"/>
    <cellStyle name="常规 3 5" xfId="68"/>
    <cellStyle name="常规 4" xfId="69"/>
    <cellStyle name="常规 5" xfId="70"/>
    <cellStyle name="常规 7" xfId="71"/>
    <cellStyle name="常规 8" xfId="72"/>
    <cellStyle name="常规 9" xfId="73"/>
    <cellStyle name="好_Sheet1" xfId="74"/>
    <cellStyle name="注释 2" xfId="7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9" Type="http://schemas.openxmlformats.org/officeDocument/2006/relationships/sharedStrings" Target="sharedStrings.xml"/><Relationship Id="rId38" Type="http://schemas.openxmlformats.org/officeDocument/2006/relationships/styles" Target="styles.xml"/><Relationship Id="rId37" Type="http://schemas.openxmlformats.org/officeDocument/2006/relationships/theme" Target="theme/theme1.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10</xdr:col>
      <xdr:colOff>0</xdr:colOff>
      <xdr:row>111</xdr:row>
      <xdr:rowOff>0</xdr:rowOff>
    </xdr:from>
    <xdr:to>
      <xdr:col>10</xdr:col>
      <xdr:colOff>430530</xdr:colOff>
      <xdr:row>111</xdr:row>
      <xdr:rowOff>362585</xdr:rowOff>
    </xdr:to>
    <xdr:pic>
      <xdr:nvPicPr>
        <xdr:cNvPr id="146" name="图片 145"/>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5450800"/>
          <a:ext cx="430530" cy="362585"/>
        </a:xfrm>
        <a:prstGeom prst="rect">
          <a:avLst/>
        </a:prstGeom>
        <a:noFill/>
        <a:ln>
          <a:noFill/>
        </a:ln>
      </xdr:spPr>
    </xdr:pic>
    <xdr:clientData/>
  </xdr:twoCellAnchor>
  <xdr:twoCellAnchor>
    <xdr:from>
      <xdr:col>10</xdr:col>
      <xdr:colOff>0</xdr:colOff>
      <xdr:row>111</xdr:row>
      <xdr:rowOff>493395</xdr:rowOff>
    </xdr:from>
    <xdr:to>
      <xdr:col>10</xdr:col>
      <xdr:colOff>430530</xdr:colOff>
      <xdr:row>112</xdr:row>
      <xdr:rowOff>361315</xdr:rowOff>
    </xdr:to>
    <xdr:pic>
      <xdr:nvPicPr>
        <xdr:cNvPr id="147" name="图片 146"/>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5944195"/>
          <a:ext cx="430530" cy="363220"/>
        </a:xfrm>
        <a:prstGeom prst="rect">
          <a:avLst/>
        </a:prstGeom>
        <a:noFill/>
        <a:ln>
          <a:noFill/>
        </a:ln>
      </xdr:spPr>
    </xdr:pic>
    <xdr:clientData/>
  </xdr:twoCellAnchor>
  <xdr:twoCellAnchor>
    <xdr:from>
      <xdr:col>10</xdr:col>
      <xdr:colOff>0</xdr:colOff>
      <xdr:row>113</xdr:row>
      <xdr:rowOff>0</xdr:rowOff>
    </xdr:from>
    <xdr:to>
      <xdr:col>10</xdr:col>
      <xdr:colOff>430530</xdr:colOff>
      <xdr:row>113</xdr:row>
      <xdr:rowOff>361315</xdr:rowOff>
    </xdr:to>
    <xdr:pic>
      <xdr:nvPicPr>
        <xdr:cNvPr id="161" name="图片 160"/>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6441400"/>
          <a:ext cx="430530" cy="361315"/>
        </a:xfrm>
        <a:prstGeom prst="rect">
          <a:avLst/>
        </a:prstGeom>
        <a:noFill/>
        <a:ln>
          <a:noFill/>
        </a:ln>
      </xdr:spPr>
    </xdr:pic>
    <xdr:clientData/>
  </xdr:twoCellAnchor>
  <xdr:twoCellAnchor>
    <xdr:from>
      <xdr:col>10</xdr:col>
      <xdr:colOff>0</xdr:colOff>
      <xdr:row>113</xdr:row>
      <xdr:rowOff>493395</xdr:rowOff>
    </xdr:from>
    <xdr:to>
      <xdr:col>10</xdr:col>
      <xdr:colOff>430530</xdr:colOff>
      <xdr:row>114</xdr:row>
      <xdr:rowOff>361315</xdr:rowOff>
    </xdr:to>
    <xdr:pic>
      <xdr:nvPicPr>
        <xdr:cNvPr id="165" name="图片 164"/>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6934795"/>
          <a:ext cx="430530" cy="363220"/>
        </a:xfrm>
        <a:prstGeom prst="rect">
          <a:avLst/>
        </a:prstGeom>
        <a:noFill/>
        <a:ln>
          <a:noFill/>
        </a:ln>
      </xdr:spPr>
    </xdr:pic>
    <xdr:clientData/>
  </xdr:twoCellAnchor>
  <xdr:twoCellAnchor>
    <xdr:from>
      <xdr:col>10</xdr:col>
      <xdr:colOff>0</xdr:colOff>
      <xdr:row>115</xdr:row>
      <xdr:rowOff>0</xdr:rowOff>
    </xdr:from>
    <xdr:to>
      <xdr:col>10</xdr:col>
      <xdr:colOff>430530</xdr:colOff>
      <xdr:row>115</xdr:row>
      <xdr:rowOff>361315</xdr:rowOff>
    </xdr:to>
    <xdr:pic>
      <xdr:nvPicPr>
        <xdr:cNvPr id="166" name="图片 165"/>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7432000"/>
          <a:ext cx="430530" cy="361315"/>
        </a:xfrm>
        <a:prstGeom prst="rect">
          <a:avLst/>
        </a:prstGeom>
        <a:noFill/>
        <a:ln>
          <a:noFill/>
        </a:ln>
      </xdr:spPr>
    </xdr:pic>
    <xdr:clientData/>
  </xdr:twoCellAnchor>
  <xdr:twoCellAnchor>
    <xdr:from>
      <xdr:col>10</xdr:col>
      <xdr:colOff>0</xdr:colOff>
      <xdr:row>115</xdr:row>
      <xdr:rowOff>493395</xdr:rowOff>
    </xdr:from>
    <xdr:to>
      <xdr:col>10</xdr:col>
      <xdr:colOff>430530</xdr:colOff>
      <xdr:row>116</xdr:row>
      <xdr:rowOff>361315</xdr:rowOff>
    </xdr:to>
    <xdr:pic>
      <xdr:nvPicPr>
        <xdr:cNvPr id="167" name="图片 166"/>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7925395"/>
          <a:ext cx="430530" cy="363220"/>
        </a:xfrm>
        <a:prstGeom prst="rect">
          <a:avLst/>
        </a:prstGeom>
        <a:noFill/>
        <a:ln>
          <a:noFill/>
        </a:ln>
      </xdr:spPr>
    </xdr:pic>
    <xdr:clientData/>
  </xdr:twoCellAnchor>
  <xdr:twoCellAnchor>
    <xdr:from>
      <xdr:col>10</xdr:col>
      <xdr:colOff>0</xdr:colOff>
      <xdr:row>117</xdr:row>
      <xdr:rowOff>0</xdr:rowOff>
    </xdr:from>
    <xdr:to>
      <xdr:col>10</xdr:col>
      <xdr:colOff>430530</xdr:colOff>
      <xdr:row>117</xdr:row>
      <xdr:rowOff>361315</xdr:rowOff>
    </xdr:to>
    <xdr:pic>
      <xdr:nvPicPr>
        <xdr:cNvPr id="168" name="图片 167"/>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8422600"/>
          <a:ext cx="430530" cy="361315"/>
        </a:xfrm>
        <a:prstGeom prst="rect">
          <a:avLst/>
        </a:prstGeom>
        <a:noFill/>
        <a:ln>
          <a:noFill/>
        </a:ln>
      </xdr:spPr>
    </xdr:pic>
    <xdr:clientData/>
  </xdr:twoCellAnchor>
  <xdr:twoCellAnchor>
    <xdr:from>
      <xdr:col>10</xdr:col>
      <xdr:colOff>0</xdr:colOff>
      <xdr:row>117</xdr:row>
      <xdr:rowOff>486410</xdr:rowOff>
    </xdr:from>
    <xdr:to>
      <xdr:col>10</xdr:col>
      <xdr:colOff>430530</xdr:colOff>
      <xdr:row>118</xdr:row>
      <xdr:rowOff>364490</xdr:rowOff>
    </xdr:to>
    <xdr:pic>
      <xdr:nvPicPr>
        <xdr:cNvPr id="169" name="图片 168"/>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8909010"/>
          <a:ext cx="430530" cy="366395"/>
        </a:xfrm>
        <a:prstGeom prst="rect">
          <a:avLst/>
        </a:prstGeom>
        <a:noFill/>
        <a:ln>
          <a:noFill/>
        </a:ln>
      </xdr:spPr>
    </xdr:pic>
    <xdr:clientData/>
  </xdr:twoCellAnchor>
  <xdr:twoCellAnchor>
    <xdr:from>
      <xdr:col>10</xdr:col>
      <xdr:colOff>0</xdr:colOff>
      <xdr:row>118</xdr:row>
      <xdr:rowOff>486410</xdr:rowOff>
    </xdr:from>
    <xdr:to>
      <xdr:col>10</xdr:col>
      <xdr:colOff>430530</xdr:colOff>
      <xdr:row>119</xdr:row>
      <xdr:rowOff>365760</xdr:rowOff>
    </xdr:to>
    <xdr:pic>
      <xdr:nvPicPr>
        <xdr:cNvPr id="170" name="图片 169"/>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9397325"/>
          <a:ext cx="430530" cy="367665"/>
        </a:xfrm>
        <a:prstGeom prst="rect">
          <a:avLst/>
        </a:prstGeom>
        <a:noFill/>
        <a:ln>
          <a:noFill/>
        </a:ln>
      </xdr:spPr>
    </xdr:pic>
    <xdr:clientData/>
  </xdr:twoCellAnchor>
  <xdr:twoCellAnchor>
    <xdr:from>
      <xdr:col>10</xdr:col>
      <xdr:colOff>0</xdr:colOff>
      <xdr:row>120</xdr:row>
      <xdr:rowOff>0</xdr:rowOff>
    </xdr:from>
    <xdr:to>
      <xdr:col>10</xdr:col>
      <xdr:colOff>430530</xdr:colOff>
      <xdr:row>120</xdr:row>
      <xdr:rowOff>366395</xdr:rowOff>
    </xdr:to>
    <xdr:pic>
      <xdr:nvPicPr>
        <xdr:cNvPr id="171" name="图片 170"/>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29887545"/>
          <a:ext cx="430530" cy="366395"/>
        </a:xfrm>
        <a:prstGeom prst="rect">
          <a:avLst/>
        </a:prstGeom>
        <a:noFill/>
        <a:ln>
          <a:noFill/>
        </a:ln>
      </xdr:spPr>
    </xdr:pic>
    <xdr:clientData/>
  </xdr:twoCellAnchor>
  <xdr:twoCellAnchor>
    <xdr:from>
      <xdr:col>10</xdr:col>
      <xdr:colOff>0</xdr:colOff>
      <xdr:row>121</xdr:row>
      <xdr:rowOff>0</xdr:rowOff>
    </xdr:from>
    <xdr:to>
      <xdr:col>10</xdr:col>
      <xdr:colOff>430530</xdr:colOff>
      <xdr:row>121</xdr:row>
      <xdr:rowOff>367030</xdr:rowOff>
    </xdr:to>
    <xdr:pic>
      <xdr:nvPicPr>
        <xdr:cNvPr id="172" name="图片 171"/>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30321250"/>
          <a:ext cx="430530" cy="367030"/>
        </a:xfrm>
        <a:prstGeom prst="rect">
          <a:avLst/>
        </a:prstGeom>
        <a:noFill/>
        <a:ln>
          <a:noFill/>
        </a:ln>
      </xdr:spPr>
    </xdr:pic>
    <xdr:clientData/>
  </xdr:twoCellAnchor>
  <xdr:twoCellAnchor>
    <xdr:from>
      <xdr:col>10</xdr:col>
      <xdr:colOff>0</xdr:colOff>
      <xdr:row>121</xdr:row>
      <xdr:rowOff>431800</xdr:rowOff>
    </xdr:from>
    <xdr:to>
      <xdr:col>10</xdr:col>
      <xdr:colOff>430530</xdr:colOff>
      <xdr:row>122</xdr:row>
      <xdr:rowOff>367030</xdr:rowOff>
    </xdr:to>
    <xdr:pic>
      <xdr:nvPicPr>
        <xdr:cNvPr id="173" name="图片 172"/>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30753050"/>
          <a:ext cx="430530" cy="368935"/>
        </a:xfrm>
        <a:prstGeom prst="rect">
          <a:avLst/>
        </a:prstGeom>
        <a:noFill/>
        <a:ln>
          <a:noFill/>
        </a:ln>
      </xdr:spPr>
    </xdr:pic>
    <xdr:clientData/>
  </xdr:twoCellAnchor>
  <xdr:twoCellAnchor>
    <xdr:from>
      <xdr:col>10</xdr:col>
      <xdr:colOff>0</xdr:colOff>
      <xdr:row>123</xdr:row>
      <xdr:rowOff>0</xdr:rowOff>
    </xdr:from>
    <xdr:to>
      <xdr:col>10</xdr:col>
      <xdr:colOff>430530</xdr:colOff>
      <xdr:row>123</xdr:row>
      <xdr:rowOff>367030</xdr:rowOff>
    </xdr:to>
    <xdr:pic>
      <xdr:nvPicPr>
        <xdr:cNvPr id="174" name="图片 173"/>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31188660"/>
          <a:ext cx="430530" cy="367030"/>
        </a:xfrm>
        <a:prstGeom prst="rect">
          <a:avLst/>
        </a:prstGeom>
        <a:noFill/>
        <a:ln>
          <a:noFill/>
        </a:ln>
      </xdr:spPr>
    </xdr:pic>
    <xdr:clientData/>
  </xdr:twoCellAnchor>
  <xdr:twoCellAnchor>
    <xdr:from>
      <xdr:col>10</xdr:col>
      <xdr:colOff>0</xdr:colOff>
      <xdr:row>124</xdr:row>
      <xdr:rowOff>431800</xdr:rowOff>
    </xdr:from>
    <xdr:to>
      <xdr:col>10</xdr:col>
      <xdr:colOff>430530</xdr:colOff>
      <xdr:row>125</xdr:row>
      <xdr:rowOff>367030</xdr:rowOff>
    </xdr:to>
    <xdr:pic>
      <xdr:nvPicPr>
        <xdr:cNvPr id="178" name="图片 177"/>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32054165"/>
          <a:ext cx="430530" cy="368935"/>
        </a:xfrm>
        <a:prstGeom prst="rect">
          <a:avLst/>
        </a:prstGeom>
        <a:noFill/>
        <a:ln>
          <a:noFill/>
        </a:ln>
      </xdr:spPr>
    </xdr:pic>
    <xdr:clientData/>
  </xdr:twoCellAnchor>
  <xdr:twoCellAnchor>
    <xdr:from>
      <xdr:col>10</xdr:col>
      <xdr:colOff>0</xdr:colOff>
      <xdr:row>126</xdr:row>
      <xdr:rowOff>0</xdr:rowOff>
    </xdr:from>
    <xdr:to>
      <xdr:col>10</xdr:col>
      <xdr:colOff>430530</xdr:colOff>
      <xdr:row>126</xdr:row>
      <xdr:rowOff>367030</xdr:rowOff>
    </xdr:to>
    <xdr:pic>
      <xdr:nvPicPr>
        <xdr:cNvPr id="179" name="图片 178"/>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32489775"/>
          <a:ext cx="430530" cy="367030"/>
        </a:xfrm>
        <a:prstGeom prst="rect">
          <a:avLst/>
        </a:prstGeom>
        <a:noFill/>
        <a:ln>
          <a:noFill/>
        </a:ln>
      </xdr:spPr>
    </xdr:pic>
    <xdr:clientData/>
  </xdr:twoCellAnchor>
  <xdr:twoCellAnchor>
    <xdr:from>
      <xdr:col>10</xdr:col>
      <xdr:colOff>0</xdr:colOff>
      <xdr:row>126</xdr:row>
      <xdr:rowOff>431800</xdr:rowOff>
    </xdr:from>
    <xdr:to>
      <xdr:col>10</xdr:col>
      <xdr:colOff>430530</xdr:colOff>
      <xdr:row>127</xdr:row>
      <xdr:rowOff>367030</xdr:rowOff>
    </xdr:to>
    <xdr:pic>
      <xdr:nvPicPr>
        <xdr:cNvPr id="180" name="图片 179"/>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a:xfrm>
          <a:off x="12800330" y="32921575"/>
          <a:ext cx="430530" cy="368935"/>
        </a:xfrm>
        <a:prstGeom prst="rect">
          <a:avLst/>
        </a:prstGeom>
        <a:noFill/>
        <a:ln>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8</xdr:col>
      <xdr:colOff>255905</xdr:colOff>
      <xdr:row>2</xdr:row>
      <xdr:rowOff>958215</xdr:rowOff>
    </xdr:from>
    <xdr:to>
      <xdr:col>8</xdr:col>
      <xdr:colOff>657225</xdr:colOff>
      <xdr:row>2</xdr:row>
      <xdr:rowOff>1144905</xdr:rowOff>
    </xdr:to>
    <xdr:pic>
      <xdr:nvPicPr>
        <xdr:cNvPr id="2" name="图片 7"/>
        <xdr:cNvPicPr>
          <a:picLocks noChangeAspect="1"/>
        </xdr:cNvPicPr>
      </xdr:nvPicPr>
      <xdr:blipFill>
        <a:blip r:embed="rId1"/>
        <a:stretch>
          <a:fillRect/>
        </a:stretch>
      </xdr:blipFill>
      <xdr:spPr>
        <a:xfrm>
          <a:off x="10009505" y="971550"/>
          <a:ext cx="401320" cy="0"/>
        </a:xfrm>
        <a:prstGeom prst="rect">
          <a:avLst/>
        </a:prstGeom>
      </xdr:spPr>
    </xdr:pic>
    <xdr:clientData/>
  </xdr:twoCellAnchor>
  <xdr:twoCellAnchor>
    <xdr:from>
      <xdr:col>8</xdr:col>
      <xdr:colOff>255905</xdr:colOff>
      <xdr:row>3</xdr:row>
      <xdr:rowOff>945515</xdr:rowOff>
    </xdr:from>
    <xdr:to>
      <xdr:col>8</xdr:col>
      <xdr:colOff>657225</xdr:colOff>
      <xdr:row>3</xdr:row>
      <xdr:rowOff>1132205</xdr:rowOff>
    </xdr:to>
    <xdr:pic>
      <xdr:nvPicPr>
        <xdr:cNvPr id="3" name="图片 7"/>
        <xdr:cNvPicPr>
          <a:picLocks noChangeAspect="1"/>
        </xdr:cNvPicPr>
      </xdr:nvPicPr>
      <xdr:blipFill>
        <a:blip r:embed="rId1"/>
        <a:stretch>
          <a:fillRect/>
        </a:stretch>
      </xdr:blipFill>
      <xdr:spPr>
        <a:xfrm>
          <a:off x="10009505" y="1600200"/>
          <a:ext cx="401320" cy="0"/>
        </a:xfrm>
        <a:prstGeom prst="rect">
          <a:avLst/>
        </a:prstGeom>
      </xdr:spPr>
    </xdr:pic>
    <xdr:clientData/>
  </xdr:twoCellAnchor>
  <xdr:twoCellAnchor>
    <xdr:from>
      <xdr:col>8</xdr:col>
      <xdr:colOff>229235</xdr:colOff>
      <xdr:row>4</xdr:row>
      <xdr:rowOff>932180</xdr:rowOff>
    </xdr:from>
    <xdr:to>
      <xdr:col>8</xdr:col>
      <xdr:colOff>630555</xdr:colOff>
      <xdr:row>4</xdr:row>
      <xdr:rowOff>1118870</xdr:rowOff>
    </xdr:to>
    <xdr:pic>
      <xdr:nvPicPr>
        <xdr:cNvPr id="4" name="图片 7"/>
        <xdr:cNvPicPr>
          <a:picLocks noChangeAspect="1"/>
        </xdr:cNvPicPr>
      </xdr:nvPicPr>
      <xdr:blipFill>
        <a:blip r:embed="rId1"/>
        <a:stretch>
          <a:fillRect/>
        </a:stretch>
      </xdr:blipFill>
      <xdr:spPr>
        <a:xfrm>
          <a:off x="9982835" y="2228850"/>
          <a:ext cx="401320" cy="0"/>
        </a:xfrm>
        <a:prstGeom prst="rect">
          <a:avLst/>
        </a:prstGeom>
      </xdr:spPr>
    </xdr:pic>
    <xdr:clientData/>
  </xdr:twoCellAnchor>
  <xdr:twoCellAnchor>
    <xdr:from>
      <xdr:col>8</xdr:col>
      <xdr:colOff>313055</xdr:colOff>
      <xdr:row>6</xdr:row>
      <xdr:rowOff>691515</xdr:rowOff>
    </xdr:from>
    <xdr:to>
      <xdr:col>8</xdr:col>
      <xdr:colOff>591185</xdr:colOff>
      <xdr:row>6</xdr:row>
      <xdr:rowOff>941705</xdr:rowOff>
    </xdr:to>
    <xdr:pic>
      <xdr:nvPicPr>
        <xdr:cNvPr id="5" name="图片 4"/>
        <xdr:cNvPicPr>
          <a:picLocks noChangeAspect="1"/>
        </xdr:cNvPicPr>
      </xdr:nvPicPr>
      <xdr:blipFill>
        <a:blip r:embed="rId2"/>
        <a:stretch>
          <a:fillRect/>
        </a:stretch>
      </xdr:blipFill>
      <xdr:spPr>
        <a:xfrm>
          <a:off x="10066655" y="3910965"/>
          <a:ext cx="278130" cy="250190"/>
        </a:xfrm>
        <a:prstGeom prst="rect">
          <a:avLst/>
        </a:prstGeom>
      </xdr:spPr>
    </xdr:pic>
    <xdr:clientData/>
  </xdr:twoCellAnchor>
  <xdr:twoCellAnchor>
    <xdr:from>
      <xdr:col>8</xdr:col>
      <xdr:colOff>221615</xdr:colOff>
      <xdr:row>8</xdr:row>
      <xdr:rowOff>702310</xdr:rowOff>
    </xdr:from>
    <xdr:to>
      <xdr:col>8</xdr:col>
      <xdr:colOff>622935</xdr:colOff>
      <xdr:row>8</xdr:row>
      <xdr:rowOff>889000</xdr:rowOff>
    </xdr:to>
    <xdr:pic>
      <xdr:nvPicPr>
        <xdr:cNvPr id="6" name="图片 7"/>
        <xdr:cNvPicPr>
          <a:picLocks noChangeAspect="1"/>
        </xdr:cNvPicPr>
      </xdr:nvPicPr>
      <xdr:blipFill>
        <a:blip r:embed="rId1"/>
        <a:stretch>
          <a:fillRect/>
        </a:stretch>
      </xdr:blipFill>
      <xdr:spPr>
        <a:xfrm>
          <a:off x="9975215" y="5906135"/>
          <a:ext cx="401320" cy="186690"/>
        </a:xfrm>
        <a:prstGeom prst="rect">
          <a:avLst/>
        </a:prstGeom>
      </xdr:spPr>
    </xdr:pic>
    <xdr:clientData/>
  </xdr:twoCellAnchor>
  <xdr:twoCellAnchor>
    <xdr:from>
      <xdr:col>8</xdr:col>
      <xdr:colOff>263525</xdr:colOff>
      <xdr:row>35</xdr:row>
      <xdr:rowOff>728345</xdr:rowOff>
    </xdr:from>
    <xdr:to>
      <xdr:col>8</xdr:col>
      <xdr:colOff>664845</xdr:colOff>
      <xdr:row>35</xdr:row>
      <xdr:rowOff>915035</xdr:rowOff>
    </xdr:to>
    <xdr:pic>
      <xdr:nvPicPr>
        <xdr:cNvPr id="7" name="图片 7"/>
        <xdr:cNvPicPr>
          <a:picLocks noChangeAspect="1"/>
        </xdr:cNvPicPr>
      </xdr:nvPicPr>
      <xdr:blipFill>
        <a:blip r:embed="rId1"/>
        <a:stretch>
          <a:fillRect/>
        </a:stretch>
      </xdr:blipFill>
      <xdr:spPr>
        <a:xfrm>
          <a:off x="10017125" y="30564455"/>
          <a:ext cx="401320" cy="186690"/>
        </a:xfrm>
        <a:prstGeom prst="rect">
          <a:avLst/>
        </a:prstGeom>
      </xdr:spPr>
    </xdr:pic>
    <xdr:clientData/>
  </xdr:twoCellAnchor>
  <xdr:twoCellAnchor>
    <xdr:from>
      <xdr:col>8</xdr:col>
      <xdr:colOff>235585</xdr:colOff>
      <xdr:row>36</xdr:row>
      <xdr:rowOff>633095</xdr:rowOff>
    </xdr:from>
    <xdr:to>
      <xdr:col>8</xdr:col>
      <xdr:colOff>636905</xdr:colOff>
      <xdr:row>36</xdr:row>
      <xdr:rowOff>819785</xdr:rowOff>
    </xdr:to>
    <xdr:pic>
      <xdr:nvPicPr>
        <xdr:cNvPr id="8" name="图片 7"/>
        <xdr:cNvPicPr>
          <a:picLocks noChangeAspect="1"/>
        </xdr:cNvPicPr>
      </xdr:nvPicPr>
      <xdr:blipFill>
        <a:blip r:embed="rId1"/>
        <a:stretch>
          <a:fillRect/>
        </a:stretch>
      </xdr:blipFill>
      <xdr:spPr>
        <a:xfrm>
          <a:off x="9989185" y="31436310"/>
          <a:ext cx="401320" cy="186690"/>
        </a:xfrm>
        <a:prstGeom prst="rect">
          <a:avLst/>
        </a:prstGeom>
      </xdr:spPr>
    </xdr:pic>
    <xdr:clientData/>
  </xdr:twoCellAnchor>
  <xdr:twoCellAnchor>
    <xdr:from>
      <xdr:col>8</xdr:col>
      <xdr:colOff>262255</xdr:colOff>
      <xdr:row>37</xdr:row>
      <xdr:rowOff>674370</xdr:rowOff>
    </xdr:from>
    <xdr:to>
      <xdr:col>8</xdr:col>
      <xdr:colOff>663575</xdr:colOff>
      <xdr:row>37</xdr:row>
      <xdr:rowOff>861060</xdr:rowOff>
    </xdr:to>
    <xdr:pic>
      <xdr:nvPicPr>
        <xdr:cNvPr id="9" name="图片 7"/>
        <xdr:cNvPicPr>
          <a:picLocks noChangeAspect="1"/>
        </xdr:cNvPicPr>
      </xdr:nvPicPr>
      <xdr:blipFill>
        <a:blip r:embed="rId1"/>
        <a:stretch>
          <a:fillRect/>
        </a:stretch>
      </xdr:blipFill>
      <xdr:spPr>
        <a:xfrm>
          <a:off x="10015855" y="32353885"/>
          <a:ext cx="401320" cy="186690"/>
        </a:xfrm>
        <a:prstGeom prst="rect">
          <a:avLst/>
        </a:prstGeom>
      </xdr:spPr>
    </xdr:pic>
    <xdr:clientData/>
  </xdr:twoCellAnchor>
  <xdr:twoCellAnchor>
    <xdr:from>
      <xdr:col>8</xdr:col>
      <xdr:colOff>262890</xdr:colOff>
      <xdr:row>38</xdr:row>
      <xdr:rowOff>715010</xdr:rowOff>
    </xdr:from>
    <xdr:to>
      <xdr:col>8</xdr:col>
      <xdr:colOff>664210</xdr:colOff>
      <xdr:row>38</xdr:row>
      <xdr:rowOff>901700</xdr:rowOff>
    </xdr:to>
    <xdr:pic>
      <xdr:nvPicPr>
        <xdr:cNvPr id="10" name="图片 7"/>
        <xdr:cNvPicPr>
          <a:picLocks noChangeAspect="1"/>
        </xdr:cNvPicPr>
      </xdr:nvPicPr>
      <xdr:blipFill>
        <a:blip r:embed="rId1"/>
        <a:stretch>
          <a:fillRect/>
        </a:stretch>
      </xdr:blipFill>
      <xdr:spPr>
        <a:xfrm>
          <a:off x="10016490" y="33297495"/>
          <a:ext cx="401320" cy="186690"/>
        </a:xfrm>
        <a:prstGeom prst="rect">
          <a:avLst/>
        </a:prstGeom>
      </xdr:spPr>
    </xdr:pic>
    <xdr:clientData/>
  </xdr:twoCellAnchor>
  <xdr:twoCellAnchor>
    <xdr:from>
      <xdr:col>8</xdr:col>
      <xdr:colOff>262890</xdr:colOff>
      <xdr:row>39</xdr:row>
      <xdr:rowOff>674370</xdr:rowOff>
    </xdr:from>
    <xdr:to>
      <xdr:col>8</xdr:col>
      <xdr:colOff>664210</xdr:colOff>
      <xdr:row>39</xdr:row>
      <xdr:rowOff>861060</xdr:rowOff>
    </xdr:to>
    <xdr:pic>
      <xdr:nvPicPr>
        <xdr:cNvPr id="11" name="图片 7"/>
        <xdr:cNvPicPr>
          <a:picLocks noChangeAspect="1"/>
        </xdr:cNvPicPr>
      </xdr:nvPicPr>
      <xdr:blipFill>
        <a:blip r:embed="rId1"/>
        <a:stretch>
          <a:fillRect/>
        </a:stretch>
      </xdr:blipFill>
      <xdr:spPr>
        <a:xfrm>
          <a:off x="10016490" y="34274125"/>
          <a:ext cx="401320" cy="186690"/>
        </a:xfrm>
        <a:prstGeom prst="rect">
          <a:avLst/>
        </a:prstGeom>
      </xdr:spPr>
    </xdr:pic>
    <xdr:clientData/>
  </xdr:twoCellAnchor>
  <xdr:twoCellAnchor>
    <xdr:from>
      <xdr:col>8</xdr:col>
      <xdr:colOff>248920</xdr:colOff>
      <xdr:row>40</xdr:row>
      <xdr:rowOff>688340</xdr:rowOff>
    </xdr:from>
    <xdr:to>
      <xdr:col>8</xdr:col>
      <xdr:colOff>650240</xdr:colOff>
      <xdr:row>40</xdr:row>
      <xdr:rowOff>875030</xdr:rowOff>
    </xdr:to>
    <xdr:pic>
      <xdr:nvPicPr>
        <xdr:cNvPr id="12" name="图片 7"/>
        <xdr:cNvPicPr>
          <a:picLocks noChangeAspect="1"/>
        </xdr:cNvPicPr>
      </xdr:nvPicPr>
      <xdr:blipFill>
        <a:blip r:embed="rId1"/>
        <a:stretch>
          <a:fillRect/>
        </a:stretch>
      </xdr:blipFill>
      <xdr:spPr>
        <a:xfrm>
          <a:off x="10002520" y="35240595"/>
          <a:ext cx="401320" cy="186690"/>
        </a:xfrm>
        <a:prstGeom prst="rect">
          <a:avLst/>
        </a:prstGeom>
      </xdr:spPr>
    </xdr:pic>
    <xdr:clientData/>
  </xdr:twoCellAnchor>
  <xdr:twoCellAnchor>
    <xdr:from>
      <xdr:col>8</xdr:col>
      <xdr:colOff>248920</xdr:colOff>
      <xdr:row>44</xdr:row>
      <xdr:rowOff>756285</xdr:rowOff>
    </xdr:from>
    <xdr:to>
      <xdr:col>8</xdr:col>
      <xdr:colOff>650240</xdr:colOff>
      <xdr:row>44</xdr:row>
      <xdr:rowOff>942975</xdr:rowOff>
    </xdr:to>
    <xdr:pic>
      <xdr:nvPicPr>
        <xdr:cNvPr id="13" name="图片 7"/>
        <xdr:cNvPicPr>
          <a:picLocks noChangeAspect="1"/>
        </xdr:cNvPicPr>
      </xdr:nvPicPr>
      <xdr:blipFill>
        <a:blip r:embed="rId1"/>
        <a:stretch>
          <a:fillRect/>
        </a:stretch>
      </xdr:blipFill>
      <xdr:spPr>
        <a:xfrm>
          <a:off x="10002520" y="39277290"/>
          <a:ext cx="401320" cy="186690"/>
        </a:xfrm>
        <a:prstGeom prst="rect">
          <a:avLst/>
        </a:prstGeom>
      </xdr:spPr>
    </xdr:pic>
    <xdr:clientData/>
  </xdr:twoCellAnchor>
  <xdr:twoCellAnchor>
    <xdr:from>
      <xdr:col>8</xdr:col>
      <xdr:colOff>221615</xdr:colOff>
      <xdr:row>45</xdr:row>
      <xdr:rowOff>715010</xdr:rowOff>
    </xdr:from>
    <xdr:to>
      <xdr:col>8</xdr:col>
      <xdr:colOff>622935</xdr:colOff>
      <xdr:row>45</xdr:row>
      <xdr:rowOff>901700</xdr:rowOff>
    </xdr:to>
    <xdr:pic>
      <xdr:nvPicPr>
        <xdr:cNvPr id="14" name="图片 7"/>
        <xdr:cNvPicPr>
          <a:picLocks noChangeAspect="1"/>
        </xdr:cNvPicPr>
      </xdr:nvPicPr>
      <xdr:blipFill>
        <a:blip r:embed="rId1"/>
        <a:stretch>
          <a:fillRect/>
        </a:stretch>
      </xdr:blipFill>
      <xdr:spPr>
        <a:xfrm>
          <a:off x="9975215" y="40264715"/>
          <a:ext cx="401320" cy="186690"/>
        </a:xfrm>
        <a:prstGeom prst="rect">
          <a:avLst/>
        </a:prstGeom>
      </xdr:spPr>
    </xdr:pic>
    <xdr:clientData/>
  </xdr:twoCellAnchor>
  <xdr:twoCellAnchor>
    <xdr:from>
      <xdr:col>8</xdr:col>
      <xdr:colOff>226060</xdr:colOff>
      <xdr:row>20</xdr:row>
      <xdr:rowOff>753745</xdr:rowOff>
    </xdr:from>
    <xdr:to>
      <xdr:col>8</xdr:col>
      <xdr:colOff>627380</xdr:colOff>
      <xdr:row>20</xdr:row>
      <xdr:rowOff>940435</xdr:rowOff>
    </xdr:to>
    <xdr:pic>
      <xdr:nvPicPr>
        <xdr:cNvPr id="15" name="图片 7"/>
        <xdr:cNvPicPr>
          <a:picLocks noChangeAspect="1"/>
        </xdr:cNvPicPr>
      </xdr:nvPicPr>
      <xdr:blipFill>
        <a:blip r:embed="rId1"/>
        <a:stretch>
          <a:fillRect/>
        </a:stretch>
      </xdr:blipFill>
      <xdr:spPr>
        <a:xfrm>
          <a:off x="9979660" y="13306425"/>
          <a:ext cx="401320" cy="186690"/>
        </a:xfrm>
        <a:prstGeom prst="rect">
          <a:avLst/>
        </a:prstGeom>
      </xdr:spPr>
    </xdr:pic>
    <xdr:clientData/>
  </xdr:twoCellAnchor>
  <xdr:twoCellAnchor>
    <xdr:from>
      <xdr:col>8</xdr:col>
      <xdr:colOff>328295</xdr:colOff>
      <xdr:row>5</xdr:row>
      <xdr:rowOff>711835</xdr:rowOff>
    </xdr:from>
    <xdr:to>
      <xdr:col>8</xdr:col>
      <xdr:colOff>588645</xdr:colOff>
      <xdr:row>5</xdr:row>
      <xdr:rowOff>944245</xdr:rowOff>
    </xdr:to>
    <xdr:pic>
      <xdr:nvPicPr>
        <xdr:cNvPr id="16" name="图片 15"/>
        <xdr:cNvPicPr>
          <a:picLocks noChangeAspect="1"/>
        </xdr:cNvPicPr>
      </xdr:nvPicPr>
      <xdr:blipFill>
        <a:blip r:embed="rId2"/>
        <a:stretch>
          <a:fillRect/>
        </a:stretch>
      </xdr:blipFill>
      <xdr:spPr>
        <a:xfrm>
          <a:off x="10081895" y="2940685"/>
          <a:ext cx="260350" cy="232410"/>
        </a:xfrm>
        <a:prstGeom prst="rect">
          <a:avLst/>
        </a:prstGeom>
      </xdr:spPr>
    </xdr:pic>
    <xdr:clientData/>
  </xdr:twoCellAnchor>
  <xdr:twoCellAnchor>
    <xdr:from>
      <xdr:col>8</xdr:col>
      <xdr:colOff>294005</xdr:colOff>
      <xdr:row>19</xdr:row>
      <xdr:rowOff>849630</xdr:rowOff>
    </xdr:from>
    <xdr:to>
      <xdr:col>8</xdr:col>
      <xdr:colOff>542290</xdr:colOff>
      <xdr:row>19</xdr:row>
      <xdr:rowOff>1071245</xdr:rowOff>
    </xdr:to>
    <xdr:pic>
      <xdr:nvPicPr>
        <xdr:cNvPr id="17" name="图片 16"/>
        <xdr:cNvPicPr>
          <a:picLocks noChangeAspect="1"/>
        </xdr:cNvPicPr>
      </xdr:nvPicPr>
      <xdr:blipFill>
        <a:blip r:embed="rId2"/>
        <a:stretch>
          <a:fillRect/>
        </a:stretch>
      </xdr:blipFill>
      <xdr:spPr>
        <a:xfrm>
          <a:off x="10047605" y="12130405"/>
          <a:ext cx="248285" cy="221615"/>
        </a:xfrm>
        <a:prstGeom prst="rect">
          <a:avLst/>
        </a:prstGeom>
      </xdr:spPr>
    </xdr:pic>
    <xdr:clientData/>
  </xdr:twoCellAnchor>
  <xdr:twoCellAnchor>
    <xdr:from>
      <xdr:col>8</xdr:col>
      <xdr:colOff>280670</xdr:colOff>
      <xdr:row>21</xdr:row>
      <xdr:rowOff>689610</xdr:rowOff>
    </xdr:from>
    <xdr:to>
      <xdr:col>8</xdr:col>
      <xdr:colOff>528955</xdr:colOff>
      <xdr:row>21</xdr:row>
      <xdr:rowOff>911225</xdr:rowOff>
    </xdr:to>
    <xdr:pic>
      <xdr:nvPicPr>
        <xdr:cNvPr id="18" name="图片 17"/>
        <xdr:cNvPicPr>
          <a:picLocks noChangeAspect="1"/>
        </xdr:cNvPicPr>
      </xdr:nvPicPr>
      <xdr:blipFill>
        <a:blip r:embed="rId2"/>
        <a:stretch>
          <a:fillRect/>
        </a:stretch>
      </xdr:blipFill>
      <xdr:spPr>
        <a:xfrm>
          <a:off x="10034270" y="14385290"/>
          <a:ext cx="248285" cy="221615"/>
        </a:xfrm>
        <a:prstGeom prst="rect">
          <a:avLst/>
        </a:prstGeom>
      </xdr:spPr>
    </xdr:pic>
    <xdr:clientData/>
  </xdr:twoCellAnchor>
  <xdr:twoCellAnchor>
    <xdr:from>
      <xdr:col>8</xdr:col>
      <xdr:colOff>294640</xdr:colOff>
      <xdr:row>28</xdr:row>
      <xdr:rowOff>1043305</xdr:rowOff>
    </xdr:from>
    <xdr:to>
      <xdr:col>8</xdr:col>
      <xdr:colOff>542925</xdr:colOff>
      <xdr:row>28</xdr:row>
      <xdr:rowOff>1264920</xdr:rowOff>
    </xdr:to>
    <xdr:pic>
      <xdr:nvPicPr>
        <xdr:cNvPr id="19" name="图片 18"/>
        <xdr:cNvPicPr>
          <a:picLocks noChangeAspect="1"/>
        </xdr:cNvPicPr>
      </xdr:nvPicPr>
      <xdr:blipFill>
        <a:blip r:embed="rId2"/>
        <a:stretch>
          <a:fillRect/>
        </a:stretch>
      </xdr:blipFill>
      <xdr:spPr>
        <a:xfrm>
          <a:off x="10048240" y="22665690"/>
          <a:ext cx="248285" cy="221615"/>
        </a:xfrm>
        <a:prstGeom prst="rect">
          <a:avLst/>
        </a:prstGeom>
      </xdr:spPr>
    </xdr:pic>
    <xdr:clientData/>
  </xdr:twoCellAnchor>
  <xdr:twoCellAnchor>
    <xdr:from>
      <xdr:col>8</xdr:col>
      <xdr:colOff>307975</xdr:colOff>
      <xdr:row>31</xdr:row>
      <xdr:rowOff>960755</xdr:rowOff>
    </xdr:from>
    <xdr:to>
      <xdr:col>8</xdr:col>
      <xdr:colOff>556260</xdr:colOff>
      <xdr:row>31</xdr:row>
      <xdr:rowOff>1182370</xdr:rowOff>
    </xdr:to>
    <xdr:pic>
      <xdr:nvPicPr>
        <xdr:cNvPr id="20" name="图片 19"/>
        <xdr:cNvPicPr>
          <a:picLocks noChangeAspect="1"/>
        </xdr:cNvPicPr>
      </xdr:nvPicPr>
      <xdr:blipFill>
        <a:blip r:embed="rId2"/>
        <a:stretch>
          <a:fillRect/>
        </a:stretch>
      </xdr:blipFill>
      <xdr:spPr>
        <a:xfrm>
          <a:off x="10061575" y="26079450"/>
          <a:ext cx="248285" cy="221615"/>
        </a:xfrm>
        <a:prstGeom prst="rect">
          <a:avLst/>
        </a:prstGeom>
      </xdr:spPr>
    </xdr:pic>
    <xdr:clientData/>
  </xdr:twoCellAnchor>
  <xdr:twoCellAnchor>
    <xdr:from>
      <xdr:col>8</xdr:col>
      <xdr:colOff>307975</xdr:colOff>
      <xdr:row>32</xdr:row>
      <xdr:rowOff>878840</xdr:rowOff>
    </xdr:from>
    <xdr:to>
      <xdr:col>8</xdr:col>
      <xdr:colOff>556260</xdr:colOff>
      <xdr:row>32</xdr:row>
      <xdr:rowOff>1100455</xdr:rowOff>
    </xdr:to>
    <xdr:pic>
      <xdr:nvPicPr>
        <xdr:cNvPr id="21" name="图片 20"/>
        <xdr:cNvPicPr>
          <a:picLocks noChangeAspect="1"/>
        </xdr:cNvPicPr>
      </xdr:nvPicPr>
      <xdr:blipFill>
        <a:blip r:embed="rId2"/>
        <a:stretch>
          <a:fillRect/>
        </a:stretch>
      </xdr:blipFill>
      <xdr:spPr>
        <a:xfrm>
          <a:off x="10061575" y="27419300"/>
          <a:ext cx="248285" cy="221615"/>
        </a:xfrm>
        <a:prstGeom prst="rect">
          <a:avLst/>
        </a:prstGeom>
      </xdr:spPr>
    </xdr:pic>
    <xdr:clientData/>
  </xdr:twoCellAnchor>
  <xdr:twoCellAnchor>
    <xdr:from>
      <xdr:col>8</xdr:col>
      <xdr:colOff>294005</xdr:colOff>
      <xdr:row>46</xdr:row>
      <xdr:rowOff>768985</xdr:rowOff>
    </xdr:from>
    <xdr:to>
      <xdr:col>8</xdr:col>
      <xdr:colOff>595630</xdr:colOff>
      <xdr:row>46</xdr:row>
      <xdr:rowOff>1021080</xdr:rowOff>
    </xdr:to>
    <xdr:pic>
      <xdr:nvPicPr>
        <xdr:cNvPr id="22" name="图片 21"/>
        <xdr:cNvPicPr>
          <a:picLocks noChangeAspect="1"/>
        </xdr:cNvPicPr>
      </xdr:nvPicPr>
      <xdr:blipFill>
        <a:blip r:embed="rId2"/>
        <a:stretch>
          <a:fillRect/>
        </a:stretch>
      </xdr:blipFill>
      <xdr:spPr>
        <a:xfrm>
          <a:off x="10047605" y="41347390"/>
          <a:ext cx="301625" cy="252095"/>
        </a:xfrm>
        <a:prstGeom prst="rect">
          <a:avLst/>
        </a:prstGeom>
      </xdr:spPr>
    </xdr:pic>
    <xdr:clientData/>
  </xdr:twoCellAnchor>
  <xdr:twoCellAnchor>
    <xdr:from>
      <xdr:col>8</xdr:col>
      <xdr:colOff>294005</xdr:colOff>
      <xdr:row>47</xdr:row>
      <xdr:rowOff>768985</xdr:rowOff>
    </xdr:from>
    <xdr:to>
      <xdr:col>8</xdr:col>
      <xdr:colOff>595630</xdr:colOff>
      <xdr:row>47</xdr:row>
      <xdr:rowOff>1021080</xdr:rowOff>
    </xdr:to>
    <xdr:pic>
      <xdr:nvPicPr>
        <xdr:cNvPr id="23" name="图片 22"/>
        <xdr:cNvPicPr>
          <a:picLocks noChangeAspect="1"/>
        </xdr:cNvPicPr>
      </xdr:nvPicPr>
      <xdr:blipFill>
        <a:blip r:embed="rId2"/>
        <a:stretch>
          <a:fillRect/>
        </a:stretch>
      </xdr:blipFill>
      <xdr:spPr>
        <a:xfrm>
          <a:off x="10047605" y="42517060"/>
          <a:ext cx="301625" cy="252095"/>
        </a:xfrm>
        <a:prstGeom prst="rect">
          <a:avLst/>
        </a:prstGeom>
      </xdr:spPr>
    </xdr:pic>
    <xdr:clientData/>
  </xdr:twoCellAnchor>
  <xdr:twoCellAnchor>
    <xdr:from>
      <xdr:col>8</xdr:col>
      <xdr:colOff>294005</xdr:colOff>
      <xdr:row>48</xdr:row>
      <xdr:rowOff>768985</xdr:rowOff>
    </xdr:from>
    <xdr:to>
      <xdr:col>8</xdr:col>
      <xdr:colOff>595630</xdr:colOff>
      <xdr:row>48</xdr:row>
      <xdr:rowOff>1021080</xdr:rowOff>
    </xdr:to>
    <xdr:pic>
      <xdr:nvPicPr>
        <xdr:cNvPr id="24" name="图片 23"/>
        <xdr:cNvPicPr>
          <a:picLocks noChangeAspect="1"/>
        </xdr:cNvPicPr>
      </xdr:nvPicPr>
      <xdr:blipFill>
        <a:blip r:embed="rId2"/>
        <a:stretch>
          <a:fillRect/>
        </a:stretch>
      </xdr:blipFill>
      <xdr:spPr>
        <a:xfrm>
          <a:off x="10047605" y="43621960"/>
          <a:ext cx="301625" cy="252095"/>
        </a:xfrm>
        <a:prstGeom prst="rect">
          <a:avLst/>
        </a:prstGeom>
      </xdr:spPr>
    </xdr:pic>
    <xdr:clientData/>
  </xdr:twoCellAnchor>
  <xdr:twoCellAnchor>
    <xdr:from>
      <xdr:col>8</xdr:col>
      <xdr:colOff>294005</xdr:colOff>
      <xdr:row>49</xdr:row>
      <xdr:rowOff>863600</xdr:rowOff>
    </xdr:from>
    <xdr:to>
      <xdr:col>8</xdr:col>
      <xdr:colOff>595630</xdr:colOff>
      <xdr:row>49</xdr:row>
      <xdr:rowOff>1115695</xdr:rowOff>
    </xdr:to>
    <xdr:pic>
      <xdr:nvPicPr>
        <xdr:cNvPr id="25" name="图片 24"/>
        <xdr:cNvPicPr>
          <a:picLocks noChangeAspect="1"/>
        </xdr:cNvPicPr>
      </xdr:nvPicPr>
      <xdr:blipFill>
        <a:blip r:embed="rId2"/>
        <a:stretch>
          <a:fillRect/>
        </a:stretch>
      </xdr:blipFill>
      <xdr:spPr>
        <a:xfrm>
          <a:off x="10047605" y="44859575"/>
          <a:ext cx="301625" cy="252095"/>
        </a:xfrm>
        <a:prstGeom prst="rect">
          <a:avLst/>
        </a:prstGeom>
      </xdr:spPr>
    </xdr:pic>
    <xdr:clientData/>
  </xdr:twoCellAnchor>
  <xdr:twoCellAnchor>
    <xdr:from>
      <xdr:col>8</xdr:col>
      <xdr:colOff>294005</xdr:colOff>
      <xdr:row>50</xdr:row>
      <xdr:rowOff>768985</xdr:rowOff>
    </xdr:from>
    <xdr:to>
      <xdr:col>8</xdr:col>
      <xdr:colOff>595630</xdr:colOff>
      <xdr:row>50</xdr:row>
      <xdr:rowOff>1021080</xdr:rowOff>
    </xdr:to>
    <xdr:pic>
      <xdr:nvPicPr>
        <xdr:cNvPr id="26" name="图片 25"/>
        <xdr:cNvPicPr>
          <a:picLocks noChangeAspect="1"/>
        </xdr:cNvPicPr>
      </xdr:nvPicPr>
      <xdr:blipFill>
        <a:blip r:embed="rId2"/>
        <a:stretch>
          <a:fillRect/>
        </a:stretch>
      </xdr:blipFill>
      <xdr:spPr>
        <a:xfrm>
          <a:off x="10047605" y="45972730"/>
          <a:ext cx="301625" cy="252095"/>
        </a:xfrm>
        <a:prstGeom prst="rect">
          <a:avLst/>
        </a:prstGeom>
      </xdr:spPr>
    </xdr:pic>
    <xdr:clientData/>
  </xdr:twoCellAnchor>
  <xdr:twoCellAnchor>
    <xdr:from>
      <xdr:col>8</xdr:col>
      <xdr:colOff>294005</xdr:colOff>
      <xdr:row>51</xdr:row>
      <xdr:rowOff>768985</xdr:rowOff>
    </xdr:from>
    <xdr:to>
      <xdr:col>8</xdr:col>
      <xdr:colOff>595630</xdr:colOff>
      <xdr:row>51</xdr:row>
      <xdr:rowOff>1021080</xdr:rowOff>
    </xdr:to>
    <xdr:pic>
      <xdr:nvPicPr>
        <xdr:cNvPr id="27" name="图片 26"/>
        <xdr:cNvPicPr>
          <a:picLocks noChangeAspect="1"/>
        </xdr:cNvPicPr>
      </xdr:nvPicPr>
      <xdr:blipFill>
        <a:blip r:embed="rId2"/>
        <a:stretch>
          <a:fillRect/>
        </a:stretch>
      </xdr:blipFill>
      <xdr:spPr>
        <a:xfrm>
          <a:off x="10047605" y="47066200"/>
          <a:ext cx="301625" cy="252095"/>
        </a:xfrm>
        <a:prstGeom prst="rect">
          <a:avLst/>
        </a:prstGeom>
      </xdr:spPr>
    </xdr:pic>
    <xdr:clientData/>
  </xdr:twoCellAnchor>
  <xdr:twoCellAnchor>
    <xdr:from>
      <xdr:col>8</xdr:col>
      <xdr:colOff>294005</xdr:colOff>
      <xdr:row>52</xdr:row>
      <xdr:rowOff>768985</xdr:rowOff>
    </xdr:from>
    <xdr:to>
      <xdr:col>8</xdr:col>
      <xdr:colOff>595630</xdr:colOff>
      <xdr:row>52</xdr:row>
      <xdr:rowOff>1021080</xdr:rowOff>
    </xdr:to>
    <xdr:pic>
      <xdr:nvPicPr>
        <xdr:cNvPr id="28" name="图片 27"/>
        <xdr:cNvPicPr>
          <a:picLocks noChangeAspect="1"/>
        </xdr:cNvPicPr>
      </xdr:nvPicPr>
      <xdr:blipFill>
        <a:blip r:embed="rId2"/>
        <a:stretch>
          <a:fillRect/>
        </a:stretch>
      </xdr:blipFill>
      <xdr:spPr>
        <a:xfrm>
          <a:off x="10047605" y="48197770"/>
          <a:ext cx="301625" cy="252095"/>
        </a:xfrm>
        <a:prstGeom prst="rect">
          <a:avLst/>
        </a:prstGeom>
      </xdr:spPr>
    </xdr:pic>
    <xdr:clientData/>
  </xdr:twoCellAnchor>
  <xdr:twoCellAnchor>
    <xdr:from>
      <xdr:col>8</xdr:col>
      <xdr:colOff>294005</xdr:colOff>
      <xdr:row>54</xdr:row>
      <xdr:rowOff>768985</xdr:rowOff>
    </xdr:from>
    <xdr:to>
      <xdr:col>8</xdr:col>
      <xdr:colOff>595630</xdr:colOff>
      <xdr:row>54</xdr:row>
      <xdr:rowOff>1021080</xdr:rowOff>
    </xdr:to>
    <xdr:pic>
      <xdr:nvPicPr>
        <xdr:cNvPr id="29" name="图片 28"/>
        <xdr:cNvPicPr>
          <a:picLocks noChangeAspect="1"/>
        </xdr:cNvPicPr>
      </xdr:nvPicPr>
      <xdr:blipFill>
        <a:blip r:embed="rId2"/>
        <a:stretch>
          <a:fillRect/>
        </a:stretch>
      </xdr:blipFill>
      <xdr:spPr>
        <a:xfrm>
          <a:off x="10047605" y="50194210"/>
          <a:ext cx="301625" cy="252095"/>
        </a:xfrm>
        <a:prstGeom prst="rect">
          <a:avLst/>
        </a:prstGeom>
      </xdr:spPr>
    </xdr:pic>
    <xdr:clientData/>
  </xdr:twoCellAnchor>
  <xdr:twoCellAnchor>
    <xdr:from>
      <xdr:col>8</xdr:col>
      <xdr:colOff>266700</xdr:colOff>
      <xdr:row>55</xdr:row>
      <xdr:rowOff>863600</xdr:rowOff>
    </xdr:from>
    <xdr:to>
      <xdr:col>8</xdr:col>
      <xdr:colOff>568325</xdr:colOff>
      <xdr:row>55</xdr:row>
      <xdr:rowOff>1115695</xdr:rowOff>
    </xdr:to>
    <xdr:pic>
      <xdr:nvPicPr>
        <xdr:cNvPr id="30" name="图片 29"/>
        <xdr:cNvPicPr>
          <a:picLocks noChangeAspect="1"/>
        </xdr:cNvPicPr>
      </xdr:nvPicPr>
      <xdr:blipFill>
        <a:blip r:embed="rId2"/>
        <a:stretch>
          <a:fillRect/>
        </a:stretch>
      </xdr:blipFill>
      <xdr:spPr>
        <a:xfrm>
          <a:off x="10020300" y="51393725"/>
          <a:ext cx="301625" cy="252095"/>
        </a:xfrm>
        <a:prstGeom prst="rect">
          <a:avLst/>
        </a:prstGeom>
      </xdr:spPr>
    </xdr:pic>
    <xdr:clientData/>
  </xdr:twoCellAnchor>
  <xdr:twoCellAnchor>
    <xdr:from>
      <xdr:col>8</xdr:col>
      <xdr:colOff>294005</xdr:colOff>
      <xdr:row>56</xdr:row>
      <xdr:rowOff>768985</xdr:rowOff>
    </xdr:from>
    <xdr:to>
      <xdr:col>8</xdr:col>
      <xdr:colOff>595630</xdr:colOff>
      <xdr:row>56</xdr:row>
      <xdr:rowOff>1021080</xdr:rowOff>
    </xdr:to>
    <xdr:pic>
      <xdr:nvPicPr>
        <xdr:cNvPr id="31" name="图片 30"/>
        <xdr:cNvPicPr>
          <a:picLocks noChangeAspect="1"/>
        </xdr:cNvPicPr>
      </xdr:nvPicPr>
      <xdr:blipFill>
        <a:blip r:embed="rId2"/>
        <a:stretch>
          <a:fillRect/>
        </a:stretch>
      </xdr:blipFill>
      <xdr:spPr>
        <a:xfrm>
          <a:off x="10047605" y="52544980"/>
          <a:ext cx="301625" cy="252095"/>
        </a:xfrm>
        <a:prstGeom prst="rect">
          <a:avLst/>
        </a:prstGeom>
      </xdr:spPr>
    </xdr:pic>
    <xdr:clientData/>
  </xdr:twoCellAnchor>
  <xdr:twoCellAnchor>
    <xdr:from>
      <xdr:col>8</xdr:col>
      <xdr:colOff>294005</xdr:colOff>
      <xdr:row>57</xdr:row>
      <xdr:rowOff>768985</xdr:rowOff>
    </xdr:from>
    <xdr:to>
      <xdr:col>8</xdr:col>
      <xdr:colOff>595630</xdr:colOff>
      <xdr:row>57</xdr:row>
      <xdr:rowOff>1021080</xdr:rowOff>
    </xdr:to>
    <xdr:pic>
      <xdr:nvPicPr>
        <xdr:cNvPr id="32" name="图片 31"/>
        <xdr:cNvPicPr>
          <a:picLocks noChangeAspect="1"/>
        </xdr:cNvPicPr>
      </xdr:nvPicPr>
      <xdr:blipFill>
        <a:blip r:embed="rId2"/>
        <a:stretch>
          <a:fillRect/>
        </a:stretch>
      </xdr:blipFill>
      <xdr:spPr>
        <a:xfrm>
          <a:off x="10047605" y="53700045"/>
          <a:ext cx="301625" cy="252095"/>
        </a:xfrm>
        <a:prstGeom prst="rect">
          <a:avLst/>
        </a:prstGeom>
      </xdr:spPr>
    </xdr:pic>
    <xdr:clientData/>
  </xdr:twoCellAnchor>
  <xdr:twoCellAnchor>
    <xdr:from>
      <xdr:col>8</xdr:col>
      <xdr:colOff>294005</xdr:colOff>
      <xdr:row>64</xdr:row>
      <xdr:rowOff>864235</xdr:rowOff>
    </xdr:from>
    <xdr:to>
      <xdr:col>8</xdr:col>
      <xdr:colOff>595630</xdr:colOff>
      <xdr:row>64</xdr:row>
      <xdr:rowOff>1116330</xdr:rowOff>
    </xdr:to>
    <xdr:pic>
      <xdr:nvPicPr>
        <xdr:cNvPr id="33" name="图片 32"/>
        <xdr:cNvPicPr>
          <a:picLocks noChangeAspect="1"/>
        </xdr:cNvPicPr>
      </xdr:nvPicPr>
      <xdr:blipFill>
        <a:blip r:embed="rId2"/>
        <a:stretch>
          <a:fillRect/>
        </a:stretch>
      </xdr:blipFill>
      <xdr:spPr>
        <a:xfrm>
          <a:off x="10047605" y="59689365"/>
          <a:ext cx="301625" cy="252095"/>
        </a:xfrm>
        <a:prstGeom prst="rect">
          <a:avLst/>
        </a:prstGeom>
      </xdr:spPr>
    </xdr:pic>
    <xdr:clientData/>
  </xdr:twoCellAnchor>
  <xdr:twoCellAnchor>
    <xdr:from>
      <xdr:col>8</xdr:col>
      <xdr:colOff>280670</xdr:colOff>
      <xdr:row>65</xdr:row>
      <xdr:rowOff>877570</xdr:rowOff>
    </xdr:from>
    <xdr:to>
      <xdr:col>8</xdr:col>
      <xdr:colOff>582295</xdr:colOff>
      <xdr:row>65</xdr:row>
      <xdr:rowOff>1129665</xdr:rowOff>
    </xdr:to>
    <xdr:pic>
      <xdr:nvPicPr>
        <xdr:cNvPr id="34" name="图片 33"/>
        <xdr:cNvPicPr>
          <a:picLocks noChangeAspect="1"/>
        </xdr:cNvPicPr>
      </xdr:nvPicPr>
      <xdr:blipFill>
        <a:blip r:embed="rId2"/>
        <a:stretch>
          <a:fillRect/>
        </a:stretch>
      </xdr:blipFill>
      <xdr:spPr>
        <a:xfrm>
          <a:off x="10034270" y="60895865"/>
          <a:ext cx="301625" cy="252095"/>
        </a:xfrm>
        <a:prstGeom prst="rect">
          <a:avLst/>
        </a:prstGeom>
      </xdr:spPr>
    </xdr:pic>
    <xdr:clientData/>
  </xdr:twoCellAnchor>
  <xdr:twoCellAnchor>
    <xdr:from>
      <xdr:col>8</xdr:col>
      <xdr:colOff>280670</xdr:colOff>
      <xdr:row>76</xdr:row>
      <xdr:rowOff>768350</xdr:rowOff>
    </xdr:from>
    <xdr:to>
      <xdr:col>8</xdr:col>
      <xdr:colOff>582295</xdr:colOff>
      <xdr:row>76</xdr:row>
      <xdr:rowOff>1020445</xdr:rowOff>
    </xdr:to>
    <xdr:pic>
      <xdr:nvPicPr>
        <xdr:cNvPr id="35" name="图片 34"/>
        <xdr:cNvPicPr>
          <a:picLocks noChangeAspect="1"/>
        </xdr:cNvPicPr>
      </xdr:nvPicPr>
      <xdr:blipFill>
        <a:blip r:embed="rId2"/>
        <a:stretch>
          <a:fillRect/>
        </a:stretch>
      </xdr:blipFill>
      <xdr:spPr>
        <a:xfrm>
          <a:off x="10034270" y="69599810"/>
          <a:ext cx="301625" cy="252095"/>
        </a:xfrm>
        <a:prstGeom prst="rect">
          <a:avLst/>
        </a:prstGeom>
      </xdr:spPr>
    </xdr:pic>
    <xdr:clientData/>
  </xdr:twoCellAnchor>
  <xdr:twoCellAnchor>
    <xdr:from>
      <xdr:col>8</xdr:col>
      <xdr:colOff>280670</xdr:colOff>
      <xdr:row>77</xdr:row>
      <xdr:rowOff>755650</xdr:rowOff>
    </xdr:from>
    <xdr:to>
      <xdr:col>8</xdr:col>
      <xdr:colOff>582295</xdr:colOff>
      <xdr:row>77</xdr:row>
      <xdr:rowOff>1037590</xdr:rowOff>
    </xdr:to>
    <xdr:pic>
      <xdr:nvPicPr>
        <xdr:cNvPr id="36" name="图片 35"/>
        <xdr:cNvPicPr>
          <a:picLocks noChangeAspect="1"/>
        </xdr:cNvPicPr>
      </xdr:nvPicPr>
      <xdr:blipFill>
        <a:blip r:embed="rId2"/>
        <a:stretch>
          <a:fillRect/>
        </a:stretch>
      </xdr:blipFill>
      <xdr:spPr>
        <a:xfrm>
          <a:off x="10034270" y="70704075"/>
          <a:ext cx="301625" cy="281940"/>
        </a:xfrm>
        <a:prstGeom prst="rect">
          <a:avLst/>
        </a:prstGeom>
      </xdr:spPr>
    </xdr:pic>
    <xdr:clientData/>
  </xdr:twoCellAnchor>
  <xdr:twoCellAnchor>
    <xdr:from>
      <xdr:col>8</xdr:col>
      <xdr:colOff>280670</xdr:colOff>
      <xdr:row>82</xdr:row>
      <xdr:rowOff>768350</xdr:rowOff>
    </xdr:from>
    <xdr:to>
      <xdr:col>8</xdr:col>
      <xdr:colOff>582295</xdr:colOff>
      <xdr:row>82</xdr:row>
      <xdr:rowOff>1020445</xdr:rowOff>
    </xdr:to>
    <xdr:pic>
      <xdr:nvPicPr>
        <xdr:cNvPr id="37" name="图片 36"/>
        <xdr:cNvPicPr>
          <a:picLocks noChangeAspect="1"/>
        </xdr:cNvPicPr>
      </xdr:nvPicPr>
      <xdr:blipFill>
        <a:blip r:embed="rId2"/>
        <a:stretch>
          <a:fillRect/>
        </a:stretch>
      </xdr:blipFill>
      <xdr:spPr>
        <a:xfrm>
          <a:off x="10034270" y="75025250"/>
          <a:ext cx="301625" cy="252095"/>
        </a:xfrm>
        <a:prstGeom prst="rect">
          <a:avLst/>
        </a:prstGeom>
      </xdr:spPr>
    </xdr:pic>
    <xdr:clientData/>
  </xdr:twoCellAnchor>
  <xdr:twoCellAnchor>
    <xdr:from>
      <xdr:col>8</xdr:col>
      <xdr:colOff>280670</xdr:colOff>
      <xdr:row>83</xdr:row>
      <xdr:rowOff>768350</xdr:rowOff>
    </xdr:from>
    <xdr:to>
      <xdr:col>8</xdr:col>
      <xdr:colOff>582295</xdr:colOff>
      <xdr:row>83</xdr:row>
      <xdr:rowOff>1020445</xdr:rowOff>
    </xdr:to>
    <xdr:pic>
      <xdr:nvPicPr>
        <xdr:cNvPr id="38" name="图片 37"/>
        <xdr:cNvPicPr>
          <a:picLocks noChangeAspect="1"/>
        </xdr:cNvPicPr>
      </xdr:nvPicPr>
      <xdr:blipFill>
        <a:blip r:embed="rId2"/>
        <a:stretch>
          <a:fillRect/>
        </a:stretch>
      </xdr:blipFill>
      <xdr:spPr>
        <a:xfrm>
          <a:off x="10034270" y="76130150"/>
          <a:ext cx="301625" cy="252095"/>
        </a:xfrm>
        <a:prstGeom prst="rect">
          <a:avLst/>
        </a:prstGeom>
      </xdr:spPr>
    </xdr:pic>
    <xdr:clientData/>
  </xdr:twoCellAnchor>
  <xdr:twoCellAnchor>
    <xdr:from>
      <xdr:col>8</xdr:col>
      <xdr:colOff>280670</xdr:colOff>
      <xdr:row>86</xdr:row>
      <xdr:rowOff>768350</xdr:rowOff>
    </xdr:from>
    <xdr:to>
      <xdr:col>8</xdr:col>
      <xdr:colOff>582295</xdr:colOff>
      <xdr:row>86</xdr:row>
      <xdr:rowOff>1020445</xdr:rowOff>
    </xdr:to>
    <xdr:pic>
      <xdr:nvPicPr>
        <xdr:cNvPr id="39" name="图片 38"/>
        <xdr:cNvPicPr>
          <a:picLocks noChangeAspect="1"/>
        </xdr:cNvPicPr>
      </xdr:nvPicPr>
      <xdr:blipFill>
        <a:blip r:embed="rId2"/>
        <a:stretch>
          <a:fillRect/>
        </a:stretch>
      </xdr:blipFill>
      <xdr:spPr>
        <a:xfrm>
          <a:off x="10034270" y="79143225"/>
          <a:ext cx="301625" cy="252095"/>
        </a:xfrm>
        <a:prstGeom prst="rect">
          <a:avLst/>
        </a:prstGeom>
      </xdr:spPr>
    </xdr:pic>
    <xdr:clientData/>
  </xdr:twoCellAnchor>
  <xdr:twoCellAnchor>
    <xdr:from>
      <xdr:col>8</xdr:col>
      <xdr:colOff>236220</xdr:colOff>
      <xdr:row>129</xdr:row>
      <xdr:rowOff>822960</xdr:rowOff>
    </xdr:from>
    <xdr:to>
      <xdr:col>8</xdr:col>
      <xdr:colOff>637540</xdr:colOff>
      <xdr:row>129</xdr:row>
      <xdr:rowOff>1009650</xdr:rowOff>
    </xdr:to>
    <xdr:pic>
      <xdr:nvPicPr>
        <xdr:cNvPr id="40" name="图片 7"/>
        <xdr:cNvPicPr>
          <a:picLocks noChangeAspect="1"/>
        </xdr:cNvPicPr>
      </xdr:nvPicPr>
      <xdr:blipFill>
        <a:blip r:embed="rId1"/>
        <a:stretch>
          <a:fillRect/>
        </a:stretch>
      </xdr:blipFill>
      <xdr:spPr>
        <a:xfrm>
          <a:off x="9989820" y="118344950"/>
          <a:ext cx="401320" cy="186690"/>
        </a:xfrm>
        <a:prstGeom prst="rect">
          <a:avLst/>
        </a:prstGeom>
      </xdr:spPr>
    </xdr:pic>
    <xdr:clientData/>
  </xdr:twoCellAnchor>
  <xdr:twoCellAnchor>
    <xdr:from>
      <xdr:col>8</xdr:col>
      <xdr:colOff>294005</xdr:colOff>
      <xdr:row>16</xdr:row>
      <xdr:rowOff>849630</xdr:rowOff>
    </xdr:from>
    <xdr:to>
      <xdr:col>8</xdr:col>
      <xdr:colOff>542290</xdr:colOff>
      <xdr:row>16</xdr:row>
      <xdr:rowOff>1071245</xdr:rowOff>
    </xdr:to>
    <xdr:pic>
      <xdr:nvPicPr>
        <xdr:cNvPr id="41" name="图片 40"/>
        <xdr:cNvPicPr>
          <a:picLocks noChangeAspect="1"/>
        </xdr:cNvPicPr>
      </xdr:nvPicPr>
      <xdr:blipFill>
        <a:blip r:embed="rId2"/>
        <a:stretch>
          <a:fillRect/>
        </a:stretch>
      </xdr:blipFill>
      <xdr:spPr>
        <a:xfrm>
          <a:off x="10047605" y="10442575"/>
          <a:ext cx="248285" cy="0"/>
        </a:xfrm>
        <a:prstGeom prst="rect">
          <a:avLst/>
        </a:prstGeom>
      </xdr:spPr>
    </xdr:pic>
    <xdr:clientData/>
  </xdr:twoCellAnchor>
  <xdr:twoCellAnchor>
    <xdr:from>
      <xdr:col>8</xdr:col>
      <xdr:colOff>294005</xdr:colOff>
      <xdr:row>13</xdr:row>
      <xdr:rowOff>849630</xdr:rowOff>
    </xdr:from>
    <xdr:to>
      <xdr:col>8</xdr:col>
      <xdr:colOff>542290</xdr:colOff>
      <xdr:row>13</xdr:row>
      <xdr:rowOff>1071245</xdr:rowOff>
    </xdr:to>
    <xdr:pic>
      <xdr:nvPicPr>
        <xdr:cNvPr id="42" name="图片 41"/>
        <xdr:cNvPicPr>
          <a:picLocks noChangeAspect="1"/>
        </xdr:cNvPicPr>
      </xdr:nvPicPr>
      <xdr:blipFill>
        <a:blip r:embed="rId2"/>
        <a:stretch>
          <a:fillRect/>
        </a:stretch>
      </xdr:blipFill>
      <xdr:spPr>
        <a:xfrm>
          <a:off x="10047605" y="8720455"/>
          <a:ext cx="248285" cy="221615"/>
        </a:xfrm>
        <a:prstGeom prst="rect">
          <a:avLst/>
        </a:prstGeom>
      </xdr:spPr>
    </xdr:pic>
    <xdr:clientData/>
  </xdr:twoCellAnchor>
  <xdr:twoCellAnchor>
    <xdr:from>
      <xdr:col>8</xdr:col>
      <xdr:colOff>267335</xdr:colOff>
      <xdr:row>7</xdr:row>
      <xdr:rowOff>697865</xdr:rowOff>
    </xdr:from>
    <xdr:to>
      <xdr:col>8</xdr:col>
      <xdr:colOff>515620</xdr:colOff>
      <xdr:row>7</xdr:row>
      <xdr:rowOff>919480</xdr:rowOff>
    </xdr:to>
    <xdr:pic>
      <xdr:nvPicPr>
        <xdr:cNvPr id="43" name="图片 42"/>
        <xdr:cNvPicPr>
          <a:picLocks noChangeAspect="1"/>
        </xdr:cNvPicPr>
      </xdr:nvPicPr>
      <xdr:blipFill>
        <a:blip r:embed="rId2"/>
        <a:stretch>
          <a:fillRect/>
        </a:stretch>
      </xdr:blipFill>
      <xdr:spPr>
        <a:xfrm>
          <a:off x="10020935" y="4896485"/>
          <a:ext cx="248285" cy="22161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zoomScale="130" zoomScaleNormal="130" topLeftCell="A14" workbookViewId="0">
      <selection activeCell="G19" sqref="G19"/>
    </sheetView>
  </sheetViews>
  <sheetFormatPr defaultColWidth="9" defaultRowHeight="13.5" outlineLevelCol="3"/>
  <cols>
    <col min="2" max="2" width="9.5" customWidth="1"/>
    <col min="4" max="4" width="52.375" customWidth="1"/>
  </cols>
  <sheetData>
    <row r="1" spans="1:4">
      <c r="A1" s="5" t="s">
        <v>0</v>
      </c>
      <c r="B1" s="5" t="s">
        <v>1</v>
      </c>
      <c r="C1" s="5" t="s">
        <v>2</v>
      </c>
      <c r="D1" s="5" t="s">
        <v>3</v>
      </c>
    </row>
    <row r="2" spans="1:4">
      <c r="A2" s="5" t="s">
        <v>4</v>
      </c>
      <c r="B2" s="5">
        <v>20190811</v>
      </c>
      <c r="C2" s="5" t="s">
        <v>5</v>
      </c>
      <c r="D2" s="5" t="s">
        <v>6</v>
      </c>
    </row>
    <row r="3" ht="27" spans="1:4">
      <c r="A3" s="5" t="s">
        <v>7</v>
      </c>
      <c r="B3" s="5">
        <v>20201224</v>
      </c>
      <c r="C3" s="5"/>
      <c r="D3" s="251" t="s">
        <v>8</v>
      </c>
    </row>
    <row r="4" spans="1:4">
      <c r="A4" s="5"/>
      <c r="B4" s="5"/>
      <c r="C4" s="5"/>
      <c r="D4" s="5"/>
    </row>
    <row r="5" spans="1:4">
      <c r="A5" s="5" t="s">
        <v>9</v>
      </c>
      <c r="B5" s="5">
        <v>20210625</v>
      </c>
      <c r="C5" s="5"/>
      <c r="D5" s="5" t="s">
        <v>10</v>
      </c>
    </row>
    <row r="6" spans="1:4">
      <c r="A6" s="5" t="s">
        <v>11</v>
      </c>
      <c r="B6" s="5">
        <v>20210824</v>
      </c>
      <c r="C6" s="5"/>
      <c r="D6" s="5" t="s">
        <v>12</v>
      </c>
    </row>
    <row r="7" spans="1:4">
      <c r="A7" s="5" t="s">
        <v>13</v>
      </c>
      <c r="B7" s="5">
        <v>20210831</v>
      </c>
      <c r="C7" s="5"/>
      <c r="D7" s="5" t="s">
        <v>14</v>
      </c>
    </row>
    <row r="8" ht="33.6" customHeight="1" spans="1:4">
      <c r="A8" s="5" t="s">
        <v>15</v>
      </c>
      <c r="B8" s="5">
        <v>20220216</v>
      </c>
      <c r="C8" s="5"/>
      <c r="D8" s="251" t="s">
        <v>16</v>
      </c>
    </row>
    <row r="9" ht="27" spans="1:4">
      <c r="A9" s="5" t="s">
        <v>17</v>
      </c>
      <c r="B9" s="5">
        <v>20220218</v>
      </c>
      <c r="C9" s="5"/>
      <c r="D9" s="251" t="s">
        <v>18</v>
      </c>
    </row>
    <row r="10" ht="54" spans="1:4">
      <c r="A10" s="5" t="s">
        <v>19</v>
      </c>
      <c r="B10" s="5">
        <v>20220419</v>
      </c>
      <c r="C10" s="5"/>
      <c r="D10" s="251" t="s">
        <v>20</v>
      </c>
    </row>
    <row r="11" spans="1:4">
      <c r="A11" s="5" t="s">
        <v>21</v>
      </c>
      <c r="B11" s="5">
        <v>20220527</v>
      </c>
      <c r="C11" s="5"/>
      <c r="D11" s="251" t="s">
        <v>22</v>
      </c>
    </row>
    <row r="12" ht="40.5" spans="1:4">
      <c r="A12" s="127" t="s">
        <v>23</v>
      </c>
      <c r="B12" s="127">
        <v>20220530</v>
      </c>
      <c r="C12" s="127"/>
      <c r="D12" s="440" t="s">
        <v>24</v>
      </c>
    </row>
    <row r="13" ht="79.15" customHeight="1" spans="1:4">
      <c r="A13" s="5" t="s">
        <v>25</v>
      </c>
      <c r="B13" s="5">
        <v>20220723</v>
      </c>
      <c r="C13" s="5"/>
      <c r="D13" s="251" t="s">
        <v>26</v>
      </c>
    </row>
    <row r="14" ht="175.5" spans="1:4">
      <c r="A14" s="5" t="s">
        <v>27</v>
      </c>
      <c r="B14" s="5">
        <v>20221109</v>
      </c>
      <c r="C14" s="5"/>
      <c r="D14" s="251" t="s">
        <v>28</v>
      </c>
    </row>
    <row r="15" spans="1:4">
      <c r="A15" s="5" t="s">
        <v>29</v>
      </c>
      <c r="B15" s="5">
        <v>20221229</v>
      </c>
      <c r="C15" s="5"/>
      <c r="D15" s="251" t="s">
        <v>30</v>
      </c>
    </row>
    <row r="16" spans="1:4">
      <c r="A16" s="5" t="s">
        <v>31</v>
      </c>
      <c r="B16" s="5">
        <v>20230215</v>
      </c>
      <c r="C16" s="5"/>
      <c r="D16" s="5" t="s">
        <v>32</v>
      </c>
    </row>
    <row r="17" ht="40.5" spans="1:4">
      <c r="A17" s="5" t="s">
        <v>33</v>
      </c>
      <c r="B17" s="5">
        <v>20230406</v>
      </c>
      <c r="C17" s="5"/>
      <c r="D17" s="251" t="s">
        <v>34</v>
      </c>
    </row>
    <row r="18" ht="27" spans="1:4">
      <c r="A18" s="5" t="s">
        <v>35</v>
      </c>
      <c r="B18" s="5">
        <v>20230411</v>
      </c>
      <c r="C18" s="5"/>
      <c r="D18" s="251" t="s">
        <v>36</v>
      </c>
    </row>
    <row r="19" ht="135" spans="1:4">
      <c r="A19" s="29" t="s">
        <v>37</v>
      </c>
      <c r="B19" s="29">
        <v>20230504</v>
      </c>
      <c r="C19" s="29"/>
      <c r="D19" s="259" t="s">
        <v>38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
  <sheetViews>
    <sheetView workbookViewId="0">
      <selection activeCell="A30" sqref="A30:C30"/>
    </sheetView>
  </sheetViews>
  <sheetFormatPr defaultColWidth="9" defaultRowHeight="13.5" outlineLevelCol="3"/>
  <cols>
    <col min="1" max="1" width="29.75" style="433" customWidth="1"/>
    <col min="2" max="2" width="13.75" style="433" customWidth="1"/>
    <col min="3" max="16384" width="9" style="433"/>
  </cols>
  <sheetData>
    <row r="1" ht="15" spans="1:3">
      <c r="A1" s="434" t="s">
        <v>39</v>
      </c>
      <c r="B1" s="434" t="s">
        <v>40</v>
      </c>
      <c r="C1" s="434" t="s">
        <v>41</v>
      </c>
    </row>
    <row r="2" ht="16.5" spans="1:3">
      <c r="A2" s="435" t="s">
        <v>42</v>
      </c>
      <c r="B2" s="435" t="s">
        <v>43</v>
      </c>
      <c r="C2" s="435" t="s">
        <v>44</v>
      </c>
    </row>
    <row r="3" ht="16.5" spans="1:3">
      <c r="A3" s="435" t="s">
        <v>45</v>
      </c>
      <c r="B3" s="435" t="s">
        <v>46</v>
      </c>
      <c r="C3" s="435" t="s">
        <v>44</v>
      </c>
    </row>
    <row r="4" ht="16.5" spans="1:3">
      <c r="A4" s="435" t="s">
        <v>47</v>
      </c>
      <c r="B4" s="435" t="s">
        <v>48</v>
      </c>
      <c r="C4" s="435" t="s">
        <v>49</v>
      </c>
    </row>
    <row r="5" ht="16.5" spans="1:3">
      <c r="A5" s="435" t="s">
        <v>50</v>
      </c>
      <c r="B5" s="435" t="s">
        <v>51</v>
      </c>
      <c r="C5" s="435" t="s">
        <v>49</v>
      </c>
    </row>
    <row r="6" ht="16.5" spans="1:3">
      <c r="A6" s="435" t="s">
        <v>52</v>
      </c>
      <c r="B6" s="435" t="s">
        <v>53</v>
      </c>
      <c r="C6" s="435" t="s">
        <v>49</v>
      </c>
    </row>
    <row r="7" ht="16.5" spans="1:3">
      <c r="A7" s="435" t="s">
        <v>54</v>
      </c>
      <c r="B7" s="435" t="s">
        <v>55</v>
      </c>
      <c r="C7" s="435" t="s">
        <v>44</v>
      </c>
    </row>
    <row r="8" ht="16.5" spans="1:3">
      <c r="A8" s="435" t="s">
        <v>56</v>
      </c>
      <c r="B8" s="435" t="s">
        <v>57</v>
      </c>
      <c r="C8" s="435" t="s">
        <v>44</v>
      </c>
    </row>
    <row r="9" ht="33" spans="1:3">
      <c r="A9" s="436" t="s">
        <v>58</v>
      </c>
      <c r="B9" s="437" t="s">
        <v>59</v>
      </c>
      <c r="C9" s="437" t="s">
        <v>44</v>
      </c>
    </row>
    <row r="10" ht="16.5" spans="1:3">
      <c r="A10" s="435" t="s">
        <v>60</v>
      </c>
      <c r="B10" s="435" t="s">
        <v>61</v>
      </c>
      <c r="C10" s="435" t="s">
        <v>44</v>
      </c>
    </row>
    <row r="11" ht="16.5" spans="1:3">
      <c r="A11" s="435" t="s">
        <v>62</v>
      </c>
      <c r="B11" s="435" t="s">
        <v>63</v>
      </c>
      <c r="C11" s="435" t="s">
        <v>49</v>
      </c>
    </row>
    <row r="12" ht="16.5" spans="1:3">
      <c r="A12" s="435" t="s">
        <v>64</v>
      </c>
      <c r="B12" s="435" t="s">
        <v>65</v>
      </c>
      <c r="C12" s="435" t="s">
        <v>44</v>
      </c>
    </row>
    <row r="13" ht="16.5" spans="1:3">
      <c r="A13" s="435" t="s">
        <v>66</v>
      </c>
      <c r="B13" s="435" t="s">
        <v>67</v>
      </c>
      <c r="C13" s="435" t="s">
        <v>49</v>
      </c>
    </row>
    <row r="14" ht="16.5" spans="1:3">
      <c r="A14" s="435" t="s">
        <v>68</v>
      </c>
      <c r="B14" s="435" t="s">
        <v>69</v>
      </c>
      <c r="C14" s="435" t="s">
        <v>49</v>
      </c>
    </row>
    <row r="15" ht="16.5" spans="1:3">
      <c r="A15" s="435" t="s">
        <v>70</v>
      </c>
      <c r="B15" s="435" t="s">
        <v>57</v>
      </c>
      <c r="C15" s="435" t="s">
        <v>44</v>
      </c>
    </row>
    <row r="16" ht="16.5" spans="1:3">
      <c r="A16" s="435" t="s">
        <v>71</v>
      </c>
      <c r="B16" s="435" t="s">
        <v>57</v>
      </c>
      <c r="C16" s="435" t="s">
        <v>44</v>
      </c>
    </row>
    <row r="17" ht="16.5" spans="1:3">
      <c r="A17" s="435" t="s">
        <v>72</v>
      </c>
      <c r="B17" s="435" t="s">
        <v>73</v>
      </c>
      <c r="C17" s="435" t="s">
        <v>49</v>
      </c>
    </row>
    <row r="18" ht="16.5" spans="1:3">
      <c r="A18" s="435" t="s">
        <v>74</v>
      </c>
      <c r="B18" s="435" t="s">
        <v>75</v>
      </c>
      <c r="C18" s="435" t="s">
        <v>49</v>
      </c>
    </row>
    <row r="19" ht="16.5" spans="1:3">
      <c r="A19" s="435" t="s">
        <v>76</v>
      </c>
      <c r="B19" s="435" t="s">
        <v>77</v>
      </c>
      <c r="C19" s="435" t="s">
        <v>49</v>
      </c>
    </row>
    <row r="20" ht="16.5" spans="1:3">
      <c r="A20" s="435" t="s">
        <v>78</v>
      </c>
      <c r="B20" s="435" t="s">
        <v>79</v>
      </c>
      <c r="C20" s="435" t="s">
        <v>49</v>
      </c>
    </row>
    <row r="21" ht="16.5" spans="1:3">
      <c r="A21" s="435" t="s">
        <v>80</v>
      </c>
      <c r="B21" s="435" t="s">
        <v>81</v>
      </c>
      <c r="C21" s="435" t="s">
        <v>49</v>
      </c>
    </row>
    <row r="22" ht="16.5" spans="1:3">
      <c r="A22" s="435" t="s">
        <v>82</v>
      </c>
      <c r="B22" s="435" t="s">
        <v>83</v>
      </c>
      <c r="C22" s="435" t="s">
        <v>44</v>
      </c>
    </row>
    <row r="23" ht="16.5" spans="1:3">
      <c r="A23" s="435" t="s">
        <v>84</v>
      </c>
      <c r="B23" s="435" t="s">
        <v>85</v>
      </c>
      <c r="C23" s="435" t="s">
        <v>44</v>
      </c>
    </row>
    <row r="24" ht="16.5" spans="1:3">
      <c r="A24" s="435" t="s">
        <v>86</v>
      </c>
      <c r="B24" s="435" t="s">
        <v>83</v>
      </c>
      <c r="C24" s="435" t="s">
        <v>44</v>
      </c>
    </row>
    <row r="25" ht="16.5" spans="1:3">
      <c r="A25" s="435" t="s">
        <v>87</v>
      </c>
      <c r="B25" s="435" t="s">
        <v>88</v>
      </c>
      <c r="C25" s="435" t="s">
        <v>44</v>
      </c>
    </row>
    <row r="26" ht="16.5" spans="1:3">
      <c r="A26" s="435" t="s">
        <v>89</v>
      </c>
      <c r="B26" s="435" t="s">
        <v>90</v>
      </c>
      <c r="C26" s="435" t="s">
        <v>44</v>
      </c>
    </row>
    <row r="27" ht="16.5" spans="1:3">
      <c r="A27" s="435" t="s">
        <v>91</v>
      </c>
      <c r="B27" s="435" t="s">
        <v>92</v>
      </c>
      <c r="C27" s="435" t="s">
        <v>44</v>
      </c>
    </row>
    <row r="28" ht="16.5" spans="1:4">
      <c r="A28" s="438" t="s">
        <v>93</v>
      </c>
      <c r="B28" s="438" t="s">
        <v>92</v>
      </c>
      <c r="C28" s="438" t="s">
        <v>44</v>
      </c>
      <c r="D28" s="439" t="s">
        <v>94</v>
      </c>
    </row>
    <row r="29" ht="16.5" spans="1:3">
      <c r="A29" s="435" t="s">
        <v>95</v>
      </c>
      <c r="B29" s="435" t="s">
        <v>96</v>
      </c>
      <c r="C29" s="435" t="s">
        <v>44</v>
      </c>
    </row>
    <row r="30" ht="16.5" spans="1:3">
      <c r="A30" s="435" t="s">
        <v>97</v>
      </c>
      <c r="B30" s="435" t="s">
        <v>98</v>
      </c>
      <c r="C30" s="435" t="s">
        <v>44</v>
      </c>
    </row>
    <row r="31" ht="16.5" spans="1:3">
      <c r="A31" s="435" t="s">
        <v>99</v>
      </c>
      <c r="B31" s="435" t="s">
        <v>100</v>
      </c>
      <c r="C31" s="435" t="s">
        <v>44</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zoomScale="115" zoomScaleNormal="115" workbookViewId="0">
      <selection activeCell="B10" sqref="B10"/>
    </sheetView>
  </sheetViews>
  <sheetFormatPr defaultColWidth="9" defaultRowHeight="13.5" outlineLevelRow="7" outlineLevelCol="4"/>
  <cols>
    <col min="3" max="3" width="24.125" customWidth="1"/>
  </cols>
  <sheetData>
    <row r="1" ht="14.25" spans="1:5">
      <c r="A1" s="429" t="s">
        <v>101</v>
      </c>
      <c r="B1" s="430" t="s">
        <v>102</v>
      </c>
      <c r="C1" s="430" t="s">
        <v>103</v>
      </c>
      <c r="D1" s="430" t="s">
        <v>104</v>
      </c>
      <c r="E1" s="431" t="s">
        <v>105</v>
      </c>
    </row>
    <row r="2" spans="1:5">
      <c r="A2" s="432">
        <v>1</v>
      </c>
      <c r="B2" s="432" t="s">
        <v>106</v>
      </c>
      <c r="C2" s="432" t="s">
        <v>107</v>
      </c>
      <c r="D2" s="432">
        <v>521301</v>
      </c>
      <c r="E2" s="432">
        <v>17</v>
      </c>
    </row>
    <row r="3" spans="1:5">
      <c r="A3" s="5">
        <v>2</v>
      </c>
      <c r="B3" s="5" t="s">
        <v>108</v>
      </c>
      <c r="C3" s="5" t="s">
        <v>109</v>
      </c>
      <c r="D3" s="5">
        <v>521304</v>
      </c>
      <c r="E3" s="5">
        <v>15</v>
      </c>
    </row>
    <row r="4" spans="1:5">
      <c r="A4" s="5">
        <v>3</v>
      </c>
      <c r="B4" s="5" t="s">
        <v>108</v>
      </c>
      <c r="C4" s="5" t="s">
        <v>110</v>
      </c>
      <c r="D4" s="5">
        <v>521305</v>
      </c>
      <c r="E4" s="5">
        <v>15</v>
      </c>
    </row>
    <row r="5" spans="1:5">
      <c r="A5" s="5">
        <v>4</v>
      </c>
      <c r="B5" s="5" t="s">
        <v>108</v>
      </c>
      <c r="C5" s="5" t="s">
        <v>111</v>
      </c>
      <c r="D5" s="5">
        <v>521306</v>
      </c>
      <c r="E5" s="5">
        <v>15</v>
      </c>
    </row>
    <row r="6" spans="1:5">
      <c r="A6" s="5">
        <v>5</v>
      </c>
      <c r="B6" s="5" t="s">
        <v>106</v>
      </c>
      <c r="C6" s="5" t="s">
        <v>112</v>
      </c>
      <c r="D6" s="5">
        <v>521307</v>
      </c>
      <c r="E6" s="5">
        <v>15</v>
      </c>
    </row>
    <row r="7" spans="1:5">
      <c r="A7" s="5">
        <v>6</v>
      </c>
      <c r="B7" s="5" t="s">
        <v>113</v>
      </c>
      <c r="C7" s="5" t="s">
        <v>114</v>
      </c>
      <c r="D7" s="5">
        <v>5977</v>
      </c>
      <c r="E7" s="5">
        <v>1</v>
      </c>
    </row>
    <row r="8" spans="1:5">
      <c r="A8" s="5">
        <v>7</v>
      </c>
      <c r="B8" s="5" t="s">
        <v>113</v>
      </c>
      <c r="C8" s="5" t="s">
        <v>115</v>
      </c>
      <c r="D8" s="5">
        <v>153</v>
      </c>
      <c r="E8" s="5">
        <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J81"/>
  <sheetViews>
    <sheetView workbookViewId="0">
      <selection activeCell="F19" sqref="F19"/>
    </sheetView>
  </sheetViews>
  <sheetFormatPr defaultColWidth="8.875" defaultRowHeight="13.5"/>
  <cols>
    <col min="1" max="1" width="8.875" style="173"/>
    <col min="2" max="2" width="8.875" style="400"/>
    <col min="3" max="3" width="15.125" style="400" customWidth="1"/>
    <col min="4" max="4" width="19.75" style="172" customWidth="1"/>
    <col min="5" max="5" width="22" style="172" customWidth="1"/>
    <col min="6" max="6" width="60.75" style="172" customWidth="1"/>
    <col min="7" max="7" width="43.75" style="172" customWidth="1"/>
    <col min="8" max="8" width="17.625" style="172" customWidth="1"/>
    <col min="9" max="9" width="11.625" style="172" customWidth="1"/>
    <col min="10" max="16384" width="8.875" style="172"/>
  </cols>
  <sheetData>
    <row r="1" ht="14.25" spans="1:7">
      <c r="A1" s="401" t="s">
        <v>101</v>
      </c>
      <c r="B1" s="402" t="s">
        <v>116</v>
      </c>
      <c r="C1" s="402" t="s">
        <v>117</v>
      </c>
      <c r="D1" s="403" t="s">
        <v>118</v>
      </c>
      <c r="E1" s="403" t="s">
        <v>119</v>
      </c>
      <c r="F1" s="403" t="s">
        <v>120</v>
      </c>
      <c r="G1" s="403" t="s">
        <v>121</v>
      </c>
    </row>
    <row r="2" ht="14.25" spans="1:7">
      <c r="A2" s="404">
        <v>1</v>
      </c>
      <c r="B2" s="405" t="s">
        <v>122</v>
      </c>
      <c r="C2" s="402"/>
      <c r="D2" s="406">
        <v>168</v>
      </c>
      <c r="E2" s="406">
        <v>16</v>
      </c>
      <c r="F2" s="407" t="s">
        <v>123</v>
      </c>
      <c r="G2" s="407" t="s">
        <v>123</v>
      </c>
    </row>
    <row r="3" ht="18.75" customHeight="1" spans="1:7">
      <c r="A3" s="408">
        <v>2</v>
      </c>
      <c r="B3" s="409" t="s">
        <v>124</v>
      </c>
      <c r="C3" s="410" t="s">
        <v>125</v>
      </c>
      <c r="D3" s="411">
        <v>168</v>
      </c>
      <c r="E3" s="411">
        <v>18</v>
      </c>
      <c r="F3" s="412" t="s">
        <v>126</v>
      </c>
      <c r="G3" s="412" t="s">
        <v>127</v>
      </c>
    </row>
    <row r="4" ht="14.25" spans="1:7">
      <c r="A4" s="404">
        <v>3</v>
      </c>
      <c r="B4" s="405" t="s">
        <v>122</v>
      </c>
      <c r="C4" s="402"/>
      <c r="D4" s="406">
        <v>168</v>
      </c>
      <c r="E4" s="406">
        <v>2</v>
      </c>
      <c r="F4" s="407" t="s">
        <v>128</v>
      </c>
      <c r="G4" s="407" t="s">
        <v>128</v>
      </c>
    </row>
    <row r="5" ht="14.25" spans="1:7">
      <c r="A5" s="404">
        <v>4</v>
      </c>
      <c r="B5" s="405" t="s">
        <v>122</v>
      </c>
      <c r="C5" s="402"/>
      <c r="D5" s="406">
        <v>169</v>
      </c>
      <c r="E5" s="406">
        <v>16</v>
      </c>
      <c r="F5" s="407" t="s">
        <v>129</v>
      </c>
      <c r="G5" s="407" t="s">
        <v>129</v>
      </c>
    </row>
    <row r="6" ht="27.75" spans="1:7">
      <c r="A6" s="404">
        <v>5</v>
      </c>
      <c r="B6" s="405" t="s">
        <v>122</v>
      </c>
      <c r="C6" s="402"/>
      <c r="D6" s="406">
        <v>169</v>
      </c>
      <c r="E6" s="406">
        <v>18</v>
      </c>
      <c r="F6" s="407" t="s">
        <v>130</v>
      </c>
      <c r="G6" s="407" t="s">
        <v>130</v>
      </c>
    </row>
    <row r="7" ht="14.25" spans="1:7">
      <c r="A7" s="404">
        <v>6</v>
      </c>
      <c r="B7" s="405" t="s">
        <v>122</v>
      </c>
      <c r="C7" s="402"/>
      <c r="D7" s="406">
        <v>169</v>
      </c>
      <c r="E7" s="406">
        <v>2</v>
      </c>
      <c r="F7" s="407" t="s">
        <v>131</v>
      </c>
      <c r="G7" s="407" t="s">
        <v>131</v>
      </c>
    </row>
    <row r="8" ht="14.25" spans="1:7">
      <c r="A8" s="404">
        <v>7</v>
      </c>
      <c r="B8" s="405" t="s">
        <v>122</v>
      </c>
      <c r="C8" s="402"/>
      <c r="D8" s="406">
        <v>158</v>
      </c>
      <c r="E8" s="406">
        <v>16</v>
      </c>
      <c r="F8" s="407" t="s">
        <v>132</v>
      </c>
      <c r="G8" s="407" t="s">
        <v>132</v>
      </c>
    </row>
    <row r="9" ht="14.25" spans="1:7">
      <c r="A9" s="401">
        <v>8</v>
      </c>
      <c r="B9" s="413" t="s">
        <v>133</v>
      </c>
      <c r="C9" s="402" t="s">
        <v>134</v>
      </c>
      <c r="D9" s="411">
        <v>158</v>
      </c>
      <c r="E9" s="414">
        <v>18</v>
      </c>
      <c r="F9" s="412" t="s">
        <v>135</v>
      </c>
      <c r="G9" s="412" t="s">
        <v>135</v>
      </c>
    </row>
    <row r="10" ht="14.25" spans="1:8">
      <c r="A10" s="404">
        <v>9</v>
      </c>
      <c r="B10" s="405" t="s">
        <v>122</v>
      </c>
      <c r="C10" s="402"/>
      <c r="D10" s="406">
        <v>158</v>
      </c>
      <c r="E10" s="406">
        <v>2</v>
      </c>
      <c r="F10" s="415" t="s">
        <v>136</v>
      </c>
      <c r="G10" s="415" t="s">
        <v>136</v>
      </c>
      <c r="H10" s="172" t="s">
        <v>137</v>
      </c>
    </row>
    <row r="11" ht="14.25" spans="1:7">
      <c r="A11" s="401">
        <v>10</v>
      </c>
      <c r="B11" s="413" t="s">
        <v>133</v>
      </c>
      <c r="C11" s="402" t="s">
        <v>134</v>
      </c>
      <c r="D11" s="411">
        <v>597</v>
      </c>
      <c r="E11" s="411">
        <v>2</v>
      </c>
      <c r="F11" s="412" t="s">
        <v>138</v>
      </c>
      <c r="G11" s="412" t="s">
        <v>138</v>
      </c>
    </row>
    <row r="12" ht="14.25" spans="1:8">
      <c r="A12" s="401">
        <v>11</v>
      </c>
      <c r="B12" s="409" t="s">
        <v>124</v>
      </c>
      <c r="C12" s="410" t="s">
        <v>125</v>
      </c>
      <c r="D12" s="411">
        <v>21003</v>
      </c>
      <c r="E12" s="403">
        <v>12</v>
      </c>
      <c r="F12" s="412" t="s">
        <v>139</v>
      </c>
      <c r="G12" s="412" t="s">
        <v>139</v>
      </c>
      <c r="H12" s="172" t="s">
        <v>140</v>
      </c>
    </row>
    <row r="13" ht="14.25" spans="1:8">
      <c r="A13" s="401">
        <v>12</v>
      </c>
      <c r="B13" s="409" t="s">
        <v>124</v>
      </c>
      <c r="C13" s="410" t="s">
        <v>125</v>
      </c>
      <c r="D13" s="414">
        <v>21004</v>
      </c>
      <c r="E13" s="414">
        <v>12</v>
      </c>
      <c r="F13" s="412" t="s">
        <v>141</v>
      </c>
      <c r="G13" s="412" t="s">
        <v>141</v>
      </c>
      <c r="H13" s="172" t="s">
        <v>142</v>
      </c>
    </row>
    <row r="14" ht="14.25" spans="1:7">
      <c r="A14" s="401">
        <v>13</v>
      </c>
      <c r="B14" s="413" t="s">
        <v>133</v>
      </c>
      <c r="C14" s="402" t="s">
        <v>134</v>
      </c>
      <c r="D14" s="411">
        <v>21005</v>
      </c>
      <c r="E14" s="403">
        <v>4</v>
      </c>
      <c r="F14" s="412" t="s">
        <v>143</v>
      </c>
      <c r="G14" s="412" t="s">
        <v>143</v>
      </c>
    </row>
    <row r="15" ht="14.25" spans="1:7">
      <c r="A15" s="401">
        <v>14</v>
      </c>
      <c r="B15" s="413" t="s">
        <v>133</v>
      </c>
      <c r="C15" s="402" t="s">
        <v>134</v>
      </c>
      <c r="D15" s="411">
        <v>21005</v>
      </c>
      <c r="E15" s="403">
        <v>3</v>
      </c>
      <c r="F15" s="412" t="s">
        <v>144</v>
      </c>
      <c r="G15" s="412" t="s">
        <v>144</v>
      </c>
    </row>
    <row r="16" ht="14.25" spans="1:7">
      <c r="A16" s="404">
        <v>15</v>
      </c>
      <c r="B16" s="405" t="s">
        <v>122</v>
      </c>
      <c r="C16" s="402"/>
      <c r="D16" s="406">
        <v>21005</v>
      </c>
      <c r="E16" s="416">
        <v>6</v>
      </c>
      <c r="F16" s="407" t="s">
        <v>145</v>
      </c>
      <c r="G16" s="407" t="s">
        <v>146</v>
      </c>
    </row>
    <row r="17" ht="14.25" spans="1:7">
      <c r="A17" s="404">
        <v>16</v>
      </c>
      <c r="B17" s="405" t="s">
        <v>122</v>
      </c>
      <c r="C17" s="402"/>
      <c r="D17" s="406">
        <v>21006</v>
      </c>
      <c r="E17" s="406">
        <v>16</v>
      </c>
      <c r="F17" s="407" t="s">
        <v>147</v>
      </c>
      <c r="G17" s="407" t="s">
        <v>148</v>
      </c>
    </row>
    <row r="18" ht="14.25" spans="1:7">
      <c r="A18" s="404">
        <v>17</v>
      </c>
      <c r="B18" s="405" t="s">
        <v>122</v>
      </c>
      <c r="C18" s="402"/>
      <c r="D18" s="406">
        <v>21006</v>
      </c>
      <c r="E18" s="406">
        <v>18</v>
      </c>
      <c r="F18" s="407" t="s">
        <v>149</v>
      </c>
      <c r="G18" s="407" t="s">
        <v>150</v>
      </c>
    </row>
    <row r="19" ht="14.25" spans="1:9">
      <c r="A19" s="401">
        <v>18</v>
      </c>
      <c r="B19" s="413" t="s">
        <v>133</v>
      </c>
      <c r="C19" s="402" t="s">
        <v>134</v>
      </c>
      <c r="D19" s="411">
        <v>21006</v>
      </c>
      <c r="E19" s="411">
        <v>5</v>
      </c>
      <c r="F19" s="412" t="s">
        <v>151</v>
      </c>
      <c r="G19" s="412" t="s">
        <v>152</v>
      </c>
      <c r="H19" s="172" t="s">
        <v>153</v>
      </c>
      <c r="I19" s="172">
        <v>5</v>
      </c>
    </row>
    <row r="20" ht="14.25" spans="1:7">
      <c r="A20" s="401">
        <v>19</v>
      </c>
      <c r="B20" s="413" t="s">
        <v>133</v>
      </c>
      <c r="C20" s="402" t="s">
        <v>134</v>
      </c>
      <c r="D20" s="411">
        <v>21006</v>
      </c>
      <c r="E20" s="411">
        <v>6</v>
      </c>
      <c r="F20" s="412" t="s">
        <v>154</v>
      </c>
      <c r="G20" s="412" t="s">
        <v>155</v>
      </c>
    </row>
    <row r="21" ht="15" spans="1:8">
      <c r="A21" s="401">
        <v>20</v>
      </c>
      <c r="B21" s="413" t="s">
        <v>133</v>
      </c>
      <c r="C21" s="402" t="s">
        <v>134</v>
      </c>
      <c r="D21" s="411">
        <v>21007</v>
      </c>
      <c r="E21" s="411">
        <v>16</v>
      </c>
      <c r="F21" s="417" t="s">
        <v>156</v>
      </c>
      <c r="G21" s="418" t="s">
        <v>157</v>
      </c>
      <c r="H21" s="172" t="s">
        <v>158</v>
      </c>
    </row>
    <row r="22" ht="14.25" spans="1:7">
      <c r="A22" s="401">
        <v>21</v>
      </c>
      <c r="B22" s="413" t="s">
        <v>133</v>
      </c>
      <c r="C22" s="402" t="s">
        <v>134</v>
      </c>
      <c r="D22" s="411">
        <v>21007</v>
      </c>
      <c r="E22" s="411">
        <v>18</v>
      </c>
      <c r="F22" s="412" t="s">
        <v>159</v>
      </c>
      <c r="G22" s="419" t="s">
        <v>160</v>
      </c>
    </row>
    <row r="23" s="399" customFormat="1" ht="14.25" spans="1:10">
      <c r="A23" s="420">
        <v>22</v>
      </c>
      <c r="B23" s="409" t="s">
        <v>124</v>
      </c>
      <c r="C23" s="410" t="s">
        <v>125</v>
      </c>
      <c r="D23" s="421">
        <v>21007</v>
      </c>
      <c r="E23" s="421">
        <v>5</v>
      </c>
      <c r="F23" s="422" t="s">
        <v>161</v>
      </c>
      <c r="G23" s="423" t="s">
        <v>161</v>
      </c>
      <c r="H23" s="399" t="s">
        <v>162</v>
      </c>
      <c r="I23" s="399" t="s">
        <v>163</v>
      </c>
      <c r="J23" s="399" t="s">
        <v>164</v>
      </c>
    </row>
    <row r="24" ht="14.25" spans="1:7">
      <c r="A24" s="404">
        <v>23</v>
      </c>
      <c r="B24" s="405" t="s">
        <v>122</v>
      </c>
      <c r="C24" s="402"/>
      <c r="D24" s="406">
        <v>21007</v>
      </c>
      <c r="E24" s="406">
        <v>2</v>
      </c>
      <c r="F24" s="407" t="s">
        <v>165</v>
      </c>
      <c r="G24" s="424" t="s">
        <v>166</v>
      </c>
    </row>
    <row r="25" ht="14.25" spans="1:7">
      <c r="A25" s="404">
        <v>24</v>
      </c>
      <c r="B25" s="405" t="s">
        <v>122</v>
      </c>
      <c r="C25" s="402"/>
      <c r="D25" s="406">
        <v>21008</v>
      </c>
      <c r="E25" s="406">
        <v>16</v>
      </c>
      <c r="F25" s="407" t="s">
        <v>167</v>
      </c>
      <c r="G25" s="407" t="s">
        <v>168</v>
      </c>
    </row>
    <row r="26" ht="14.25" spans="1:7">
      <c r="A26" s="404">
        <v>25</v>
      </c>
      <c r="B26" s="405" t="s">
        <v>122</v>
      </c>
      <c r="C26" s="402"/>
      <c r="D26" s="406">
        <v>21008</v>
      </c>
      <c r="E26" s="406">
        <v>18</v>
      </c>
      <c r="F26" s="407" t="s">
        <v>169</v>
      </c>
      <c r="G26" s="407" t="s">
        <v>170</v>
      </c>
    </row>
    <row r="27" ht="14.25" spans="1:7">
      <c r="A27" s="401">
        <v>26</v>
      </c>
      <c r="B27" s="413" t="s">
        <v>133</v>
      </c>
      <c r="C27" s="402" t="s">
        <v>134</v>
      </c>
      <c r="D27" s="411">
        <v>21008</v>
      </c>
      <c r="E27" s="411">
        <v>5</v>
      </c>
      <c r="F27" s="412" t="s">
        <v>171</v>
      </c>
      <c r="G27" s="412" t="s">
        <v>172</v>
      </c>
    </row>
    <row r="28" ht="14.25" spans="1:7">
      <c r="A28" s="401">
        <v>27</v>
      </c>
      <c r="B28" s="413" t="s">
        <v>133</v>
      </c>
      <c r="C28" s="402" t="s">
        <v>134</v>
      </c>
      <c r="D28" s="411">
        <v>21008</v>
      </c>
      <c r="E28" s="411">
        <v>6</v>
      </c>
      <c r="F28" s="412" t="s">
        <v>173</v>
      </c>
      <c r="G28" s="412" t="s">
        <v>174</v>
      </c>
    </row>
    <row r="29" ht="15" spans="1:7">
      <c r="A29" s="401">
        <v>28</v>
      </c>
      <c r="B29" s="413" t="s">
        <v>133</v>
      </c>
      <c r="C29" s="402" t="s">
        <v>134</v>
      </c>
      <c r="D29" s="411">
        <v>91</v>
      </c>
      <c r="E29" s="411">
        <v>16</v>
      </c>
      <c r="F29" s="417" t="s">
        <v>175</v>
      </c>
      <c r="G29" s="418" t="s">
        <v>176</v>
      </c>
    </row>
    <row r="30" ht="14.25" spans="1:7">
      <c r="A30" s="401">
        <v>29</v>
      </c>
      <c r="B30" s="413" t="s">
        <v>133</v>
      </c>
      <c r="C30" s="402" t="s">
        <v>134</v>
      </c>
      <c r="D30" s="411">
        <v>91</v>
      </c>
      <c r="E30" s="411">
        <v>18</v>
      </c>
      <c r="F30" s="412" t="s">
        <v>177</v>
      </c>
      <c r="G30" s="412" t="s">
        <v>178</v>
      </c>
    </row>
    <row r="31" ht="14.25" spans="1:7">
      <c r="A31" s="404">
        <v>30</v>
      </c>
      <c r="B31" s="405" t="s">
        <v>122</v>
      </c>
      <c r="C31" s="402"/>
      <c r="D31" s="406">
        <v>91</v>
      </c>
      <c r="E31" s="406">
        <v>2</v>
      </c>
      <c r="F31" s="407" t="s">
        <v>179</v>
      </c>
      <c r="G31" s="407" t="s">
        <v>180</v>
      </c>
    </row>
    <row r="32" ht="14.25" spans="1:7">
      <c r="A32" s="404">
        <v>31</v>
      </c>
      <c r="B32" s="405" t="s">
        <v>122</v>
      </c>
      <c r="C32" s="402"/>
      <c r="D32" s="406">
        <v>21009</v>
      </c>
      <c r="E32" s="406">
        <v>16</v>
      </c>
      <c r="F32" s="407" t="s">
        <v>181</v>
      </c>
      <c r="G32" s="407" t="s">
        <v>182</v>
      </c>
    </row>
    <row r="33" ht="14.25" spans="1:7">
      <c r="A33" s="404">
        <v>32</v>
      </c>
      <c r="B33" s="405" t="s">
        <v>122</v>
      </c>
      <c r="C33" s="402"/>
      <c r="D33" s="406">
        <v>21009</v>
      </c>
      <c r="E33" s="406">
        <v>18</v>
      </c>
      <c r="F33" s="407" t="s">
        <v>183</v>
      </c>
      <c r="G33" s="407" t="s">
        <v>184</v>
      </c>
    </row>
    <row r="34" ht="14.25" spans="1:7">
      <c r="A34" s="401">
        <v>33</v>
      </c>
      <c r="B34" s="413" t="s">
        <v>133</v>
      </c>
      <c r="C34" s="402" t="s">
        <v>134</v>
      </c>
      <c r="D34" s="411">
        <v>21009</v>
      </c>
      <c r="E34" s="411">
        <v>5</v>
      </c>
      <c r="F34" s="412" t="s">
        <v>185</v>
      </c>
      <c r="G34" s="412" t="s">
        <v>186</v>
      </c>
    </row>
    <row r="35" ht="14.25" spans="1:7">
      <c r="A35" s="401">
        <v>34</v>
      </c>
      <c r="B35" s="413" t="s">
        <v>133</v>
      </c>
      <c r="C35" s="402" t="s">
        <v>134</v>
      </c>
      <c r="D35" s="411">
        <v>21009</v>
      </c>
      <c r="E35" s="411">
        <v>6</v>
      </c>
      <c r="F35" s="412" t="s">
        <v>187</v>
      </c>
      <c r="G35" s="412" t="s">
        <v>188</v>
      </c>
    </row>
    <row r="36" ht="15" spans="1:7">
      <c r="A36" s="401">
        <v>35</v>
      </c>
      <c r="B36" s="413" t="s">
        <v>133</v>
      </c>
      <c r="C36" s="402" t="s">
        <v>134</v>
      </c>
      <c r="D36" s="411">
        <v>29</v>
      </c>
      <c r="E36" s="411">
        <v>16</v>
      </c>
      <c r="F36" s="417" t="s">
        <v>189</v>
      </c>
      <c r="G36" s="418" t="s">
        <v>190</v>
      </c>
    </row>
    <row r="37" ht="14.25" spans="1:7">
      <c r="A37" s="401">
        <v>36</v>
      </c>
      <c r="B37" s="413" t="s">
        <v>133</v>
      </c>
      <c r="C37" s="402" t="s">
        <v>134</v>
      </c>
      <c r="D37" s="411">
        <v>29</v>
      </c>
      <c r="E37" s="411">
        <v>18</v>
      </c>
      <c r="F37" s="412" t="s">
        <v>191</v>
      </c>
      <c r="G37" s="412" t="s">
        <v>192</v>
      </c>
    </row>
    <row r="38" ht="14.25" spans="1:7">
      <c r="A38" s="404">
        <v>37</v>
      </c>
      <c r="B38" s="405" t="s">
        <v>122</v>
      </c>
      <c r="C38" s="402"/>
      <c r="D38" s="406">
        <v>29</v>
      </c>
      <c r="E38" s="406">
        <v>2</v>
      </c>
      <c r="F38" s="407" t="s">
        <v>193</v>
      </c>
      <c r="G38" s="407" t="s">
        <v>194</v>
      </c>
    </row>
    <row r="39" ht="14.25" spans="1:7">
      <c r="A39" s="401">
        <v>38</v>
      </c>
      <c r="B39" s="413" t="s">
        <v>133</v>
      </c>
      <c r="C39" s="402" t="s">
        <v>134</v>
      </c>
      <c r="D39" s="411">
        <v>21012</v>
      </c>
      <c r="E39" s="403">
        <v>4</v>
      </c>
      <c r="F39" s="412" t="s">
        <v>195</v>
      </c>
      <c r="G39" s="412" t="s">
        <v>195</v>
      </c>
    </row>
    <row r="40" ht="14.25" spans="1:7">
      <c r="A40" s="401">
        <v>39</v>
      </c>
      <c r="B40" s="413" t="s">
        <v>133</v>
      </c>
      <c r="C40" s="402" t="s">
        <v>134</v>
      </c>
      <c r="D40" s="411">
        <v>21012</v>
      </c>
      <c r="E40" s="403">
        <v>3</v>
      </c>
      <c r="F40" s="412" t="s">
        <v>196</v>
      </c>
      <c r="G40" s="412" t="s">
        <v>196</v>
      </c>
    </row>
    <row r="41" ht="14.25" spans="1:7">
      <c r="A41" s="404">
        <v>40</v>
      </c>
      <c r="B41" s="405" t="s">
        <v>122</v>
      </c>
      <c r="C41" s="402"/>
      <c r="D41" s="406">
        <v>21012</v>
      </c>
      <c r="E41" s="416">
        <v>6</v>
      </c>
      <c r="F41" s="407" t="s">
        <v>197</v>
      </c>
      <c r="G41" s="407" t="s">
        <v>198</v>
      </c>
    </row>
    <row r="42" ht="14.25" spans="1:7">
      <c r="A42" s="401">
        <v>41</v>
      </c>
      <c r="B42" s="413" t="s">
        <v>133</v>
      </c>
      <c r="C42" s="402" t="s">
        <v>134</v>
      </c>
      <c r="D42" s="411">
        <v>21013</v>
      </c>
      <c r="E42" s="403">
        <v>4</v>
      </c>
      <c r="F42" s="412" t="s">
        <v>199</v>
      </c>
      <c r="G42" s="412" t="s">
        <v>199</v>
      </c>
    </row>
    <row r="43" ht="14.25" spans="1:7">
      <c r="A43" s="401">
        <v>42</v>
      </c>
      <c r="B43" s="413" t="s">
        <v>133</v>
      </c>
      <c r="C43" s="402" t="s">
        <v>134</v>
      </c>
      <c r="D43" s="411">
        <v>21013</v>
      </c>
      <c r="E43" s="403">
        <v>3</v>
      </c>
      <c r="F43" s="412" t="s">
        <v>200</v>
      </c>
      <c r="G43" s="412" t="s">
        <v>200</v>
      </c>
    </row>
    <row r="44" ht="14.25" spans="1:7">
      <c r="A44" s="404">
        <v>43</v>
      </c>
      <c r="B44" s="405" t="s">
        <v>122</v>
      </c>
      <c r="C44" s="402"/>
      <c r="D44" s="406">
        <v>21013</v>
      </c>
      <c r="E44" s="416">
        <v>6</v>
      </c>
      <c r="F44" s="407" t="s">
        <v>201</v>
      </c>
      <c r="G44" s="407" t="s">
        <v>202</v>
      </c>
    </row>
    <row r="45" ht="14.25" spans="1:7">
      <c r="A45" s="401">
        <v>44</v>
      </c>
      <c r="B45" s="413" t="s">
        <v>133</v>
      </c>
      <c r="C45" s="402" t="s">
        <v>134</v>
      </c>
      <c r="D45" s="411">
        <v>21014</v>
      </c>
      <c r="E45" s="403">
        <v>4</v>
      </c>
      <c r="F45" s="412" t="s">
        <v>203</v>
      </c>
      <c r="G45" s="412" t="s">
        <v>203</v>
      </c>
    </row>
    <row r="46" ht="14.25" spans="1:7">
      <c r="A46" s="401">
        <v>45</v>
      </c>
      <c r="B46" s="413" t="s">
        <v>133</v>
      </c>
      <c r="C46" s="402" t="s">
        <v>134</v>
      </c>
      <c r="D46" s="411">
        <v>21014</v>
      </c>
      <c r="E46" s="403">
        <v>3</v>
      </c>
      <c r="F46" s="412" t="s">
        <v>204</v>
      </c>
      <c r="G46" s="412" t="s">
        <v>204</v>
      </c>
    </row>
    <row r="47" ht="14.25" spans="1:7">
      <c r="A47" s="404">
        <v>46</v>
      </c>
      <c r="B47" s="405" t="s">
        <v>122</v>
      </c>
      <c r="C47" s="402"/>
      <c r="D47" s="406">
        <v>21014</v>
      </c>
      <c r="E47" s="416">
        <v>6</v>
      </c>
      <c r="F47" s="407" t="s">
        <v>205</v>
      </c>
      <c r="G47" s="407" t="s">
        <v>206</v>
      </c>
    </row>
    <row r="48" ht="14.25" spans="1:7">
      <c r="A48" s="401">
        <v>47</v>
      </c>
      <c r="B48" s="409" t="s">
        <v>124</v>
      </c>
      <c r="C48" s="410" t="s">
        <v>134</v>
      </c>
      <c r="D48" s="411">
        <v>21015</v>
      </c>
      <c r="E48" s="403">
        <v>4</v>
      </c>
      <c r="F48" s="412" t="s">
        <v>207</v>
      </c>
      <c r="G48" s="412" t="s">
        <v>207</v>
      </c>
    </row>
    <row r="49" ht="14.25" spans="1:7">
      <c r="A49" s="401">
        <v>48</v>
      </c>
      <c r="B49" s="413" t="s">
        <v>133</v>
      </c>
      <c r="C49" s="410" t="s">
        <v>134</v>
      </c>
      <c r="D49" s="411">
        <v>21015</v>
      </c>
      <c r="E49" s="403">
        <v>3</v>
      </c>
      <c r="F49" s="412" t="s">
        <v>208</v>
      </c>
      <c r="G49" s="412" t="s">
        <v>208</v>
      </c>
    </row>
    <row r="50" ht="14.25" spans="1:7">
      <c r="A50" s="404">
        <v>49</v>
      </c>
      <c r="B50" s="405" t="s">
        <v>122</v>
      </c>
      <c r="C50" s="402"/>
      <c r="D50" s="406">
        <v>21015</v>
      </c>
      <c r="E50" s="416">
        <v>6</v>
      </c>
      <c r="F50" s="407" t="s">
        <v>209</v>
      </c>
      <c r="G50" s="407" t="s">
        <v>210</v>
      </c>
    </row>
    <row r="51" ht="14.25" spans="1:7">
      <c r="A51" s="404">
        <v>50</v>
      </c>
      <c r="B51" s="405" t="s">
        <v>122</v>
      </c>
      <c r="C51" s="402"/>
      <c r="D51" s="406">
        <v>630</v>
      </c>
      <c r="E51" s="406">
        <v>12</v>
      </c>
      <c r="F51" s="407" t="s">
        <v>211</v>
      </c>
      <c r="G51" s="407" t="s">
        <v>211</v>
      </c>
    </row>
    <row r="52" ht="14.25" spans="1:7">
      <c r="A52" s="401">
        <v>51</v>
      </c>
      <c r="B52" s="409" t="s">
        <v>124</v>
      </c>
      <c r="C52" s="410" t="s">
        <v>125</v>
      </c>
      <c r="D52" s="411">
        <v>21016</v>
      </c>
      <c r="E52" s="411">
        <v>12</v>
      </c>
      <c r="F52" s="412" t="s">
        <v>212</v>
      </c>
      <c r="G52" s="412" t="s">
        <v>212</v>
      </c>
    </row>
    <row r="53" ht="14.25" spans="1:7">
      <c r="A53" s="404">
        <v>52</v>
      </c>
      <c r="B53" s="405" t="s">
        <v>122</v>
      </c>
      <c r="C53" s="402"/>
      <c r="D53" s="406">
        <v>21017</v>
      </c>
      <c r="E53" s="406">
        <v>12</v>
      </c>
      <c r="F53" s="407" t="s">
        <v>213</v>
      </c>
      <c r="G53" s="407" t="s">
        <v>213</v>
      </c>
    </row>
    <row r="54" ht="14.25" spans="1:7">
      <c r="A54" s="401">
        <v>53</v>
      </c>
      <c r="B54" s="409" t="s">
        <v>124</v>
      </c>
      <c r="C54" s="410" t="s">
        <v>125</v>
      </c>
      <c r="D54" s="411">
        <v>21018</v>
      </c>
      <c r="E54" s="411">
        <v>12</v>
      </c>
      <c r="F54" s="412" t="s">
        <v>214</v>
      </c>
      <c r="G54" s="412" t="s">
        <v>214</v>
      </c>
    </row>
    <row r="55" ht="14.25" spans="1:7">
      <c r="A55" s="401">
        <v>54</v>
      </c>
      <c r="B55" s="409" t="s">
        <v>124</v>
      </c>
      <c r="C55" s="410" t="s">
        <v>134</v>
      </c>
      <c r="D55" s="411">
        <v>21019</v>
      </c>
      <c r="E55" s="403">
        <v>4</v>
      </c>
      <c r="F55" s="412" t="s">
        <v>215</v>
      </c>
      <c r="G55" s="412" t="s">
        <v>216</v>
      </c>
    </row>
    <row r="56" ht="18" customHeight="1" spans="1:7">
      <c r="A56" s="401">
        <v>55</v>
      </c>
      <c r="B56" s="413" t="s">
        <v>133</v>
      </c>
      <c r="C56" s="402" t="s">
        <v>134</v>
      </c>
      <c r="D56" s="411">
        <v>21019</v>
      </c>
      <c r="E56" s="403">
        <v>3</v>
      </c>
      <c r="F56" s="412" t="s">
        <v>217</v>
      </c>
      <c r="G56" s="412" t="s">
        <v>218</v>
      </c>
    </row>
    <row r="57" ht="14.25" spans="1:7">
      <c r="A57" s="404">
        <v>56</v>
      </c>
      <c r="B57" s="405" t="s">
        <v>122</v>
      </c>
      <c r="C57" s="402"/>
      <c r="D57" s="406">
        <v>21019</v>
      </c>
      <c r="E57" s="416">
        <v>6</v>
      </c>
      <c r="F57" s="407" t="s">
        <v>219</v>
      </c>
      <c r="G57" s="407" t="s">
        <v>220</v>
      </c>
    </row>
    <row r="58" ht="14.25" spans="1:7">
      <c r="A58" s="401">
        <v>57</v>
      </c>
      <c r="B58" s="413" t="s">
        <v>133</v>
      </c>
      <c r="C58" s="402" t="s">
        <v>134</v>
      </c>
      <c r="D58" s="411">
        <v>21022</v>
      </c>
      <c r="E58" s="403">
        <v>4</v>
      </c>
      <c r="F58" s="412" t="s">
        <v>221</v>
      </c>
      <c r="G58" s="412" t="s">
        <v>221</v>
      </c>
    </row>
    <row r="59" ht="14.25" spans="1:7">
      <c r="A59" s="401">
        <v>58</v>
      </c>
      <c r="B59" s="413" t="s">
        <v>133</v>
      </c>
      <c r="C59" s="402" t="s">
        <v>134</v>
      </c>
      <c r="D59" s="411">
        <v>21022</v>
      </c>
      <c r="E59" s="403">
        <v>3</v>
      </c>
      <c r="F59" s="412" t="s">
        <v>222</v>
      </c>
      <c r="G59" s="412" t="s">
        <v>222</v>
      </c>
    </row>
    <row r="60" ht="14.25" spans="1:7">
      <c r="A60" s="404">
        <v>59</v>
      </c>
      <c r="B60" s="405" t="s">
        <v>122</v>
      </c>
      <c r="C60" s="402"/>
      <c r="D60" s="406">
        <v>21022</v>
      </c>
      <c r="E60" s="416">
        <v>6</v>
      </c>
      <c r="F60" s="407" t="s">
        <v>223</v>
      </c>
      <c r="G60" s="407" t="s">
        <v>224</v>
      </c>
    </row>
    <row r="61" ht="14.25" spans="1:7">
      <c r="A61" s="404">
        <v>60</v>
      </c>
      <c r="B61" s="405" t="s">
        <v>122</v>
      </c>
      <c r="C61" s="402"/>
      <c r="D61" s="406">
        <v>21056</v>
      </c>
      <c r="E61" s="406">
        <v>16</v>
      </c>
      <c r="F61" s="407" t="s">
        <v>225</v>
      </c>
      <c r="G61" s="407" t="s">
        <v>226</v>
      </c>
    </row>
    <row r="62" ht="14.25" spans="1:7">
      <c r="A62" s="404">
        <v>61</v>
      </c>
      <c r="B62" s="405" t="s">
        <v>122</v>
      </c>
      <c r="C62" s="402"/>
      <c r="D62" s="406">
        <v>21056</v>
      </c>
      <c r="E62" s="406">
        <v>18</v>
      </c>
      <c r="F62" s="407" t="s">
        <v>227</v>
      </c>
      <c r="G62" s="407" t="s">
        <v>228</v>
      </c>
    </row>
    <row r="63" ht="14.25" spans="1:7">
      <c r="A63" s="401">
        <v>62</v>
      </c>
      <c r="B63" s="413" t="s">
        <v>133</v>
      </c>
      <c r="C63" s="402" t="s">
        <v>134</v>
      </c>
      <c r="D63" s="411">
        <v>21056</v>
      </c>
      <c r="E63" s="411">
        <v>5</v>
      </c>
      <c r="F63" s="412" t="s">
        <v>229</v>
      </c>
      <c r="G63" s="412" t="s">
        <v>230</v>
      </c>
    </row>
    <row r="64" ht="14.25" spans="1:7">
      <c r="A64" s="401">
        <v>63</v>
      </c>
      <c r="B64" s="413" t="s">
        <v>133</v>
      </c>
      <c r="C64" s="402" t="s">
        <v>134</v>
      </c>
      <c r="D64" s="411">
        <v>21056</v>
      </c>
      <c r="E64" s="411">
        <v>6</v>
      </c>
      <c r="F64" s="412" t="s">
        <v>231</v>
      </c>
      <c r="G64" s="412" t="s">
        <v>232</v>
      </c>
    </row>
    <row r="65" ht="15" spans="1:7">
      <c r="A65" s="401">
        <v>64</v>
      </c>
      <c r="B65" s="413" t="s">
        <v>133</v>
      </c>
      <c r="C65" s="402" t="s">
        <v>134</v>
      </c>
      <c r="D65" s="411">
        <v>21067</v>
      </c>
      <c r="E65" s="411">
        <v>16</v>
      </c>
      <c r="F65" s="417" t="s">
        <v>233</v>
      </c>
      <c r="G65" s="418" t="s">
        <v>234</v>
      </c>
    </row>
    <row r="66" ht="14.25" spans="1:7">
      <c r="A66" s="401">
        <v>65</v>
      </c>
      <c r="B66" s="413" t="s">
        <v>133</v>
      </c>
      <c r="C66" s="402" t="s">
        <v>134</v>
      </c>
      <c r="D66" s="411">
        <v>21067</v>
      </c>
      <c r="E66" s="411">
        <v>18</v>
      </c>
      <c r="F66" s="412" t="s">
        <v>235</v>
      </c>
      <c r="G66" s="412" t="s">
        <v>236</v>
      </c>
    </row>
    <row r="67" ht="14.25" spans="1:7">
      <c r="A67" s="404">
        <v>66</v>
      </c>
      <c r="B67" s="405" t="s">
        <v>122</v>
      </c>
      <c r="C67" s="402"/>
      <c r="D67" s="406">
        <v>21067</v>
      </c>
      <c r="E67" s="406">
        <v>2</v>
      </c>
      <c r="F67" s="407" t="s">
        <v>237</v>
      </c>
      <c r="G67" s="407" t="s">
        <v>238</v>
      </c>
    </row>
    <row r="68" ht="14.25" spans="1:8">
      <c r="A68" s="425">
        <v>67</v>
      </c>
      <c r="B68" s="413" t="s">
        <v>239</v>
      </c>
      <c r="C68" s="402" t="s">
        <v>240</v>
      </c>
      <c r="D68" s="426">
        <v>522111</v>
      </c>
      <c r="E68" s="426">
        <v>18</v>
      </c>
      <c r="F68" s="427" t="s">
        <v>241</v>
      </c>
      <c r="G68" s="427" t="s">
        <v>242</v>
      </c>
      <c r="H68" s="428" t="s">
        <v>243</v>
      </c>
    </row>
    <row r="69" ht="14.25" spans="1:8">
      <c r="A69" s="425">
        <v>68</v>
      </c>
      <c r="B69" s="413" t="s">
        <v>239</v>
      </c>
      <c r="C69" s="402" t="s">
        <v>240</v>
      </c>
      <c r="D69" s="426">
        <v>522112</v>
      </c>
      <c r="E69" s="426">
        <v>18</v>
      </c>
      <c r="F69" s="427" t="s">
        <v>244</v>
      </c>
      <c r="G69" s="427" t="s">
        <v>244</v>
      </c>
      <c r="H69" s="428" t="s">
        <v>243</v>
      </c>
    </row>
    <row r="70" ht="14.25" spans="1:8">
      <c r="A70" s="425">
        <v>69</v>
      </c>
      <c r="B70" s="413" t="s">
        <v>133</v>
      </c>
      <c r="C70" s="402" t="s">
        <v>134</v>
      </c>
      <c r="D70" s="426">
        <v>522115</v>
      </c>
      <c r="E70" s="426">
        <v>12</v>
      </c>
      <c r="F70" s="427" t="s">
        <v>245</v>
      </c>
      <c r="G70" s="427" t="s">
        <v>245</v>
      </c>
      <c r="H70" s="428" t="s">
        <v>243</v>
      </c>
    </row>
    <row r="71" ht="14.25" spans="1:8">
      <c r="A71" s="425">
        <v>70</v>
      </c>
      <c r="B71" s="413" t="s">
        <v>133</v>
      </c>
      <c r="C71" s="402" t="s">
        <v>134</v>
      </c>
      <c r="D71" s="426">
        <v>522116</v>
      </c>
      <c r="E71" s="426">
        <v>12</v>
      </c>
      <c r="F71" s="427" t="s">
        <v>246</v>
      </c>
      <c r="G71" s="427" t="s">
        <v>246</v>
      </c>
      <c r="H71" s="428" t="s">
        <v>243</v>
      </c>
    </row>
    <row r="72" ht="14.25" spans="1:8">
      <c r="A72" s="425">
        <v>71</v>
      </c>
      <c r="B72" s="413" t="s">
        <v>133</v>
      </c>
      <c r="C72" s="402" t="s">
        <v>134</v>
      </c>
      <c r="D72" s="426">
        <v>522117</v>
      </c>
      <c r="E72" s="426">
        <v>12</v>
      </c>
      <c r="F72" s="427" t="s">
        <v>247</v>
      </c>
      <c r="G72" s="427" t="s">
        <v>247</v>
      </c>
      <c r="H72" s="428" t="s">
        <v>243</v>
      </c>
    </row>
    <row r="73" ht="14.25" spans="1:8">
      <c r="A73" s="425">
        <v>72</v>
      </c>
      <c r="B73" s="413" t="s">
        <v>133</v>
      </c>
      <c r="C73" s="402" t="s">
        <v>134</v>
      </c>
      <c r="D73" s="426">
        <v>522119</v>
      </c>
      <c r="E73" s="426">
        <v>5</v>
      </c>
      <c r="F73" s="427" t="s">
        <v>248</v>
      </c>
      <c r="G73" s="427" t="s">
        <v>248</v>
      </c>
      <c r="H73" s="428" t="s">
        <v>243</v>
      </c>
    </row>
    <row r="74" ht="14.25" spans="1:8">
      <c r="A74" s="425">
        <v>73</v>
      </c>
      <c r="B74" s="413" t="s">
        <v>133</v>
      </c>
      <c r="C74" s="402" t="s">
        <v>134</v>
      </c>
      <c r="D74" s="426">
        <v>522119</v>
      </c>
      <c r="E74" s="426">
        <v>4</v>
      </c>
      <c r="F74" s="427" t="s">
        <v>249</v>
      </c>
      <c r="G74" s="427" t="s">
        <v>249</v>
      </c>
      <c r="H74" s="428" t="s">
        <v>243</v>
      </c>
    </row>
    <row r="75" ht="14.25" spans="1:8">
      <c r="A75" s="425">
        <v>74</v>
      </c>
      <c r="B75" s="413" t="s">
        <v>133</v>
      </c>
      <c r="C75" s="402" t="s">
        <v>134</v>
      </c>
      <c r="D75" s="426">
        <v>1746</v>
      </c>
      <c r="E75" s="426">
        <v>9</v>
      </c>
      <c r="F75" s="427" t="s">
        <v>250</v>
      </c>
      <c r="G75" s="427" t="s">
        <v>250</v>
      </c>
      <c r="H75" s="428" t="s">
        <v>243</v>
      </c>
    </row>
    <row r="76" ht="14.25" spans="1:8">
      <c r="A76" s="425">
        <v>75</v>
      </c>
      <c r="B76" s="413" t="s">
        <v>133</v>
      </c>
      <c r="C76" s="402" t="s">
        <v>134</v>
      </c>
      <c r="D76" s="426">
        <v>1746</v>
      </c>
      <c r="E76" s="426">
        <v>2</v>
      </c>
      <c r="F76" s="427" t="s">
        <v>251</v>
      </c>
      <c r="G76" s="427" t="s">
        <v>251</v>
      </c>
      <c r="H76" s="428" t="s">
        <v>243</v>
      </c>
    </row>
    <row r="77" ht="14.25" spans="1:8">
      <c r="A77" s="425">
        <v>76</v>
      </c>
      <c r="B77" s="413" t="s">
        <v>133</v>
      </c>
      <c r="C77" s="402" t="s">
        <v>134</v>
      </c>
      <c r="D77" s="426">
        <v>21068</v>
      </c>
      <c r="E77" s="426">
        <v>2</v>
      </c>
      <c r="F77" s="427" t="s">
        <v>252</v>
      </c>
      <c r="G77" s="427" t="s">
        <v>252</v>
      </c>
      <c r="H77" s="428" t="s">
        <v>243</v>
      </c>
    </row>
    <row r="78" ht="14.25" spans="1:8">
      <c r="A78" s="425">
        <v>77</v>
      </c>
      <c r="B78" s="413" t="s">
        <v>133</v>
      </c>
      <c r="C78" s="402" t="s">
        <v>134</v>
      </c>
      <c r="D78" s="426">
        <v>21068</v>
      </c>
      <c r="E78" s="426">
        <v>2</v>
      </c>
      <c r="F78" s="427" t="s">
        <v>253</v>
      </c>
      <c r="G78" s="427" t="s">
        <v>253</v>
      </c>
      <c r="H78" s="428" t="s">
        <v>243</v>
      </c>
    </row>
    <row r="79" ht="14.25" spans="1:8">
      <c r="A79" s="404">
        <v>78</v>
      </c>
      <c r="B79" s="405" t="s">
        <v>122</v>
      </c>
      <c r="C79" s="402"/>
      <c r="D79" s="406">
        <v>522113</v>
      </c>
      <c r="E79" s="406">
        <v>16</v>
      </c>
      <c r="F79" s="407" t="s">
        <v>254</v>
      </c>
      <c r="G79" s="407" t="s">
        <v>254</v>
      </c>
      <c r="H79" s="428" t="s">
        <v>255</v>
      </c>
    </row>
    <row r="80" ht="14.25" spans="1:8">
      <c r="A80" s="404">
        <v>79</v>
      </c>
      <c r="B80" s="405" t="s">
        <v>122</v>
      </c>
      <c r="C80" s="402"/>
      <c r="D80" s="406">
        <v>522114</v>
      </c>
      <c r="E80" s="406">
        <v>18</v>
      </c>
      <c r="F80" s="407" t="s">
        <v>256</v>
      </c>
      <c r="G80" s="407" t="s">
        <v>256</v>
      </c>
      <c r="H80" s="428" t="s">
        <v>255</v>
      </c>
    </row>
    <row r="81" ht="14.25" spans="1:8">
      <c r="A81" s="404">
        <v>80</v>
      </c>
      <c r="B81" s="405" t="s">
        <v>122</v>
      </c>
      <c r="C81" s="402"/>
      <c r="D81" s="406">
        <v>522113</v>
      </c>
      <c r="E81" s="406">
        <v>16</v>
      </c>
      <c r="F81" s="407" t="s">
        <v>257</v>
      </c>
      <c r="G81" s="407" t="s">
        <v>257</v>
      </c>
      <c r="H81" s="428" t="s">
        <v>255</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I63"/>
  <sheetViews>
    <sheetView topLeftCell="A34" workbookViewId="0">
      <selection activeCell="C63" sqref="C63"/>
    </sheetView>
  </sheetViews>
  <sheetFormatPr defaultColWidth="9" defaultRowHeight="13.5"/>
  <cols>
    <col min="3" max="3" width="11" customWidth="1"/>
    <col min="6" max="6" width="50" style="32" customWidth="1"/>
    <col min="7" max="7" width="12.5" customWidth="1"/>
    <col min="8" max="8" width="23.75" customWidth="1"/>
    <col min="9" max="9" width="10.5" customWidth="1"/>
  </cols>
  <sheetData>
    <row r="1" ht="14.25" spans="1:6">
      <c r="A1" s="2" t="s">
        <v>101</v>
      </c>
      <c r="B1" s="376" t="s">
        <v>116</v>
      </c>
      <c r="C1" s="377" t="s">
        <v>117</v>
      </c>
      <c r="D1" s="2" t="s">
        <v>104</v>
      </c>
      <c r="E1" s="3" t="s">
        <v>105</v>
      </c>
      <c r="F1" s="4" t="s">
        <v>258</v>
      </c>
    </row>
    <row r="2" ht="17.25" spans="1:9">
      <c r="A2" s="2">
        <v>1</v>
      </c>
      <c r="B2" s="378" t="s">
        <v>133</v>
      </c>
      <c r="C2" s="379" t="s">
        <v>259</v>
      </c>
      <c r="D2" s="2">
        <v>521400</v>
      </c>
      <c r="E2" s="2">
        <v>23</v>
      </c>
      <c r="F2" s="232" t="s">
        <v>260</v>
      </c>
      <c r="H2" s="380" t="s">
        <v>261</v>
      </c>
      <c r="I2" s="380">
        <v>20211230</v>
      </c>
    </row>
    <row r="3" ht="17.25" spans="1:6">
      <c r="A3" s="2">
        <v>2</v>
      </c>
      <c r="B3" s="378" t="s">
        <v>133</v>
      </c>
      <c r="C3" s="379" t="s">
        <v>259</v>
      </c>
      <c r="D3" s="2">
        <v>521401</v>
      </c>
      <c r="E3" s="2">
        <v>5</v>
      </c>
      <c r="F3" s="232" t="s">
        <v>262</v>
      </c>
    </row>
    <row r="4" ht="17.25" spans="1:7">
      <c r="A4" s="2">
        <v>3</v>
      </c>
      <c r="B4" s="378" t="s">
        <v>133</v>
      </c>
      <c r="C4" s="379" t="s">
        <v>259</v>
      </c>
      <c r="D4" s="89">
        <v>521401</v>
      </c>
      <c r="E4" s="89">
        <v>1</v>
      </c>
      <c r="F4" s="9" t="s">
        <v>263</v>
      </c>
      <c r="G4" t="s">
        <v>264</v>
      </c>
    </row>
    <row r="5" ht="17.25" spans="1:7">
      <c r="A5" s="2">
        <v>4</v>
      </c>
      <c r="B5" s="378" t="s">
        <v>133</v>
      </c>
      <c r="C5" s="379" t="s">
        <v>259</v>
      </c>
      <c r="D5" s="89">
        <v>521401</v>
      </c>
      <c r="E5" s="89">
        <v>0</v>
      </c>
      <c r="F5" s="9" t="s">
        <v>265</v>
      </c>
      <c r="G5" t="s">
        <v>264</v>
      </c>
    </row>
    <row r="6" ht="17.25" spans="1:7">
      <c r="A6" s="2">
        <v>5</v>
      </c>
      <c r="B6" s="378" t="s">
        <v>133</v>
      </c>
      <c r="C6" s="379" t="s">
        <v>259</v>
      </c>
      <c r="D6" s="89">
        <v>521401</v>
      </c>
      <c r="E6" s="89">
        <v>25</v>
      </c>
      <c r="F6" s="9" t="s">
        <v>266</v>
      </c>
      <c r="G6" t="s">
        <v>264</v>
      </c>
    </row>
    <row r="7" ht="17.25" spans="1:7">
      <c r="A7" s="2">
        <v>6</v>
      </c>
      <c r="B7" s="378" t="s">
        <v>133</v>
      </c>
      <c r="C7" s="379" t="s">
        <v>259</v>
      </c>
      <c r="D7" s="89">
        <v>521401</v>
      </c>
      <c r="E7" s="89">
        <v>20</v>
      </c>
      <c r="F7" s="9" t="s">
        <v>267</v>
      </c>
      <c r="G7" t="s">
        <v>264</v>
      </c>
    </row>
    <row r="8" ht="17.25" spans="1:7">
      <c r="A8" s="2">
        <v>7</v>
      </c>
      <c r="B8" s="378" t="s">
        <v>133</v>
      </c>
      <c r="C8" s="379" t="s">
        <v>134</v>
      </c>
      <c r="D8" s="2">
        <v>521401</v>
      </c>
      <c r="E8" s="2">
        <v>12</v>
      </c>
      <c r="F8" s="232" t="s">
        <v>268</v>
      </c>
      <c r="G8" t="s">
        <v>264</v>
      </c>
    </row>
    <row r="9" ht="17.25" spans="1:7">
      <c r="A9" s="2">
        <v>8</v>
      </c>
      <c r="B9" s="378" t="s">
        <v>133</v>
      </c>
      <c r="C9" s="379" t="s">
        <v>134</v>
      </c>
      <c r="D9" s="89">
        <v>521401</v>
      </c>
      <c r="E9" s="89">
        <v>19</v>
      </c>
      <c r="F9" s="9" t="s">
        <v>269</v>
      </c>
      <c r="G9" t="s">
        <v>264</v>
      </c>
    </row>
    <row r="10" ht="14.25" spans="1:7">
      <c r="A10" s="366">
        <v>9</v>
      </c>
      <c r="B10" s="381" t="s">
        <v>122</v>
      </c>
      <c r="C10" s="382"/>
      <c r="D10" s="366">
        <v>521401</v>
      </c>
      <c r="E10" s="366">
        <v>16</v>
      </c>
      <c r="F10" s="231" t="s">
        <v>270</v>
      </c>
      <c r="G10" t="s">
        <v>264</v>
      </c>
    </row>
    <row r="11" ht="14.25" spans="1:7">
      <c r="A11" s="366">
        <v>10</v>
      </c>
      <c r="B11" s="381" t="s">
        <v>122</v>
      </c>
      <c r="C11" s="382"/>
      <c r="D11" s="366">
        <v>521401</v>
      </c>
      <c r="E11" s="366">
        <v>6</v>
      </c>
      <c r="F11" s="231" t="s">
        <v>271</v>
      </c>
      <c r="G11" t="s">
        <v>264</v>
      </c>
    </row>
    <row r="12" ht="14.25" spans="1:7">
      <c r="A12" s="366">
        <v>11</v>
      </c>
      <c r="B12" s="381" t="s">
        <v>122</v>
      </c>
      <c r="C12" s="382"/>
      <c r="D12" s="366">
        <v>521401</v>
      </c>
      <c r="E12" s="366">
        <v>3</v>
      </c>
      <c r="F12" s="231" t="s">
        <v>272</v>
      </c>
      <c r="G12" t="s">
        <v>264</v>
      </c>
    </row>
    <row r="13" ht="14.25" spans="1:7">
      <c r="A13" s="366">
        <v>12</v>
      </c>
      <c r="B13" s="381" t="s">
        <v>122</v>
      </c>
      <c r="C13" s="382"/>
      <c r="D13" s="366">
        <v>521401</v>
      </c>
      <c r="E13" s="366">
        <v>4</v>
      </c>
      <c r="F13" s="231" t="s">
        <v>273</v>
      </c>
      <c r="G13" t="s">
        <v>264</v>
      </c>
    </row>
    <row r="14" ht="14.25" spans="1:7">
      <c r="A14" s="366">
        <v>13</v>
      </c>
      <c r="B14" s="381" t="s">
        <v>122</v>
      </c>
      <c r="C14" s="382"/>
      <c r="D14" s="366">
        <v>521401</v>
      </c>
      <c r="E14" s="366">
        <v>26</v>
      </c>
      <c r="F14" s="231" t="s">
        <v>274</v>
      </c>
      <c r="G14" t="s">
        <v>264</v>
      </c>
    </row>
    <row r="15" ht="17.25" spans="1:7">
      <c r="A15" s="2">
        <v>14</v>
      </c>
      <c r="B15" s="378" t="s">
        <v>133</v>
      </c>
      <c r="C15" s="379" t="s">
        <v>134</v>
      </c>
      <c r="D15" s="89">
        <v>521401</v>
      </c>
      <c r="E15" s="89">
        <v>21</v>
      </c>
      <c r="F15" s="9" t="s">
        <v>275</v>
      </c>
      <c r="G15" t="s">
        <v>264</v>
      </c>
    </row>
    <row r="16" ht="17.25" spans="1:7">
      <c r="A16" s="2">
        <v>15</v>
      </c>
      <c r="B16" s="378" t="s">
        <v>133</v>
      </c>
      <c r="C16" s="379" t="s">
        <v>134</v>
      </c>
      <c r="D16" s="89">
        <v>521401</v>
      </c>
      <c r="E16" s="89">
        <v>22</v>
      </c>
      <c r="F16" s="9" t="s">
        <v>276</v>
      </c>
      <c r="G16" t="s">
        <v>264</v>
      </c>
    </row>
    <row r="17" ht="17.25" spans="1:7">
      <c r="A17" s="2">
        <v>16</v>
      </c>
      <c r="B17" s="378" t="s">
        <v>133</v>
      </c>
      <c r="C17" s="379" t="s">
        <v>134</v>
      </c>
      <c r="D17" s="2">
        <v>521402</v>
      </c>
      <c r="E17" s="2">
        <v>12</v>
      </c>
      <c r="F17" s="232" t="s">
        <v>277</v>
      </c>
      <c r="G17" t="s">
        <v>264</v>
      </c>
    </row>
    <row r="18" ht="14.25" spans="1:7">
      <c r="A18" s="366">
        <v>17</v>
      </c>
      <c r="B18" s="381" t="s">
        <v>122</v>
      </c>
      <c r="C18" s="382"/>
      <c r="D18" s="366">
        <v>521402</v>
      </c>
      <c r="E18" s="366">
        <v>6</v>
      </c>
      <c r="F18" s="231" t="s">
        <v>278</v>
      </c>
      <c r="G18" t="s">
        <v>264</v>
      </c>
    </row>
    <row r="19" ht="14.25" spans="1:7">
      <c r="A19" s="366">
        <v>18</v>
      </c>
      <c r="B19" s="381" t="s">
        <v>122</v>
      </c>
      <c r="C19" s="382"/>
      <c r="D19" s="366">
        <v>521402</v>
      </c>
      <c r="E19" s="366">
        <v>3</v>
      </c>
      <c r="F19" s="231" t="s">
        <v>279</v>
      </c>
      <c r="G19" t="s">
        <v>264</v>
      </c>
    </row>
    <row r="20" ht="14.25" spans="1:7">
      <c r="A20" s="366">
        <v>19</v>
      </c>
      <c r="B20" s="381" t="s">
        <v>122</v>
      </c>
      <c r="C20" s="382"/>
      <c r="D20" s="366">
        <v>521402</v>
      </c>
      <c r="E20" s="366">
        <v>4</v>
      </c>
      <c r="F20" s="231" t="s">
        <v>280</v>
      </c>
      <c r="G20" t="s">
        <v>264</v>
      </c>
    </row>
    <row r="21" ht="17.25" spans="1:7">
      <c r="A21" s="2">
        <v>20</v>
      </c>
      <c r="B21" s="378" t="s">
        <v>133</v>
      </c>
      <c r="C21" s="379" t="s">
        <v>134</v>
      </c>
      <c r="D21" s="89">
        <v>521402</v>
      </c>
      <c r="E21" s="89">
        <v>19</v>
      </c>
      <c r="F21" s="9" t="s">
        <v>281</v>
      </c>
      <c r="G21" t="s">
        <v>264</v>
      </c>
    </row>
    <row r="22" ht="14.25" spans="1:7">
      <c r="A22" s="366">
        <v>21</v>
      </c>
      <c r="B22" s="381" t="s">
        <v>122</v>
      </c>
      <c r="C22" s="382"/>
      <c r="D22" s="366">
        <v>521402</v>
      </c>
      <c r="E22" s="366">
        <v>16</v>
      </c>
      <c r="F22" s="231" t="s">
        <v>282</v>
      </c>
      <c r="G22" t="s">
        <v>264</v>
      </c>
    </row>
    <row r="23" ht="14.25" spans="1:7">
      <c r="A23" s="366">
        <v>22</v>
      </c>
      <c r="B23" s="381" t="s">
        <v>122</v>
      </c>
      <c r="C23" s="382"/>
      <c r="D23" s="366">
        <v>521402</v>
      </c>
      <c r="E23" s="366">
        <v>20</v>
      </c>
      <c r="F23" s="231" t="s">
        <v>283</v>
      </c>
      <c r="G23" t="s">
        <v>264</v>
      </c>
    </row>
    <row r="24" ht="14.25" spans="1:7">
      <c r="A24" s="366">
        <v>23</v>
      </c>
      <c r="B24" s="381" t="s">
        <v>122</v>
      </c>
      <c r="C24" s="382"/>
      <c r="D24" s="366">
        <v>521402</v>
      </c>
      <c r="E24" s="366">
        <v>15</v>
      </c>
      <c r="F24" s="231" t="s">
        <v>284</v>
      </c>
      <c r="G24" t="s">
        <v>264</v>
      </c>
    </row>
    <row r="25" ht="17.25" spans="1:7">
      <c r="A25" s="2">
        <v>24</v>
      </c>
      <c r="B25" s="378" t="s">
        <v>133</v>
      </c>
      <c r="C25" s="379" t="s">
        <v>134</v>
      </c>
      <c r="D25" s="89">
        <v>521402</v>
      </c>
      <c r="E25" s="89">
        <v>10</v>
      </c>
      <c r="F25" s="9" t="s">
        <v>285</v>
      </c>
      <c r="G25" t="s">
        <v>264</v>
      </c>
    </row>
    <row r="26" ht="17.25" spans="1:6">
      <c r="A26" s="2">
        <v>25</v>
      </c>
      <c r="B26" s="378" t="s">
        <v>133</v>
      </c>
      <c r="C26" s="379" t="s">
        <v>134</v>
      </c>
      <c r="D26" s="2">
        <v>521403</v>
      </c>
      <c r="E26" s="2">
        <v>12</v>
      </c>
      <c r="F26" s="232" t="s">
        <v>286</v>
      </c>
    </row>
    <row r="27" ht="17.25" spans="1:6">
      <c r="A27" s="2">
        <v>26</v>
      </c>
      <c r="B27" s="378" t="s">
        <v>133</v>
      </c>
      <c r="C27" s="379" t="s">
        <v>134</v>
      </c>
      <c r="D27" s="2">
        <v>521404</v>
      </c>
      <c r="E27" s="2">
        <v>12</v>
      </c>
      <c r="F27" s="232" t="s">
        <v>287</v>
      </c>
    </row>
    <row r="28" ht="17.25" spans="1:6">
      <c r="A28" s="2">
        <v>27</v>
      </c>
      <c r="B28" s="378" t="s">
        <v>133</v>
      </c>
      <c r="C28" s="379" t="s">
        <v>134</v>
      </c>
      <c r="D28" s="2">
        <v>521405</v>
      </c>
      <c r="E28" s="2">
        <v>12</v>
      </c>
      <c r="F28" s="232" t="s">
        <v>288</v>
      </c>
    </row>
    <row r="29" ht="17.25" spans="1:8">
      <c r="A29" s="2">
        <v>28</v>
      </c>
      <c r="B29" s="378" t="s">
        <v>133</v>
      </c>
      <c r="C29" s="379" t="s">
        <v>134</v>
      </c>
      <c r="D29" s="89">
        <v>521406</v>
      </c>
      <c r="E29" s="89">
        <v>12</v>
      </c>
      <c r="F29" s="9" t="s">
        <v>289</v>
      </c>
      <c r="G29" t="s">
        <v>290</v>
      </c>
      <c r="H29" t="s">
        <v>291</v>
      </c>
    </row>
    <row r="30" ht="17.25" spans="1:6">
      <c r="A30" s="2">
        <v>29</v>
      </c>
      <c r="B30" s="378" t="s">
        <v>133</v>
      </c>
      <c r="C30" s="379" t="s">
        <v>134</v>
      </c>
      <c r="D30" s="269">
        <v>521407</v>
      </c>
      <c r="E30" s="269">
        <v>12</v>
      </c>
      <c r="F30" s="4" t="s">
        <v>292</v>
      </c>
    </row>
    <row r="31" ht="14.25" spans="1:6">
      <c r="A31" s="2">
        <v>30</v>
      </c>
      <c r="B31" s="376"/>
      <c r="C31" s="377"/>
      <c r="D31" s="275">
        <v>521408</v>
      </c>
      <c r="E31" s="275"/>
      <c r="F31" s="293" t="s">
        <v>293</v>
      </c>
    </row>
    <row r="32" ht="14.25" spans="1:7">
      <c r="A32" s="366">
        <v>31</v>
      </c>
      <c r="B32" s="381" t="s">
        <v>122</v>
      </c>
      <c r="C32" s="382"/>
      <c r="D32" s="301">
        <v>521408</v>
      </c>
      <c r="E32" s="301">
        <v>18</v>
      </c>
      <c r="F32" s="383" t="s">
        <v>294</v>
      </c>
      <c r="G32" t="s">
        <v>264</v>
      </c>
    </row>
    <row r="33" ht="14.25" spans="1:7">
      <c r="A33" s="366">
        <v>32</v>
      </c>
      <c r="B33" s="381" t="s">
        <v>122</v>
      </c>
      <c r="C33" s="382"/>
      <c r="D33" s="301">
        <v>521408</v>
      </c>
      <c r="E33" s="301">
        <v>28</v>
      </c>
      <c r="F33" s="383" t="s">
        <v>295</v>
      </c>
      <c r="G33" t="s">
        <v>264</v>
      </c>
    </row>
    <row r="34" ht="17.25" spans="1:6">
      <c r="A34" s="2">
        <v>33</v>
      </c>
      <c r="B34" s="378" t="s">
        <v>133</v>
      </c>
      <c r="C34" s="379" t="s">
        <v>134</v>
      </c>
      <c r="D34" s="269">
        <v>521409</v>
      </c>
      <c r="E34" s="269">
        <v>12</v>
      </c>
      <c r="F34" s="4" t="s">
        <v>296</v>
      </c>
    </row>
    <row r="35" ht="14.25" spans="1:6">
      <c r="A35" s="366">
        <v>34</v>
      </c>
      <c r="B35" s="381" t="s">
        <v>122</v>
      </c>
      <c r="C35" s="382"/>
      <c r="D35" s="301">
        <v>521409</v>
      </c>
      <c r="E35" s="301">
        <v>6</v>
      </c>
      <c r="F35" s="383" t="s">
        <v>297</v>
      </c>
    </row>
    <row r="36" ht="14.25" spans="1:6">
      <c r="A36" s="366">
        <v>35</v>
      </c>
      <c r="B36" s="381" t="s">
        <v>122</v>
      </c>
      <c r="C36" s="382"/>
      <c r="D36" s="301">
        <v>521409</v>
      </c>
      <c r="E36" s="301">
        <v>3</v>
      </c>
      <c r="F36" s="383" t="s">
        <v>298</v>
      </c>
    </row>
    <row r="37" ht="14.25" spans="1:6">
      <c r="A37" s="366">
        <v>36</v>
      </c>
      <c r="B37" s="381" t="s">
        <v>122</v>
      </c>
      <c r="C37" s="382"/>
      <c r="D37" s="301">
        <v>521409</v>
      </c>
      <c r="E37" s="301">
        <v>4</v>
      </c>
      <c r="F37" s="383" t="s">
        <v>299</v>
      </c>
    </row>
    <row r="38" ht="14.25" spans="1:6">
      <c r="A38" s="366">
        <v>37</v>
      </c>
      <c r="B38" s="381" t="s">
        <v>122</v>
      </c>
      <c r="C38" s="382"/>
      <c r="D38" s="301">
        <v>521409</v>
      </c>
      <c r="E38" s="301">
        <v>16</v>
      </c>
      <c r="F38" s="383" t="s">
        <v>300</v>
      </c>
    </row>
    <row r="39" ht="17.25" spans="1:6">
      <c r="A39" s="2">
        <v>38</v>
      </c>
      <c r="B39" s="378" t="s">
        <v>133</v>
      </c>
      <c r="C39" s="379" t="s">
        <v>134</v>
      </c>
      <c r="D39" s="384">
        <v>521409</v>
      </c>
      <c r="E39" s="384">
        <v>21</v>
      </c>
      <c r="F39" s="385" t="s">
        <v>301</v>
      </c>
    </row>
    <row r="40" ht="17.25" spans="1:6">
      <c r="A40" s="2">
        <v>39</v>
      </c>
      <c r="B40" s="378" t="s">
        <v>133</v>
      </c>
      <c r="C40" s="379" t="s">
        <v>134</v>
      </c>
      <c r="D40" s="384">
        <v>521409</v>
      </c>
      <c r="E40" s="384">
        <v>22</v>
      </c>
      <c r="F40" s="385" t="s">
        <v>302</v>
      </c>
    </row>
    <row r="41" ht="34.5" spans="1:6">
      <c r="A41" s="2">
        <v>40</v>
      </c>
      <c r="B41" s="386" t="s">
        <v>239</v>
      </c>
      <c r="C41" s="387" t="s">
        <v>303</v>
      </c>
      <c r="D41" s="2">
        <v>521410</v>
      </c>
      <c r="E41" s="2">
        <v>12</v>
      </c>
      <c r="F41" s="4" t="s">
        <v>304</v>
      </c>
    </row>
    <row r="42" ht="14.25" spans="1:7">
      <c r="A42" s="2">
        <v>41</v>
      </c>
      <c r="B42" s="376"/>
      <c r="C42" s="377"/>
      <c r="D42" s="388">
        <v>521411</v>
      </c>
      <c r="E42" s="388">
        <v>12</v>
      </c>
      <c r="F42" s="389" t="s">
        <v>305</v>
      </c>
      <c r="G42" t="s">
        <v>290</v>
      </c>
    </row>
    <row r="43" ht="17.25" spans="1:6">
      <c r="A43" s="2">
        <v>42</v>
      </c>
      <c r="B43" s="378" t="s">
        <v>133</v>
      </c>
      <c r="C43" s="379" t="s">
        <v>259</v>
      </c>
      <c r="D43" s="2">
        <v>521412</v>
      </c>
      <c r="E43" s="2">
        <v>0</v>
      </c>
      <c r="F43" s="4" t="s">
        <v>306</v>
      </c>
    </row>
    <row r="44" ht="17.25" spans="1:7">
      <c r="A44" s="2">
        <v>43</v>
      </c>
      <c r="B44" s="378" t="s">
        <v>133</v>
      </c>
      <c r="C44" s="379" t="s">
        <v>259</v>
      </c>
      <c r="D44" s="2">
        <v>521413</v>
      </c>
      <c r="E44" s="2">
        <v>0</v>
      </c>
      <c r="F44" s="385" t="s">
        <v>307</v>
      </c>
      <c r="G44" t="s">
        <v>308</v>
      </c>
    </row>
    <row r="45" ht="17.25" spans="1:6">
      <c r="A45" s="2">
        <v>44</v>
      </c>
      <c r="B45" s="378" t="s">
        <v>133</v>
      </c>
      <c r="C45" s="379" t="s">
        <v>259</v>
      </c>
      <c r="D45" s="2">
        <v>521414</v>
      </c>
      <c r="E45" s="2">
        <v>0</v>
      </c>
      <c r="F45" s="4" t="s">
        <v>309</v>
      </c>
    </row>
    <row r="46" ht="17.25" spans="1:6">
      <c r="A46" s="2">
        <v>45</v>
      </c>
      <c r="B46" s="378" t="s">
        <v>133</v>
      </c>
      <c r="C46" s="379" t="s">
        <v>259</v>
      </c>
      <c r="D46" s="2">
        <v>521415</v>
      </c>
      <c r="E46" s="2">
        <v>0</v>
      </c>
      <c r="F46" s="4" t="s">
        <v>310</v>
      </c>
    </row>
    <row r="47" ht="14.25" spans="1:6">
      <c r="A47" s="366">
        <v>46</v>
      </c>
      <c r="B47" s="381" t="s">
        <v>122</v>
      </c>
      <c r="C47" s="382"/>
      <c r="D47" s="366">
        <v>521415</v>
      </c>
      <c r="E47" s="366">
        <v>1</v>
      </c>
      <c r="F47" s="383" t="s">
        <v>311</v>
      </c>
    </row>
    <row r="48" ht="17.25" spans="1:6">
      <c r="A48" s="2">
        <v>47</v>
      </c>
      <c r="B48" s="378" t="s">
        <v>133</v>
      </c>
      <c r="C48" s="379" t="s">
        <v>259</v>
      </c>
      <c r="D48" s="2">
        <v>521415</v>
      </c>
      <c r="E48" s="2">
        <v>23</v>
      </c>
      <c r="F48" s="4" t="s">
        <v>312</v>
      </c>
    </row>
    <row r="49" ht="17.25" spans="1:6">
      <c r="A49" s="2">
        <v>48</v>
      </c>
      <c r="B49" s="378" t="s">
        <v>133</v>
      </c>
      <c r="C49" s="379" t="s">
        <v>259</v>
      </c>
      <c r="D49" s="2">
        <v>521416</v>
      </c>
      <c r="E49" s="2">
        <v>0</v>
      </c>
      <c r="F49" s="4" t="s">
        <v>313</v>
      </c>
    </row>
    <row r="50" ht="14.25" spans="1:6">
      <c r="A50" s="366">
        <v>49</v>
      </c>
      <c r="B50" s="381" t="s">
        <v>122</v>
      </c>
      <c r="C50" s="382"/>
      <c r="D50" s="366">
        <v>521416</v>
      </c>
      <c r="E50" s="366">
        <v>1</v>
      </c>
      <c r="F50" s="231" t="s">
        <v>314</v>
      </c>
    </row>
    <row r="51" ht="17.25" spans="1:6">
      <c r="A51" s="2">
        <v>50</v>
      </c>
      <c r="B51" s="378" t="s">
        <v>133</v>
      </c>
      <c r="C51" s="379" t="s">
        <v>259</v>
      </c>
      <c r="D51" s="2">
        <v>521416</v>
      </c>
      <c r="E51" s="2">
        <v>23</v>
      </c>
      <c r="F51" s="232" t="s">
        <v>315</v>
      </c>
    </row>
    <row r="52" ht="17.25" spans="1:6">
      <c r="A52" s="2">
        <v>51</v>
      </c>
      <c r="B52" s="378" t="s">
        <v>133</v>
      </c>
      <c r="C52" s="379" t="s">
        <v>134</v>
      </c>
      <c r="D52" s="2">
        <v>521417</v>
      </c>
      <c r="E52" s="2">
        <v>1</v>
      </c>
      <c r="F52" s="232" t="s">
        <v>316</v>
      </c>
    </row>
    <row r="53" ht="17.25" spans="1:6">
      <c r="A53" s="2">
        <v>52</v>
      </c>
      <c r="B53" s="378" t="s">
        <v>133</v>
      </c>
      <c r="C53" s="379" t="s">
        <v>259</v>
      </c>
      <c r="D53" s="2">
        <v>521418</v>
      </c>
      <c r="E53" s="2">
        <v>0</v>
      </c>
      <c r="F53" s="232" t="s">
        <v>317</v>
      </c>
    </row>
    <row r="54" ht="17.25" spans="1:6">
      <c r="A54" s="2">
        <v>53</v>
      </c>
      <c r="B54" s="378" t="s">
        <v>133</v>
      </c>
      <c r="C54" s="379" t="s">
        <v>134</v>
      </c>
      <c r="D54" s="2">
        <v>521419</v>
      </c>
      <c r="E54" s="2">
        <v>12</v>
      </c>
      <c r="F54" s="232" t="s">
        <v>318</v>
      </c>
    </row>
    <row r="55" ht="17.25" spans="1:7">
      <c r="A55" s="390">
        <v>54</v>
      </c>
      <c r="B55" s="378" t="s">
        <v>133</v>
      </c>
      <c r="C55" s="379" t="s">
        <v>134</v>
      </c>
      <c r="D55" s="390">
        <v>521414</v>
      </c>
      <c r="E55" s="390">
        <v>19</v>
      </c>
      <c r="F55" s="371" t="s">
        <v>319</v>
      </c>
      <c r="G55" t="s">
        <v>243</v>
      </c>
    </row>
    <row r="56" ht="17.25" spans="1:7">
      <c r="A56" s="390">
        <v>55</v>
      </c>
      <c r="B56" s="378" t="s">
        <v>133</v>
      </c>
      <c r="C56" s="379" t="s">
        <v>134</v>
      </c>
      <c r="D56" s="390">
        <v>521414</v>
      </c>
      <c r="E56" s="390">
        <v>6</v>
      </c>
      <c r="F56" s="371" t="s">
        <v>320</v>
      </c>
      <c r="G56" t="s">
        <v>243</v>
      </c>
    </row>
    <row r="57" ht="17.25" spans="1:7">
      <c r="A57" s="390">
        <v>56</v>
      </c>
      <c r="B57" s="378" t="s">
        <v>133</v>
      </c>
      <c r="C57" s="379" t="s">
        <v>134</v>
      </c>
      <c r="D57" s="390">
        <v>521414</v>
      </c>
      <c r="E57" s="390">
        <v>3</v>
      </c>
      <c r="F57" s="371" t="s">
        <v>321</v>
      </c>
      <c r="G57" t="s">
        <v>243</v>
      </c>
    </row>
    <row r="58" ht="17.25" spans="1:7">
      <c r="A58" s="390">
        <v>57</v>
      </c>
      <c r="B58" s="378" t="s">
        <v>133</v>
      </c>
      <c r="C58" s="379" t="s">
        <v>134</v>
      </c>
      <c r="D58" s="390">
        <v>521414</v>
      </c>
      <c r="E58" s="390">
        <v>4</v>
      </c>
      <c r="F58" s="371" t="s">
        <v>322</v>
      </c>
      <c r="G58" t="s">
        <v>243</v>
      </c>
    </row>
    <row r="59" ht="17.25" spans="1:7">
      <c r="A59" s="390">
        <v>58</v>
      </c>
      <c r="B59" s="378" t="s">
        <v>133</v>
      </c>
      <c r="C59" s="379" t="s">
        <v>134</v>
      </c>
      <c r="D59" s="390">
        <v>521414</v>
      </c>
      <c r="E59" s="390">
        <v>16</v>
      </c>
      <c r="F59" s="371" t="s">
        <v>323</v>
      </c>
      <c r="G59" t="s">
        <v>243</v>
      </c>
    </row>
    <row r="60" ht="17.25" spans="1:7">
      <c r="A60" s="390">
        <v>59</v>
      </c>
      <c r="B60" s="378" t="s">
        <v>133</v>
      </c>
      <c r="C60" s="379" t="s">
        <v>134</v>
      </c>
      <c r="D60" s="390">
        <v>521414</v>
      </c>
      <c r="E60" s="390">
        <v>18</v>
      </c>
      <c r="F60" s="371" t="s">
        <v>324</v>
      </c>
      <c r="G60" t="s">
        <v>243</v>
      </c>
    </row>
    <row r="61" ht="16.5" spans="1:7">
      <c r="A61" s="391">
        <v>60</v>
      </c>
      <c r="B61" s="392" t="s">
        <v>133</v>
      </c>
      <c r="C61" s="393" t="s">
        <v>134</v>
      </c>
      <c r="D61" s="391">
        <v>521414</v>
      </c>
      <c r="E61" s="391">
        <v>23</v>
      </c>
      <c r="F61" s="394" t="s">
        <v>325</v>
      </c>
      <c r="G61" t="s">
        <v>243</v>
      </c>
    </row>
    <row r="62" ht="16.5" spans="1:7">
      <c r="A62" s="390">
        <v>61</v>
      </c>
      <c r="B62" s="395" t="s">
        <v>133</v>
      </c>
      <c r="C62" s="379" t="s">
        <v>134</v>
      </c>
      <c r="D62" s="390">
        <v>521414</v>
      </c>
      <c r="E62" s="390">
        <v>24</v>
      </c>
      <c r="F62" s="371" t="s">
        <v>326</v>
      </c>
      <c r="G62" s="5" t="s">
        <v>243</v>
      </c>
    </row>
    <row r="63" ht="54" spans="1:8">
      <c r="A63" s="390">
        <v>62</v>
      </c>
      <c r="B63" s="396" t="s">
        <v>133</v>
      </c>
      <c r="C63" s="397" t="s">
        <v>134</v>
      </c>
      <c r="D63" s="390">
        <v>521414</v>
      </c>
      <c r="E63" s="390">
        <v>12</v>
      </c>
      <c r="F63" s="398" t="s">
        <v>327</v>
      </c>
      <c r="G63" s="251" t="s">
        <v>328</v>
      </c>
      <c r="H63" t="s">
        <v>329</v>
      </c>
    </row>
  </sheetData>
  <pageMargins left="0.7" right="0.7" top="0.75" bottom="0.75" header="0.3" footer="0.3"/>
  <pageSetup paperSize="9" orientation="portrait"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2:F13"/>
  <sheetViews>
    <sheetView workbookViewId="0">
      <selection activeCell="E42" sqref="E42"/>
    </sheetView>
  </sheetViews>
  <sheetFormatPr defaultColWidth="9" defaultRowHeight="13.5" outlineLevelCol="5"/>
  <cols>
    <col min="2" max="2" width="18" customWidth="1"/>
    <col min="5" max="5" width="48.75" customWidth="1"/>
    <col min="6" max="6" width="38.5" customWidth="1"/>
  </cols>
  <sheetData>
    <row r="2" spans="1:5">
      <c r="A2" s="2" t="s">
        <v>101</v>
      </c>
      <c r="B2" s="2" t="s">
        <v>103</v>
      </c>
      <c r="C2" s="2" t="s">
        <v>104</v>
      </c>
      <c r="D2" s="3" t="s">
        <v>105</v>
      </c>
      <c r="E2" s="269" t="s">
        <v>258</v>
      </c>
    </row>
    <row r="3" ht="16.15" customHeight="1" spans="1:6">
      <c r="A3" s="2">
        <v>1</v>
      </c>
      <c r="B3" s="232" t="s">
        <v>330</v>
      </c>
      <c r="C3" s="2">
        <v>521950</v>
      </c>
      <c r="D3" s="2">
        <v>0</v>
      </c>
      <c r="E3" s="232" t="str">
        <f>"LSCU"&amp;":"&amp;B3&amp;"("&amp;C3&amp;","&amp;D3&amp;")"</f>
        <v>LSCU:输入欠压(521950,0)</v>
      </c>
      <c r="F3" t="s">
        <v>331</v>
      </c>
    </row>
    <row r="4" ht="16.15" customHeight="1" spans="1:6">
      <c r="A4" s="2">
        <v>2</v>
      </c>
      <c r="B4" s="232" t="s">
        <v>332</v>
      </c>
      <c r="C4" s="2">
        <v>521951</v>
      </c>
      <c r="D4" s="2">
        <v>0</v>
      </c>
      <c r="E4" s="232" t="str">
        <f>"LSCU"&amp;":"&amp;B4&amp;"("&amp;C4&amp;","&amp;D4&amp;")"</f>
        <v>LSCU:输入过压(521951,0)</v>
      </c>
      <c r="F4" t="s">
        <v>331</v>
      </c>
    </row>
    <row r="5" ht="16.15" customHeight="1" spans="1:6">
      <c r="A5" s="2">
        <v>3</v>
      </c>
      <c r="B5" s="232" t="s">
        <v>333</v>
      </c>
      <c r="C5" s="2">
        <v>521952</v>
      </c>
      <c r="D5" s="2">
        <v>12</v>
      </c>
      <c r="E5" s="232" t="str">
        <f>"LSCU"&amp;":"&amp;B5&amp;"("&amp;C5&amp;","&amp;D5&amp;")"</f>
        <v>LSCU:EEPROM故障(521952,12)</v>
      </c>
      <c r="F5" t="s">
        <v>331</v>
      </c>
    </row>
    <row r="6" ht="16.15" customHeight="1" spans="1:6">
      <c r="A6" s="2">
        <v>4</v>
      </c>
      <c r="B6" s="232" t="s">
        <v>334</v>
      </c>
      <c r="C6" s="2">
        <v>521953</v>
      </c>
      <c r="D6" s="2">
        <v>0</v>
      </c>
      <c r="E6" s="232" t="str">
        <f t="shared" ref="E6:E13" si="0">"LSCU"&amp;":"&amp;B6&amp;"("&amp;C6&amp;","&amp;D6&amp;")"</f>
        <v>LSCU:过流故障(521953,0)</v>
      </c>
      <c r="F6" t="s">
        <v>331</v>
      </c>
    </row>
    <row r="7" ht="16.15" customHeight="1" spans="1:6">
      <c r="A7" s="2">
        <v>5</v>
      </c>
      <c r="B7" s="232" t="s">
        <v>335</v>
      </c>
      <c r="C7" s="2">
        <v>521954</v>
      </c>
      <c r="D7" s="2">
        <v>0</v>
      </c>
      <c r="E7" s="232" t="str">
        <f t="shared" si="0"/>
        <v>LSCU:过温故障(521954,0)</v>
      </c>
      <c r="F7" t="s">
        <v>331</v>
      </c>
    </row>
    <row r="8" ht="16.15" customHeight="1" spans="1:6">
      <c r="A8" s="2">
        <v>6</v>
      </c>
      <c r="B8" s="232" t="s">
        <v>336</v>
      </c>
      <c r="C8" s="2">
        <v>521955</v>
      </c>
      <c r="D8" s="2">
        <v>0</v>
      </c>
      <c r="E8" s="232" t="str">
        <f t="shared" si="0"/>
        <v>LSCU:过载故障(521955,0)</v>
      </c>
      <c r="F8" t="s">
        <v>331</v>
      </c>
    </row>
    <row r="9" ht="16.15" customHeight="1" spans="1:6">
      <c r="A9" s="2">
        <v>7</v>
      </c>
      <c r="B9" s="232" t="s">
        <v>337</v>
      </c>
      <c r="C9" s="2">
        <v>521956</v>
      </c>
      <c r="D9" s="2">
        <v>8</v>
      </c>
      <c r="E9" s="232" t="str">
        <f t="shared" si="0"/>
        <v>LSCU:输出缺相(521956,8)</v>
      </c>
      <c r="F9" t="s">
        <v>331</v>
      </c>
    </row>
    <row r="10" ht="16.15" customHeight="1" spans="1:6">
      <c r="A10" s="2">
        <v>8</v>
      </c>
      <c r="B10" s="232" t="s">
        <v>338</v>
      </c>
      <c r="C10" s="2">
        <v>521957</v>
      </c>
      <c r="D10" s="2">
        <v>23</v>
      </c>
      <c r="E10" s="232" t="str">
        <f t="shared" si="0"/>
        <v>LSCU:CAN通讯中断故障(521957,23)</v>
      </c>
      <c r="F10" t="s">
        <v>331</v>
      </c>
    </row>
    <row r="11" ht="16.15" customHeight="1" spans="1:6">
      <c r="A11" s="2">
        <v>9</v>
      </c>
      <c r="B11" s="232" t="s">
        <v>339</v>
      </c>
      <c r="C11" s="269">
        <v>521957</v>
      </c>
      <c r="D11" s="269">
        <v>2</v>
      </c>
      <c r="E11" s="232" t="str">
        <f t="shared" si="0"/>
        <v>LSCU:CAN通讯超时故障(521957,2)</v>
      </c>
      <c r="F11" t="s">
        <v>331</v>
      </c>
    </row>
    <row r="12" ht="16.15" customHeight="1" spans="1:6">
      <c r="A12" s="2">
        <v>10</v>
      </c>
      <c r="B12" s="232" t="s">
        <v>340</v>
      </c>
      <c r="C12" s="269">
        <v>521958</v>
      </c>
      <c r="D12" s="269">
        <v>0</v>
      </c>
      <c r="E12" s="232" t="str">
        <f t="shared" si="0"/>
        <v>LSCU:电机过载故障(521958,0)</v>
      </c>
      <c r="F12" t="s">
        <v>331</v>
      </c>
    </row>
    <row r="13" ht="16.15" customHeight="1" spans="1:6">
      <c r="A13" s="2">
        <v>11</v>
      </c>
      <c r="B13" s="232" t="s">
        <v>341</v>
      </c>
      <c r="C13" s="269">
        <v>521959</v>
      </c>
      <c r="D13" s="269">
        <v>0</v>
      </c>
      <c r="E13" s="232" t="str">
        <f t="shared" si="0"/>
        <v>LSCU:电机过温故障(521959,0)</v>
      </c>
      <c r="F13" t="s">
        <v>331</v>
      </c>
    </row>
  </sheetData>
  <pageMargins left="0.7" right="0.7" top="0.75" bottom="0.75" header="0.3" footer="0.3"/>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28"/>
  <sheetViews>
    <sheetView workbookViewId="0">
      <selection activeCell="F33" sqref="F33"/>
    </sheetView>
  </sheetViews>
  <sheetFormatPr defaultColWidth="9" defaultRowHeight="13.5" outlineLevelCol="7"/>
  <cols>
    <col min="1" max="1" width="5.25" customWidth="1"/>
    <col min="2" max="3" width="9" customWidth="1"/>
    <col min="4" max="4" width="23.625" style="32" customWidth="1"/>
    <col min="5" max="5" width="9.5" style="67" customWidth="1"/>
    <col min="6" max="6" width="11.375" style="67" customWidth="1"/>
    <col min="7" max="7" width="41.375" customWidth="1"/>
    <col min="8" max="8" width="23.75" customWidth="1"/>
  </cols>
  <sheetData>
    <row r="1" ht="16.9" customHeight="1"/>
    <row r="2" s="67" customFormat="1" ht="18.6" customHeight="1" spans="1:7">
      <c r="A2" s="2" t="s">
        <v>101</v>
      </c>
      <c r="B2" s="2" t="s">
        <v>116</v>
      </c>
      <c r="C2" s="2" t="s">
        <v>117</v>
      </c>
      <c r="D2" s="2" t="s">
        <v>103</v>
      </c>
      <c r="E2" s="2" t="s">
        <v>104</v>
      </c>
      <c r="F2" s="3" t="s">
        <v>105</v>
      </c>
      <c r="G2" s="296" t="s">
        <v>258</v>
      </c>
    </row>
    <row r="3" ht="18.6" customHeight="1" spans="1:7">
      <c r="A3" s="2">
        <v>1</v>
      </c>
      <c r="B3" s="363" t="s">
        <v>124</v>
      </c>
      <c r="C3" s="7" t="s">
        <v>342</v>
      </c>
      <c r="D3" s="364" t="s">
        <v>343</v>
      </c>
      <c r="E3" s="2">
        <v>521900</v>
      </c>
      <c r="F3" s="2">
        <v>0</v>
      </c>
      <c r="G3" s="232" t="str">
        <f>"HSCU"&amp;":"&amp;D3&amp;"("&amp;E3&amp;","&amp;F3&amp;")"</f>
        <v>HSCU:输入欠压 (521900,0)</v>
      </c>
    </row>
    <row r="4" ht="18.6" customHeight="1" spans="1:7">
      <c r="A4" s="2">
        <v>2</v>
      </c>
      <c r="B4" s="363" t="s">
        <v>124</v>
      </c>
      <c r="C4" s="7" t="s">
        <v>344</v>
      </c>
      <c r="D4" s="364" t="s">
        <v>345</v>
      </c>
      <c r="E4" s="2">
        <v>521901</v>
      </c>
      <c r="F4" s="2">
        <v>0</v>
      </c>
      <c r="G4" s="232" t="str">
        <f t="shared" ref="G4:G27" si="0">"HSCU"&amp;":"&amp;D4&amp;"("&amp;E4&amp;","&amp;F4&amp;")"</f>
        <v>HSCU:输入过压 (521901,0)</v>
      </c>
    </row>
    <row r="5" ht="18.6" customHeight="1" spans="1:7">
      <c r="A5" s="2">
        <v>3</v>
      </c>
      <c r="B5" s="363" t="s">
        <v>124</v>
      </c>
      <c r="C5" s="7" t="s">
        <v>342</v>
      </c>
      <c r="D5" s="365" t="s">
        <v>346</v>
      </c>
      <c r="E5" s="2">
        <v>521902</v>
      </c>
      <c r="F5" s="2">
        <v>12</v>
      </c>
      <c r="G5" s="232" t="str">
        <f t="shared" si="0"/>
        <v>HSCU:EEPROM故障 (521902,12)</v>
      </c>
    </row>
    <row r="6" ht="18.6" customHeight="1" spans="1:7">
      <c r="A6" s="2">
        <v>4</v>
      </c>
      <c r="B6" s="363" t="s">
        <v>124</v>
      </c>
      <c r="C6" s="7" t="s">
        <v>342</v>
      </c>
      <c r="D6" s="364" t="s">
        <v>347</v>
      </c>
      <c r="E6" s="2">
        <v>521903</v>
      </c>
      <c r="F6" s="2">
        <v>0</v>
      </c>
      <c r="G6" s="232" t="str">
        <f t="shared" si="0"/>
        <v>HSCU:过流故障 (521903,0)</v>
      </c>
    </row>
    <row r="7" ht="18.6" customHeight="1" spans="1:7">
      <c r="A7" s="366">
        <v>5</v>
      </c>
      <c r="B7" s="366" t="s">
        <v>348</v>
      </c>
      <c r="C7" s="7"/>
      <c r="D7" s="367" t="s">
        <v>349</v>
      </c>
      <c r="E7" s="366">
        <v>521904</v>
      </c>
      <c r="F7" s="366">
        <v>0</v>
      </c>
      <c r="G7" s="231" t="str">
        <f t="shared" si="0"/>
        <v>HSCU:过温故障 (521904,0)</v>
      </c>
    </row>
    <row r="8" ht="18.6" customHeight="1" spans="1:8">
      <c r="A8" s="366">
        <v>6</v>
      </c>
      <c r="B8" s="366" t="s">
        <v>122</v>
      </c>
      <c r="C8" s="7"/>
      <c r="D8" s="367" t="s">
        <v>350</v>
      </c>
      <c r="E8" s="368">
        <v>521904</v>
      </c>
      <c r="F8" s="368">
        <v>16</v>
      </c>
      <c r="G8" s="231" t="str">
        <f t="shared" si="0"/>
        <v>HSCU:过温报警(521904,16)</v>
      </c>
      <c r="H8" t="s">
        <v>290</v>
      </c>
    </row>
    <row r="9" ht="18.6" customHeight="1" spans="1:7">
      <c r="A9" s="2">
        <v>7</v>
      </c>
      <c r="B9" s="6" t="s">
        <v>133</v>
      </c>
      <c r="C9" s="7" t="s">
        <v>342</v>
      </c>
      <c r="D9" s="364" t="s">
        <v>351</v>
      </c>
      <c r="E9" s="2">
        <v>521905</v>
      </c>
      <c r="F9" s="2">
        <v>0</v>
      </c>
      <c r="G9" s="232" t="str">
        <f t="shared" si="0"/>
        <v>HSCU:控制器过载故障 (521905,0)</v>
      </c>
    </row>
    <row r="10" ht="18.6" customHeight="1" spans="1:7">
      <c r="A10" s="2">
        <v>8</v>
      </c>
      <c r="B10" s="363" t="s">
        <v>124</v>
      </c>
      <c r="C10" s="7" t="s">
        <v>344</v>
      </c>
      <c r="D10" s="364" t="s">
        <v>352</v>
      </c>
      <c r="E10" s="2">
        <v>521906</v>
      </c>
      <c r="F10" s="2">
        <v>8</v>
      </c>
      <c r="G10" s="232" t="str">
        <f t="shared" si="0"/>
        <v>HSCU:输出缺相 (521906,8)</v>
      </c>
    </row>
    <row r="11" ht="18.6" customHeight="1" spans="1:7">
      <c r="A11" s="2">
        <v>9</v>
      </c>
      <c r="B11" s="6" t="s">
        <v>133</v>
      </c>
      <c r="C11" s="7" t="s">
        <v>353</v>
      </c>
      <c r="D11" s="365" t="s">
        <v>354</v>
      </c>
      <c r="E11" s="2">
        <v>521907</v>
      </c>
      <c r="F11" s="2">
        <v>23</v>
      </c>
      <c r="G11" s="232" t="str">
        <f t="shared" si="0"/>
        <v>HSCU:CAN 通讯中断故障 (521907,23)</v>
      </c>
    </row>
    <row r="12" ht="18.6" customHeight="1" spans="1:7">
      <c r="A12" s="2">
        <v>10</v>
      </c>
      <c r="B12" s="6" t="s">
        <v>133</v>
      </c>
      <c r="C12" s="7" t="s">
        <v>353</v>
      </c>
      <c r="D12" s="365" t="s">
        <v>355</v>
      </c>
      <c r="E12" s="269">
        <v>521907</v>
      </c>
      <c r="F12" s="269">
        <v>2</v>
      </c>
      <c r="G12" s="232" t="str">
        <f t="shared" si="0"/>
        <v>HSCU:CAN 通讯超时故障 (521907,2)</v>
      </c>
    </row>
    <row r="13" ht="18.6" customHeight="1" spans="1:7">
      <c r="A13" s="2">
        <v>11</v>
      </c>
      <c r="B13" s="363" t="s">
        <v>124</v>
      </c>
      <c r="C13" s="7" t="s">
        <v>353</v>
      </c>
      <c r="D13" s="364" t="s">
        <v>356</v>
      </c>
      <c r="E13" s="269">
        <v>521908</v>
      </c>
      <c r="F13" s="269">
        <v>0</v>
      </c>
      <c r="G13" s="232" t="str">
        <f t="shared" si="0"/>
        <v>HSCU:电机过载故障 (521908,0)</v>
      </c>
    </row>
    <row r="14" ht="18.6" customHeight="1" spans="1:8">
      <c r="A14" s="2">
        <v>12</v>
      </c>
      <c r="B14" s="363" t="s">
        <v>124</v>
      </c>
      <c r="C14" s="7" t="s">
        <v>342</v>
      </c>
      <c r="D14" s="369" t="s">
        <v>357</v>
      </c>
      <c r="E14" s="370">
        <v>521908</v>
      </c>
      <c r="F14" s="370">
        <v>12</v>
      </c>
      <c r="G14" s="371" t="str">
        <f t="shared" si="0"/>
        <v>HSCU:电流检测（零漂）故障(521908,12)</v>
      </c>
      <c r="H14" t="s">
        <v>358</v>
      </c>
    </row>
    <row r="15" ht="18.6" customHeight="1" spans="1:8">
      <c r="A15" s="2">
        <v>13</v>
      </c>
      <c r="B15" s="363" t="s">
        <v>124</v>
      </c>
      <c r="C15" s="7" t="s">
        <v>342</v>
      </c>
      <c r="D15" s="369" t="s">
        <v>359</v>
      </c>
      <c r="E15" s="370">
        <v>521909</v>
      </c>
      <c r="F15" s="370">
        <v>0</v>
      </c>
      <c r="G15" s="371" t="str">
        <f t="shared" si="0"/>
        <v>HSCU:控制器过温故障 (521909,0)</v>
      </c>
      <c r="H15" t="s">
        <v>358</v>
      </c>
    </row>
    <row r="16" ht="18.6" customHeight="1" spans="1:8">
      <c r="A16" s="2">
        <v>14</v>
      </c>
      <c r="B16" s="363" t="s">
        <v>124</v>
      </c>
      <c r="C16" s="7" t="s">
        <v>344</v>
      </c>
      <c r="D16" s="369" t="s">
        <v>360</v>
      </c>
      <c r="E16" s="370">
        <v>521909</v>
      </c>
      <c r="F16" s="370">
        <v>10</v>
      </c>
      <c r="G16" s="371" t="str">
        <f t="shared" si="0"/>
        <v>HSCU:转速偏差过大 (521909,10)</v>
      </c>
      <c r="H16" t="s">
        <v>358</v>
      </c>
    </row>
    <row r="17" ht="18.6" customHeight="1" spans="1:8">
      <c r="A17" s="2">
        <v>15</v>
      </c>
      <c r="B17" s="6" t="s">
        <v>133</v>
      </c>
      <c r="C17" s="7" t="s">
        <v>353</v>
      </c>
      <c r="D17" s="372" t="s">
        <v>361</v>
      </c>
      <c r="E17" s="373">
        <v>521909</v>
      </c>
      <c r="F17" s="373">
        <v>16</v>
      </c>
      <c r="G17" s="371" t="str">
        <f t="shared" si="0"/>
        <v>HSCU:控制器过温报警(521909,16)</v>
      </c>
      <c r="H17" t="s">
        <v>358</v>
      </c>
    </row>
    <row r="18" ht="18.6" customHeight="1" spans="1:8">
      <c r="A18" s="366">
        <v>16</v>
      </c>
      <c r="B18" s="366" t="s">
        <v>122</v>
      </c>
      <c r="C18" s="7"/>
      <c r="D18" s="374" t="s">
        <v>362</v>
      </c>
      <c r="E18" s="368">
        <v>521910</v>
      </c>
      <c r="F18" s="368">
        <v>12</v>
      </c>
      <c r="G18" s="231" t="str">
        <f t="shared" si="0"/>
        <v>HSCU:PT100 短路 (521910,12)</v>
      </c>
      <c r="H18" t="s">
        <v>358</v>
      </c>
    </row>
    <row r="19" ht="18.6" customHeight="1" spans="1:8">
      <c r="A19" s="366">
        <v>17</v>
      </c>
      <c r="B19" s="366" t="s">
        <v>122</v>
      </c>
      <c r="C19" s="7"/>
      <c r="D19" s="374" t="s">
        <v>363</v>
      </c>
      <c r="E19" s="368">
        <v>521910</v>
      </c>
      <c r="F19" s="368">
        <v>5</v>
      </c>
      <c r="G19" s="231" t="str">
        <f t="shared" si="0"/>
        <v>HSCU:PT100 开路 (521910,5)</v>
      </c>
      <c r="H19" t="s">
        <v>358</v>
      </c>
    </row>
    <row r="20" ht="18.6" customHeight="1" spans="1:8">
      <c r="A20" s="2">
        <v>18</v>
      </c>
      <c r="B20" s="363" t="s">
        <v>124</v>
      </c>
      <c r="C20" s="7" t="s">
        <v>342</v>
      </c>
      <c r="D20" s="369" t="s">
        <v>364</v>
      </c>
      <c r="E20" s="370">
        <v>521911</v>
      </c>
      <c r="F20" s="370">
        <v>0</v>
      </c>
      <c r="G20" s="371" t="str">
        <f t="shared" si="0"/>
        <v>HSCU:超速故障(521911,0)</v>
      </c>
      <c r="H20" t="s">
        <v>358</v>
      </c>
    </row>
    <row r="21" ht="18.6" customHeight="1" spans="1:8">
      <c r="A21" s="2">
        <v>19</v>
      </c>
      <c r="B21" s="363" t="s">
        <v>124</v>
      </c>
      <c r="C21" s="7" t="s">
        <v>342</v>
      </c>
      <c r="D21" s="369" t="s">
        <v>365</v>
      </c>
      <c r="E21" s="370">
        <v>521912</v>
      </c>
      <c r="F21" s="370">
        <v>7</v>
      </c>
      <c r="G21" s="371" t="str">
        <f t="shared" si="0"/>
        <v>HSCU:相间短路故障(521912,7)</v>
      </c>
      <c r="H21" t="s">
        <v>358</v>
      </c>
    </row>
    <row r="22" ht="18.6" customHeight="1" spans="1:8">
      <c r="A22" s="2">
        <v>20</v>
      </c>
      <c r="B22" s="363" t="s">
        <v>124</v>
      </c>
      <c r="C22" s="7" t="s">
        <v>342</v>
      </c>
      <c r="D22" s="369" t="s">
        <v>366</v>
      </c>
      <c r="E22" s="370">
        <v>521913</v>
      </c>
      <c r="F22" s="370">
        <v>7</v>
      </c>
      <c r="G22" s="371" t="str">
        <f t="shared" si="0"/>
        <v>HSCU:失调故障(521913,7)</v>
      </c>
      <c r="H22" t="s">
        <v>358</v>
      </c>
    </row>
    <row r="23" ht="18.6" customHeight="1" spans="1:8">
      <c r="A23" s="2">
        <v>21</v>
      </c>
      <c r="B23" s="363" t="s">
        <v>124</v>
      </c>
      <c r="C23" s="7" t="s">
        <v>342</v>
      </c>
      <c r="D23" s="369" t="s">
        <v>367</v>
      </c>
      <c r="E23" s="370">
        <v>521914</v>
      </c>
      <c r="F23" s="370">
        <v>12</v>
      </c>
      <c r="G23" s="371" t="str">
        <f t="shared" si="0"/>
        <v>HSCU:硬件故障(521914,12)</v>
      </c>
      <c r="H23" t="s">
        <v>358</v>
      </c>
    </row>
    <row r="24" ht="18.6" customHeight="1" spans="1:8">
      <c r="A24" s="2">
        <v>22</v>
      </c>
      <c r="B24" s="6" t="s">
        <v>133</v>
      </c>
      <c r="C24" s="7" t="s">
        <v>368</v>
      </c>
      <c r="D24" s="369" t="s">
        <v>369</v>
      </c>
      <c r="E24" s="370">
        <v>521915</v>
      </c>
      <c r="F24" s="370">
        <v>5</v>
      </c>
      <c r="G24" s="371" t="str">
        <f t="shared" si="0"/>
        <v>HSCU:控制器温度传感器断路故障(521915,5)</v>
      </c>
      <c r="H24" t="s">
        <v>358</v>
      </c>
    </row>
    <row r="25" ht="18.6" customHeight="1" spans="1:8">
      <c r="A25" s="2">
        <v>23</v>
      </c>
      <c r="B25" s="6" t="s">
        <v>133</v>
      </c>
      <c r="C25" s="7" t="s">
        <v>368</v>
      </c>
      <c r="D25" s="369" t="s">
        <v>370</v>
      </c>
      <c r="E25" s="370">
        <v>521915</v>
      </c>
      <c r="F25" s="370">
        <v>6</v>
      </c>
      <c r="G25" s="371" t="str">
        <f t="shared" si="0"/>
        <v>HSCU:控制器温度传感器短路故障(521915,6)</v>
      </c>
      <c r="H25" t="s">
        <v>358</v>
      </c>
    </row>
    <row r="26" ht="18.6" customHeight="1" spans="1:8">
      <c r="A26" s="2">
        <v>24</v>
      </c>
      <c r="B26" s="363" t="s">
        <v>124</v>
      </c>
      <c r="C26" s="7" t="s">
        <v>344</v>
      </c>
      <c r="D26" s="369" t="s">
        <v>371</v>
      </c>
      <c r="E26" s="370">
        <v>521916</v>
      </c>
      <c r="F26" s="370">
        <v>1</v>
      </c>
      <c r="G26" s="371" t="str">
        <f t="shared" si="0"/>
        <v>HSCU:辅助电源欠压(521916,1)</v>
      </c>
      <c r="H26" t="s">
        <v>358</v>
      </c>
    </row>
    <row r="27" ht="18.6" customHeight="1" spans="1:8">
      <c r="A27" s="366">
        <v>25</v>
      </c>
      <c r="B27" s="366" t="s">
        <v>122</v>
      </c>
      <c r="C27" s="7"/>
      <c r="D27" s="367" t="s">
        <v>372</v>
      </c>
      <c r="E27" s="368">
        <v>521916</v>
      </c>
      <c r="F27" s="368">
        <v>16</v>
      </c>
      <c r="G27" s="231" t="str">
        <f t="shared" si="0"/>
        <v>HSCU:辅助电源过压(521916,16)</v>
      </c>
      <c r="H27" t="s">
        <v>358</v>
      </c>
    </row>
    <row r="28" spans="5:8">
      <c r="E28" s="375"/>
      <c r="F28" s="375"/>
      <c r="G28" s="375"/>
      <c r="H28" s="375"/>
    </row>
  </sheetData>
  <pageMargins left="0.7" right="0.7" top="0.75" bottom="0.75" header="0.3" footer="0.3"/>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H78"/>
  <sheetViews>
    <sheetView workbookViewId="0">
      <pane ySplit="1" topLeftCell="A12" activePane="bottomLeft" state="frozen"/>
      <selection/>
      <selection pane="bottomLeft" activeCell="F28" sqref="F28:G29"/>
    </sheetView>
  </sheetViews>
  <sheetFormatPr defaultColWidth="9" defaultRowHeight="13.5" outlineLevelCol="7"/>
  <cols>
    <col min="1" max="1" width="3.875" style="41" customWidth="1"/>
    <col min="2" max="2" width="8.5" style="41" customWidth="1"/>
    <col min="3" max="3" width="49.0916666666667" style="194" customWidth="1"/>
    <col min="4" max="4" width="17.25" style="329" customWidth="1"/>
    <col min="5" max="5" width="5.125" style="41" customWidth="1"/>
    <col min="6" max="6" width="44.7666666666667" style="194" customWidth="1"/>
    <col min="7" max="7" width="73.2166666666667" style="330" customWidth="1"/>
    <col min="8" max="16384" width="9" style="41"/>
  </cols>
  <sheetData>
    <row r="1" s="325" customFormat="1" ht="29.25" spans="1:7">
      <c r="A1" s="331" t="s">
        <v>101</v>
      </c>
      <c r="B1" s="331" t="s">
        <v>373</v>
      </c>
      <c r="C1" s="332" t="s">
        <v>374</v>
      </c>
      <c r="D1" s="165" t="s">
        <v>104</v>
      </c>
      <c r="E1" s="165" t="s">
        <v>105</v>
      </c>
      <c r="F1" s="165" t="s">
        <v>375</v>
      </c>
      <c r="G1" s="333" t="s">
        <v>376</v>
      </c>
    </row>
    <row r="2" ht="15" spans="1:7">
      <c r="A2" s="334">
        <v>1</v>
      </c>
      <c r="B2" s="335">
        <v>9800</v>
      </c>
      <c r="C2" s="333" t="s">
        <v>377</v>
      </c>
      <c r="D2" s="335">
        <v>523000</v>
      </c>
      <c r="E2" s="334">
        <v>3</v>
      </c>
      <c r="F2" s="333" t="s">
        <v>378</v>
      </c>
      <c r="G2" s="333"/>
    </row>
    <row r="3" ht="15" spans="1:7">
      <c r="A3" s="334">
        <v>2</v>
      </c>
      <c r="B3" s="335">
        <v>9801</v>
      </c>
      <c r="C3" s="333" t="s">
        <v>379</v>
      </c>
      <c r="D3" s="335">
        <v>523000</v>
      </c>
      <c r="E3" s="334">
        <v>4</v>
      </c>
      <c r="F3" s="333" t="s">
        <v>380</v>
      </c>
      <c r="G3" s="333"/>
    </row>
    <row r="4" ht="29.25" spans="1:7">
      <c r="A4" s="334">
        <v>5</v>
      </c>
      <c r="B4" s="335">
        <v>9809</v>
      </c>
      <c r="C4" s="333" t="s">
        <v>381</v>
      </c>
      <c r="D4" s="335">
        <v>523004</v>
      </c>
      <c r="E4" s="334">
        <v>3</v>
      </c>
      <c r="F4" s="333" t="s">
        <v>382</v>
      </c>
      <c r="G4" s="336" t="s">
        <v>383</v>
      </c>
    </row>
    <row r="5" ht="29.25" spans="1:7">
      <c r="A5" s="334">
        <v>6</v>
      </c>
      <c r="B5" s="335">
        <v>9810</v>
      </c>
      <c r="C5" s="333" t="s">
        <v>384</v>
      </c>
      <c r="D5" s="335">
        <v>523004</v>
      </c>
      <c r="E5" s="334">
        <v>4</v>
      </c>
      <c r="F5" s="333" t="s">
        <v>385</v>
      </c>
      <c r="G5" s="336" t="s">
        <v>383</v>
      </c>
    </row>
    <row r="6" ht="29.25" spans="1:7">
      <c r="A6" s="334">
        <v>7</v>
      </c>
      <c r="B6" s="335">
        <v>9811</v>
      </c>
      <c r="C6" s="333" t="s">
        <v>386</v>
      </c>
      <c r="D6" s="335">
        <v>523005</v>
      </c>
      <c r="E6" s="334">
        <v>3</v>
      </c>
      <c r="F6" s="333" t="s">
        <v>387</v>
      </c>
      <c r="G6" s="336" t="s">
        <v>383</v>
      </c>
    </row>
    <row r="7" ht="29.25" spans="1:7">
      <c r="A7" s="334">
        <v>8</v>
      </c>
      <c r="B7" s="335">
        <v>9812</v>
      </c>
      <c r="C7" s="333" t="s">
        <v>388</v>
      </c>
      <c r="D7" s="335">
        <v>523005</v>
      </c>
      <c r="E7" s="334">
        <v>4</v>
      </c>
      <c r="F7" s="333" t="s">
        <v>389</v>
      </c>
      <c r="G7" s="336" t="s">
        <v>383</v>
      </c>
    </row>
    <row r="8" ht="15" spans="1:7">
      <c r="A8" s="334">
        <v>11</v>
      </c>
      <c r="B8" s="335">
        <v>9815</v>
      </c>
      <c r="C8" s="333" t="s">
        <v>390</v>
      </c>
      <c r="D8" s="334">
        <v>523007</v>
      </c>
      <c r="E8" s="334">
        <v>12</v>
      </c>
      <c r="F8" s="333" t="s">
        <v>391</v>
      </c>
      <c r="G8" s="333"/>
    </row>
    <row r="9" ht="15" spans="1:7">
      <c r="A9" s="334">
        <v>12</v>
      </c>
      <c r="B9" s="335">
        <v>9816</v>
      </c>
      <c r="C9" s="333" t="s">
        <v>392</v>
      </c>
      <c r="D9" s="334">
        <v>523034</v>
      </c>
      <c r="E9" s="334">
        <v>8</v>
      </c>
      <c r="F9" s="333" t="s">
        <v>393</v>
      </c>
      <c r="G9" s="333"/>
    </row>
    <row r="10" ht="15" spans="1:7">
      <c r="A10" s="334">
        <v>13</v>
      </c>
      <c r="B10" s="335">
        <v>9817</v>
      </c>
      <c r="C10" s="333" t="s">
        <v>394</v>
      </c>
      <c r="D10" s="334">
        <v>523008</v>
      </c>
      <c r="E10" s="334">
        <v>8</v>
      </c>
      <c r="F10" s="333" t="s">
        <v>395</v>
      </c>
      <c r="G10" s="333"/>
    </row>
    <row r="11" ht="15" spans="1:7">
      <c r="A11" s="334">
        <v>14</v>
      </c>
      <c r="B11" s="335">
        <v>9818</v>
      </c>
      <c r="C11" s="333" t="s">
        <v>396</v>
      </c>
      <c r="D11" s="334">
        <v>523009</v>
      </c>
      <c r="E11" s="334">
        <v>8</v>
      </c>
      <c r="F11" s="333" t="s">
        <v>397</v>
      </c>
      <c r="G11" s="333"/>
    </row>
    <row r="12" ht="15" spans="1:7">
      <c r="A12" s="334">
        <v>15</v>
      </c>
      <c r="B12" s="335">
        <v>9819</v>
      </c>
      <c r="C12" s="333" t="s">
        <v>398</v>
      </c>
      <c r="D12" s="334">
        <v>523010</v>
      </c>
      <c r="E12" s="334">
        <v>8</v>
      </c>
      <c r="F12" s="333" t="s">
        <v>399</v>
      </c>
      <c r="G12" s="333"/>
    </row>
    <row r="13" s="326" customFormat="1" ht="15" spans="1:8">
      <c r="A13" s="337">
        <v>21</v>
      </c>
      <c r="B13" s="338">
        <v>9830</v>
      </c>
      <c r="C13" s="339" t="s">
        <v>400</v>
      </c>
      <c r="D13" s="337">
        <v>523020</v>
      </c>
      <c r="E13" s="337">
        <v>12</v>
      </c>
      <c r="F13" s="339" t="s">
        <v>401</v>
      </c>
      <c r="G13" s="339"/>
      <c r="H13" s="326" t="s">
        <v>402</v>
      </c>
    </row>
    <row r="14" s="326" customFormat="1" ht="15" spans="1:8">
      <c r="A14" s="337">
        <v>22</v>
      </c>
      <c r="B14" s="338">
        <v>9832</v>
      </c>
      <c r="C14" s="339" t="s">
        <v>403</v>
      </c>
      <c r="D14" s="337">
        <v>523022</v>
      </c>
      <c r="E14" s="337">
        <v>12</v>
      </c>
      <c r="F14" s="339" t="s">
        <v>404</v>
      </c>
      <c r="G14" s="339"/>
      <c r="H14" s="326" t="s">
        <v>402</v>
      </c>
    </row>
    <row r="15" ht="15" spans="1:7">
      <c r="A15" s="334">
        <v>23</v>
      </c>
      <c r="B15" s="335">
        <v>9833</v>
      </c>
      <c r="C15" s="333" t="s">
        <v>405</v>
      </c>
      <c r="D15" s="334">
        <v>523023</v>
      </c>
      <c r="E15" s="334">
        <v>12</v>
      </c>
      <c r="F15" s="333" t="s">
        <v>406</v>
      </c>
      <c r="G15" s="333"/>
    </row>
    <row r="16" ht="15" spans="1:7">
      <c r="A16" s="334">
        <v>24</v>
      </c>
      <c r="B16" s="335">
        <v>9834</v>
      </c>
      <c r="C16" s="333" t="s">
        <v>407</v>
      </c>
      <c r="D16" s="334">
        <v>523024</v>
      </c>
      <c r="E16" s="334">
        <v>12</v>
      </c>
      <c r="F16" s="333" t="s">
        <v>408</v>
      </c>
      <c r="G16" s="333"/>
    </row>
    <row r="17" ht="15" spans="1:7">
      <c r="A17" s="334">
        <v>25</v>
      </c>
      <c r="B17" s="335">
        <v>9835</v>
      </c>
      <c r="C17" s="333" t="s">
        <v>409</v>
      </c>
      <c r="D17" s="334">
        <v>523025</v>
      </c>
      <c r="E17" s="334">
        <v>12</v>
      </c>
      <c r="F17" s="333" t="s">
        <v>410</v>
      </c>
      <c r="G17" s="333"/>
    </row>
    <row r="18" ht="15" spans="1:7">
      <c r="A18" s="334">
        <v>26</v>
      </c>
      <c r="B18" s="335">
        <v>9836</v>
      </c>
      <c r="C18" s="333" t="s">
        <v>411</v>
      </c>
      <c r="D18" s="334">
        <v>523026</v>
      </c>
      <c r="E18" s="334">
        <v>12</v>
      </c>
      <c r="F18" s="333" t="s">
        <v>412</v>
      </c>
      <c r="G18" s="333"/>
    </row>
    <row r="19" ht="15" spans="1:7">
      <c r="A19" s="334">
        <v>27</v>
      </c>
      <c r="B19" s="335">
        <v>9837</v>
      </c>
      <c r="C19" s="333" t="s">
        <v>413</v>
      </c>
      <c r="D19" s="334">
        <v>523027</v>
      </c>
      <c r="E19" s="334">
        <v>12</v>
      </c>
      <c r="F19" s="333" t="s">
        <v>414</v>
      </c>
      <c r="G19" s="333"/>
    </row>
    <row r="20" ht="15" spans="1:7">
      <c r="A20" s="334">
        <v>28</v>
      </c>
      <c r="B20" s="335">
        <v>9838</v>
      </c>
      <c r="C20" s="333" t="s">
        <v>415</v>
      </c>
      <c r="D20" s="334">
        <v>523028</v>
      </c>
      <c r="E20" s="334">
        <v>12</v>
      </c>
      <c r="F20" s="333" t="s">
        <v>416</v>
      </c>
      <c r="G20" s="333"/>
    </row>
    <row r="21" ht="15" spans="1:7">
      <c r="A21" s="334">
        <v>29</v>
      </c>
      <c r="B21" s="335">
        <v>9839</v>
      </c>
      <c r="C21" s="333" t="s">
        <v>417</v>
      </c>
      <c r="D21" s="334">
        <v>523029</v>
      </c>
      <c r="E21" s="334">
        <v>12</v>
      </c>
      <c r="F21" s="333" t="s">
        <v>418</v>
      </c>
      <c r="G21" s="333"/>
    </row>
    <row r="22" ht="15" spans="1:7">
      <c r="A22" s="334">
        <v>30</v>
      </c>
      <c r="B22" s="335">
        <v>9840</v>
      </c>
      <c r="C22" s="333" t="s">
        <v>419</v>
      </c>
      <c r="D22" s="334">
        <v>523030</v>
      </c>
      <c r="E22" s="334">
        <v>12</v>
      </c>
      <c r="F22" s="333" t="s">
        <v>420</v>
      </c>
      <c r="G22" s="333"/>
    </row>
    <row r="23" ht="15" spans="1:8">
      <c r="A23" s="340"/>
      <c r="B23" s="341"/>
      <c r="C23" s="342" t="s">
        <v>421</v>
      </c>
      <c r="D23" s="340">
        <v>523031</v>
      </c>
      <c r="E23" s="340">
        <v>12</v>
      </c>
      <c r="F23" s="342" t="s">
        <v>422</v>
      </c>
      <c r="G23" s="342"/>
      <c r="H23" s="41" t="s">
        <v>423</v>
      </c>
    </row>
    <row r="24" ht="15" spans="1:8">
      <c r="A24" s="340"/>
      <c r="B24" s="341"/>
      <c r="C24" s="342" t="s">
        <v>424</v>
      </c>
      <c r="D24" s="340">
        <v>523032</v>
      </c>
      <c r="E24" s="340">
        <v>12</v>
      </c>
      <c r="F24" s="342" t="s">
        <v>425</v>
      </c>
      <c r="G24" s="342"/>
      <c r="H24" s="41" t="s">
        <v>423</v>
      </c>
    </row>
    <row r="25" s="327" customFormat="1" ht="15" spans="1:8">
      <c r="A25" s="337">
        <v>31</v>
      </c>
      <c r="B25" s="338">
        <v>9841</v>
      </c>
      <c r="C25" s="339" t="s">
        <v>426</v>
      </c>
      <c r="D25" s="337">
        <v>523031</v>
      </c>
      <c r="E25" s="337">
        <v>0</v>
      </c>
      <c r="F25" s="339" t="s">
        <v>427</v>
      </c>
      <c r="G25" s="339" t="s">
        <v>428</v>
      </c>
      <c r="H25" s="327" t="s">
        <v>402</v>
      </c>
    </row>
    <row r="26" s="327" customFormat="1" ht="15" spans="1:7">
      <c r="A26" s="337">
        <v>32</v>
      </c>
      <c r="B26" s="338">
        <v>9842</v>
      </c>
      <c r="C26" s="339" t="s">
        <v>429</v>
      </c>
      <c r="D26" s="337">
        <v>523032</v>
      </c>
      <c r="E26" s="337">
        <v>0</v>
      </c>
      <c r="F26" s="339" t="s">
        <v>430</v>
      </c>
      <c r="G26" s="339" t="s">
        <v>431</v>
      </c>
    </row>
    <row r="27" ht="15" spans="1:7">
      <c r="A27" s="334">
        <v>33</v>
      </c>
      <c r="B27" s="335">
        <v>9843</v>
      </c>
      <c r="C27" s="333" t="s">
        <v>432</v>
      </c>
      <c r="D27" s="334">
        <v>523033</v>
      </c>
      <c r="E27" s="334">
        <v>8</v>
      </c>
      <c r="F27" s="333" t="s">
        <v>433</v>
      </c>
      <c r="G27" s="333"/>
    </row>
    <row r="28" ht="29.25" spans="1:7">
      <c r="A28" s="334">
        <v>34</v>
      </c>
      <c r="B28" s="335">
        <v>9845</v>
      </c>
      <c r="C28" s="333" t="s">
        <v>434</v>
      </c>
      <c r="D28" s="334">
        <v>523036</v>
      </c>
      <c r="E28" s="334">
        <v>8</v>
      </c>
      <c r="F28" s="333" t="s">
        <v>435</v>
      </c>
      <c r="G28" s="333" t="s">
        <v>436</v>
      </c>
    </row>
    <row r="29" ht="29.25" spans="1:7">
      <c r="A29" s="334">
        <v>35</v>
      </c>
      <c r="B29" s="335">
        <v>9846</v>
      </c>
      <c r="C29" s="333" t="s">
        <v>437</v>
      </c>
      <c r="D29" s="334">
        <v>523037</v>
      </c>
      <c r="E29" s="334">
        <v>8</v>
      </c>
      <c r="F29" s="333" t="s">
        <v>438</v>
      </c>
      <c r="G29" s="333" t="s">
        <v>439</v>
      </c>
    </row>
    <row r="30" ht="15" spans="1:7">
      <c r="A30" s="334">
        <v>36</v>
      </c>
      <c r="B30" s="335">
        <v>9847</v>
      </c>
      <c r="C30" s="333" t="s">
        <v>440</v>
      </c>
      <c r="D30" s="334">
        <v>171</v>
      </c>
      <c r="E30" s="334">
        <v>2</v>
      </c>
      <c r="F30" s="333" t="s">
        <v>441</v>
      </c>
      <c r="G30" s="333" t="s">
        <v>442</v>
      </c>
    </row>
    <row r="31" ht="29.25" spans="1:7">
      <c r="A31" s="334">
        <v>37</v>
      </c>
      <c r="B31" s="335">
        <v>9848</v>
      </c>
      <c r="C31" s="333" t="s">
        <v>443</v>
      </c>
      <c r="D31" s="334">
        <v>171</v>
      </c>
      <c r="E31" s="334">
        <v>3</v>
      </c>
      <c r="F31" s="343" t="s">
        <v>444</v>
      </c>
      <c r="G31" s="333" t="s">
        <v>445</v>
      </c>
    </row>
    <row r="32" ht="29.25" spans="1:7">
      <c r="A32" s="334">
        <v>38</v>
      </c>
      <c r="B32" s="335">
        <v>9849</v>
      </c>
      <c r="C32" s="333" t="s">
        <v>446</v>
      </c>
      <c r="D32" s="334">
        <v>171</v>
      </c>
      <c r="E32" s="334">
        <v>4</v>
      </c>
      <c r="F32" s="333" t="s">
        <v>447</v>
      </c>
      <c r="G32" s="333" t="s">
        <v>448</v>
      </c>
    </row>
    <row r="33" ht="29.25" spans="1:8">
      <c r="A33" s="344">
        <v>39</v>
      </c>
      <c r="B33" s="345">
        <v>9850</v>
      </c>
      <c r="C33" s="346" t="s">
        <v>449</v>
      </c>
      <c r="D33" s="344">
        <v>177</v>
      </c>
      <c r="E33" s="344">
        <v>3</v>
      </c>
      <c r="F33" s="346" t="s">
        <v>450</v>
      </c>
      <c r="G33" s="346"/>
      <c r="H33" s="41" t="s">
        <v>402</v>
      </c>
    </row>
    <row r="34" s="327" customFormat="1" ht="15" spans="1:7">
      <c r="A34" s="337">
        <v>40</v>
      </c>
      <c r="B34" s="338">
        <v>9851</v>
      </c>
      <c r="C34" s="339" t="s">
        <v>451</v>
      </c>
      <c r="D34" s="337">
        <v>177</v>
      </c>
      <c r="E34" s="337">
        <v>4</v>
      </c>
      <c r="F34" s="339" t="s">
        <v>452</v>
      </c>
      <c r="G34" s="339"/>
    </row>
    <row r="35" s="327" customFormat="1" ht="15" spans="1:7">
      <c r="A35" s="337">
        <v>41</v>
      </c>
      <c r="B35" s="338">
        <v>9852</v>
      </c>
      <c r="C35" s="339" t="s">
        <v>453</v>
      </c>
      <c r="D35" s="337">
        <v>523038</v>
      </c>
      <c r="E35" s="337">
        <v>12</v>
      </c>
      <c r="F35" s="339" t="s">
        <v>454</v>
      </c>
      <c r="G35" s="339"/>
    </row>
    <row r="36" s="327" customFormat="1" ht="15" spans="1:7">
      <c r="A36" s="337">
        <v>42</v>
      </c>
      <c r="B36" s="338">
        <v>9853</v>
      </c>
      <c r="C36" s="339" t="s">
        <v>455</v>
      </c>
      <c r="D36" s="337">
        <v>523039</v>
      </c>
      <c r="E36" s="337">
        <v>12</v>
      </c>
      <c r="F36" s="339" t="s">
        <v>456</v>
      </c>
      <c r="G36" s="339"/>
    </row>
    <row r="37" s="327" customFormat="1" ht="15" spans="1:7">
      <c r="A37" s="337">
        <v>43</v>
      </c>
      <c r="B37" s="338">
        <v>9854</v>
      </c>
      <c r="C37" s="339" t="s">
        <v>457</v>
      </c>
      <c r="D37" s="337">
        <v>523040</v>
      </c>
      <c r="E37" s="337">
        <v>12</v>
      </c>
      <c r="F37" s="339" t="s">
        <v>458</v>
      </c>
      <c r="G37" s="339"/>
    </row>
    <row r="38" s="327" customFormat="1" ht="15" spans="1:7">
      <c r="A38" s="337">
        <v>44</v>
      </c>
      <c r="B38" s="338">
        <v>9855</v>
      </c>
      <c r="C38" s="339" t="s">
        <v>459</v>
      </c>
      <c r="D38" s="337">
        <v>523041</v>
      </c>
      <c r="E38" s="337">
        <v>1</v>
      </c>
      <c r="F38" s="339" t="s">
        <v>460</v>
      </c>
      <c r="G38" s="339" t="s">
        <v>461</v>
      </c>
    </row>
    <row r="39" s="328" customFormat="1" ht="29.25" spans="1:7">
      <c r="A39" s="347">
        <v>45</v>
      </c>
      <c r="B39" s="348">
        <v>9856</v>
      </c>
      <c r="C39" s="349" t="s">
        <v>462</v>
      </c>
      <c r="D39" s="347">
        <v>523042</v>
      </c>
      <c r="E39" s="347">
        <v>8</v>
      </c>
      <c r="F39" s="349" t="s">
        <v>463</v>
      </c>
      <c r="G39" s="350" t="s">
        <v>464</v>
      </c>
    </row>
    <row r="40" s="327" customFormat="1" ht="15" spans="1:7">
      <c r="A40" s="337">
        <v>46</v>
      </c>
      <c r="B40" s="338">
        <v>9857</v>
      </c>
      <c r="C40" s="339" t="s">
        <v>465</v>
      </c>
      <c r="D40" s="337">
        <v>523043</v>
      </c>
      <c r="E40" s="337">
        <v>8</v>
      </c>
      <c r="F40" s="339" t="s">
        <v>466</v>
      </c>
      <c r="G40" s="339"/>
    </row>
    <row r="41" s="327" customFormat="1" ht="15" spans="1:8">
      <c r="A41" s="337">
        <v>47</v>
      </c>
      <c r="B41" s="338">
        <v>9858</v>
      </c>
      <c r="C41" s="339" t="s">
        <v>467</v>
      </c>
      <c r="D41" s="337">
        <v>523044</v>
      </c>
      <c r="E41" s="337">
        <v>8</v>
      </c>
      <c r="F41" s="339" t="s">
        <v>468</v>
      </c>
      <c r="G41" s="339"/>
      <c r="H41" s="327" t="s">
        <v>402</v>
      </c>
    </row>
    <row r="42" s="328" customFormat="1" ht="15" spans="1:7">
      <c r="A42" s="347">
        <v>48</v>
      </c>
      <c r="B42" s="348">
        <v>9859</v>
      </c>
      <c r="C42" s="349" t="s">
        <v>469</v>
      </c>
      <c r="D42" s="347">
        <v>523045</v>
      </c>
      <c r="E42" s="347">
        <v>8</v>
      </c>
      <c r="F42" s="349" t="s">
        <v>470</v>
      </c>
      <c r="G42" s="349"/>
    </row>
    <row r="43" s="327" customFormat="1" ht="15" spans="1:8">
      <c r="A43" s="337">
        <v>49</v>
      </c>
      <c r="B43" s="337">
        <v>9860</v>
      </c>
      <c r="C43" s="339" t="s">
        <v>471</v>
      </c>
      <c r="D43" s="337">
        <v>523046</v>
      </c>
      <c r="E43" s="337">
        <v>8</v>
      </c>
      <c r="F43" s="339" t="s">
        <v>472</v>
      </c>
      <c r="G43" s="351"/>
      <c r="H43" s="327" t="s">
        <v>402</v>
      </c>
    </row>
    <row r="44" ht="15" spans="1:7">
      <c r="A44" s="334">
        <v>50</v>
      </c>
      <c r="B44" s="335">
        <v>9861</v>
      </c>
      <c r="C44" s="333" t="s">
        <v>473</v>
      </c>
      <c r="D44" s="352">
        <v>523047</v>
      </c>
      <c r="E44" s="352">
        <v>8</v>
      </c>
      <c r="F44" s="333" t="s">
        <v>474</v>
      </c>
      <c r="G44" s="353"/>
    </row>
    <row r="45" ht="14.25" spans="1:7">
      <c r="A45" s="335">
        <v>51</v>
      </c>
      <c r="B45" s="335">
        <v>9862</v>
      </c>
      <c r="C45" s="354" t="s">
        <v>475</v>
      </c>
      <c r="D45" s="352">
        <v>523048</v>
      </c>
      <c r="E45" s="352">
        <v>8</v>
      </c>
      <c r="F45" s="354" t="s">
        <v>476</v>
      </c>
      <c r="G45" s="355"/>
    </row>
    <row r="46" s="328" customFormat="1" ht="14.25" spans="1:7">
      <c r="A46" s="356">
        <v>52</v>
      </c>
      <c r="B46" s="356"/>
      <c r="C46" s="357" t="s">
        <v>477</v>
      </c>
      <c r="D46" s="358">
        <v>523051</v>
      </c>
      <c r="E46" s="358">
        <v>8</v>
      </c>
      <c r="F46" s="357" t="s">
        <v>477</v>
      </c>
      <c r="G46" s="359" t="s">
        <v>478</v>
      </c>
    </row>
    <row r="47" s="328" customFormat="1" ht="14.25" spans="1:7">
      <c r="A47" s="356">
        <v>53</v>
      </c>
      <c r="B47" s="356"/>
      <c r="C47" s="357" t="s">
        <v>479</v>
      </c>
      <c r="D47" s="358">
        <v>523052</v>
      </c>
      <c r="E47" s="358">
        <v>8</v>
      </c>
      <c r="F47" s="357" t="s">
        <v>479</v>
      </c>
      <c r="G47" s="360" t="s">
        <v>478</v>
      </c>
    </row>
    <row r="48" s="328" customFormat="1" ht="14.25" spans="1:7">
      <c r="A48" s="356">
        <v>54</v>
      </c>
      <c r="B48" s="356"/>
      <c r="C48" s="357" t="s">
        <v>480</v>
      </c>
      <c r="D48" s="358">
        <v>523053</v>
      </c>
      <c r="E48" s="358">
        <v>8</v>
      </c>
      <c r="F48" s="357" t="s">
        <v>480</v>
      </c>
      <c r="G48" s="360" t="s">
        <v>478</v>
      </c>
    </row>
    <row r="49" s="328" customFormat="1" ht="14.25" spans="1:7">
      <c r="A49" s="356">
        <v>55</v>
      </c>
      <c r="B49" s="356"/>
      <c r="C49" s="357" t="s">
        <v>481</v>
      </c>
      <c r="D49" s="358">
        <v>523054</v>
      </c>
      <c r="E49" s="358">
        <v>8</v>
      </c>
      <c r="F49" s="357" t="s">
        <v>481</v>
      </c>
      <c r="G49" s="360" t="s">
        <v>478</v>
      </c>
    </row>
    <row r="50" s="328" customFormat="1" ht="14.25" spans="1:7">
      <c r="A50" s="356">
        <v>56</v>
      </c>
      <c r="B50" s="356"/>
      <c r="C50" s="357" t="s">
        <v>482</v>
      </c>
      <c r="D50" s="358">
        <v>523055</v>
      </c>
      <c r="E50" s="358">
        <v>8</v>
      </c>
      <c r="F50" s="357" t="s">
        <v>482</v>
      </c>
      <c r="G50" s="360" t="s">
        <v>478</v>
      </c>
    </row>
    <row r="51" s="328" customFormat="1" ht="14.25" spans="1:7">
      <c r="A51" s="356">
        <v>57</v>
      </c>
      <c r="B51" s="356"/>
      <c r="C51" s="357" t="s">
        <v>483</v>
      </c>
      <c r="D51" s="358">
        <v>523056</v>
      </c>
      <c r="E51" s="358">
        <v>8</v>
      </c>
      <c r="F51" s="357" t="s">
        <v>483</v>
      </c>
      <c r="G51" s="360" t="s">
        <v>478</v>
      </c>
    </row>
    <row r="52" s="328" customFormat="1" ht="14.25" spans="1:7">
      <c r="A52" s="356">
        <v>58</v>
      </c>
      <c r="B52" s="356"/>
      <c r="C52" s="357" t="s">
        <v>484</v>
      </c>
      <c r="D52" s="358">
        <v>523057</v>
      </c>
      <c r="E52" s="358">
        <v>8</v>
      </c>
      <c r="F52" s="357" t="s">
        <v>484</v>
      </c>
      <c r="G52" s="360" t="s">
        <v>478</v>
      </c>
    </row>
    <row r="53" s="328" customFormat="1" ht="14.25" spans="1:7">
      <c r="A53" s="356">
        <v>59</v>
      </c>
      <c r="B53" s="356"/>
      <c r="C53" s="361" t="s">
        <v>485</v>
      </c>
      <c r="D53" s="358">
        <v>523058</v>
      </c>
      <c r="E53" s="358">
        <v>8</v>
      </c>
      <c r="F53" s="361" t="s">
        <v>485</v>
      </c>
      <c r="G53" s="360" t="s">
        <v>478</v>
      </c>
    </row>
    <row r="54" s="328" customFormat="1" ht="14.25" spans="1:7">
      <c r="A54" s="356">
        <v>60</v>
      </c>
      <c r="B54" s="356"/>
      <c r="C54" s="357" t="s">
        <v>486</v>
      </c>
      <c r="D54" s="358">
        <v>523059</v>
      </c>
      <c r="E54" s="358">
        <v>8</v>
      </c>
      <c r="F54" s="357" t="s">
        <v>486</v>
      </c>
      <c r="G54" s="360" t="s">
        <v>478</v>
      </c>
    </row>
    <row r="55" s="328" customFormat="1" ht="14.25" spans="1:7">
      <c r="A55" s="356">
        <v>61</v>
      </c>
      <c r="B55" s="356"/>
      <c r="C55" s="357" t="s">
        <v>487</v>
      </c>
      <c r="D55" s="358">
        <v>523060</v>
      </c>
      <c r="E55" s="358">
        <v>8</v>
      </c>
      <c r="F55" s="357" t="s">
        <v>487</v>
      </c>
      <c r="G55" s="360" t="s">
        <v>478</v>
      </c>
    </row>
    <row r="56" spans="3:7">
      <c r="C56" s="41"/>
      <c r="F56" s="41"/>
      <c r="G56" s="362"/>
    </row>
    <row r="57" spans="3:7">
      <c r="C57" s="41"/>
      <c r="F57" s="41"/>
      <c r="G57" s="362"/>
    </row>
    <row r="58" spans="3:7">
      <c r="C58" s="41"/>
      <c r="G58" s="362"/>
    </row>
    <row r="59" spans="3:7">
      <c r="C59" s="41"/>
      <c r="G59" s="362"/>
    </row>
    <row r="60" spans="3:7">
      <c r="C60" s="41"/>
      <c r="G60" s="362"/>
    </row>
    <row r="61" spans="3:7">
      <c r="C61" s="41"/>
      <c r="G61" s="362"/>
    </row>
    <row r="62" spans="3:7">
      <c r="C62" s="41"/>
      <c r="G62" s="362"/>
    </row>
    <row r="63" spans="3:7">
      <c r="C63" s="41"/>
      <c r="G63" s="362"/>
    </row>
    <row r="64" spans="3:7">
      <c r="C64" s="41"/>
      <c r="G64" s="362"/>
    </row>
    <row r="65" spans="3:7">
      <c r="C65" s="41"/>
      <c r="G65" s="362"/>
    </row>
    <row r="66" spans="3:7">
      <c r="C66" s="41"/>
      <c r="G66" s="362"/>
    </row>
    <row r="67" spans="3:7">
      <c r="C67" s="41"/>
      <c r="G67" s="362"/>
    </row>
    <row r="68" s="41" customFormat="1" spans="4:7">
      <c r="D68" s="329"/>
      <c r="G68" s="362"/>
    </row>
    <row r="69" s="41" customFormat="1" spans="4:7">
      <c r="D69" s="329"/>
      <c r="G69" s="362"/>
    </row>
    <row r="70" s="41" customFormat="1" spans="4:7">
      <c r="D70" s="329"/>
      <c r="G70" s="362"/>
    </row>
    <row r="71" s="41" customFormat="1" spans="4:7">
      <c r="D71" s="329"/>
      <c r="G71" s="362"/>
    </row>
    <row r="72" s="41" customFormat="1" spans="4:7">
      <c r="D72" s="329"/>
      <c r="G72" s="362"/>
    </row>
    <row r="73" s="41" customFormat="1" spans="4:7">
      <c r="D73" s="329"/>
      <c r="G73" s="362"/>
    </row>
    <row r="74" s="41" customFormat="1" spans="4:7">
      <c r="D74" s="329"/>
      <c r="G74" s="362"/>
    </row>
    <row r="75" s="41" customFormat="1" spans="4:7">
      <c r="D75" s="329"/>
      <c r="G75" s="362"/>
    </row>
    <row r="76" s="41" customFormat="1" spans="4:7">
      <c r="D76" s="329"/>
      <c r="G76" s="362"/>
    </row>
    <row r="77" s="41" customFormat="1" spans="4:7">
      <c r="D77" s="329"/>
      <c r="G77" s="362"/>
    </row>
    <row r="78" s="41" customFormat="1" spans="4:7">
      <c r="D78" s="329"/>
      <c r="G78" s="362"/>
    </row>
  </sheetData>
  <pageMargins left="0.7" right="0.7" top="0.75" bottom="0.75" header="0.3" footer="0.3"/>
  <pageSetup paperSize="1" orientation="portrait" horizontalDpi="200" verticalDpi="200"/>
  <headerFooter/>
  <legacyDrawing r:id="rId2"/>
  <picture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12"/>
  <sheetViews>
    <sheetView workbookViewId="0">
      <selection activeCell="F7" sqref="F7"/>
    </sheetView>
  </sheetViews>
  <sheetFormatPr defaultColWidth="9" defaultRowHeight="13.5" outlineLevelCol="5"/>
  <cols>
    <col min="2" max="2" width="22.5" customWidth="1"/>
    <col min="4" max="4" width="4.5" customWidth="1"/>
    <col min="5" max="5" width="38.75" customWidth="1"/>
  </cols>
  <sheetData>
    <row r="1" spans="1:5">
      <c r="A1" s="324" t="s">
        <v>101</v>
      </c>
      <c r="B1" s="324" t="s">
        <v>103</v>
      </c>
      <c r="C1" s="324" t="s">
        <v>104</v>
      </c>
      <c r="D1" s="324" t="s">
        <v>105</v>
      </c>
      <c r="E1" s="324" t="s">
        <v>258</v>
      </c>
    </row>
    <row r="2" spans="1:6">
      <c r="A2" s="324">
        <v>1</v>
      </c>
      <c r="B2" s="324" t="s">
        <v>488</v>
      </c>
      <c r="C2" s="324">
        <v>524000</v>
      </c>
      <c r="D2" s="324">
        <v>0</v>
      </c>
      <c r="E2" s="324" t="s">
        <v>489</v>
      </c>
      <c r="F2" t="s">
        <v>490</v>
      </c>
    </row>
    <row r="3" spans="1:5">
      <c r="A3" s="324">
        <v>2</v>
      </c>
      <c r="B3" s="324" t="s">
        <v>491</v>
      </c>
      <c r="C3" s="324">
        <v>524000</v>
      </c>
      <c r="D3" s="324">
        <v>1</v>
      </c>
      <c r="E3" s="324" t="s">
        <v>492</v>
      </c>
    </row>
    <row r="4" spans="1:5">
      <c r="A4" s="324">
        <v>3</v>
      </c>
      <c r="B4" s="324" t="s">
        <v>493</v>
      </c>
      <c r="C4" s="324">
        <v>524001</v>
      </c>
      <c r="D4" s="324">
        <v>19</v>
      </c>
      <c r="E4" s="324" t="s">
        <v>494</v>
      </c>
    </row>
    <row r="5" spans="1:5">
      <c r="A5" s="324">
        <v>4</v>
      </c>
      <c r="B5" s="324" t="s">
        <v>495</v>
      </c>
      <c r="C5" s="324">
        <v>524002</v>
      </c>
      <c r="D5" s="324">
        <v>3</v>
      </c>
      <c r="E5" s="324" t="s">
        <v>496</v>
      </c>
    </row>
    <row r="6" spans="1:5">
      <c r="A6" s="324">
        <v>5</v>
      </c>
      <c r="B6" s="324" t="s">
        <v>497</v>
      </c>
      <c r="C6" s="324">
        <v>524002</v>
      </c>
      <c r="D6" s="324">
        <v>4</v>
      </c>
      <c r="E6" s="324" t="s">
        <v>498</v>
      </c>
    </row>
    <row r="7" spans="1:5">
      <c r="A7" s="324">
        <v>6</v>
      </c>
      <c r="B7" s="324" t="s">
        <v>499</v>
      </c>
      <c r="C7" s="324">
        <v>524003</v>
      </c>
      <c r="D7" s="324">
        <v>3</v>
      </c>
      <c r="E7" s="324" t="s">
        <v>500</v>
      </c>
    </row>
    <row r="8" spans="1:5">
      <c r="A8" s="324">
        <v>7</v>
      </c>
      <c r="B8" s="324" t="s">
        <v>501</v>
      </c>
      <c r="C8" s="324">
        <v>524003</v>
      </c>
      <c r="D8" s="324">
        <v>4</v>
      </c>
      <c r="E8" s="324" t="s">
        <v>502</v>
      </c>
    </row>
    <row r="9" spans="1:6">
      <c r="A9" s="324">
        <v>8</v>
      </c>
      <c r="B9" s="324" t="s">
        <v>503</v>
      </c>
      <c r="C9" s="324">
        <v>524004</v>
      </c>
      <c r="D9" s="324">
        <v>3</v>
      </c>
      <c r="E9" s="324" t="s">
        <v>504</v>
      </c>
      <c r="F9" t="s">
        <v>505</v>
      </c>
    </row>
    <row r="10" spans="1:6">
      <c r="A10" s="324">
        <v>9</v>
      </c>
      <c r="B10" s="324" t="s">
        <v>506</v>
      </c>
      <c r="C10" s="324">
        <v>524005</v>
      </c>
      <c r="D10" s="324">
        <v>3</v>
      </c>
      <c r="E10" s="324" t="s">
        <v>507</v>
      </c>
      <c r="F10" t="s">
        <v>508</v>
      </c>
    </row>
    <row r="11" spans="1:6">
      <c r="A11" s="324">
        <v>10</v>
      </c>
      <c r="B11" s="324" t="s">
        <v>509</v>
      </c>
      <c r="C11" s="324">
        <v>524006</v>
      </c>
      <c r="D11" s="324">
        <v>3</v>
      </c>
      <c r="E11" s="324" t="s">
        <v>510</v>
      </c>
      <c r="F11" t="s">
        <v>511</v>
      </c>
    </row>
    <row r="12" spans="1:5">
      <c r="A12" s="324">
        <v>11</v>
      </c>
      <c r="B12" s="324" t="s">
        <v>512</v>
      </c>
      <c r="C12" s="324">
        <v>524006</v>
      </c>
      <c r="D12" s="324">
        <v>4</v>
      </c>
      <c r="E12" s="324" t="s">
        <v>513</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F26"/>
  <sheetViews>
    <sheetView workbookViewId="0">
      <selection activeCell="I22" sqref="I22"/>
    </sheetView>
  </sheetViews>
  <sheetFormatPr defaultColWidth="9" defaultRowHeight="13.5" outlineLevelCol="5"/>
  <cols>
    <col min="1" max="1" width="5.75" style="32" customWidth="1"/>
    <col min="2" max="2" width="35" customWidth="1"/>
    <col min="3" max="3" width="10.75" style="67" customWidth="1"/>
    <col min="4" max="4" width="15.375" style="67" customWidth="1"/>
    <col min="5" max="5" width="62.375" customWidth="1"/>
  </cols>
  <sheetData>
    <row r="1" ht="14.25"/>
    <row r="2" ht="20.1" customHeight="1" spans="1:5">
      <c r="A2" s="312" t="s">
        <v>101</v>
      </c>
      <c r="B2" s="313" t="s">
        <v>514</v>
      </c>
      <c r="C2" s="314" t="s">
        <v>118</v>
      </c>
      <c r="D2" s="315" t="s">
        <v>119</v>
      </c>
      <c r="E2" s="5" t="s">
        <v>258</v>
      </c>
    </row>
    <row r="3" ht="20.1" customHeight="1" spans="1:5">
      <c r="A3" s="316">
        <v>1</v>
      </c>
      <c r="B3" s="317" t="s">
        <v>515</v>
      </c>
      <c r="C3" s="69">
        <v>789</v>
      </c>
      <c r="D3" s="318">
        <v>8</v>
      </c>
      <c r="E3" s="39" t="s">
        <v>516</v>
      </c>
    </row>
    <row r="4" ht="20.1" customHeight="1" spans="1:5">
      <c r="A4" s="316">
        <v>2</v>
      </c>
      <c r="B4" s="317" t="s">
        <v>517</v>
      </c>
      <c r="C4" s="69">
        <v>789</v>
      </c>
      <c r="D4" s="318">
        <v>12</v>
      </c>
      <c r="E4" s="39" t="s">
        <v>518</v>
      </c>
    </row>
    <row r="5" ht="20.1" customHeight="1" spans="1:5">
      <c r="A5" s="316">
        <v>3</v>
      </c>
      <c r="B5" s="317" t="s">
        <v>519</v>
      </c>
      <c r="C5" s="69">
        <v>790</v>
      </c>
      <c r="D5" s="318">
        <v>8</v>
      </c>
      <c r="E5" s="39" t="s">
        <v>520</v>
      </c>
    </row>
    <row r="6" ht="20.1" customHeight="1" spans="1:6">
      <c r="A6" s="316">
        <v>4</v>
      </c>
      <c r="B6" s="317" t="s">
        <v>521</v>
      </c>
      <c r="C6" s="69">
        <v>790</v>
      </c>
      <c r="D6" s="318">
        <v>12</v>
      </c>
      <c r="E6" s="39" t="s">
        <v>522</v>
      </c>
      <c r="F6">
        <v>316</v>
      </c>
    </row>
    <row r="7" ht="20.1" customHeight="1" spans="1:5">
      <c r="A7" s="316">
        <v>5</v>
      </c>
      <c r="B7" s="317" t="s">
        <v>523</v>
      </c>
      <c r="C7" s="69">
        <v>791</v>
      </c>
      <c r="D7" s="318">
        <v>8</v>
      </c>
      <c r="E7" s="39" t="s">
        <v>524</v>
      </c>
    </row>
    <row r="8" ht="20.1" customHeight="1" spans="1:6">
      <c r="A8" s="316">
        <v>6</v>
      </c>
      <c r="B8" s="317" t="s">
        <v>525</v>
      </c>
      <c r="C8" s="69">
        <v>791</v>
      </c>
      <c r="D8" s="318">
        <v>12</v>
      </c>
      <c r="E8" s="39" t="s">
        <v>526</v>
      </c>
      <c r="F8">
        <v>317</v>
      </c>
    </row>
    <row r="9" ht="20.1" customHeight="1" spans="1:6">
      <c r="A9" s="316">
        <v>7</v>
      </c>
      <c r="B9" s="317" t="s">
        <v>527</v>
      </c>
      <c r="C9" s="69">
        <v>792</v>
      </c>
      <c r="D9" s="318">
        <v>8</v>
      </c>
      <c r="E9" s="39" t="s">
        <v>528</v>
      </c>
      <c r="F9">
        <v>317</v>
      </c>
    </row>
    <row r="10" ht="20.1" customHeight="1" spans="1:5">
      <c r="A10" s="316">
        <v>8</v>
      </c>
      <c r="B10" s="317" t="s">
        <v>529</v>
      </c>
      <c r="C10" s="69">
        <v>792</v>
      </c>
      <c r="D10" s="318">
        <v>12</v>
      </c>
      <c r="E10" s="39" t="s">
        <v>530</v>
      </c>
    </row>
    <row r="11" ht="20.1" customHeight="1" spans="1:5">
      <c r="A11" s="316">
        <v>9</v>
      </c>
      <c r="B11" s="317" t="s">
        <v>531</v>
      </c>
      <c r="C11" s="69">
        <v>795</v>
      </c>
      <c r="D11" s="318">
        <v>4</v>
      </c>
      <c r="E11" s="39" t="s">
        <v>532</v>
      </c>
    </row>
    <row r="12" ht="20.1" customHeight="1" spans="1:5">
      <c r="A12" s="316">
        <v>10</v>
      </c>
      <c r="B12" s="317" t="s">
        <v>533</v>
      </c>
      <c r="C12" s="69">
        <v>795</v>
      </c>
      <c r="D12" s="318">
        <v>5</v>
      </c>
      <c r="E12" s="39" t="s">
        <v>534</v>
      </c>
    </row>
    <row r="13" ht="20.1" customHeight="1" spans="1:6">
      <c r="A13" s="316">
        <v>11</v>
      </c>
      <c r="B13" s="317" t="s">
        <v>535</v>
      </c>
      <c r="C13" s="69">
        <v>796</v>
      </c>
      <c r="D13" s="318">
        <v>4</v>
      </c>
      <c r="E13" s="39" t="s">
        <v>536</v>
      </c>
      <c r="F13" t="s">
        <v>537</v>
      </c>
    </row>
    <row r="14" ht="20.1" customHeight="1" spans="1:5">
      <c r="A14" s="316">
        <v>12</v>
      </c>
      <c r="B14" s="317" t="s">
        <v>538</v>
      </c>
      <c r="C14" s="69">
        <v>796</v>
      </c>
      <c r="D14" s="318">
        <v>5</v>
      </c>
      <c r="E14" s="39" t="s">
        <v>539</v>
      </c>
    </row>
    <row r="15" ht="20.1" customHeight="1" spans="1:5">
      <c r="A15" s="316">
        <v>13</v>
      </c>
      <c r="B15" s="317" t="s">
        <v>540</v>
      </c>
      <c r="C15" s="69">
        <v>797</v>
      </c>
      <c r="D15" s="318">
        <v>4</v>
      </c>
      <c r="E15" s="39" t="s">
        <v>541</v>
      </c>
    </row>
    <row r="16" ht="20.1" customHeight="1" spans="1:5">
      <c r="A16" s="316">
        <v>14</v>
      </c>
      <c r="B16" s="317" t="s">
        <v>542</v>
      </c>
      <c r="C16" s="69">
        <v>797</v>
      </c>
      <c r="D16" s="318">
        <v>5</v>
      </c>
      <c r="E16" s="39" t="s">
        <v>543</v>
      </c>
    </row>
    <row r="17" ht="20.1" customHeight="1" spans="1:5">
      <c r="A17" s="316">
        <v>15</v>
      </c>
      <c r="B17" s="317" t="s">
        <v>544</v>
      </c>
      <c r="C17" s="69">
        <v>798</v>
      </c>
      <c r="D17" s="318">
        <v>4</v>
      </c>
      <c r="E17" s="39" t="s">
        <v>545</v>
      </c>
    </row>
    <row r="18" ht="20.1" customHeight="1" spans="1:5">
      <c r="A18" s="316">
        <v>16</v>
      </c>
      <c r="B18" s="317" t="s">
        <v>546</v>
      </c>
      <c r="C18" s="69">
        <v>798</v>
      </c>
      <c r="D18" s="318">
        <v>5</v>
      </c>
      <c r="E18" s="39" t="s">
        <v>547</v>
      </c>
    </row>
    <row r="19" ht="20.1" customHeight="1" spans="1:5">
      <c r="A19" s="316">
        <v>17</v>
      </c>
      <c r="B19" s="317" t="s">
        <v>548</v>
      </c>
      <c r="C19" s="69">
        <v>627</v>
      </c>
      <c r="D19" s="318">
        <v>3</v>
      </c>
      <c r="E19" s="39" t="s">
        <v>549</v>
      </c>
    </row>
    <row r="20" ht="20.1" customHeight="1" spans="1:6">
      <c r="A20" s="316">
        <v>18</v>
      </c>
      <c r="B20" s="317" t="s">
        <v>550</v>
      </c>
      <c r="C20" s="69">
        <v>627</v>
      </c>
      <c r="D20" s="318">
        <v>4</v>
      </c>
      <c r="E20" s="39" t="s">
        <v>551</v>
      </c>
      <c r="F20">
        <v>273</v>
      </c>
    </row>
    <row r="21" ht="20.1" customHeight="1" spans="1:5">
      <c r="A21" s="316">
        <v>19</v>
      </c>
      <c r="B21" s="319" t="s">
        <v>552</v>
      </c>
      <c r="C21" s="69">
        <v>629</v>
      </c>
      <c r="D21" s="318">
        <v>12</v>
      </c>
      <c r="E21" s="39" t="s">
        <v>553</v>
      </c>
    </row>
    <row r="22" ht="20.1" customHeight="1" spans="1:5">
      <c r="A22" s="316">
        <v>20</v>
      </c>
      <c r="B22" s="319" t="s">
        <v>554</v>
      </c>
      <c r="C22" s="69">
        <v>806</v>
      </c>
      <c r="D22" s="318">
        <v>4</v>
      </c>
      <c r="E22" s="39" t="s">
        <v>555</v>
      </c>
    </row>
    <row r="23" ht="20.1" customHeight="1" spans="1:5">
      <c r="A23" s="316">
        <v>21</v>
      </c>
      <c r="B23" s="317" t="s">
        <v>556</v>
      </c>
      <c r="C23" s="69">
        <v>116</v>
      </c>
      <c r="D23" s="318">
        <v>4</v>
      </c>
      <c r="E23" s="39" t="s">
        <v>557</v>
      </c>
    </row>
    <row r="24" ht="20.1" customHeight="1" spans="1:5">
      <c r="A24" s="316">
        <v>22</v>
      </c>
      <c r="B24" s="317" t="s">
        <v>558</v>
      </c>
      <c r="C24" s="69">
        <v>117</v>
      </c>
      <c r="D24" s="318">
        <v>4</v>
      </c>
      <c r="E24" s="39" t="s">
        <v>559</v>
      </c>
    </row>
    <row r="25" ht="17.25" customHeight="1" spans="1:5">
      <c r="A25" s="316">
        <v>23</v>
      </c>
      <c r="B25" s="5" t="s">
        <v>560</v>
      </c>
      <c r="C25" s="69">
        <v>116</v>
      </c>
      <c r="D25" s="318">
        <v>5</v>
      </c>
      <c r="E25" s="39" t="s">
        <v>561</v>
      </c>
    </row>
    <row r="26" ht="23.25" customHeight="1" spans="1:5">
      <c r="A26" s="320">
        <v>24</v>
      </c>
      <c r="B26" s="321" t="s">
        <v>562</v>
      </c>
      <c r="C26" s="322">
        <v>117</v>
      </c>
      <c r="D26" s="323">
        <v>5</v>
      </c>
      <c r="E26" s="39" t="s">
        <v>563</v>
      </c>
    </row>
  </sheetData>
  <pageMargins left="0.7" right="0.7" top="0.75" bottom="0.75"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N136"/>
  <sheetViews>
    <sheetView tabSelected="1" topLeftCell="A47" workbookViewId="0">
      <selection activeCell="E53" sqref="E53"/>
    </sheetView>
  </sheetViews>
  <sheetFormatPr defaultColWidth="22.375" defaultRowHeight="13.5"/>
  <cols>
    <col min="1" max="1" width="5.25" style="266" customWidth="1"/>
    <col min="2" max="2" width="9" style="266" customWidth="1"/>
    <col min="3" max="3" width="25.875" style="266" customWidth="1"/>
    <col min="4" max="4" width="10.625" style="266" customWidth="1"/>
    <col min="5" max="5" width="31.5833333333333" style="250" customWidth="1"/>
    <col min="6" max="6" width="9.10833333333333" style="266" customWidth="1"/>
    <col min="7" max="7" width="7.20833333333333" style="267" customWidth="1"/>
    <col min="8" max="8" width="44.5416666666667" style="250" customWidth="1"/>
    <col min="9" max="9" width="10.25" customWidth="1"/>
    <col min="10" max="10" width="14.5416666666667" style="268" customWidth="1"/>
    <col min="11" max="11" width="44.5416666666667" style="268" customWidth="1"/>
    <col min="12" max="12" width="22.5" customWidth="1"/>
  </cols>
  <sheetData>
    <row r="1" ht="51" customHeight="1" spans="1:11">
      <c r="A1" s="269" t="s">
        <v>101</v>
      </c>
      <c r="B1" s="269" t="s">
        <v>116</v>
      </c>
      <c r="C1" s="269" t="s">
        <v>117</v>
      </c>
      <c r="D1" s="269" t="s">
        <v>564</v>
      </c>
      <c r="E1" s="242" t="s">
        <v>103</v>
      </c>
      <c r="F1" s="270" t="s">
        <v>565</v>
      </c>
      <c r="G1" s="270" t="s">
        <v>566</v>
      </c>
      <c r="H1" s="271" t="s">
        <v>258</v>
      </c>
      <c r="I1" s="284" t="s">
        <v>567</v>
      </c>
      <c r="J1" s="285"/>
      <c r="K1" s="285" t="s">
        <v>568</v>
      </c>
    </row>
    <row r="2" ht="16.5" spans="1:11">
      <c r="A2" s="269">
        <v>1</v>
      </c>
      <c r="B2" s="272" t="s">
        <v>133</v>
      </c>
      <c r="C2" s="273" t="s">
        <v>569</v>
      </c>
      <c r="D2" s="273"/>
      <c r="E2" s="130" t="s">
        <v>570</v>
      </c>
      <c r="F2" s="242">
        <v>521300</v>
      </c>
      <c r="G2" s="242">
        <v>17</v>
      </c>
      <c r="H2" s="130" t="s">
        <v>571</v>
      </c>
      <c r="I2" s="5"/>
      <c r="J2" s="285"/>
      <c r="K2" s="285"/>
    </row>
    <row r="3" ht="16.5" spans="1:11">
      <c r="A3" s="269">
        <v>2</v>
      </c>
      <c r="B3" s="274" t="s">
        <v>124</v>
      </c>
      <c r="C3" s="273" t="s">
        <v>572</v>
      </c>
      <c r="D3" s="273"/>
      <c r="E3" s="130" t="s">
        <v>573</v>
      </c>
      <c r="F3" s="242">
        <v>521300</v>
      </c>
      <c r="G3" s="242">
        <v>18</v>
      </c>
      <c r="H3" s="130" t="s">
        <v>574</v>
      </c>
      <c r="I3" s="5"/>
      <c r="J3" s="285"/>
      <c r="K3" s="285"/>
    </row>
    <row r="4" ht="16.5" spans="1:11">
      <c r="A4" s="269">
        <v>3</v>
      </c>
      <c r="B4" s="274" t="s">
        <v>124</v>
      </c>
      <c r="C4" s="273" t="s">
        <v>572</v>
      </c>
      <c r="D4" s="273"/>
      <c r="E4" s="130" t="s">
        <v>575</v>
      </c>
      <c r="F4" s="242">
        <v>521300</v>
      </c>
      <c r="G4" s="242">
        <v>1</v>
      </c>
      <c r="H4" s="130" t="s">
        <v>576</v>
      </c>
      <c r="I4" s="5"/>
      <c r="J4" s="285"/>
      <c r="K4" s="285"/>
    </row>
    <row r="5" ht="16.5" spans="1:11">
      <c r="A5" s="269">
        <v>4</v>
      </c>
      <c r="B5" s="272" t="s">
        <v>133</v>
      </c>
      <c r="C5" s="273" t="s">
        <v>577</v>
      </c>
      <c r="D5" s="273"/>
      <c r="E5" s="130" t="s">
        <v>578</v>
      </c>
      <c r="F5" s="242">
        <v>521301</v>
      </c>
      <c r="G5" s="242">
        <v>15</v>
      </c>
      <c r="H5" s="130" t="s">
        <v>579</v>
      </c>
      <c r="I5" s="5"/>
      <c r="J5" s="285"/>
      <c r="K5" s="285"/>
    </row>
    <row r="6" ht="16.5" spans="1:11">
      <c r="A6" s="269">
        <v>5</v>
      </c>
      <c r="B6" s="274" t="s">
        <v>124</v>
      </c>
      <c r="C6" s="273" t="s">
        <v>569</v>
      </c>
      <c r="D6" s="273"/>
      <c r="E6" s="130" t="s">
        <v>580</v>
      </c>
      <c r="F6" s="242">
        <v>521301</v>
      </c>
      <c r="G6" s="242">
        <v>16</v>
      </c>
      <c r="H6" s="130" t="s">
        <v>581</v>
      </c>
      <c r="I6" s="5"/>
      <c r="J6" s="285"/>
      <c r="K6" s="285"/>
    </row>
    <row r="7" ht="16.5" spans="1:11">
      <c r="A7" s="269">
        <v>6</v>
      </c>
      <c r="B7" s="274" t="s">
        <v>124</v>
      </c>
      <c r="C7" s="273" t="s">
        <v>572</v>
      </c>
      <c r="D7" s="273"/>
      <c r="E7" s="130" t="s">
        <v>582</v>
      </c>
      <c r="F7" s="242">
        <v>521301</v>
      </c>
      <c r="G7" s="242">
        <v>0</v>
      </c>
      <c r="H7" s="130" t="s">
        <v>583</v>
      </c>
      <c r="I7" s="5"/>
      <c r="J7" s="285"/>
      <c r="K7" s="285"/>
    </row>
    <row r="8" spans="1:13">
      <c r="A8" s="269">
        <v>7</v>
      </c>
      <c r="B8" s="269"/>
      <c r="C8" s="275"/>
      <c r="D8" s="275"/>
      <c r="E8" s="276" t="s">
        <v>584</v>
      </c>
      <c r="F8" s="277">
        <v>521301</v>
      </c>
      <c r="G8" s="277">
        <v>17</v>
      </c>
      <c r="H8" s="276" t="s">
        <v>585</v>
      </c>
      <c r="I8" s="286"/>
      <c r="J8" s="285"/>
      <c r="K8" s="285"/>
      <c r="M8" s="287" t="s">
        <v>586</v>
      </c>
    </row>
    <row r="9" spans="1:13">
      <c r="A9" s="269">
        <v>8</v>
      </c>
      <c r="B9" s="269"/>
      <c r="C9" s="275"/>
      <c r="D9" s="275"/>
      <c r="E9" s="276" t="s">
        <v>587</v>
      </c>
      <c r="F9" s="277">
        <v>521301</v>
      </c>
      <c r="G9" s="277">
        <v>18</v>
      </c>
      <c r="H9" s="276" t="s">
        <v>588</v>
      </c>
      <c r="I9" s="286"/>
      <c r="J9" s="285"/>
      <c r="K9" s="285"/>
      <c r="M9" s="287" t="s">
        <v>586</v>
      </c>
    </row>
    <row r="10" ht="49.5" spans="1:11">
      <c r="A10" s="269">
        <v>9</v>
      </c>
      <c r="B10" s="272" t="s">
        <v>239</v>
      </c>
      <c r="C10" s="273" t="s">
        <v>589</v>
      </c>
      <c r="D10" s="273"/>
      <c r="E10" s="130" t="s">
        <v>590</v>
      </c>
      <c r="F10" s="242">
        <v>521301</v>
      </c>
      <c r="G10" s="242">
        <v>1</v>
      </c>
      <c r="H10" s="130" t="s">
        <v>591</v>
      </c>
      <c r="I10" s="5"/>
      <c r="J10" s="285"/>
      <c r="K10" s="285"/>
    </row>
    <row r="11" spans="1:11">
      <c r="A11" s="269">
        <v>10</v>
      </c>
      <c r="B11" s="278" t="s">
        <v>348</v>
      </c>
      <c r="C11" s="269"/>
      <c r="D11" s="269"/>
      <c r="E11" s="130" t="s">
        <v>592</v>
      </c>
      <c r="F11" s="242">
        <v>521302</v>
      </c>
      <c r="G11" s="242">
        <v>15</v>
      </c>
      <c r="H11" s="130" t="s">
        <v>593</v>
      </c>
      <c r="I11" s="5"/>
      <c r="J11" s="285"/>
      <c r="K11" s="285"/>
    </row>
    <row r="12" spans="1:11">
      <c r="A12" s="269">
        <v>11</v>
      </c>
      <c r="B12" s="278" t="s">
        <v>122</v>
      </c>
      <c r="C12" s="269"/>
      <c r="D12" s="269"/>
      <c r="E12" s="130" t="s">
        <v>594</v>
      </c>
      <c r="F12" s="242">
        <v>521302</v>
      </c>
      <c r="G12" s="242">
        <v>16</v>
      </c>
      <c r="H12" s="130" t="s">
        <v>595</v>
      </c>
      <c r="I12" s="5"/>
      <c r="J12" s="285"/>
      <c r="K12" s="285"/>
    </row>
    <row r="13" ht="16.5" spans="1:11">
      <c r="A13" s="269">
        <v>12</v>
      </c>
      <c r="B13" s="272" t="s">
        <v>133</v>
      </c>
      <c r="C13" s="273" t="s">
        <v>577</v>
      </c>
      <c r="D13" s="273"/>
      <c r="E13" s="130" t="s">
        <v>596</v>
      </c>
      <c r="F13" s="242">
        <v>521302</v>
      </c>
      <c r="G13" s="242">
        <v>0</v>
      </c>
      <c r="H13" s="130" t="s">
        <v>597</v>
      </c>
      <c r="I13" s="5"/>
      <c r="J13" s="285"/>
      <c r="K13" s="285"/>
    </row>
    <row r="14" spans="1:13">
      <c r="A14" s="269">
        <v>13</v>
      </c>
      <c r="B14" s="269"/>
      <c r="C14" s="275"/>
      <c r="D14" s="275"/>
      <c r="E14" s="276" t="s">
        <v>598</v>
      </c>
      <c r="F14" s="277">
        <v>521303</v>
      </c>
      <c r="G14" s="277">
        <v>0</v>
      </c>
      <c r="H14" s="276" t="s">
        <v>599</v>
      </c>
      <c r="I14" s="286"/>
      <c r="J14" s="285"/>
      <c r="K14" s="285"/>
      <c r="M14" s="287" t="s">
        <v>586</v>
      </c>
    </row>
    <row r="15" spans="1:13">
      <c r="A15" s="269">
        <v>14</v>
      </c>
      <c r="B15" s="269"/>
      <c r="C15" s="275"/>
      <c r="D15" s="275"/>
      <c r="E15" s="276" t="s">
        <v>600</v>
      </c>
      <c r="F15" s="277">
        <v>521303</v>
      </c>
      <c r="G15" s="277">
        <v>1</v>
      </c>
      <c r="H15" s="276" t="s">
        <v>601</v>
      </c>
      <c r="I15" s="286"/>
      <c r="J15" s="285"/>
      <c r="K15" s="285"/>
      <c r="M15" s="287" t="s">
        <v>586</v>
      </c>
    </row>
    <row r="16" spans="1:11">
      <c r="A16" s="269">
        <v>15</v>
      </c>
      <c r="B16" s="278" t="s">
        <v>122</v>
      </c>
      <c r="C16" s="269"/>
      <c r="D16" s="269"/>
      <c r="E16" s="130" t="s">
        <v>602</v>
      </c>
      <c r="F16" s="242">
        <v>521304</v>
      </c>
      <c r="G16" s="242">
        <v>15</v>
      </c>
      <c r="H16" s="130" t="s">
        <v>603</v>
      </c>
      <c r="I16" s="5"/>
      <c r="J16" s="285"/>
      <c r="K16" s="285"/>
    </row>
    <row r="17" spans="1:11">
      <c r="A17" s="269">
        <v>16</v>
      </c>
      <c r="B17" s="278" t="s">
        <v>122</v>
      </c>
      <c r="C17" s="269"/>
      <c r="D17" s="269"/>
      <c r="E17" s="130" t="s">
        <v>604</v>
      </c>
      <c r="F17" s="242">
        <v>521304</v>
      </c>
      <c r="G17" s="242">
        <v>16</v>
      </c>
      <c r="H17" s="130" t="s">
        <v>605</v>
      </c>
      <c r="I17" s="5"/>
      <c r="J17" s="285"/>
      <c r="K17" s="285"/>
    </row>
    <row r="18" spans="1:11">
      <c r="A18" s="269">
        <v>17</v>
      </c>
      <c r="B18" s="278" t="s">
        <v>122</v>
      </c>
      <c r="C18" s="269"/>
      <c r="D18" s="269"/>
      <c r="E18" s="130" t="s">
        <v>606</v>
      </c>
      <c r="F18" s="242">
        <v>521304</v>
      </c>
      <c r="G18" s="242">
        <v>0</v>
      </c>
      <c r="H18" s="130" t="s">
        <v>607</v>
      </c>
      <c r="I18" s="5"/>
      <c r="J18" s="285"/>
      <c r="K18" s="285"/>
    </row>
    <row r="19" ht="16.5" spans="1:11">
      <c r="A19" s="269">
        <v>18</v>
      </c>
      <c r="B19" s="272" t="s">
        <v>133</v>
      </c>
      <c r="C19" s="273" t="s">
        <v>577</v>
      </c>
      <c r="D19" s="273"/>
      <c r="E19" s="130" t="s">
        <v>608</v>
      </c>
      <c r="F19" s="242">
        <v>521304</v>
      </c>
      <c r="G19" s="242">
        <v>17</v>
      </c>
      <c r="H19" s="130" t="s">
        <v>609</v>
      </c>
      <c r="I19" s="5"/>
      <c r="J19" s="285"/>
      <c r="K19" s="285"/>
    </row>
    <row r="20" ht="16.5" spans="1:11">
      <c r="A20" s="269">
        <v>19</v>
      </c>
      <c r="B20" s="274" t="s">
        <v>124</v>
      </c>
      <c r="C20" s="273" t="s">
        <v>569</v>
      </c>
      <c r="D20" s="273"/>
      <c r="E20" s="130" t="s">
        <v>610</v>
      </c>
      <c r="F20" s="242">
        <v>521304</v>
      </c>
      <c r="G20" s="242">
        <v>18</v>
      </c>
      <c r="H20" s="130" t="s">
        <v>611</v>
      </c>
      <c r="I20" s="5"/>
      <c r="J20" s="285"/>
      <c r="K20" s="285"/>
    </row>
    <row r="21" ht="16.5" spans="1:11">
      <c r="A21" s="269">
        <v>20</v>
      </c>
      <c r="B21" s="274" t="s">
        <v>124</v>
      </c>
      <c r="C21" s="273" t="s">
        <v>572</v>
      </c>
      <c r="D21" s="273"/>
      <c r="E21" s="130" t="s">
        <v>612</v>
      </c>
      <c r="F21" s="242">
        <v>521304</v>
      </c>
      <c r="G21" s="242">
        <v>1</v>
      </c>
      <c r="H21" s="130" t="s">
        <v>613</v>
      </c>
      <c r="I21" s="5"/>
      <c r="J21" s="285"/>
      <c r="K21" s="285"/>
    </row>
    <row r="22" ht="16.5" spans="1:11">
      <c r="A22" s="269">
        <v>21</v>
      </c>
      <c r="B22" s="272" t="s">
        <v>133</v>
      </c>
      <c r="C22" s="273" t="s">
        <v>569</v>
      </c>
      <c r="D22" s="273"/>
      <c r="E22" s="4" t="s">
        <v>614</v>
      </c>
      <c r="F22" s="242">
        <v>521304</v>
      </c>
      <c r="G22" s="242">
        <v>23</v>
      </c>
      <c r="H22" s="130" t="s">
        <v>615</v>
      </c>
      <c r="I22" s="5"/>
      <c r="J22" s="285"/>
      <c r="K22" s="285"/>
    </row>
    <row r="23" spans="1:11">
      <c r="A23" s="269">
        <v>22</v>
      </c>
      <c r="B23" s="278" t="s">
        <v>122</v>
      </c>
      <c r="C23" s="269"/>
      <c r="D23" s="269"/>
      <c r="E23" s="130" t="s">
        <v>616</v>
      </c>
      <c r="F23" s="242">
        <v>521305</v>
      </c>
      <c r="G23" s="242">
        <v>15</v>
      </c>
      <c r="H23" s="130" t="s">
        <v>617</v>
      </c>
      <c r="I23" s="5" t="s">
        <v>402</v>
      </c>
      <c r="J23" s="285"/>
      <c r="K23" s="285"/>
    </row>
    <row r="24" spans="1:11">
      <c r="A24" s="269">
        <v>23</v>
      </c>
      <c r="B24" s="278" t="s">
        <v>122</v>
      </c>
      <c r="C24" s="269"/>
      <c r="D24" s="269"/>
      <c r="E24" s="130" t="s">
        <v>618</v>
      </c>
      <c r="F24" s="242">
        <v>521305</v>
      </c>
      <c r="G24" s="242">
        <v>16</v>
      </c>
      <c r="H24" s="130" t="s">
        <v>619</v>
      </c>
      <c r="I24" s="5"/>
      <c r="J24" s="285"/>
      <c r="K24" s="285"/>
    </row>
    <row r="25" spans="1:11">
      <c r="A25" s="269">
        <v>24</v>
      </c>
      <c r="B25" s="278" t="s">
        <v>122</v>
      </c>
      <c r="C25" s="269"/>
      <c r="D25" s="269"/>
      <c r="E25" s="130" t="s">
        <v>620</v>
      </c>
      <c r="F25" s="242">
        <v>521305</v>
      </c>
      <c r="G25" s="242">
        <v>0</v>
      </c>
      <c r="H25" s="130" t="s">
        <v>621</v>
      </c>
      <c r="I25" s="5"/>
      <c r="J25" s="285"/>
      <c r="K25" s="285"/>
    </row>
    <row r="26" ht="16.5" spans="1:11">
      <c r="A26" s="269">
        <v>25</v>
      </c>
      <c r="B26" s="272" t="s">
        <v>133</v>
      </c>
      <c r="C26" s="273" t="s">
        <v>577</v>
      </c>
      <c r="D26" s="273"/>
      <c r="E26" s="130" t="s">
        <v>622</v>
      </c>
      <c r="F26" s="242">
        <v>521305</v>
      </c>
      <c r="G26" s="242">
        <v>17</v>
      </c>
      <c r="H26" s="130" t="s">
        <v>623</v>
      </c>
      <c r="I26" s="5"/>
      <c r="J26" s="285"/>
      <c r="K26" s="285"/>
    </row>
    <row r="27" ht="16.5" spans="1:11">
      <c r="A27" s="269">
        <v>26</v>
      </c>
      <c r="B27" s="274" t="s">
        <v>124</v>
      </c>
      <c r="C27" s="273" t="s">
        <v>569</v>
      </c>
      <c r="D27" s="273"/>
      <c r="E27" s="130" t="s">
        <v>624</v>
      </c>
      <c r="F27" s="242">
        <v>521305</v>
      </c>
      <c r="G27" s="242">
        <v>18</v>
      </c>
      <c r="H27" s="130" t="s">
        <v>625</v>
      </c>
      <c r="I27" s="5"/>
      <c r="J27" s="285"/>
      <c r="K27" s="285"/>
    </row>
    <row r="28" ht="16.5" spans="1:11">
      <c r="A28" s="269">
        <v>27</v>
      </c>
      <c r="B28" s="274" t="s">
        <v>124</v>
      </c>
      <c r="C28" s="273" t="s">
        <v>572</v>
      </c>
      <c r="D28" s="273"/>
      <c r="E28" s="130" t="s">
        <v>626</v>
      </c>
      <c r="F28" s="242">
        <v>521305</v>
      </c>
      <c r="G28" s="242">
        <v>1</v>
      </c>
      <c r="H28" s="130" t="s">
        <v>627</v>
      </c>
      <c r="I28" s="5"/>
      <c r="J28" s="285"/>
      <c r="K28" s="285"/>
    </row>
    <row r="29" ht="16.5" spans="1:11">
      <c r="A29" s="269">
        <v>28</v>
      </c>
      <c r="B29" s="274" t="s">
        <v>124</v>
      </c>
      <c r="C29" s="273" t="s">
        <v>572</v>
      </c>
      <c r="D29" s="273"/>
      <c r="E29" s="279" t="s">
        <v>628</v>
      </c>
      <c r="F29" s="280">
        <v>521305</v>
      </c>
      <c r="G29" s="280">
        <v>12</v>
      </c>
      <c r="H29" s="281" t="s">
        <v>629</v>
      </c>
      <c r="I29" s="5"/>
      <c r="J29" s="288" t="s">
        <v>630</v>
      </c>
      <c r="K29" s="289" t="s">
        <v>629</v>
      </c>
    </row>
    <row r="30" spans="1:11">
      <c r="A30" s="269">
        <v>29</v>
      </c>
      <c r="B30" s="278" t="s">
        <v>122</v>
      </c>
      <c r="C30" s="269"/>
      <c r="D30" s="269"/>
      <c r="E30" s="130" t="s">
        <v>631</v>
      </c>
      <c r="F30" s="242">
        <v>521306</v>
      </c>
      <c r="G30" s="242">
        <v>15</v>
      </c>
      <c r="H30" s="130" t="s">
        <v>632</v>
      </c>
      <c r="I30" s="290" t="s">
        <v>402</v>
      </c>
      <c r="J30" s="291" t="s">
        <v>633</v>
      </c>
      <c r="K30" s="291" t="s">
        <v>634</v>
      </c>
    </row>
    <row r="31" spans="1:13">
      <c r="A31" s="269">
        <v>30</v>
      </c>
      <c r="B31" s="269"/>
      <c r="C31" s="269"/>
      <c r="D31" s="269"/>
      <c r="E31" s="276" t="s">
        <v>635</v>
      </c>
      <c r="F31" s="277">
        <v>521306</v>
      </c>
      <c r="G31" s="277">
        <v>16</v>
      </c>
      <c r="H31" s="276" t="s">
        <v>636</v>
      </c>
      <c r="I31" s="286"/>
      <c r="J31" s="285"/>
      <c r="K31" s="285"/>
      <c r="M31" s="287" t="s">
        <v>586</v>
      </c>
    </row>
    <row r="32" spans="1:13">
      <c r="A32" s="269">
        <v>31</v>
      </c>
      <c r="B32" s="269"/>
      <c r="C32" s="269"/>
      <c r="D32" s="269"/>
      <c r="E32" s="276" t="s">
        <v>637</v>
      </c>
      <c r="F32" s="277">
        <v>521306</v>
      </c>
      <c r="G32" s="277">
        <v>0</v>
      </c>
      <c r="H32" s="276" t="s">
        <v>638</v>
      </c>
      <c r="I32" s="286"/>
      <c r="J32" s="285"/>
      <c r="K32" s="285"/>
      <c r="M32" s="287" t="s">
        <v>586</v>
      </c>
    </row>
    <row r="33" ht="16.5" spans="1:11">
      <c r="A33" s="269">
        <v>32</v>
      </c>
      <c r="B33" s="278" t="s">
        <v>348</v>
      </c>
      <c r="C33" s="269"/>
      <c r="D33" s="269"/>
      <c r="E33" s="130" t="s">
        <v>639</v>
      </c>
      <c r="F33" s="242">
        <v>521307</v>
      </c>
      <c r="G33" s="242">
        <v>15</v>
      </c>
      <c r="H33" s="130" t="s">
        <v>640</v>
      </c>
      <c r="I33" s="5" t="s">
        <v>402</v>
      </c>
      <c r="J33" s="291" t="s">
        <v>633</v>
      </c>
      <c r="K33" s="292" t="s">
        <v>641</v>
      </c>
    </row>
    <row r="34" ht="16.5" spans="1:11">
      <c r="A34" s="269">
        <v>33</v>
      </c>
      <c r="B34" s="278" t="s">
        <v>122</v>
      </c>
      <c r="C34" s="269"/>
      <c r="D34" s="269"/>
      <c r="E34" s="130" t="s">
        <v>642</v>
      </c>
      <c r="F34" s="242">
        <v>521307</v>
      </c>
      <c r="G34" s="242">
        <v>16</v>
      </c>
      <c r="H34" s="130" t="s">
        <v>643</v>
      </c>
      <c r="I34" s="5"/>
      <c r="J34" s="291" t="s">
        <v>633</v>
      </c>
      <c r="K34" s="292" t="s">
        <v>644</v>
      </c>
    </row>
    <row r="35" ht="16.5" spans="1:11">
      <c r="A35" s="269">
        <v>34</v>
      </c>
      <c r="B35" s="278" t="s">
        <v>122</v>
      </c>
      <c r="C35" s="269"/>
      <c r="D35" s="269"/>
      <c r="E35" s="130" t="s">
        <v>645</v>
      </c>
      <c r="F35" s="242">
        <v>521307</v>
      </c>
      <c r="G35" s="242">
        <v>0</v>
      </c>
      <c r="H35" s="130" t="s">
        <v>646</v>
      </c>
      <c r="I35" s="5"/>
      <c r="J35" s="291" t="s">
        <v>633</v>
      </c>
      <c r="K35" s="292" t="s">
        <v>647</v>
      </c>
    </row>
    <row r="36" ht="49.5" spans="1:11">
      <c r="A36" s="269">
        <v>35</v>
      </c>
      <c r="B36" s="272" t="s">
        <v>239</v>
      </c>
      <c r="C36" s="273" t="s">
        <v>648</v>
      </c>
      <c r="D36" s="273"/>
      <c r="E36" s="282" t="s">
        <v>649</v>
      </c>
      <c r="F36" s="280">
        <v>521307</v>
      </c>
      <c r="G36" s="280">
        <v>6</v>
      </c>
      <c r="H36" s="281" t="s">
        <v>650</v>
      </c>
      <c r="I36" s="5"/>
      <c r="J36" s="288" t="s">
        <v>630</v>
      </c>
      <c r="K36" s="289" t="s">
        <v>650</v>
      </c>
    </row>
    <row r="37" ht="16.5" spans="1:11">
      <c r="A37" s="269">
        <v>36</v>
      </c>
      <c r="B37" s="278" t="s">
        <v>122</v>
      </c>
      <c r="C37" s="269"/>
      <c r="D37" s="269"/>
      <c r="E37" s="130" t="s">
        <v>651</v>
      </c>
      <c r="F37" s="242">
        <v>521308</v>
      </c>
      <c r="G37" s="242">
        <v>15</v>
      </c>
      <c r="H37" s="130" t="s">
        <v>652</v>
      </c>
      <c r="I37" s="5"/>
      <c r="J37" s="291" t="s">
        <v>633</v>
      </c>
      <c r="K37" s="292" t="s">
        <v>653</v>
      </c>
    </row>
    <row r="38" ht="16.5" spans="1:11">
      <c r="A38" s="269">
        <v>37</v>
      </c>
      <c r="B38" s="278" t="s">
        <v>122</v>
      </c>
      <c r="C38" s="269"/>
      <c r="D38" s="269"/>
      <c r="E38" s="130" t="s">
        <v>654</v>
      </c>
      <c r="F38" s="242">
        <v>521308</v>
      </c>
      <c r="G38" s="242">
        <v>16</v>
      </c>
      <c r="H38" s="130" t="s">
        <v>655</v>
      </c>
      <c r="I38" s="5"/>
      <c r="J38" s="291" t="s">
        <v>633</v>
      </c>
      <c r="K38" s="292" t="s">
        <v>656</v>
      </c>
    </row>
    <row r="39" ht="16.5" spans="1:11">
      <c r="A39" s="269">
        <v>38</v>
      </c>
      <c r="B39" s="272" t="s">
        <v>133</v>
      </c>
      <c r="C39" s="269" t="s">
        <v>657</v>
      </c>
      <c r="D39" s="269"/>
      <c r="E39" s="130" t="s">
        <v>658</v>
      </c>
      <c r="F39" s="242">
        <v>521308</v>
      </c>
      <c r="G39" s="242">
        <v>0</v>
      </c>
      <c r="H39" s="130" t="s">
        <v>659</v>
      </c>
      <c r="I39" s="5"/>
      <c r="J39" s="291" t="s">
        <v>633</v>
      </c>
      <c r="K39" s="292" t="s">
        <v>660</v>
      </c>
    </row>
    <row r="40" spans="1:11">
      <c r="A40" s="269">
        <v>39</v>
      </c>
      <c r="B40" s="278" t="s">
        <v>122</v>
      </c>
      <c r="C40" s="269"/>
      <c r="D40" s="269"/>
      <c r="E40" s="130" t="s">
        <v>661</v>
      </c>
      <c r="F40" s="242">
        <v>521309</v>
      </c>
      <c r="G40" s="242">
        <v>17</v>
      </c>
      <c r="H40" s="130" t="s">
        <v>662</v>
      </c>
      <c r="I40" s="5"/>
      <c r="J40" s="285"/>
      <c r="K40" s="285"/>
    </row>
    <row r="41" ht="33" spans="1:11">
      <c r="A41" s="269">
        <v>40</v>
      </c>
      <c r="B41" s="272" t="s">
        <v>239</v>
      </c>
      <c r="C41" s="273" t="s">
        <v>663</v>
      </c>
      <c r="D41" s="273"/>
      <c r="E41" s="130" t="s">
        <v>664</v>
      </c>
      <c r="F41" s="242">
        <v>521309</v>
      </c>
      <c r="G41" s="242">
        <v>18</v>
      </c>
      <c r="H41" s="130" t="s">
        <v>665</v>
      </c>
      <c r="I41" s="5"/>
      <c r="J41" s="285"/>
      <c r="K41" s="285"/>
    </row>
    <row r="42" ht="33" spans="1:11">
      <c r="A42" s="269">
        <v>41</v>
      </c>
      <c r="B42" s="272" t="s">
        <v>239</v>
      </c>
      <c r="C42" s="273" t="s">
        <v>666</v>
      </c>
      <c r="D42" s="273"/>
      <c r="E42" s="130" t="s">
        <v>667</v>
      </c>
      <c r="F42" s="242">
        <v>521309</v>
      </c>
      <c r="G42" s="242">
        <v>1</v>
      </c>
      <c r="H42" s="130" t="s">
        <v>668</v>
      </c>
      <c r="I42" s="5"/>
      <c r="J42" s="285"/>
      <c r="K42" s="285"/>
    </row>
    <row r="43" spans="1:11">
      <c r="A43" s="269">
        <v>42</v>
      </c>
      <c r="B43" s="278" t="s">
        <v>122</v>
      </c>
      <c r="C43" s="269"/>
      <c r="D43" s="269"/>
      <c r="E43" s="130" t="s">
        <v>669</v>
      </c>
      <c r="F43" s="242">
        <v>521309</v>
      </c>
      <c r="G43" s="242">
        <v>0</v>
      </c>
      <c r="H43" s="130" t="s">
        <v>670</v>
      </c>
      <c r="I43" s="5"/>
      <c r="J43" s="285"/>
      <c r="K43" s="285"/>
    </row>
    <row r="44" spans="1:11">
      <c r="A44" s="269">
        <v>43</v>
      </c>
      <c r="B44" s="278" t="s">
        <v>122</v>
      </c>
      <c r="C44" s="269"/>
      <c r="D44" s="269"/>
      <c r="E44" s="4" t="s">
        <v>671</v>
      </c>
      <c r="F44" s="242">
        <v>521309</v>
      </c>
      <c r="G44" s="242">
        <v>2</v>
      </c>
      <c r="H44" s="130" t="s">
        <v>672</v>
      </c>
      <c r="I44" s="5"/>
      <c r="J44" s="285"/>
      <c r="K44" s="285"/>
    </row>
    <row r="45" ht="16.5" spans="1:11">
      <c r="A45" s="269">
        <v>44</v>
      </c>
      <c r="B45" s="274" t="s">
        <v>124</v>
      </c>
      <c r="C45" s="273" t="s">
        <v>572</v>
      </c>
      <c r="D45" s="273"/>
      <c r="E45" s="130" t="s">
        <v>673</v>
      </c>
      <c r="F45" s="242">
        <v>521310</v>
      </c>
      <c r="G45" s="242">
        <v>13</v>
      </c>
      <c r="H45" s="130" t="s">
        <v>674</v>
      </c>
      <c r="I45" s="5"/>
      <c r="J45" s="285"/>
      <c r="K45" s="285"/>
    </row>
    <row r="46" ht="16.5" spans="1:11">
      <c r="A46" s="269">
        <v>45</v>
      </c>
      <c r="B46" s="274" t="s">
        <v>124</v>
      </c>
      <c r="C46" s="273" t="s">
        <v>572</v>
      </c>
      <c r="D46" s="273"/>
      <c r="E46" s="130" t="s">
        <v>675</v>
      </c>
      <c r="F46" s="242">
        <v>521311</v>
      </c>
      <c r="G46" s="242">
        <v>9</v>
      </c>
      <c r="H46" s="130" t="s">
        <v>676</v>
      </c>
      <c r="I46" s="5"/>
      <c r="J46" s="285"/>
      <c r="K46" s="285"/>
    </row>
    <row r="47" ht="33" spans="1:11">
      <c r="A47" s="269">
        <v>46</v>
      </c>
      <c r="B47" s="272" t="s">
        <v>239</v>
      </c>
      <c r="C47" s="273" t="s">
        <v>677</v>
      </c>
      <c r="D47" s="273"/>
      <c r="E47" s="130" t="s">
        <v>678</v>
      </c>
      <c r="F47" s="242">
        <v>521312</v>
      </c>
      <c r="G47" s="242">
        <v>5</v>
      </c>
      <c r="H47" s="130" t="s">
        <v>679</v>
      </c>
      <c r="I47" s="5"/>
      <c r="J47" s="285"/>
      <c r="K47" s="285"/>
    </row>
    <row r="48" spans="1:13">
      <c r="A48" s="269">
        <v>47</v>
      </c>
      <c r="B48" s="269"/>
      <c r="C48" s="269"/>
      <c r="D48" s="269"/>
      <c r="E48" s="276" t="s">
        <v>680</v>
      </c>
      <c r="F48" s="277">
        <v>521313</v>
      </c>
      <c r="G48" s="277">
        <v>13</v>
      </c>
      <c r="H48" s="276" t="s">
        <v>681</v>
      </c>
      <c r="I48" s="286"/>
      <c r="J48" s="285"/>
      <c r="K48" s="285"/>
      <c r="M48" s="287" t="s">
        <v>586</v>
      </c>
    </row>
    <row r="49" spans="1:13">
      <c r="A49" s="269">
        <v>48</v>
      </c>
      <c r="B49" s="269"/>
      <c r="C49" s="269"/>
      <c r="D49" s="269"/>
      <c r="E49" s="276" t="s">
        <v>682</v>
      </c>
      <c r="F49" s="277">
        <v>521314</v>
      </c>
      <c r="G49" s="277"/>
      <c r="H49" s="276" t="s">
        <v>683</v>
      </c>
      <c r="I49" s="286"/>
      <c r="J49" s="285"/>
      <c r="K49" s="285"/>
      <c r="M49" s="287" t="s">
        <v>586</v>
      </c>
    </row>
    <row r="50" spans="1:13">
      <c r="A50" s="269">
        <v>49</v>
      </c>
      <c r="B50" s="269"/>
      <c r="C50" s="269"/>
      <c r="D50" s="269"/>
      <c r="E50" s="276" t="s">
        <v>684</v>
      </c>
      <c r="F50" s="277">
        <v>521315</v>
      </c>
      <c r="G50" s="277">
        <v>6</v>
      </c>
      <c r="H50" s="276" t="s">
        <v>685</v>
      </c>
      <c r="I50" s="286"/>
      <c r="J50" s="285"/>
      <c r="K50" s="285"/>
      <c r="M50" s="287" t="s">
        <v>586</v>
      </c>
    </row>
    <row r="51" spans="1:13">
      <c r="A51" s="269">
        <v>50</v>
      </c>
      <c r="B51" s="269"/>
      <c r="C51" s="269"/>
      <c r="D51" s="269"/>
      <c r="E51" s="276" t="s">
        <v>686</v>
      </c>
      <c r="F51" s="277">
        <v>521316</v>
      </c>
      <c r="G51" s="277">
        <v>6</v>
      </c>
      <c r="H51" s="276" t="s">
        <v>687</v>
      </c>
      <c r="I51" s="286"/>
      <c r="J51" s="285"/>
      <c r="K51" s="285"/>
      <c r="M51" s="287" t="s">
        <v>586</v>
      </c>
    </row>
    <row r="52" spans="1:13">
      <c r="A52" s="269">
        <v>51</v>
      </c>
      <c r="B52" s="269"/>
      <c r="C52" s="269"/>
      <c r="D52" s="269"/>
      <c r="E52" s="276" t="s">
        <v>688</v>
      </c>
      <c r="F52" s="277">
        <v>521317</v>
      </c>
      <c r="G52" s="277">
        <v>12</v>
      </c>
      <c r="H52" s="276" t="s">
        <v>689</v>
      </c>
      <c r="I52" s="286"/>
      <c r="J52" s="285"/>
      <c r="K52" s="285"/>
      <c r="M52" s="287" t="s">
        <v>586</v>
      </c>
    </row>
    <row r="53" spans="1:13">
      <c r="A53" s="269">
        <v>52</v>
      </c>
      <c r="B53" s="269"/>
      <c r="C53" s="269"/>
      <c r="D53" s="269"/>
      <c r="E53" s="276" t="s">
        <v>690</v>
      </c>
      <c r="F53" s="277">
        <v>521318</v>
      </c>
      <c r="G53" s="277">
        <v>4</v>
      </c>
      <c r="H53" s="276" t="s">
        <v>691</v>
      </c>
      <c r="I53" s="286"/>
      <c r="J53" s="285"/>
      <c r="K53" s="285"/>
      <c r="M53" s="287" t="s">
        <v>586</v>
      </c>
    </row>
    <row r="54" spans="1:13">
      <c r="A54" s="269">
        <v>53</v>
      </c>
      <c r="B54" s="269"/>
      <c r="C54" s="269"/>
      <c r="D54" s="269"/>
      <c r="E54" s="276" t="s">
        <v>692</v>
      </c>
      <c r="F54" s="277">
        <v>521319</v>
      </c>
      <c r="G54" s="277">
        <v>2</v>
      </c>
      <c r="H54" s="276" t="s">
        <v>693</v>
      </c>
      <c r="I54" s="286"/>
      <c r="J54" s="285"/>
      <c r="K54" s="285"/>
      <c r="M54" s="287" t="s">
        <v>586</v>
      </c>
    </row>
    <row r="55" spans="1:13">
      <c r="A55" s="269">
        <v>54</v>
      </c>
      <c r="B55" s="269"/>
      <c r="C55" s="269"/>
      <c r="D55" s="269"/>
      <c r="E55" s="276" t="s">
        <v>694</v>
      </c>
      <c r="F55" s="277">
        <v>521321</v>
      </c>
      <c r="G55" s="277">
        <v>2</v>
      </c>
      <c r="H55" s="276" t="s">
        <v>695</v>
      </c>
      <c r="I55" s="286"/>
      <c r="J55" s="285"/>
      <c r="K55" s="285"/>
      <c r="M55" s="287" t="s">
        <v>586</v>
      </c>
    </row>
    <row r="56" spans="1:13">
      <c r="A56" s="269">
        <v>55</v>
      </c>
      <c r="B56" s="269"/>
      <c r="C56" s="269"/>
      <c r="D56" s="269"/>
      <c r="E56" s="276" t="s">
        <v>696</v>
      </c>
      <c r="F56" s="277">
        <v>521322</v>
      </c>
      <c r="G56" s="277">
        <v>2</v>
      </c>
      <c r="H56" s="276" t="s">
        <v>697</v>
      </c>
      <c r="I56" s="286"/>
      <c r="J56" s="285"/>
      <c r="K56" s="285"/>
      <c r="M56" s="287" t="s">
        <v>586</v>
      </c>
    </row>
    <row r="57" spans="1:13">
      <c r="A57" s="269">
        <v>56</v>
      </c>
      <c r="B57" s="269"/>
      <c r="C57" s="269"/>
      <c r="D57" s="269"/>
      <c r="E57" s="276" t="s">
        <v>698</v>
      </c>
      <c r="F57" s="277">
        <v>521323</v>
      </c>
      <c r="G57" s="277">
        <v>12</v>
      </c>
      <c r="H57" s="276" t="s">
        <v>699</v>
      </c>
      <c r="I57" s="286"/>
      <c r="J57" s="285"/>
      <c r="K57" s="285"/>
      <c r="M57" s="287" t="s">
        <v>586</v>
      </c>
    </row>
    <row r="58" spans="1:13">
      <c r="A58" s="269">
        <v>57</v>
      </c>
      <c r="B58" s="269"/>
      <c r="C58" s="269"/>
      <c r="D58" s="269"/>
      <c r="E58" s="276" t="s">
        <v>700</v>
      </c>
      <c r="F58" s="277">
        <v>521324</v>
      </c>
      <c r="G58" s="277">
        <v>2</v>
      </c>
      <c r="H58" s="276" t="s">
        <v>701</v>
      </c>
      <c r="I58" s="286"/>
      <c r="J58" s="285"/>
      <c r="K58" s="285"/>
      <c r="M58" s="287" t="s">
        <v>586</v>
      </c>
    </row>
    <row r="59" spans="1:13">
      <c r="A59" s="269">
        <v>58</v>
      </c>
      <c r="B59" s="269"/>
      <c r="C59" s="269"/>
      <c r="D59" s="269"/>
      <c r="E59" s="276" t="s">
        <v>702</v>
      </c>
      <c r="F59" s="277">
        <v>521325</v>
      </c>
      <c r="G59" s="277">
        <v>3</v>
      </c>
      <c r="H59" s="276" t="s">
        <v>703</v>
      </c>
      <c r="I59" s="286"/>
      <c r="J59" s="285"/>
      <c r="K59" s="285"/>
      <c r="M59" s="287" t="s">
        <v>586</v>
      </c>
    </row>
    <row r="60" ht="16.5" spans="1:11">
      <c r="A60" s="269">
        <v>59</v>
      </c>
      <c r="B60" s="274" t="s">
        <v>124</v>
      </c>
      <c r="C60" s="273" t="s">
        <v>572</v>
      </c>
      <c r="D60" s="273"/>
      <c r="E60" s="130" t="s">
        <v>704</v>
      </c>
      <c r="F60" s="242">
        <v>521327</v>
      </c>
      <c r="G60" s="242">
        <v>5</v>
      </c>
      <c r="H60" s="130" t="s">
        <v>705</v>
      </c>
      <c r="I60" s="5"/>
      <c r="J60" s="285"/>
      <c r="K60" s="285"/>
    </row>
    <row r="61" ht="16.5" spans="1:11">
      <c r="A61" s="269">
        <v>60</v>
      </c>
      <c r="B61" s="272" t="s">
        <v>133</v>
      </c>
      <c r="C61" s="273" t="s">
        <v>569</v>
      </c>
      <c r="D61" s="273"/>
      <c r="E61" s="130" t="s">
        <v>706</v>
      </c>
      <c r="F61" s="242">
        <v>521327</v>
      </c>
      <c r="G61" s="242">
        <v>3</v>
      </c>
      <c r="H61" s="130" t="s">
        <v>707</v>
      </c>
      <c r="I61" s="5"/>
      <c r="J61" s="285"/>
      <c r="K61" s="285"/>
    </row>
    <row r="62" ht="16.5" spans="1:11">
      <c r="A62" s="269">
        <v>61</v>
      </c>
      <c r="B62" s="274" t="s">
        <v>124</v>
      </c>
      <c r="C62" s="273" t="s">
        <v>572</v>
      </c>
      <c r="D62" s="273"/>
      <c r="E62" s="283" t="s">
        <v>708</v>
      </c>
      <c r="F62" s="280">
        <v>521328</v>
      </c>
      <c r="G62" s="280">
        <v>5</v>
      </c>
      <c r="H62" s="281" t="s">
        <v>709</v>
      </c>
      <c r="I62" s="5"/>
      <c r="J62" s="289" t="s">
        <v>630</v>
      </c>
      <c r="K62" s="289" t="s">
        <v>709</v>
      </c>
    </row>
    <row r="63" ht="16.5" spans="1:11">
      <c r="A63" s="269">
        <v>62</v>
      </c>
      <c r="B63" s="272" t="s">
        <v>133</v>
      </c>
      <c r="C63" s="273" t="s">
        <v>569</v>
      </c>
      <c r="D63" s="273"/>
      <c r="E63" s="283" t="s">
        <v>710</v>
      </c>
      <c r="F63" s="280">
        <v>521328</v>
      </c>
      <c r="G63" s="280">
        <v>3</v>
      </c>
      <c r="H63" s="281" t="s">
        <v>711</v>
      </c>
      <c r="I63" s="5"/>
      <c r="J63" s="289" t="s">
        <v>630</v>
      </c>
      <c r="K63" s="289" t="s">
        <v>711</v>
      </c>
    </row>
    <row r="64" ht="16.5" spans="1:11">
      <c r="A64" s="269">
        <v>63</v>
      </c>
      <c r="B64" s="272" t="s">
        <v>133</v>
      </c>
      <c r="C64" s="273" t="s">
        <v>569</v>
      </c>
      <c r="D64" s="273"/>
      <c r="E64" s="130" t="s">
        <v>712</v>
      </c>
      <c r="F64" s="242">
        <v>521329</v>
      </c>
      <c r="G64" s="242">
        <v>5</v>
      </c>
      <c r="H64" s="130" t="s">
        <v>713</v>
      </c>
      <c r="I64" s="5"/>
      <c r="J64" s="291" t="s">
        <v>633</v>
      </c>
      <c r="K64" s="292" t="s">
        <v>714</v>
      </c>
    </row>
    <row r="65" ht="16.5" spans="1:11">
      <c r="A65" s="269">
        <v>64</v>
      </c>
      <c r="B65" s="272" t="s">
        <v>133</v>
      </c>
      <c r="C65" s="273" t="s">
        <v>569</v>
      </c>
      <c r="D65" s="273"/>
      <c r="E65" s="130" t="s">
        <v>715</v>
      </c>
      <c r="F65" s="242">
        <v>521329</v>
      </c>
      <c r="G65" s="242">
        <v>3</v>
      </c>
      <c r="H65" s="130" t="s">
        <v>716</v>
      </c>
      <c r="I65" s="5"/>
      <c r="J65" s="291" t="s">
        <v>633</v>
      </c>
      <c r="K65" s="292" t="s">
        <v>717</v>
      </c>
    </row>
    <row r="66" spans="1:11">
      <c r="A66" s="269">
        <v>65</v>
      </c>
      <c r="B66" s="269"/>
      <c r="C66" s="269"/>
      <c r="D66" s="269"/>
      <c r="E66" s="130" t="s">
        <v>682</v>
      </c>
      <c r="F66" s="242">
        <v>521329</v>
      </c>
      <c r="G66" s="242">
        <v>2</v>
      </c>
      <c r="H66" s="130" t="s">
        <v>718</v>
      </c>
      <c r="I66" s="5" t="s">
        <v>719</v>
      </c>
      <c r="J66" s="285"/>
      <c r="K66" s="285"/>
    </row>
    <row r="67" ht="16.5" spans="1:11">
      <c r="A67" s="269">
        <v>66</v>
      </c>
      <c r="B67" s="272" t="s">
        <v>133</v>
      </c>
      <c r="C67" s="273" t="s">
        <v>569</v>
      </c>
      <c r="D67" s="273"/>
      <c r="E67" s="130" t="s">
        <v>720</v>
      </c>
      <c r="F67" s="242">
        <v>521330</v>
      </c>
      <c r="G67" s="242">
        <v>5</v>
      </c>
      <c r="H67" s="130" t="s">
        <v>721</v>
      </c>
      <c r="I67" s="5"/>
      <c r="J67" s="291" t="s">
        <v>633</v>
      </c>
      <c r="K67" s="292" t="s">
        <v>722</v>
      </c>
    </row>
    <row r="68" ht="16.5" spans="1:11">
      <c r="A68" s="269">
        <v>67</v>
      </c>
      <c r="B68" s="272" t="s">
        <v>133</v>
      </c>
      <c r="C68" s="273" t="s">
        <v>569</v>
      </c>
      <c r="D68" s="273"/>
      <c r="E68" s="130" t="s">
        <v>723</v>
      </c>
      <c r="F68" s="242">
        <v>521330</v>
      </c>
      <c r="G68" s="242">
        <v>3</v>
      </c>
      <c r="H68" s="130" t="s">
        <v>724</v>
      </c>
      <c r="I68" s="5"/>
      <c r="J68" s="291" t="s">
        <v>633</v>
      </c>
      <c r="K68" s="292" t="s">
        <v>725</v>
      </c>
    </row>
    <row r="69" ht="16.5" spans="1:11">
      <c r="A69" s="269">
        <v>68</v>
      </c>
      <c r="B69" s="272" t="s">
        <v>133</v>
      </c>
      <c r="C69" s="273" t="s">
        <v>569</v>
      </c>
      <c r="D69" s="273"/>
      <c r="E69" s="283" t="s">
        <v>726</v>
      </c>
      <c r="F69" s="280">
        <v>521331</v>
      </c>
      <c r="G69" s="280">
        <v>5</v>
      </c>
      <c r="H69" s="281" t="s">
        <v>727</v>
      </c>
      <c r="I69" s="5"/>
      <c r="J69" s="288" t="s">
        <v>630</v>
      </c>
      <c r="K69" s="289" t="s">
        <v>727</v>
      </c>
    </row>
    <row r="70" ht="16.5" spans="1:11">
      <c r="A70" s="269">
        <v>69</v>
      </c>
      <c r="B70" s="272" t="s">
        <v>133</v>
      </c>
      <c r="C70" s="273" t="s">
        <v>569</v>
      </c>
      <c r="D70" s="273"/>
      <c r="E70" s="283" t="s">
        <v>728</v>
      </c>
      <c r="F70" s="280">
        <v>521331</v>
      </c>
      <c r="G70" s="280">
        <v>3</v>
      </c>
      <c r="H70" s="281" t="s">
        <v>729</v>
      </c>
      <c r="I70" s="5"/>
      <c r="J70" s="288" t="s">
        <v>630</v>
      </c>
      <c r="K70" s="289" t="s">
        <v>729</v>
      </c>
    </row>
    <row r="71" ht="16.5" spans="1:11">
      <c r="A71" s="269">
        <v>70</v>
      </c>
      <c r="B71" s="272" t="s">
        <v>133</v>
      </c>
      <c r="C71" s="273" t="s">
        <v>569</v>
      </c>
      <c r="D71" s="273"/>
      <c r="E71" s="283" t="s">
        <v>730</v>
      </c>
      <c r="F71" s="280">
        <v>521332</v>
      </c>
      <c r="G71" s="280">
        <v>5</v>
      </c>
      <c r="H71" s="281" t="s">
        <v>731</v>
      </c>
      <c r="I71" s="5"/>
      <c r="J71" s="288" t="s">
        <v>630</v>
      </c>
      <c r="K71" s="289" t="s">
        <v>731</v>
      </c>
    </row>
    <row r="72" ht="16.5" spans="1:11">
      <c r="A72" s="269">
        <v>71</v>
      </c>
      <c r="B72" s="272" t="s">
        <v>133</v>
      </c>
      <c r="C72" s="273" t="s">
        <v>569</v>
      </c>
      <c r="D72" s="273"/>
      <c r="E72" s="283" t="s">
        <v>732</v>
      </c>
      <c r="F72" s="280">
        <v>521332</v>
      </c>
      <c r="G72" s="280">
        <v>3</v>
      </c>
      <c r="H72" s="281" t="s">
        <v>733</v>
      </c>
      <c r="I72" s="5"/>
      <c r="J72" s="288" t="s">
        <v>630</v>
      </c>
      <c r="K72" s="289" t="s">
        <v>733</v>
      </c>
    </row>
    <row r="73" ht="16.5" spans="1:11">
      <c r="A73" s="269">
        <v>72</v>
      </c>
      <c r="B73" s="272" t="s">
        <v>133</v>
      </c>
      <c r="C73" s="273" t="s">
        <v>569</v>
      </c>
      <c r="D73" s="273"/>
      <c r="E73" s="130" t="s">
        <v>734</v>
      </c>
      <c r="F73" s="242">
        <v>521333</v>
      </c>
      <c r="G73" s="242">
        <v>5</v>
      </c>
      <c r="H73" s="130" t="s">
        <v>735</v>
      </c>
      <c r="I73" s="5"/>
      <c r="J73" s="285"/>
      <c r="K73" s="285"/>
    </row>
    <row r="74" ht="16.5" spans="1:11">
      <c r="A74" s="269">
        <v>73</v>
      </c>
      <c r="B74" s="274" t="s">
        <v>124</v>
      </c>
      <c r="C74" s="273" t="s">
        <v>572</v>
      </c>
      <c r="D74" s="273"/>
      <c r="E74" s="130" t="s">
        <v>736</v>
      </c>
      <c r="F74" s="242">
        <v>521334</v>
      </c>
      <c r="G74" s="242">
        <v>3</v>
      </c>
      <c r="H74" s="130" t="s">
        <v>737</v>
      </c>
      <c r="I74" s="5"/>
      <c r="J74" s="285"/>
      <c r="K74" s="285"/>
    </row>
    <row r="75" ht="33" spans="1:11">
      <c r="A75" s="269">
        <v>74</v>
      </c>
      <c r="B75" s="274" t="s">
        <v>738</v>
      </c>
      <c r="C75" s="273" t="s">
        <v>739</v>
      </c>
      <c r="D75" s="273"/>
      <c r="E75" s="130" t="s">
        <v>740</v>
      </c>
      <c r="F75" s="242">
        <v>521335</v>
      </c>
      <c r="G75" s="242">
        <v>3</v>
      </c>
      <c r="H75" s="130" t="s">
        <v>741</v>
      </c>
      <c r="I75" s="5"/>
      <c r="J75" s="285"/>
      <c r="K75" s="285"/>
    </row>
    <row r="76" spans="1:13">
      <c r="A76" s="269">
        <v>75</v>
      </c>
      <c r="B76" s="269"/>
      <c r="C76" s="275"/>
      <c r="D76" s="275"/>
      <c r="E76" s="276" t="s">
        <v>742</v>
      </c>
      <c r="F76" s="277">
        <v>521336</v>
      </c>
      <c r="G76" s="277">
        <v>5</v>
      </c>
      <c r="H76" s="276" t="s">
        <v>743</v>
      </c>
      <c r="I76" s="286"/>
      <c r="J76" s="285"/>
      <c r="K76" s="285"/>
      <c r="M76" s="287" t="s">
        <v>586</v>
      </c>
    </row>
    <row r="77" ht="49.5" spans="1:11">
      <c r="A77" s="269">
        <v>76</v>
      </c>
      <c r="B77" s="272" t="s">
        <v>239</v>
      </c>
      <c r="C77" s="273" t="s">
        <v>744</v>
      </c>
      <c r="D77" s="273"/>
      <c r="E77" s="130" t="s">
        <v>745</v>
      </c>
      <c r="F77" s="242">
        <v>521336</v>
      </c>
      <c r="G77" s="242">
        <v>16</v>
      </c>
      <c r="H77" s="130" t="s">
        <v>746</v>
      </c>
      <c r="I77" s="5"/>
      <c r="J77" s="285"/>
      <c r="K77" s="285"/>
    </row>
    <row r="78" ht="49.5" spans="1:11">
      <c r="A78" s="269">
        <v>77</v>
      </c>
      <c r="B78" s="274" t="s">
        <v>738</v>
      </c>
      <c r="C78" s="273" t="s">
        <v>747</v>
      </c>
      <c r="D78" s="273"/>
      <c r="E78" s="130" t="s">
        <v>748</v>
      </c>
      <c r="F78" s="242">
        <v>521336</v>
      </c>
      <c r="G78" s="242">
        <v>0</v>
      </c>
      <c r="H78" s="130" t="s">
        <v>749</v>
      </c>
      <c r="I78" s="5"/>
      <c r="J78" s="285"/>
      <c r="K78" s="285"/>
    </row>
    <row r="79" ht="16.5" spans="1:11">
      <c r="A79" s="269">
        <v>78</v>
      </c>
      <c r="B79" s="272" t="s">
        <v>133</v>
      </c>
      <c r="C79" s="273" t="s">
        <v>569</v>
      </c>
      <c r="D79" s="273"/>
      <c r="E79" s="130" t="s">
        <v>750</v>
      </c>
      <c r="F79" s="242">
        <v>521344</v>
      </c>
      <c r="G79" s="242">
        <v>5</v>
      </c>
      <c r="H79" s="130" t="s">
        <v>751</v>
      </c>
      <c r="I79" s="5"/>
      <c r="J79" s="291" t="s">
        <v>633</v>
      </c>
      <c r="K79" s="292" t="s">
        <v>752</v>
      </c>
    </row>
    <row r="80" ht="16.5" spans="1:11">
      <c r="A80" s="269">
        <v>79</v>
      </c>
      <c r="B80" s="272" t="s">
        <v>133</v>
      </c>
      <c r="C80" s="273" t="s">
        <v>569</v>
      </c>
      <c r="D80" s="273"/>
      <c r="E80" s="130" t="s">
        <v>753</v>
      </c>
      <c r="F80" s="242">
        <v>521344</v>
      </c>
      <c r="G80" s="242">
        <v>3</v>
      </c>
      <c r="H80" s="130" t="s">
        <v>754</v>
      </c>
      <c r="I80" s="5"/>
      <c r="J80" s="291" t="s">
        <v>633</v>
      </c>
      <c r="K80" s="292" t="s">
        <v>755</v>
      </c>
    </row>
    <row r="81" spans="1:13">
      <c r="A81" s="269">
        <v>80</v>
      </c>
      <c r="B81" s="269"/>
      <c r="C81" s="275"/>
      <c r="D81" s="275"/>
      <c r="E81" s="276" t="s">
        <v>756</v>
      </c>
      <c r="F81" s="277">
        <v>521345</v>
      </c>
      <c r="G81" s="277">
        <v>13</v>
      </c>
      <c r="H81" s="276" t="s">
        <v>757</v>
      </c>
      <c r="I81" s="286"/>
      <c r="J81" s="285"/>
      <c r="K81" s="285"/>
      <c r="M81" s="287" t="s">
        <v>586</v>
      </c>
    </row>
    <row r="82" spans="1:13">
      <c r="A82" s="269">
        <v>81</v>
      </c>
      <c r="B82" s="269"/>
      <c r="C82" s="275"/>
      <c r="D82" s="275"/>
      <c r="E82" s="276" t="s">
        <v>758</v>
      </c>
      <c r="F82" s="277">
        <v>521346</v>
      </c>
      <c r="G82" s="277">
        <v>13</v>
      </c>
      <c r="H82" s="276" t="s">
        <v>759</v>
      </c>
      <c r="I82" s="286"/>
      <c r="J82" s="285"/>
      <c r="K82" s="285"/>
      <c r="M82" s="287" t="s">
        <v>586</v>
      </c>
    </row>
    <row r="83" spans="1:13">
      <c r="A83" s="269">
        <v>82</v>
      </c>
      <c r="B83" s="269"/>
      <c r="C83" s="275"/>
      <c r="D83" s="275"/>
      <c r="E83" s="276" t="s">
        <v>760</v>
      </c>
      <c r="F83" s="277">
        <v>521347</v>
      </c>
      <c r="G83" s="277">
        <v>0</v>
      </c>
      <c r="H83" s="276" t="s">
        <v>761</v>
      </c>
      <c r="I83" s="286"/>
      <c r="J83" s="285"/>
      <c r="K83" s="285"/>
      <c r="M83" s="287" t="s">
        <v>586</v>
      </c>
    </row>
    <row r="84" spans="1:13">
      <c r="A84" s="269">
        <v>83</v>
      </c>
      <c r="B84" s="269"/>
      <c r="C84" s="275"/>
      <c r="D84" s="275"/>
      <c r="E84" s="276" t="s">
        <v>762</v>
      </c>
      <c r="F84" s="275">
        <v>521348</v>
      </c>
      <c r="G84" s="277">
        <v>0</v>
      </c>
      <c r="H84" s="276" t="s">
        <v>763</v>
      </c>
      <c r="I84" s="286"/>
      <c r="J84" s="285"/>
      <c r="K84" s="285"/>
      <c r="M84" s="287" t="s">
        <v>586</v>
      </c>
    </row>
    <row r="85" spans="1:13">
      <c r="A85" s="269">
        <v>84</v>
      </c>
      <c r="B85" s="269"/>
      <c r="C85" s="275"/>
      <c r="D85" s="275"/>
      <c r="E85" s="293" t="s">
        <v>764</v>
      </c>
      <c r="F85" s="275">
        <v>521348</v>
      </c>
      <c r="G85" s="277">
        <v>2</v>
      </c>
      <c r="H85" s="276" t="s">
        <v>765</v>
      </c>
      <c r="I85" s="286"/>
      <c r="J85" s="285"/>
      <c r="K85" s="285"/>
      <c r="M85" s="287" t="s">
        <v>586</v>
      </c>
    </row>
    <row r="86" spans="1:13">
      <c r="A86" s="269">
        <v>85</v>
      </c>
      <c r="B86" s="269"/>
      <c r="C86" s="275"/>
      <c r="D86" s="275"/>
      <c r="E86" s="293" t="s">
        <v>766</v>
      </c>
      <c r="F86" s="277">
        <v>521349</v>
      </c>
      <c r="G86" s="277">
        <v>5</v>
      </c>
      <c r="H86" s="276" t="s">
        <v>767</v>
      </c>
      <c r="I86" s="286"/>
      <c r="J86" s="285"/>
      <c r="K86" s="285"/>
      <c r="M86" s="287" t="s">
        <v>586</v>
      </c>
    </row>
    <row r="87" ht="16.5" spans="1:11">
      <c r="A87" s="269">
        <v>86</v>
      </c>
      <c r="B87" s="272" t="s">
        <v>133</v>
      </c>
      <c r="C87" s="273" t="s">
        <v>569</v>
      </c>
      <c r="D87" s="273"/>
      <c r="E87" s="4" t="s">
        <v>768</v>
      </c>
      <c r="F87" s="242">
        <v>521350</v>
      </c>
      <c r="G87" s="242">
        <v>12</v>
      </c>
      <c r="H87" s="130" t="s">
        <v>769</v>
      </c>
      <c r="I87" s="5"/>
      <c r="J87" s="285"/>
      <c r="K87" s="285"/>
    </row>
    <row r="88" ht="16.5" spans="1:11">
      <c r="A88" s="269">
        <v>87</v>
      </c>
      <c r="B88" s="278" t="s">
        <v>122</v>
      </c>
      <c r="C88" s="269"/>
      <c r="D88" s="269"/>
      <c r="E88" s="282" t="s">
        <v>770</v>
      </c>
      <c r="F88" s="280">
        <v>521353</v>
      </c>
      <c r="G88" s="280">
        <v>0</v>
      </c>
      <c r="H88" s="281" t="s">
        <v>771</v>
      </c>
      <c r="I88" s="5"/>
      <c r="J88" s="288" t="s">
        <v>630</v>
      </c>
      <c r="K88" s="288" t="s">
        <v>772</v>
      </c>
    </row>
    <row r="89" ht="16.5" spans="1:11">
      <c r="A89" s="269">
        <v>88</v>
      </c>
      <c r="B89" s="272" t="s">
        <v>133</v>
      </c>
      <c r="C89" s="273" t="s">
        <v>569</v>
      </c>
      <c r="D89" s="273"/>
      <c r="E89" s="282" t="s">
        <v>773</v>
      </c>
      <c r="F89" s="280">
        <v>521360</v>
      </c>
      <c r="G89" s="280">
        <v>15</v>
      </c>
      <c r="H89" s="281" t="s">
        <v>774</v>
      </c>
      <c r="I89" s="5"/>
      <c r="J89" s="288" t="s">
        <v>630</v>
      </c>
      <c r="K89" s="288" t="s">
        <v>775</v>
      </c>
    </row>
    <row r="90" ht="16.5" spans="1:11">
      <c r="A90" s="269">
        <v>89</v>
      </c>
      <c r="B90" s="272" t="s">
        <v>133</v>
      </c>
      <c r="C90" s="273" t="s">
        <v>569</v>
      </c>
      <c r="D90" s="273"/>
      <c r="E90" s="282" t="s">
        <v>773</v>
      </c>
      <c r="F90" s="280">
        <v>521360</v>
      </c>
      <c r="G90" s="280">
        <v>16</v>
      </c>
      <c r="H90" s="281" t="s">
        <v>776</v>
      </c>
      <c r="I90" s="5"/>
      <c r="J90" s="288" t="s">
        <v>630</v>
      </c>
      <c r="K90" s="288" t="s">
        <v>777</v>
      </c>
    </row>
    <row r="91" ht="16.5" spans="1:11">
      <c r="A91" s="269">
        <v>90</v>
      </c>
      <c r="B91" s="272" t="s">
        <v>133</v>
      </c>
      <c r="C91" s="273" t="s">
        <v>569</v>
      </c>
      <c r="D91" s="273"/>
      <c r="E91" s="282" t="s">
        <v>773</v>
      </c>
      <c r="F91" s="280">
        <v>521360</v>
      </c>
      <c r="G91" s="280">
        <v>0</v>
      </c>
      <c r="H91" s="281" t="s">
        <v>778</v>
      </c>
      <c r="I91" s="5"/>
      <c r="J91" s="288" t="s">
        <v>630</v>
      </c>
      <c r="K91" s="288" t="s">
        <v>779</v>
      </c>
    </row>
    <row r="92" ht="16.5" spans="1:11">
      <c r="A92" s="269">
        <v>91</v>
      </c>
      <c r="B92" s="278" t="s">
        <v>122</v>
      </c>
      <c r="C92" s="269"/>
      <c r="D92" s="269"/>
      <c r="E92" s="282" t="s">
        <v>780</v>
      </c>
      <c r="F92" s="280">
        <v>521361</v>
      </c>
      <c r="G92" s="280">
        <v>15</v>
      </c>
      <c r="H92" s="281" t="s">
        <v>781</v>
      </c>
      <c r="I92" s="5"/>
      <c r="J92" s="288" t="s">
        <v>630</v>
      </c>
      <c r="K92" s="288" t="s">
        <v>782</v>
      </c>
    </row>
    <row r="93" ht="16.5" spans="1:11">
      <c r="A93" s="269">
        <v>92</v>
      </c>
      <c r="B93" s="278" t="s">
        <v>122</v>
      </c>
      <c r="C93" s="269"/>
      <c r="D93" s="269"/>
      <c r="E93" s="282" t="s">
        <v>780</v>
      </c>
      <c r="F93" s="280">
        <v>521361</v>
      </c>
      <c r="G93" s="280">
        <v>16</v>
      </c>
      <c r="H93" s="281" t="s">
        <v>783</v>
      </c>
      <c r="I93" s="5"/>
      <c r="J93" s="288" t="s">
        <v>630</v>
      </c>
      <c r="K93" s="288" t="s">
        <v>784</v>
      </c>
    </row>
    <row r="94" ht="16.5" spans="1:11">
      <c r="A94" s="269">
        <v>93</v>
      </c>
      <c r="B94" s="278" t="s">
        <v>122</v>
      </c>
      <c r="C94" s="269"/>
      <c r="D94" s="269"/>
      <c r="E94" s="282" t="s">
        <v>780</v>
      </c>
      <c r="F94" s="280">
        <v>521361</v>
      </c>
      <c r="G94" s="280">
        <v>0</v>
      </c>
      <c r="H94" s="281" t="s">
        <v>785</v>
      </c>
      <c r="I94" s="5"/>
      <c r="J94" s="288" t="s">
        <v>630</v>
      </c>
      <c r="K94" s="288" t="s">
        <v>786</v>
      </c>
    </row>
    <row r="95" ht="16.5" spans="1:11">
      <c r="A95" s="269">
        <v>94</v>
      </c>
      <c r="B95" s="274" t="s">
        <v>124</v>
      </c>
      <c r="C95" s="273" t="s">
        <v>569</v>
      </c>
      <c r="D95" s="273"/>
      <c r="E95" s="283" t="s">
        <v>787</v>
      </c>
      <c r="F95" s="280">
        <v>521362</v>
      </c>
      <c r="G95" s="280">
        <v>7</v>
      </c>
      <c r="H95" s="281" t="s">
        <v>788</v>
      </c>
      <c r="I95" s="5"/>
      <c r="J95" s="288" t="s">
        <v>630</v>
      </c>
      <c r="K95" s="288" t="s">
        <v>789</v>
      </c>
    </row>
    <row r="96" ht="16.5" spans="1:11">
      <c r="A96" s="269">
        <v>95</v>
      </c>
      <c r="B96" s="274" t="s">
        <v>124</v>
      </c>
      <c r="C96" s="273" t="s">
        <v>569</v>
      </c>
      <c r="D96" s="273"/>
      <c r="E96" s="283" t="s">
        <v>790</v>
      </c>
      <c r="F96" s="280">
        <v>521363</v>
      </c>
      <c r="G96" s="280">
        <v>7</v>
      </c>
      <c r="H96" s="281" t="s">
        <v>791</v>
      </c>
      <c r="I96" s="5"/>
      <c r="J96" s="288" t="s">
        <v>630</v>
      </c>
      <c r="K96" s="288" t="s">
        <v>792</v>
      </c>
    </row>
    <row r="97" ht="16.5" spans="1:11">
      <c r="A97" s="269">
        <v>96</v>
      </c>
      <c r="B97" s="278" t="s">
        <v>122</v>
      </c>
      <c r="C97" s="269"/>
      <c r="D97" s="269"/>
      <c r="E97" s="283" t="s">
        <v>793</v>
      </c>
      <c r="F97" s="280">
        <v>521364</v>
      </c>
      <c r="G97" s="280">
        <v>12</v>
      </c>
      <c r="H97" s="281" t="s">
        <v>794</v>
      </c>
      <c r="I97" s="5"/>
      <c r="J97" s="288" t="s">
        <v>630</v>
      </c>
      <c r="K97" s="288" t="s">
        <v>795</v>
      </c>
    </row>
    <row r="98" ht="16.5" spans="1:11">
      <c r="A98" s="269">
        <v>97</v>
      </c>
      <c r="B98" s="272" t="s">
        <v>133</v>
      </c>
      <c r="C98" s="273" t="s">
        <v>569</v>
      </c>
      <c r="D98" s="273"/>
      <c r="E98" s="282" t="s">
        <v>796</v>
      </c>
      <c r="F98" s="280">
        <v>521365</v>
      </c>
      <c r="G98" s="280">
        <v>12</v>
      </c>
      <c r="H98" s="281" t="s">
        <v>797</v>
      </c>
      <c r="I98" s="5"/>
      <c r="J98" s="288" t="s">
        <v>630</v>
      </c>
      <c r="K98" s="288" t="s">
        <v>798</v>
      </c>
    </row>
    <row r="99" ht="16.5" spans="1:11">
      <c r="A99" s="269">
        <v>98</v>
      </c>
      <c r="B99" s="278" t="s">
        <v>122</v>
      </c>
      <c r="C99" s="269"/>
      <c r="D99" s="269"/>
      <c r="E99" s="283" t="s">
        <v>799</v>
      </c>
      <c r="F99" s="280">
        <v>521366</v>
      </c>
      <c r="G99" s="280">
        <v>5</v>
      </c>
      <c r="H99" s="281" t="s">
        <v>800</v>
      </c>
      <c r="I99" s="5"/>
      <c r="J99" s="288" t="s">
        <v>630</v>
      </c>
      <c r="K99" s="288" t="s">
        <v>801</v>
      </c>
    </row>
    <row r="100" ht="16.5" spans="1:11">
      <c r="A100" s="269">
        <v>99</v>
      </c>
      <c r="B100" s="278" t="s">
        <v>122</v>
      </c>
      <c r="C100" s="269"/>
      <c r="D100" s="269"/>
      <c r="E100" s="283" t="s">
        <v>802</v>
      </c>
      <c r="F100" s="280">
        <v>521366</v>
      </c>
      <c r="G100" s="280">
        <v>3</v>
      </c>
      <c r="H100" s="281" t="s">
        <v>803</v>
      </c>
      <c r="I100" s="5"/>
      <c r="J100" s="288" t="s">
        <v>630</v>
      </c>
      <c r="K100" s="288" t="s">
        <v>804</v>
      </c>
    </row>
    <row r="101" ht="16.5" spans="1:11">
      <c r="A101" s="269">
        <v>100</v>
      </c>
      <c r="B101" s="278" t="s">
        <v>122</v>
      </c>
      <c r="C101" s="269"/>
      <c r="D101" s="269"/>
      <c r="E101" s="283" t="s">
        <v>805</v>
      </c>
      <c r="F101" s="280">
        <v>521367</v>
      </c>
      <c r="G101" s="280">
        <v>5</v>
      </c>
      <c r="H101" s="281" t="s">
        <v>806</v>
      </c>
      <c r="I101" s="5"/>
      <c r="J101" s="288" t="s">
        <v>630</v>
      </c>
      <c r="K101" s="288" t="s">
        <v>807</v>
      </c>
    </row>
    <row r="102" ht="16.5" spans="1:14">
      <c r="A102" s="269">
        <v>101</v>
      </c>
      <c r="B102" s="278" t="s">
        <v>122</v>
      </c>
      <c r="C102" s="269"/>
      <c r="D102" s="269"/>
      <c r="E102" s="283" t="s">
        <v>808</v>
      </c>
      <c r="F102" s="280">
        <v>521367</v>
      </c>
      <c r="G102" s="280">
        <v>3</v>
      </c>
      <c r="H102" s="281" t="s">
        <v>809</v>
      </c>
      <c r="I102" s="5"/>
      <c r="J102" s="288" t="s">
        <v>630</v>
      </c>
      <c r="K102" s="288" t="s">
        <v>810</v>
      </c>
      <c r="M102" s="302"/>
      <c r="N102" s="302"/>
    </row>
    <row r="103" spans="1:14">
      <c r="A103" s="269">
        <v>102</v>
      </c>
      <c r="B103" s="269"/>
      <c r="C103" s="275"/>
      <c r="D103" s="275"/>
      <c r="E103" s="294" t="s">
        <v>811</v>
      </c>
      <c r="F103" s="275">
        <v>521415</v>
      </c>
      <c r="G103" s="277">
        <v>0</v>
      </c>
      <c r="H103" s="276" t="s">
        <v>812</v>
      </c>
      <c r="I103" s="303"/>
      <c r="J103" s="285"/>
      <c r="K103" s="285"/>
      <c r="M103" s="304" t="s">
        <v>586</v>
      </c>
      <c r="N103" s="302"/>
    </row>
    <row r="104" ht="16.5" spans="1:14">
      <c r="A104" s="269">
        <v>103</v>
      </c>
      <c r="B104" s="272" t="s">
        <v>133</v>
      </c>
      <c r="C104" s="273" t="s">
        <v>569</v>
      </c>
      <c r="D104" s="273"/>
      <c r="E104" s="295" t="s">
        <v>813</v>
      </c>
      <c r="F104" s="296">
        <v>522138</v>
      </c>
      <c r="G104" s="242">
        <v>0</v>
      </c>
      <c r="H104" s="130" t="s">
        <v>814</v>
      </c>
      <c r="I104" s="286"/>
      <c r="J104" s="285"/>
      <c r="K104" s="285"/>
      <c r="M104" s="302"/>
      <c r="N104" s="302"/>
    </row>
    <row r="105" ht="49.5" spans="1:14">
      <c r="A105" s="269">
        <v>104</v>
      </c>
      <c r="B105" s="274" t="s">
        <v>738</v>
      </c>
      <c r="C105" s="273" t="s">
        <v>747</v>
      </c>
      <c r="D105" s="273"/>
      <c r="E105" s="129" t="s">
        <v>815</v>
      </c>
      <c r="F105" s="296">
        <v>522139</v>
      </c>
      <c r="G105" s="296">
        <v>1</v>
      </c>
      <c r="H105" s="130" t="s">
        <v>816</v>
      </c>
      <c r="I105" s="5"/>
      <c r="J105" s="285"/>
      <c r="K105" s="285"/>
      <c r="M105" s="302"/>
      <c r="N105" s="302"/>
    </row>
    <row r="106" ht="16.5" spans="1:14">
      <c r="A106" s="269">
        <v>105</v>
      </c>
      <c r="B106" s="272" t="s">
        <v>133</v>
      </c>
      <c r="C106" s="273" t="s">
        <v>569</v>
      </c>
      <c r="D106" s="273"/>
      <c r="E106" s="129" t="s">
        <v>817</v>
      </c>
      <c r="F106" s="296">
        <v>522140</v>
      </c>
      <c r="G106" s="296">
        <v>9</v>
      </c>
      <c r="H106" s="130" t="s">
        <v>818</v>
      </c>
      <c r="I106" s="5"/>
      <c r="J106" s="285"/>
      <c r="K106" s="285"/>
      <c r="M106" s="302"/>
      <c r="N106" s="302"/>
    </row>
    <row r="107" ht="49.5" spans="1:14">
      <c r="A107" s="269">
        <v>106</v>
      </c>
      <c r="B107" s="272" t="s">
        <v>239</v>
      </c>
      <c r="C107" s="273" t="s">
        <v>744</v>
      </c>
      <c r="D107" s="273"/>
      <c r="E107" s="129" t="s">
        <v>819</v>
      </c>
      <c r="F107" s="296">
        <v>522141</v>
      </c>
      <c r="G107" s="296">
        <v>9</v>
      </c>
      <c r="H107" s="130" t="s">
        <v>820</v>
      </c>
      <c r="I107" s="5"/>
      <c r="J107" s="285"/>
      <c r="K107" s="285"/>
      <c r="M107" s="305"/>
      <c r="N107" s="302"/>
    </row>
    <row r="108" ht="16.5" spans="1:14">
      <c r="A108" s="269">
        <v>107</v>
      </c>
      <c r="B108" s="272" t="s">
        <v>133</v>
      </c>
      <c r="C108" s="273" t="s">
        <v>569</v>
      </c>
      <c r="D108" s="273"/>
      <c r="E108" s="129" t="s">
        <v>821</v>
      </c>
      <c r="F108" s="296">
        <v>522142</v>
      </c>
      <c r="G108" s="296">
        <v>0</v>
      </c>
      <c r="H108" s="130" t="s">
        <v>822</v>
      </c>
      <c r="I108" s="5"/>
      <c r="J108" s="285"/>
      <c r="K108" s="285"/>
      <c r="M108" s="302"/>
      <c r="N108" s="302"/>
    </row>
    <row r="109" spans="1:14">
      <c r="A109" s="269">
        <v>108</v>
      </c>
      <c r="B109" s="278" t="s">
        <v>122</v>
      </c>
      <c r="C109" s="269"/>
      <c r="D109" s="269"/>
      <c r="E109" s="129" t="s">
        <v>823</v>
      </c>
      <c r="F109" s="296">
        <v>522143</v>
      </c>
      <c r="G109" s="296">
        <v>5</v>
      </c>
      <c r="H109" s="130" t="s">
        <v>824</v>
      </c>
      <c r="I109" s="5"/>
      <c r="J109" s="285"/>
      <c r="K109" s="285"/>
      <c r="M109" s="302"/>
      <c r="N109" s="302"/>
    </row>
    <row r="110" spans="1:14">
      <c r="A110" s="269">
        <v>109</v>
      </c>
      <c r="B110" s="278" t="s">
        <v>122</v>
      </c>
      <c r="C110" s="269"/>
      <c r="D110" s="269"/>
      <c r="E110" s="129" t="s">
        <v>825</v>
      </c>
      <c r="F110" s="296">
        <v>522144</v>
      </c>
      <c r="G110" s="296">
        <v>5</v>
      </c>
      <c r="H110" s="130" t="s">
        <v>826</v>
      </c>
      <c r="I110" s="5"/>
      <c r="J110" s="285"/>
      <c r="K110" s="285"/>
      <c r="M110" s="302"/>
      <c r="N110" s="302"/>
    </row>
    <row r="111" spans="1:14">
      <c r="A111" s="269">
        <v>110</v>
      </c>
      <c r="B111" s="272" t="s">
        <v>133</v>
      </c>
      <c r="C111" s="297" t="s">
        <v>827</v>
      </c>
      <c r="D111" s="297" t="s">
        <v>828</v>
      </c>
      <c r="E111" s="140" t="s">
        <v>829</v>
      </c>
      <c r="F111" s="298">
        <v>522240</v>
      </c>
      <c r="G111" s="298">
        <v>5</v>
      </c>
      <c r="H111" s="150" t="s">
        <v>830</v>
      </c>
      <c r="I111" s="220"/>
      <c r="J111" s="306" t="s">
        <v>831</v>
      </c>
      <c r="K111" s="285"/>
      <c r="M111" s="305"/>
      <c r="N111" s="302"/>
    </row>
    <row r="112" ht="39" customHeight="1" spans="1:14">
      <c r="A112" s="297">
        <v>111</v>
      </c>
      <c r="B112" s="272" t="s">
        <v>133</v>
      </c>
      <c r="C112" s="297" t="s">
        <v>827</v>
      </c>
      <c r="D112" s="297" t="s">
        <v>828</v>
      </c>
      <c r="E112" s="150" t="s">
        <v>832</v>
      </c>
      <c r="F112" s="299">
        <v>522240</v>
      </c>
      <c r="G112" s="299">
        <v>12</v>
      </c>
      <c r="H112" s="150" t="s">
        <v>833</v>
      </c>
      <c r="I112" s="220"/>
      <c r="J112" s="306" t="s">
        <v>831</v>
      </c>
      <c r="K112" s="307"/>
      <c r="L112" s="308"/>
      <c r="M112" s="302"/>
      <c r="N112" s="302"/>
    </row>
    <row r="113" ht="39" customHeight="1" spans="1:14">
      <c r="A113" s="269">
        <v>112</v>
      </c>
      <c r="B113" s="272" t="s">
        <v>133</v>
      </c>
      <c r="C113" s="269" t="s">
        <v>827</v>
      </c>
      <c r="D113" s="269" t="s">
        <v>828</v>
      </c>
      <c r="E113" s="129" t="s">
        <v>834</v>
      </c>
      <c r="F113" s="296">
        <v>522241</v>
      </c>
      <c r="G113" s="296">
        <v>16</v>
      </c>
      <c r="H113" s="130" t="s">
        <v>835</v>
      </c>
      <c r="I113" s="5"/>
      <c r="J113" s="285"/>
      <c r="K113" s="285"/>
      <c r="M113" s="302"/>
      <c r="N113" s="302"/>
    </row>
    <row r="114" ht="39" customHeight="1" spans="1:14">
      <c r="A114" s="269">
        <v>113</v>
      </c>
      <c r="B114" s="274" t="s">
        <v>124</v>
      </c>
      <c r="C114" s="269" t="s">
        <v>259</v>
      </c>
      <c r="D114" s="269" t="s">
        <v>828</v>
      </c>
      <c r="E114" s="129" t="s">
        <v>836</v>
      </c>
      <c r="F114" s="296">
        <v>522242</v>
      </c>
      <c r="G114" s="296">
        <v>5</v>
      </c>
      <c r="H114" s="130" t="s">
        <v>837</v>
      </c>
      <c r="I114" s="5"/>
      <c r="J114" s="285"/>
      <c r="K114" s="285"/>
      <c r="M114" s="302"/>
      <c r="N114" s="302"/>
    </row>
    <row r="115" ht="39" customHeight="1" spans="1:14">
      <c r="A115" s="269">
        <v>114</v>
      </c>
      <c r="B115" s="274" t="s">
        <v>124</v>
      </c>
      <c r="C115" s="269" t="s">
        <v>259</v>
      </c>
      <c r="D115" s="269" t="s">
        <v>828</v>
      </c>
      <c r="E115" s="129" t="s">
        <v>838</v>
      </c>
      <c r="F115" s="269">
        <v>522243</v>
      </c>
      <c r="G115" s="269">
        <v>5</v>
      </c>
      <c r="H115" s="130" t="s">
        <v>839</v>
      </c>
      <c r="I115" s="5"/>
      <c r="J115" s="285"/>
      <c r="K115" s="285"/>
      <c r="M115" s="302"/>
      <c r="N115" s="302"/>
    </row>
    <row r="116" ht="39" customHeight="1" spans="1:14">
      <c r="A116" s="269">
        <v>115</v>
      </c>
      <c r="B116" s="274" t="s">
        <v>124</v>
      </c>
      <c r="C116" s="269" t="s">
        <v>259</v>
      </c>
      <c r="D116" s="269" t="s">
        <v>828</v>
      </c>
      <c r="E116" s="300" t="s">
        <v>834</v>
      </c>
      <c r="F116" s="296">
        <v>522244</v>
      </c>
      <c r="G116" s="296">
        <v>0</v>
      </c>
      <c r="H116" s="130" t="s">
        <v>840</v>
      </c>
      <c r="I116" s="5"/>
      <c r="J116" s="285"/>
      <c r="K116" s="285"/>
      <c r="M116" s="302"/>
      <c r="N116" s="302"/>
    </row>
    <row r="117" ht="39" customHeight="1" spans="1:14">
      <c r="A117" s="269">
        <v>116</v>
      </c>
      <c r="B117" s="274" t="s">
        <v>124</v>
      </c>
      <c r="C117" s="269" t="s">
        <v>259</v>
      </c>
      <c r="D117" s="269" t="s">
        <v>828</v>
      </c>
      <c r="E117" s="300" t="s">
        <v>841</v>
      </c>
      <c r="F117" s="269">
        <v>522245</v>
      </c>
      <c r="G117" s="269">
        <v>9</v>
      </c>
      <c r="H117" s="130" t="s">
        <v>842</v>
      </c>
      <c r="I117" s="5"/>
      <c r="J117" s="285"/>
      <c r="K117" s="285"/>
      <c r="M117" s="302"/>
      <c r="N117" s="302"/>
    </row>
    <row r="118" ht="38.45" customHeight="1" spans="1:14">
      <c r="A118" s="269">
        <v>117</v>
      </c>
      <c r="B118" s="301" t="s">
        <v>122</v>
      </c>
      <c r="C118" s="269"/>
      <c r="D118" s="269" t="s">
        <v>828</v>
      </c>
      <c r="E118" s="300" t="s">
        <v>843</v>
      </c>
      <c r="F118" s="269">
        <v>522243</v>
      </c>
      <c r="G118" s="269" t="s">
        <v>844</v>
      </c>
      <c r="H118" s="130" t="s">
        <v>845</v>
      </c>
      <c r="I118" s="5"/>
      <c r="J118" s="285" t="s">
        <v>846</v>
      </c>
      <c r="K118" s="285"/>
      <c r="L118" s="309" t="s">
        <v>847</v>
      </c>
      <c r="M118" s="302"/>
      <c r="N118" s="302"/>
    </row>
    <row r="119" ht="38.45" customHeight="1" spans="1:14">
      <c r="A119" s="269">
        <v>118</v>
      </c>
      <c r="B119" s="301" t="s">
        <v>122</v>
      </c>
      <c r="C119" s="269"/>
      <c r="D119" s="269" t="s">
        <v>828</v>
      </c>
      <c r="E119" s="130" t="s">
        <v>848</v>
      </c>
      <c r="F119" s="269" t="s">
        <v>849</v>
      </c>
      <c r="G119" s="269" t="s">
        <v>850</v>
      </c>
      <c r="H119" s="130" t="s">
        <v>851</v>
      </c>
      <c r="I119" s="5"/>
      <c r="J119" s="285" t="s">
        <v>846</v>
      </c>
      <c r="K119" s="285"/>
      <c r="L119" s="309" t="s">
        <v>847</v>
      </c>
      <c r="M119" s="302"/>
      <c r="N119" s="302"/>
    </row>
    <row r="120" ht="38.45" customHeight="1" spans="1:14">
      <c r="A120" s="269">
        <v>119</v>
      </c>
      <c r="B120" s="301" t="s">
        <v>122</v>
      </c>
      <c r="C120" s="269"/>
      <c r="D120" s="269" t="s">
        <v>828</v>
      </c>
      <c r="E120" s="130" t="s">
        <v>852</v>
      </c>
      <c r="F120" s="269" t="s">
        <v>849</v>
      </c>
      <c r="G120" s="269" t="s">
        <v>853</v>
      </c>
      <c r="H120" s="130" t="s">
        <v>854</v>
      </c>
      <c r="I120" s="5"/>
      <c r="J120" s="285" t="s">
        <v>846</v>
      </c>
      <c r="K120" s="285"/>
      <c r="L120" s="309" t="s">
        <v>847</v>
      </c>
      <c r="M120" s="302"/>
      <c r="N120" s="302"/>
    </row>
    <row r="121" ht="34.15" customHeight="1" spans="1:14">
      <c r="A121" s="269">
        <v>120</v>
      </c>
      <c r="B121" s="275"/>
      <c r="C121" s="275"/>
      <c r="D121" s="275"/>
      <c r="E121" s="276" t="s">
        <v>834</v>
      </c>
      <c r="F121" s="275">
        <v>522241</v>
      </c>
      <c r="G121" s="275">
        <v>15</v>
      </c>
      <c r="H121" s="276" t="s">
        <v>855</v>
      </c>
      <c r="I121" s="108"/>
      <c r="J121" s="310" t="s">
        <v>846</v>
      </c>
      <c r="K121" s="285"/>
      <c r="L121" s="233" t="s">
        <v>856</v>
      </c>
      <c r="M121" s="304" t="s">
        <v>586</v>
      </c>
      <c r="N121" s="302"/>
    </row>
    <row r="122" ht="34.15" customHeight="1" spans="1:14">
      <c r="A122" s="269">
        <v>121</v>
      </c>
      <c r="B122" s="275"/>
      <c r="C122" s="275"/>
      <c r="D122" s="275"/>
      <c r="E122" s="276" t="s">
        <v>834</v>
      </c>
      <c r="F122" s="275">
        <v>522241</v>
      </c>
      <c r="G122" s="275">
        <v>16</v>
      </c>
      <c r="H122" s="276" t="s">
        <v>857</v>
      </c>
      <c r="I122" s="108"/>
      <c r="J122" s="310" t="s">
        <v>846</v>
      </c>
      <c r="K122" s="285"/>
      <c r="L122" s="233" t="s">
        <v>856</v>
      </c>
      <c r="M122" s="304" t="s">
        <v>586</v>
      </c>
      <c r="N122" s="302"/>
    </row>
    <row r="123" ht="34.15" customHeight="1" spans="1:14">
      <c r="A123" s="269">
        <v>122</v>
      </c>
      <c r="B123" s="275"/>
      <c r="C123" s="275"/>
      <c r="D123" s="275"/>
      <c r="E123" s="276" t="s">
        <v>834</v>
      </c>
      <c r="F123" s="275">
        <v>522241</v>
      </c>
      <c r="G123" s="275">
        <v>0</v>
      </c>
      <c r="H123" s="276" t="s">
        <v>858</v>
      </c>
      <c r="I123" s="108"/>
      <c r="J123" s="310" t="s">
        <v>846</v>
      </c>
      <c r="K123" s="285"/>
      <c r="L123" s="233" t="s">
        <v>856</v>
      </c>
      <c r="M123" s="304" t="s">
        <v>586</v>
      </c>
      <c r="N123" s="302"/>
    </row>
    <row r="124" ht="34.15" customHeight="1" spans="1:14">
      <c r="A124" s="269">
        <v>123</v>
      </c>
      <c r="B124" s="275"/>
      <c r="C124" s="275"/>
      <c r="D124" s="275"/>
      <c r="E124" s="276" t="s">
        <v>836</v>
      </c>
      <c r="F124" s="275">
        <v>522242</v>
      </c>
      <c r="G124" s="275">
        <v>7</v>
      </c>
      <c r="H124" s="276" t="s">
        <v>859</v>
      </c>
      <c r="I124" s="108"/>
      <c r="J124" s="310" t="s">
        <v>846</v>
      </c>
      <c r="K124" s="285"/>
      <c r="L124" s="233" t="s">
        <v>856</v>
      </c>
      <c r="M124" s="304" t="s">
        <v>586</v>
      </c>
      <c r="N124" s="302"/>
    </row>
    <row r="125" ht="34.15" customHeight="1" spans="1:14">
      <c r="A125" s="269">
        <v>124</v>
      </c>
      <c r="B125" s="272" t="s">
        <v>133</v>
      </c>
      <c r="C125" s="269" t="s">
        <v>827</v>
      </c>
      <c r="D125" s="269" t="s">
        <v>828</v>
      </c>
      <c r="E125" s="130" t="s">
        <v>860</v>
      </c>
      <c r="F125" s="269">
        <v>522244</v>
      </c>
      <c r="G125" s="269">
        <v>5</v>
      </c>
      <c r="H125" s="130" t="s">
        <v>861</v>
      </c>
      <c r="I125" s="5"/>
      <c r="J125" s="285"/>
      <c r="K125" s="285"/>
      <c r="L125" s="233" t="s">
        <v>856</v>
      </c>
      <c r="M125" s="302"/>
      <c r="N125" s="302"/>
    </row>
    <row r="126" ht="34.15" customHeight="1" spans="1:14">
      <c r="A126" s="269">
        <v>125</v>
      </c>
      <c r="B126" s="269"/>
      <c r="C126" s="269"/>
      <c r="D126" s="269"/>
      <c r="E126" s="276" t="s">
        <v>862</v>
      </c>
      <c r="F126" s="275">
        <v>522239</v>
      </c>
      <c r="G126" s="275">
        <v>12</v>
      </c>
      <c r="H126" s="276" t="s">
        <v>863</v>
      </c>
      <c r="I126" s="108"/>
      <c r="J126" s="310" t="s">
        <v>846</v>
      </c>
      <c r="K126" s="285"/>
      <c r="L126" s="233" t="s">
        <v>856</v>
      </c>
      <c r="M126" s="304" t="s">
        <v>586</v>
      </c>
      <c r="N126" s="302"/>
    </row>
    <row r="127" ht="34.15" customHeight="1" spans="1:14">
      <c r="A127" s="269">
        <v>126</v>
      </c>
      <c r="B127" s="269"/>
      <c r="C127" s="269"/>
      <c r="D127" s="269"/>
      <c r="E127" s="276" t="s">
        <v>864</v>
      </c>
      <c r="F127" s="275">
        <v>522238</v>
      </c>
      <c r="G127" s="275">
        <v>13</v>
      </c>
      <c r="H127" s="276" t="s">
        <v>865</v>
      </c>
      <c r="I127" s="108"/>
      <c r="J127" s="310" t="s">
        <v>846</v>
      </c>
      <c r="K127" s="285"/>
      <c r="L127" s="233" t="s">
        <v>856</v>
      </c>
      <c r="M127" s="304" t="s">
        <v>586</v>
      </c>
      <c r="N127" s="302"/>
    </row>
    <row r="128" ht="34.15" customHeight="1" spans="1:14">
      <c r="A128" s="269">
        <v>127</v>
      </c>
      <c r="B128" s="269"/>
      <c r="C128" s="269"/>
      <c r="D128" s="269"/>
      <c r="E128" s="276" t="s">
        <v>866</v>
      </c>
      <c r="F128" s="275">
        <v>522237</v>
      </c>
      <c r="G128" s="275">
        <v>23</v>
      </c>
      <c r="H128" s="276" t="s">
        <v>867</v>
      </c>
      <c r="I128" s="108"/>
      <c r="J128" s="310" t="s">
        <v>846</v>
      </c>
      <c r="K128" s="285"/>
      <c r="L128" s="233" t="s">
        <v>856</v>
      </c>
      <c r="M128" s="304" t="s">
        <v>586</v>
      </c>
      <c r="N128" s="302"/>
    </row>
    <row r="129" ht="16.5" spans="1:14">
      <c r="A129" s="269">
        <v>128</v>
      </c>
      <c r="B129" s="274" t="s">
        <v>124</v>
      </c>
      <c r="C129" s="273" t="s">
        <v>569</v>
      </c>
      <c r="D129" s="273"/>
      <c r="E129" s="150" t="s">
        <v>868</v>
      </c>
      <c r="F129" s="297">
        <v>521313</v>
      </c>
      <c r="G129" s="297">
        <v>7</v>
      </c>
      <c r="H129" s="150" t="s">
        <v>869</v>
      </c>
      <c r="I129" s="220"/>
      <c r="J129" s="306"/>
      <c r="K129" s="306"/>
      <c r="L129" s="311" t="s">
        <v>870</v>
      </c>
      <c r="M129" s="302"/>
      <c r="N129" s="302"/>
    </row>
    <row r="130" ht="16.5" spans="1:14">
      <c r="A130" s="269">
        <v>129</v>
      </c>
      <c r="B130" s="274" t="s">
        <v>124</v>
      </c>
      <c r="C130" s="273" t="s">
        <v>569</v>
      </c>
      <c r="D130" s="273"/>
      <c r="E130" s="150" t="s">
        <v>871</v>
      </c>
      <c r="F130" s="297">
        <v>521316</v>
      </c>
      <c r="G130" s="297">
        <v>12</v>
      </c>
      <c r="H130" s="150" t="s">
        <v>872</v>
      </c>
      <c r="I130" s="220"/>
      <c r="J130" s="306"/>
      <c r="K130" s="306"/>
      <c r="L130" s="311" t="s">
        <v>870</v>
      </c>
      <c r="M130" s="302"/>
      <c r="N130" s="302"/>
    </row>
    <row r="131" ht="16.5" spans="1:14">
      <c r="A131" s="269">
        <v>130</v>
      </c>
      <c r="B131" s="272" t="s">
        <v>133</v>
      </c>
      <c r="C131" s="273" t="s">
        <v>569</v>
      </c>
      <c r="D131" s="273"/>
      <c r="E131" s="150" t="s">
        <v>873</v>
      </c>
      <c r="F131" s="297">
        <v>521314</v>
      </c>
      <c r="G131" s="297">
        <v>3</v>
      </c>
      <c r="H131" s="150" t="s">
        <v>874</v>
      </c>
      <c r="I131" s="220"/>
      <c r="J131" s="306"/>
      <c r="K131" s="306"/>
      <c r="L131" s="311" t="s">
        <v>870</v>
      </c>
      <c r="M131" s="302"/>
      <c r="N131" s="302"/>
    </row>
    <row r="132" ht="16.5" spans="1:12">
      <c r="A132" s="269">
        <v>131</v>
      </c>
      <c r="B132" s="272" t="s">
        <v>133</v>
      </c>
      <c r="C132" s="273" t="s">
        <v>569</v>
      </c>
      <c r="D132" s="273"/>
      <c r="E132" s="150" t="s">
        <v>875</v>
      </c>
      <c r="F132" s="297">
        <v>521315</v>
      </c>
      <c r="G132" s="297">
        <v>5</v>
      </c>
      <c r="H132" s="150" t="s">
        <v>876</v>
      </c>
      <c r="I132" s="220"/>
      <c r="J132" s="306"/>
      <c r="K132" s="306"/>
      <c r="L132" s="311" t="s">
        <v>870</v>
      </c>
    </row>
    <row r="133" ht="16.5" spans="1:12">
      <c r="A133" s="269">
        <v>131</v>
      </c>
      <c r="B133" s="272" t="s">
        <v>133</v>
      </c>
      <c r="C133" s="273" t="s">
        <v>569</v>
      </c>
      <c r="D133" s="273"/>
      <c r="E133" s="150" t="s">
        <v>877</v>
      </c>
      <c r="F133" s="297">
        <v>521317</v>
      </c>
      <c r="G133" s="297">
        <v>3</v>
      </c>
      <c r="H133" s="150" t="s">
        <v>878</v>
      </c>
      <c r="I133" s="220"/>
      <c r="J133" s="306"/>
      <c r="K133" s="306"/>
      <c r="L133" s="311" t="s">
        <v>870</v>
      </c>
    </row>
    <row r="134" ht="16.5" spans="1:12">
      <c r="A134" s="269">
        <v>131</v>
      </c>
      <c r="B134" s="272" t="s">
        <v>133</v>
      </c>
      <c r="C134" s="273" t="s">
        <v>569</v>
      </c>
      <c r="D134" s="273"/>
      <c r="E134" s="150" t="s">
        <v>879</v>
      </c>
      <c r="F134" s="297">
        <v>521318</v>
      </c>
      <c r="G134" s="297">
        <v>5</v>
      </c>
      <c r="H134" s="150" t="s">
        <v>880</v>
      </c>
      <c r="I134" s="220"/>
      <c r="J134" s="306"/>
      <c r="K134" s="306"/>
      <c r="L134" s="311" t="s">
        <v>870</v>
      </c>
    </row>
    <row r="135" spans="1:12">
      <c r="A135" s="269">
        <v>131</v>
      </c>
      <c r="B135" s="269"/>
      <c r="C135" s="269"/>
      <c r="D135" s="269"/>
      <c r="E135" s="130"/>
      <c r="F135" s="269"/>
      <c r="G135" s="269"/>
      <c r="H135" s="130"/>
      <c r="I135" s="5"/>
      <c r="J135" s="285"/>
      <c r="K135" s="285"/>
      <c r="L135" s="233"/>
    </row>
    <row r="136" spans="1:12">
      <c r="A136" s="269">
        <v>131</v>
      </c>
      <c r="B136" s="269"/>
      <c r="C136" s="269"/>
      <c r="D136" s="269"/>
      <c r="E136" s="130"/>
      <c r="F136" s="269"/>
      <c r="G136" s="269"/>
      <c r="H136" s="130"/>
      <c r="I136" s="5"/>
      <c r="J136" s="285"/>
      <c r="K136" s="285"/>
      <c r="L136" s="233"/>
    </row>
  </sheetData>
  <autoFilter ref="A1:L136">
    <extLst/>
  </autoFilter>
  <sortState ref="A1:J122">
    <sortCondition ref="F1"/>
  </sortState>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4"/>
  <sheetViews>
    <sheetView zoomScale="85" zoomScaleNormal="85" workbookViewId="0">
      <selection activeCell="C51" sqref="C51"/>
    </sheetView>
  </sheetViews>
  <sheetFormatPr defaultColWidth="9" defaultRowHeight="13.5"/>
  <cols>
    <col min="1" max="1" width="5.25" customWidth="1"/>
    <col min="2" max="3" width="9" customWidth="1"/>
    <col min="4" max="4" width="46.75" style="20" customWidth="1"/>
    <col min="5" max="6" width="9.5" customWidth="1"/>
    <col min="7" max="7" width="61.5" customWidth="1"/>
    <col min="8" max="8" width="28.875" customWidth="1"/>
    <col min="9" max="9" width="19" customWidth="1"/>
  </cols>
  <sheetData>
    <row r="1" spans="1:7">
      <c r="A1" s="5"/>
      <c r="B1" s="5"/>
      <c r="C1" s="5"/>
      <c r="D1" s="251"/>
      <c r="E1" s="5"/>
      <c r="F1" s="5"/>
      <c r="G1" s="5"/>
    </row>
    <row r="2" ht="20.1" customHeight="1" spans="1:7">
      <c r="A2" s="205" t="s">
        <v>101</v>
      </c>
      <c r="B2" s="205" t="s">
        <v>116</v>
      </c>
      <c r="C2" s="205" t="s">
        <v>117</v>
      </c>
      <c r="D2" s="214" t="s">
        <v>103</v>
      </c>
      <c r="E2" s="205" t="s">
        <v>118</v>
      </c>
      <c r="F2" s="205" t="s">
        <v>119</v>
      </c>
      <c r="G2" s="205" t="s">
        <v>258</v>
      </c>
    </row>
    <row r="3" ht="26.45" customHeight="1" spans="1:7">
      <c r="A3" s="205">
        <v>1</v>
      </c>
      <c r="B3" s="252" t="s">
        <v>122</v>
      </c>
      <c r="C3" s="205"/>
      <c r="D3" s="130" t="s">
        <v>881</v>
      </c>
      <c r="E3" s="205">
        <v>521700</v>
      </c>
      <c r="F3" s="205">
        <v>16</v>
      </c>
      <c r="G3" s="5" t="str">
        <f>"MCU"&amp;":"&amp;D3&amp;"("&amp;E3&amp;","&amp;F3&amp;")"</f>
        <v>MCU:母线过压保护(521700,16)</v>
      </c>
    </row>
    <row r="4" spans="1:7">
      <c r="A4" s="205">
        <v>2</v>
      </c>
      <c r="B4" s="253" t="s">
        <v>133</v>
      </c>
      <c r="C4" s="205" t="s">
        <v>342</v>
      </c>
      <c r="D4" s="130" t="s">
        <v>882</v>
      </c>
      <c r="E4" s="205">
        <v>521700</v>
      </c>
      <c r="F4" s="205">
        <v>0</v>
      </c>
      <c r="G4" s="5" t="str">
        <f t="shared" ref="G4:G57" si="0">"MCU"&amp;":"&amp;D4&amp;"("&amp;E4&amp;","&amp;F4&amp;")"</f>
        <v>MCU:母线过压停机，高于最高工作电压（软件保护）(521700,0)</v>
      </c>
    </row>
    <row r="5" ht="27" customHeight="1" spans="1:7">
      <c r="A5" s="205">
        <v>3</v>
      </c>
      <c r="B5" s="253" t="s">
        <v>133</v>
      </c>
      <c r="C5" s="205" t="s">
        <v>342</v>
      </c>
      <c r="D5" s="130" t="s">
        <v>883</v>
      </c>
      <c r="E5" s="205">
        <v>521700</v>
      </c>
      <c r="F5" s="205">
        <v>22</v>
      </c>
      <c r="G5" s="5" t="str">
        <f t="shared" si="0"/>
        <v>MCU:母线过压停机，高于最高工作电压（硬件保护）(521700,22)</v>
      </c>
    </row>
    <row r="6" ht="20.1" customHeight="1" spans="1:7">
      <c r="A6" s="205">
        <v>4</v>
      </c>
      <c r="B6" s="252" t="s">
        <v>122</v>
      </c>
      <c r="C6" s="205"/>
      <c r="D6" s="130" t="s">
        <v>884</v>
      </c>
      <c r="E6" s="205">
        <v>521700</v>
      </c>
      <c r="F6" s="205">
        <v>18</v>
      </c>
      <c r="G6" s="5" t="str">
        <f t="shared" si="0"/>
        <v>MCU:母线欠压保护(521700,18)</v>
      </c>
    </row>
    <row r="7" ht="20.1" customHeight="1" spans="1:7">
      <c r="A7" s="205">
        <v>5</v>
      </c>
      <c r="B7" s="253" t="s">
        <v>133</v>
      </c>
      <c r="C7" s="205" t="s">
        <v>342</v>
      </c>
      <c r="D7" s="130" t="s">
        <v>885</v>
      </c>
      <c r="E7" s="205">
        <v>521700</v>
      </c>
      <c r="F7" s="205">
        <v>1</v>
      </c>
      <c r="G7" s="5" t="str">
        <f t="shared" si="0"/>
        <v>MCU:母线欠压停机，低于最低工作电压(521700,1)</v>
      </c>
    </row>
    <row r="8" ht="20.1" customHeight="1" spans="1:7">
      <c r="A8" s="205">
        <v>6</v>
      </c>
      <c r="B8" s="253" t="s">
        <v>133</v>
      </c>
      <c r="C8" s="205" t="s">
        <v>342</v>
      </c>
      <c r="D8" s="130" t="s">
        <v>886</v>
      </c>
      <c r="E8" s="205">
        <v>521701</v>
      </c>
      <c r="F8" s="205">
        <v>0</v>
      </c>
      <c r="G8" s="5" t="str">
        <f t="shared" si="0"/>
        <v>MCU:母线电流过流停机，软件保护(521701,0)</v>
      </c>
    </row>
    <row r="9" ht="20.1" customHeight="1" spans="1:7">
      <c r="A9" s="205">
        <v>7</v>
      </c>
      <c r="B9" s="253" t="s">
        <v>133</v>
      </c>
      <c r="C9" s="205" t="s">
        <v>342</v>
      </c>
      <c r="D9" s="130" t="s">
        <v>887</v>
      </c>
      <c r="E9" s="205">
        <v>521701</v>
      </c>
      <c r="F9" s="205">
        <v>22</v>
      </c>
      <c r="G9" s="5" t="str">
        <f t="shared" si="0"/>
        <v>MCU:母线电流过流停机，硬件保护(521701,22)</v>
      </c>
    </row>
    <row r="10" ht="20.1" customHeight="1" spans="1:9">
      <c r="A10" s="205">
        <v>8</v>
      </c>
      <c r="B10" s="253" t="s">
        <v>133</v>
      </c>
      <c r="C10" s="205" t="s">
        <v>353</v>
      </c>
      <c r="D10" s="130" t="s">
        <v>888</v>
      </c>
      <c r="E10" s="205">
        <v>521702</v>
      </c>
      <c r="F10" s="205">
        <v>16</v>
      </c>
      <c r="G10" s="5" t="s">
        <v>889</v>
      </c>
      <c r="H10" t="s">
        <v>890</v>
      </c>
      <c r="I10" t="s">
        <v>891</v>
      </c>
    </row>
    <row r="11" spans="1:9">
      <c r="A11" s="205">
        <v>9</v>
      </c>
      <c r="B11" s="253" t="s">
        <v>133</v>
      </c>
      <c r="C11" s="205" t="s">
        <v>342</v>
      </c>
      <c r="D11" s="130" t="s">
        <v>892</v>
      </c>
      <c r="E11" s="205">
        <v>521702</v>
      </c>
      <c r="F11" s="205">
        <v>0</v>
      </c>
      <c r="G11" s="5" t="s">
        <v>893</v>
      </c>
      <c r="H11" t="s">
        <v>894</v>
      </c>
      <c r="I11" t="s">
        <v>891</v>
      </c>
    </row>
    <row r="12" ht="20.1" customHeight="1" spans="1:7">
      <c r="A12" s="205">
        <v>10</v>
      </c>
      <c r="B12" s="252" t="s">
        <v>122</v>
      </c>
      <c r="C12" s="205"/>
      <c r="D12" s="130" t="s">
        <v>895</v>
      </c>
      <c r="E12" s="205">
        <v>521703</v>
      </c>
      <c r="F12" s="205">
        <v>16</v>
      </c>
      <c r="G12" s="5" t="str">
        <f t="shared" si="0"/>
        <v>MCU:电机绕组过温保护(521703,16)</v>
      </c>
    </row>
    <row r="13" ht="20.1" customHeight="1" spans="1:7">
      <c r="A13" s="205">
        <v>11</v>
      </c>
      <c r="B13" s="253" t="s">
        <v>133</v>
      </c>
      <c r="C13" s="205" t="s">
        <v>342</v>
      </c>
      <c r="D13" s="130" t="s">
        <v>896</v>
      </c>
      <c r="E13" s="205">
        <v>521703</v>
      </c>
      <c r="F13" s="205">
        <v>0</v>
      </c>
      <c r="G13" s="5" t="str">
        <f t="shared" si="0"/>
        <v>MCU:电机绕组过温停机(521703,0)</v>
      </c>
    </row>
    <row r="14" ht="20.1" customHeight="1" spans="1:7">
      <c r="A14" s="205">
        <v>12</v>
      </c>
      <c r="B14" s="252" t="s">
        <v>122</v>
      </c>
      <c r="C14" s="205"/>
      <c r="D14" s="130" t="s">
        <v>897</v>
      </c>
      <c r="E14" s="205">
        <v>521704</v>
      </c>
      <c r="F14" s="205">
        <v>16</v>
      </c>
      <c r="G14" s="5" t="str">
        <f t="shared" si="0"/>
        <v>MCU:功率模块温度过温保护(521704,16)</v>
      </c>
    </row>
    <row r="15" ht="20.1" customHeight="1" spans="1:7">
      <c r="A15" s="205">
        <v>13</v>
      </c>
      <c r="B15" s="253" t="s">
        <v>133</v>
      </c>
      <c r="C15" s="205" t="s">
        <v>342</v>
      </c>
      <c r="D15" s="130" t="s">
        <v>898</v>
      </c>
      <c r="E15" s="205">
        <v>521704</v>
      </c>
      <c r="F15" s="205">
        <v>0</v>
      </c>
      <c r="G15" s="5" t="str">
        <f t="shared" si="0"/>
        <v>MCU:功率模块温度过温停机(521704,0)</v>
      </c>
    </row>
    <row r="16" ht="20.1" customHeight="1" spans="1:7">
      <c r="A16" s="205">
        <v>14</v>
      </c>
      <c r="B16" s="254" t="s">
        <v>124</v>
      </c>
      <c r="C16" s="205" t="s">
        <v>342</v>
      </c>
      <c r="D16" s="215" t="s">
        <v>899</v>
      </c>
      <c r="E16" s="205">
        <v>521705</v>
      </c>
      <c r="F16" s="205">
        <v>22</v>
      </c>
      <c r="G16" s="5" t="str">
        <f t="shared" si="0"/>
        <v>MCU:功率模块故障(521705,22)</v>
      </c>
    </row>
    <row r="17" ht="20.1" customHeight="1" spans="1:7">
      <c r="A17" s="205">
        <v>15</v>
      </c>
      <c r="B17" s="252" t="s">
        <v>122</v>
      </c>
      <c r="C17" s="205"/>
      <c r="D17" s="215" t="s">
        <v>900</v>
      </c>
      <c r="E17" s="205">
        <v>521706</v>
      </c>
      <c r="F17" s="205">
        <v>16</v>
      </c>
      <c r="G17" s="5" t="str">
        <f t="shared" si="0"/>
        <v>MCU:相电流过载，软件保护(521706,16)</v>
      </c>
    </row>
    <row r="18" ht="20.1" customHeight="1" spans="1:7">
      <c r="A18" s="205">
        <v>16</v>
      </c>
      <c r="B18" s="205"/>
      <c r="C18" s="205"/>
      <c r="D18" s="215" t="s">
        <v>901</v>
      </c>
      <c r="E18" s="205">
        <v>521706</v>
      </c>
      <c r="F18" s="205">
        <v>0</v>
      </c>
      <c r="G18" s="5" t="str">
        <f t="shared" si="0"/>
        <v>MCU:相电流过流，软件保护(521706,0)</v>
      </c>
    </row>
    <row r="19" ht="20.1" customHeight="1" spans="1:7">
      <c r="A19" s="205">
        <v>17</v>
      </c>
      <c r="B19" s="205"/>
      <c r="C19" s="205"/>
      <c r="D19" s="215" t="s">
        <v>902</v>
      </c>
      <c r="E19" s="205">
        <v>521706</v>
      </c>
      <c r="F19" s="205">
        <v>22</v>
      </c>
      <c r="G19" s="5" t="str">
        <f t="shared" si="0"/>
        <v>MCU:相电流过流，硬件保护，最严重等级(521706,22)</v>
      </c>
    </row>
    <row r="20" ht="20.1" customHeight="1" spans="1:7">
      <c r="A20" s="205">
        <v>18</v>
      </c>
      <c r="B20" s="253" t="s">
        <v>133</v>
      </c>
      <c r="C20" s="205" t="s">
        <v>342</v>
      </c>
      <c r="D20" s="215" t="s">
        <v>903</v>
      </c>
      <c r="E20" s="205">
        <v>168</v>
      </c>
      <c r="F20" s="205">
        <v>0</v>
      </c>
      <c r="G20" s="5" t="str">
        <f t="shared" si="0"/>
        <v>MCU:24V供电电源过压，高于最高工作电压(168,0)</v>
      </c>
    </row>
    <row r="21" ht="20.1" customHeight="1" spans="1:7">
      <c r="A21" s="205">
        <v>19</v>
      </c>
      <c r="B21" s="253" t="s">
        <v>133</v>
      </c>
      <c r="C21" s="205" t="s">
        <v>342</v>
      </c>
      <c r="D21" s="215" t="s">
        <v>904</v>
      </c>
      <c r="E21" s="205">
        <v>168</v>
      </c>
      <c r="F21" s="205">
        <v>1</v>
      </c>
      <c r="G21" s="5" t="str">
        <f t="shared" si="0"/>
        <v>MCU:24V供电电源欠压，低于最低工作电压(168,1)</v>
      </c>
    </row>
    <row r="22" ht="20.1" customHeight="1" spans="1:7">
      <c r="A22" s="205">
        <v>20</v>
      </c>
      <c r="B22" s="253" t="s">
        <v>133</v>
      </c>
      <c r="C22" s="205" t="s">
        <v>342</v>
      </c>
      <c r="D22" s="215" t="s">
        <v>905</v>
      </c>
      <c r="E22" s="205">
        <v>521708</v>
      </c>
      <c r="F22" s="205">
        <v>2</v>
      </c>
      <c r="G22" s="5" t="str">
        <f t="shared" si="0"/>
        <v>MCU:U相电流传感器零偏过大(521708,2)</v>
      </c>
    </row>
    <row r="23" ht="20.1" customHeight="1" spans="1:7">
      <c r="A23" s="205">
        <v>21</v>
      </c>
      <c r="B23" s="254" t="s">
        <v>124</v>
      </c>
      <c r="C23" s="205" t="s">
        <v>342</v>
      </c>
      <c r="D23" s="215" t="s">
        <v>906</v>
      </c>
      <c r="E23" s="205">
        <v>521708</v>
      </c>
      <c r="F23" s="205">
        <v>4</v>
      </c>
      <c r="G23" s="5" t="str">
        <f t="shared" si="0"/>
        <v>MCU:U相电流传感器与地短路、断线(521708,4)</v>
      </c>
    </row>
    <row r="24" ht="20.1" customHeight="1" spans="1:7">
      <c r="A24" s="205">
        <v>22</v>
      </c>
      <c r="B24" s="254" t="s">
        <v>124</v>
      </c>
      <c r="C24" s="205" t="s">
        <v>342</v>
      </c>
      <c r="D24" s="215" t="s">
        <v>907</v>
      </c>
      <c r="E24" s="205">
        <v>521708</v>
      </c>
      <c r="F24" s="205">
        <v>3</v>
      </c>
      <c r="G24" s="5" t="str">
        <f t="shared" si="0"/>
        <v>MCU:U相电流传感器与电源短路(521708,3)</v>
      </c>
    </row>
    <row r="25" ht="20.1" customHeight="1" spans="1:7">
      <c r="A25" s="205">
        <v>23</v>
      </c>
      <c r="B25" s="253" t="s">
        <v>133</v>
      </c>
      <c r="C25" s="205" t="s">
        <v>342</v>
      </c>
      <c r="D25" s="215" t="s">
        <v>908</v>
      </c>
      <c r="E25" s="205">
        <v>521710</v>
      </c>
      <c r="F25" s="205">
        <v>2</v>
      </c>
      <c r="G25" s="5" t="str">
        <f t="shared" si="0"/>
        <v>MCU:W相电流传感器零偏过大(521710,2)</v>
      </c>
    </row>
    <row r="26" ht="20.1" customHeight="1" spans="1:7">
      <c r="A26" s="205">
        <v>24</v>
      </c>
      <c r="B26" s="254" t="s">
        <v>124</v>
      </c>
      <c r="C26" s="205" t="s">
        <v>342</v>
      </c>
      <c r="D26" s="215" t="s">
        <v>909</v>
      </c>
      <c r="E26" s="205">
        <v>521710</v>
      </c>
      <c r="F26" s="205">
        <v>4</v>
      </c>
      <c r="G26" s="5" t="str">
        <f t="shared" si="0"/>
        <v>MCU:W相电流传感器与地短路、断线(521710,4)</v>
      </c>
    </row>
    <row r="27" ht="20.1" customHeight="1" spans="1:7">
      <c r="A27" s="205">
        <v>25</v>
      </c>
      <c r="B27" s="254" t="s">
        <v>124</v>
      </c>
      <c r="C27" s="205" t="s">
        <v>342</v>
      </c>
      <c r="D27" s="215" t="s">
        <v>910</v>
      </c>
      <c r="E27" s="205">
        <v>521710</v>
      </c>
      <c r="F27" s="205">
        <v>3</v>
      </c>
      <c r="G27" s="5" t="str">
        <f t="shared" si="0"/>
        <v>MCU:W相电流传感器与电源短路(521710,3)</v>
      </c>
    </row>
    <row r="28" ht="20.1" customHeight="1" spans="1:7">
      <c r="A28" s="205">
        <v>26</v>
      </c>
      <c r="B28" s="253" t="s">
        <v>133</v>
      </c>
      <c r="C28" s="205" t="s">
        <v>353</v>
      </c>
      <c r="D28" s="215" t="s">
        <v>911</v>
      </c>
      <c r="E28" s="205">
        <v>521713</v>
      </c>
      <c r="F28" s="205">
        <v>2</v>
      </c>
      <c r="G28" s="5" t="str">
        <f t="shared" si="0"/>
        <v>MCU:电机温度传感器断线(521713,2)</v>
      </c>
    </row>
    <row r="29" ht="20.1" customHeight="1" spans="1:8">
      <c r="A29" s="205">
        <v>27</v>
      </c>
      <c r="B29" s="253" t="s">
        <v>133</v>
      </c>
      <c r="C29" s="205" t="s">
        <v>353</v>
      </c>
      <c r="D29" s="255" t="s">
        <v>912</v>
      </c>
      <c r="E29" s="256">
        <v>521713</v>
      </c>
      <c r="F29" s="256">
        <v>4</v>
      </c>
      <c r="G29" s="220" t="str">
        <f t="shared" si="0"/>
        <v>MCU:电机温度传感器对地短路 (521713,4)</v>
      </c>
      <c r="H29" t="s">
        <v>358</v>
      </c>
    </row>
    <row r="30" ht="20.1" customHeight="1" spans="1:8">
      <c r="A30" s="205">
        <v>28</v>
      </c>
      <c r="B30" s="253" t="s">
        <v>133</v>
      </c>
      <c r="C30" s="205" t="s">
        <v>353</v>
      </c>
      <c r="D30" s="255" t="s">
        <v>913</v>
      </c>
      <c r="E30" s="256">
        <v>521714</v>
      </c>
      <c r="F30" s="256">
        <v>2</v>
      </c>
      <c r="G30" s="220" t="str">
        <f t="shared" si="0"/>
        <v>MCU:控制器温度传感器断线 (521714,2)</v>
      </c>
      <c r="H30" t="s">
        <v>358</v>
      </c>
    </row>
    <row r="31" ht="20.1" customHeight="1" spans="1:8">
      <c r="A31" s="205">
        <v>29</v>
      </c>
      <c r="B31" s="253" t="s">
        <v>133</v>
      </c>
      <c r="C31" s="205" t="s">
        <v>353</v>
      </c>
      <c r="D31" s="255" t="s">
        <v>914</v>
      </c>
      <c r="E31" s="256">
        <v>521714</v>
      </c>
      <c r="F31" s="256">
        <v>4</v>
      </c>
      <c r="G31" s="220" t="str">
        <f t="shared" si="0"/>
        <v>MCU:控制器温度传感器对地短路 (521714,4)</v>
      </c>
      <c r="H31" t="s">
        <v>358</v>
      </c>
    </row>
    <row r="32" ht="19.9" customHeight="1" spans="1:7">
      <c r="A32" s="205">
        <v>30</v>
      </c>
      <c r="B32" s="252" t="s">
        <v>122</v>
      </c>
      <c r="C32" s="205"/>
      <c r="D32" s="215" t="s">
        <v>915</v>
      </c>
      <c r="E32" s="205">
        <v>630</v>
      </c>
      <c r="F32" s="205">
        <v>12</v>
      </c>
      <c r="G32" s="5" t="str">
        <f t="shared" si="0"/>
        <v>MCU:控制器软件错误(630,12)</v>
      </c>
    </row>
    <row r="33" ht="20.1" customHeight="1" spans="1:7">
      <c r="A33" s="205">
        <v>31</v>
      </c>
      <c r="B33" s="253" t="s">
        <v>133</v>
      </c>
      <c r="C33" s="205" t="s">
        <v>342</v>
      </c>
      <c r="D33" s="215" t="s">
        <v>916</v>
      </c>
      <c r="E33" s="205">
        <v>639</v>
      </c>
      <c r="F33" s="205">
        <v>9</v>
      </c>
      <c r="G33" s="5" t="str">
        <f t="shared" si="0"/>
        <v>MCU:CAN通讯数据不连续或收不到，丢帧(639,9)</v>
      </c>
    </row>
    <row r="34" ht="20.1" customHeight="1" spans="1:7">
      <c r="A34" s="205">
        <v>32</v>
      </c>
      <c r="B34" s="252" t="s">
        <v>122</v>
      </c>
      <c r="C34" s="205"/>
      <c r="D34" s="215" t="s">
        <v>917</v>
      </c>
      <c r="E34" s="205">
        <v>521717</v>
      </c>
      <c r="F34" s="205">
        <v>23</v>
      </c>
      <c r="G34" s="5" t="str">
        <f t="shared" si="0"/>
        <v>MCU:电机堵转(521717,23)</v>
      </c>
    </row>
    <row r="35" ht="20.1" customHeight="1" spans="1:8">
      <c r="A35" s="205">
        <v>33</v>
      </c>
      <c r="B35" s="205"/>
      <c r="C35" s="205"/>
      <c r="D35" s="257" t="s">
        <v>918</v>
      </c>
      <c r="E35" s="258">
        <v>521718</v>
      </c>
      <c r="F35" s="258">
        <v>11</v>
      </c>
      <c r="G35" s="108" t="str">
        <f t="shared" si="0"/>
        <v>MCU:10s之内同一故障出现3次(521718,11)</v>
      </c>
      <c r="H35" t="s">
        <v>290</v>
      </c>
    </row>
    <row r="36" ht="20.1" customHeight="1" spans="1:7">
      <c r="A36" s="205">
        <v>34</v>
      </c>
      <c r="B36" s="205"/>
      <c r="C36" s="205"/>
      <c r="D36" s="215" t="s">
        <v>919</v>
      </c>
      <c r="E36" s="205">
        <v>521719</v>
      </c>
      <c r="F36" s="205">
        <v>0</v>
      </c>
      <c r="G36" s="5" t="str">
        <f t="shared" si="0"/>
        <v>MCU:UVW三相绝缘故障(521719,0)</v>
      </c>
    </row>
    <row r="37" ht="20.1" customHeight="1" spans="1:7">
      <c r="A37" s="205">
        <v>35</v>
      </c>
      <c r="B37" s="205"/>
      <c r="C37" s="205"/>
      <c r="D37" s="215" t="s">
        <v>920</v>
      </c>
      <c r="E37" s="205">
        <v>521720</v>
      </c>
      <c r="F37" s="205">
        <v>0</v>
      </c>
      <c r="G37" s="5" t="str">
        <f t="shared" si="0"/>
        <v>MCU:电压传感器信号超过最大范围(521720,0)</v>
      </c>
    </row>
    <row r="38" ht="20.1" customHeight="1" spans="1:7">
      <c r="A38" s="205">
        <v>36</v>
      </c>
      <c r="B38" s="253" t="s">
        <v>133</v>
      </c>
      <c r="C38" s="205" t="s">
        <v>342</v>
      </c>
      <c r="D38" s="215" t="s">
        <v>921</v>
      </c>
      <c r="E38" s="205">
        <v>521721</v>
      </c>
      <c r="F38" s="205">
        <v>0</v>
      </c>
      <c r="G38" s="5" t="str">
        <f t="shared" si="0"/>
        <v>MCU:IGBT温度传感器信号超过最大范围(521721,0)</v>
      </c>
    </row>
    <row r="39" ht="20.1" customHeight="1" spans="1:7">
      <c r="A39" s="205">
        <v>37</v>
      </c>
      <c r="B39" s="253" t="s">
        <v>133</v>
      </c>
      <c r="C39" s="205" t="s">
        <v>342</v>
      </c>
      <c r="D39" s="215" t="s">
        <v>922</v>
      </c>
      <c r="E39" s="205">
        <v>521721</v>
      </c>
      <c r="F39" s="205">
        <v>4</v>
      </c>
      <c r="G39" s="5" t="str">
        <f t="shared" si="0"/>
        <v>MCU:IGBT温度传感器信号超过最小范围(521721,4)</v>
      </c>
    </row>
    <row r="40" ht="20.1" customHeight="1" spans="1:7">
      <c r="A40" s="205">
        <v>38</v>
      </c>
      <c r="B40" s="253" t="s">
        <v>133</v>
      </c>
      <c r="C40" s="205" t="s">
        <v>342</v>
      </c>
      <c r="D40" s="215" t="s">
        <v>923</v>
      </c>
      <c r="E40" s="205">
        <v>521722</v>
      </c>
      <c r="F40" s="205">
        <v>0</v>
      </c>
      <c r="G40" s="5" t="str">
        <f t="shared" si="0"/>
        <v>MCU:电机温度传感器信号超过最大范围(521722,0)</v>
      </c>
    </row>
    <row r="41" ht="20.1" customHeight="1" spans="1:7">
      <c r="A41" s="205">
        <v>39</v>
      </c>
      <c r="B41" s="253" t="s">
        <v>133</v>
      </c>
      <c r="C41" s="205" t="s">
        <v>342</v>
      </c>
      <c r="D41" s="215" t="s">
        <v>924</v>
      </c>
      <c r="E41" s="205">
        <v>521722</v>
      </c>
      <c r="F41" s="205">
        <v>4</v>
      </c>
      <c r="G41" s="5" t="str">
        <f t="shared" si="0"/>
        <v>MCU:电机温度传感器信号超过最小范围(521722,4)</v>
      </c>
    </row>
    <row r="42" ht="20.1" customHeight="1" spans="1:7">
      <c r="A42" s="205">
        <v>40</v>
      </c>
      <c r="B42" s="254" t="s">
        <v>124</v>
      </c>
      <c r="C42" s="205" t="s">
        <v>342</v>
      </c>
      <c r="D42" s="215" t="s">
        <v>925</v>
      </c>
      <c r="E42" s="205">
        <v>521723</v>
      </c>
      <c r="F42" s="205">
        <v>2</v>
      </c>
      <c r="G42" s="5" t="str">
        <f t="shared" si="0"/>
        <v>MCU:转速传感器信号错误(521723,2)</v>
      </c>
    </row>
    <row r="43" ht="20.1" customHeight="1" spans="1:7">
      <c r="A43" s="205">
        <v>41</v>
      </c>
      <c r="B43" s="253" t="s">
        <v>133</v>
      </c>
      <c r="C43" s="205" t="s">
        <v>342</v>
      </c>
      <c r="D43" s="215" t="s">
        <v>926</v>
      </c>
      <c r="E43" s="205">
        <v>521724</v>
      </c>
      <c r="F43" s="205">
        <v>0</v>
      </c>
      <c r="G43" s="5" t="str">
        <f t="shared" si="0"/>
        <v>MCU:高压线路断路(521724,0)</v>
      </c>
    </row>
    <row r="44" ht="20.1" customHeight="1" spans="1:7">
      <c r="A44" s="205">
        <v>42</v>
      </c>
      <c r="B44" s="253" t="s">
        <v>133</v>
      </c>
      <c r="C44" s="205" t="s">
        <v>342</v>
      </c>
      <c r="D44" s="215" t="s">
        <v>927</v>
      </c>
      <c r="E44" s="205">
        <v>521725</v>
      </c>
      <c r="F44" s="205">
        <v>0</v>
      </c>
      <c r="G44" s="5" t="str">
        <f t="shared" si="0"/>
        <v>MCU:初始化的所有故障(521725,0)</v>
      </c>
    </row>
    <row r="45" ht="20.1" customHeight="1" spans="1:7">
      <c r="A45" s="205">
        <v>43</v>
      </c>
      <c r="B45" s="253" t="s">
        <v>133</v>
      </c>
      <c r="C45" s="205" t="s">
        <v>342</v>
      </c>
      <c r="D45" s="215" t="s">
        <v>928</v>
      </c>
      <c r="E45" s="205">
        <v>521726</v>
      </c>
      <c r="F45" s="205">
        <v>2</v>
      </c>
      <c r="G45" s="5" t="str">
        <f t="shared" si="0"/>
        <v>MCU:电流传感器偏移超出范围(521726,2)</v>
      </c>
    </row>
    <row r="46" ht="20.45" customHeight="1" spans="1:7">
      <c r="A46" s="96">
        <v>44</v>
      </c>
      <c r="B46" s="254" t="s">
        <v>124</v>
      </c>
      <c r="C46" s="205" t="s">
        <v>342</v>
      </c>
      <c r="D46" s="259" t="s">
        <v>929</v>
      </c>
      <c r="E46" s="122">
        <v>521727</v>
      </c>
      <c r="F46" s="122">
        <v>16</v>
      </c>
      <c r="G46" s="29" t="str">
        <f t="shared" si="0"/>
        <v>MCU:输出缺相故障(521727,16)</v>
      </c>
    </row>
    <row r="47" ht="20.45" customHeight="1" spans="1:7">
      <c r="A47" s="96">
        <v>45</v>
      </c>
      <c r="B47" s="252" t="s">
        <v>122</v>
      </c>
      <c r="C47" s="205"/>
      <c r="D47" s="259" t="s">
        <v>930</v>
      </c>
      <c r="E47" s="122">
        <v>521728</v>
      </c>
      <c r="F47" s="122">
        <v>3</v>
      </c>
      <c r="G47" s="29" t="str">
        <f t="shared" si="0"/>
        <v>MCU:转速偏差过大故障(521728,3)</v>
      </c>
    </row>
    <row r="48" ht="20.45" customHeight="1" spans="1:7">
      <c r="A48" s="96">
        <v>46</v>
      </c>
      <c r="B48" s="252" t="s">
        <v>122</v>
      </c>
      <c r="C48" s="205"/>
      <c r="D48" s="259" t="s">
        <v>931</v>
      </c>
      <c r="E48" s="122">
        <v>521729</v>
      </c>
      <c r="F48" s="122">
        <v>16</v>
      </c>
      <c r="G48" s="29" t="str">
        <f t="shared" si="0"/>
        <v>MCU:主动放电故障(521729,16)</v>
      </c>
    </row>
    <row r="49" ht="20.45" customHeight="1" spans="1:8">
      <c r="A49" s="96">
        <v>47</v>
      </c>
      <c r="B49" s="254" t="s">
        <v>124</v>
      </c>
      <c r="C49" s="205" t="s">
        <v>342</v>
      </c>
      <c r="D49" s="260" t="s">
        <v>932</v>
      </c>
      <c r="E49" s="261">
        <v>521730</v>
      </c>
      <c r="F49" s="261">
        <v>22</v>
      </c>
      <c r="G49" s="220" t="str">
        <f t="shared" si="0"/>
        <v>MCU:功能模块校核故障(521730,22)</v>
      </c>
      <c r="H49" t="s">
        <v>358</v>
      </c>
    </row>
    <row r="50" ht="20.45" customHeight="1" spans="1:8">
      <c r="A50" s="96">
        <v>48</v>
      </c>
      <c r="B50" s="254" t="s">
        <v>124</v>
      </c>
      <c r="C50" s="205" t="s">
        <v>342</v>
      </c>
      <c r="D50" s="260" t="s">
        <v>933</v>
      </c>
      <c r="E50" s="261">
        <v>521731</v>
      </c>
      <c r="F50" s="261">
        <v>2</v>
      </c>
      <c r="G50" s="220" t="str">
        <f t="shared" si="0"/>
        <v>MCU:目标转矩异常增大故障(521731,2)</v>
      </c>
      <c r="H50" t="s">
        <v>358</v>
      </c>
    </row>
    <row r="51" ht="20.45" customHeight="1" spans="1:8">
      <c r="A51" s="96">
        <v>49</v>
      </c>
      <c r="B51" s="254" t="s">
        <v>124</v>
      </c>
      <c r="C51" s="205" t="s">
        <v>342</v>
      </c>
      <c r="D51" s="260" t="s">
        <v>934</v>
      </c>
      <c r="E51" s="261">
        <v>521732</v>
      </c>
      <c r="F51" s="261">
        <v>0</v>
      </c>
      <c r="G51" s="220" t="str">
        <f t="shared" si="0"/>
        <v>MCU:电机零位偏差停机故障(521732,0)</v>
      </c>
      <c r="H51" t="s">
        <v>358</v>
      </c>
    </row>
    <row r="52" ht="20.45" customHeight="1" spans="1:8">
      <c r="A52" s="96">
        <v>50</v>
      </c>
      <c r="B52" s="253" t="s">
        <v>133</v>
      </c>
      <c r="C52" s="205" t="s">
        <v>353</v>
      </c>
      <c r="D52" s="260" t="s">
        <v>935</v>
      </c>
      <c r="E52" s="261">
        <v>521732</v>
      </c>
      <c r="F52" s="261">
        <v>16</v>
      </c>
      <c r="G52" s="220" t="str">
        <f t="shared" si="0"/>
        <v>MCU:电机零位偏差限功率故障(521732,16)</v>
      </c>
      <c r="H52" t="s">
        <v>358</v>
      </c>
    </row>
    <row r="53" ht="20.45" customHeight="1" spans="1:8">
      <c r="A53" s="96">
        <v>51</v>
      </c>
      <c r="B53" s="254" t="s">
        <v>124</v>
      </c>
      <c r="C53" s="205" t="s">
        <v>342</v>
      </c>
      <c r="D53" s="260" t="s">
        <v>936</v>
      </c>
      <c r="E53" s="261">
        <v>521732</v>
      </c>
      <c r="F53" s="261">
        <v>2</v>
      </c>
      <c r="G53" s="220" t="str">
        <f t="shared" si="0"/>
        <v>MCU:电机零位不一致故障(521732,2)</v>
      </c>
      <c r="H53" t="s">
        <v>358</v>
      </c>
    </row>
    <row r="54" ht="20.45" customHeight="1" spans="1:8">
      <c r="A54" s="96">
        <v>52</v>
      </c>
      <c r="B54" s="254" t="s">
        <v>124</v>
      </c>
      <c r="C54" s="205" t="s">
        <v>342</v>
      </c>
      <c r="D54" s="260" t="s">
        <v>937</v>
      </c>
      <c r="E54" s="261">
        <v>521733</v>
      </c>
      <c r="F54" s="261">
        <v>0</v>
      </c>
      <c r="G54" s="220" t="str">
        <f t="shared" si="0"/>
        <v>MCU:估算转矩偏差停机故障(521733,0)</v>
      </c>
      <c r="H54" t="s">
        <v>358</v>
      </c>
    </row>
    <row r="55" ht="20.45" customHeight="1" spans="1:8">
      <c r="A55" s="96">
        <v>53</v>
      </c>
      <c r="B55" s="252" t="s">
        <v>122</v>
      </c>
      <c r="C55" s="205"/>
      <c r="D55" s="260" t="s">
        <v>938</v>
      </c>
      <c r="E55" s="261">
        <v>521733</v>
      </c>
      <c r="F55" s="261">
        <v>16</v>
      </c>
      <c r="G55" s="220" t="str">
        <f t="shared" si="0"/>
        <v>MCU:估算转矩偏差报警故障(521733,16)</v>
      </c>
      <c r="H55" t="s">
        <v>358</v>
      </c>
    </row>
    <row r="56" ht="20.45" customHeight="1" spans="1:8">
      <c r="A56" s="96">
        <v>54</v>
      </c>
      <c r="B56" s="252" t="s">
        <v>122</v>
      </c>
      <c r="C56" s="205"/>
      <c r="D56" s="260" t="s">
        <v>939</v>
      </c>
      <c r="E56" s="261">
        <v>521734</v>
      </c>
      <c r="F56" s="261">
        <v>2</v>
      </c>
      <c r="G56" s="220" t="str">
        <f t="shared" si="0"/>
        <v>MCU:操作顺序保护报警(521734,2)</v>
      </c>
      <c r="H56" t="s">
        <v>358</v>
      </c>
    </row>
    <row r="57" ht="20.45" customHeight="1" spans="1:8">
      <c r="A57" s="96">
        <v>55</v>
      </c>
      <c r="B57" s="252" t="s">
        <v>122</v>
      </c>
      <c r="C57" s="205"/>
      <c r="D57" s="260" t="s">
        <v>940</v>
      </c>
      <c r="E57" s="261">
        <v>521735</v>
      </c>
      <c r="F57" s="261">
        <v>2</v>
      </c>
      <c r="G57" s="220" t="str">
        <f t="shared" si="0"/>
        <v>MCU:高速误挂挡保护报警(521735,2)</v>
      </c>
      <c r="H57" t="s">
        <v>358</v>
      </c>
    </row>
    <row r="58" ht="22.15" customHeight="1" spans="1:8">
      <c r="A58" s="96">
        <v>56</v>
      </c>
      <c r="B58" s="96"/>
      <c r="C58" s="96"/>
      <c r="D58" s="262" t="s">
        <v>941</v>
      </c>
      <c r="E58" s="263">
        <v>521736</v>
      </c>
      <c r="F58" s="263">
        <v>3</v>
      </c>
      <c r="G58" s="263" t="s">
        <v>942</v>
      </c>
      <c r="H58" t="s">
        <v>943</v>
      </c>
    </row>
    <row r="59" ht="22.15" customHeight="1" spans="1:8">
      <c r="A59" s="96">
        <v>57</v>
      </c>
      <c r="B59" s="96"/>
      <c r="C59" s="96"/>
      <c r="D59" s="262" t="s">
        <v>944</v>
      </c>
      <c r="E59" s="263">
        <v>521736</v>
      </c>
      <c r="F59" s="263">
        <v>4</v>
      </c>
      <c r="G59" s="263" t="s">
        <v>945</v>
      </c>
      <c r="H59" t="s">
        <v>946</v>
      </c>
    </row>
    <row r="60" ht="22.15" customHeight="1" spans="1:8">
      <c r="A60" s="96">
        <v>58</v>
      </c>
      <c r="B60" s="96"/>
      <c r="C60" s="96"/>
      <c r="D60" s="264" t="s">
        <v>947</v>
      </c>
      <c r="E60" s="263">
        <v>521736</v>
      </c>
      <c r="F60" s="263">
        <v>22</v>
      </c>
      <c r="G60" s="265" t="s">
        <v>948</v>
      </c>
      <c r="H60" t="s">
        <v>949</v>
      </c>
    </row>
    <row r="61" ht="22.15" customHeight="1" spans="1:8">
      <c r="A61" s="96">
        <v>59</v>
      </c>
      <c r="B61" s="96"/>
      <c r="C61" s="96"/>
      <c r="D61" s="262" t="s">
        <v>950</v>
      </c>
      <c r="E61" s="263">
        <v>521736</v>
      </c>
      <c r="F61" s="263">
        <v>6</v>
      </c>
      <c r="G61" s="263" t="s">
        <v>951</v>
      </c>
      <c r="H61" t="s">
        <v>952</v>
      </c>
    </row>
    <row r="62" ht="22.15" customHeight="1" spans="1:8">
      <c r="A62" s="96">
        <v>60</v>
      </c>
      <c r="B62" s="96"/>
      <c r="C62" s="96"/>
      <c r="D62" s="262" t="s">
        <v>953</v>
      </c>
      <c r="E62" s="263">
        <v>521736</v>
      </c>
      <c r="F62" s="263">
        <v>7</v>
      </c>
      <c r="G62" s="263" t="s">
        <v>954</v>
      </c>
      <c r="H62" t="s">
        <v>955</v>
      </c>
    </row>
    <row r="63" ht="22.15" customHeight="1" spans="1:8">
      <c r="A63" s="96">
        <v>61</v>
      </c>
      <c r="B63" s="96"/>
      <c r="C63" s="96"/>
      <c r="D63" s="262" t="s">
        <v>956</v>
      </c>
      <c r="E63" s="263">
        <v>521736</v>
      </c>
      <c r="F63" s="263">
        <v>16</v>
      </c>
      <c r="G63" s="263" t="s">
        <v>957</v>
      </c>
      <c r="H63" t="s">
        <v>958</v>
      </c>
    </row>
    <row r="64" ht="22.15" customHeight="1" spans="1:8">
      <c r="A64" s="96">
        <v>62</v>
      </c>
      <c r="B64" s="96"/>
      <c r="C64" s="96"/>
      <c r="D64" s="262" t="s">
        <v>959</v>
      </c>
      <c r="E64" s="263">
        <v>521736</v>
      </c>
      <c r="F64" s="263">
        <v>0</v>
      </c>
      <c r="G64" s="263" t="s">
        <v>960</v>
      </c>
      <c r="H64" t="s">
        <v>961</v>
      </c>
    </row>
  </sheetData>
  <pageMargins left="0.7" right="0.7" top="0.75" bottom="0.75" header="0.3" footer="0.3"/>
  <pageSetup paperSize="9" orientation="portrait"/>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31"/>
  <sheetViews>
    <sheetView workbookViewId="0">
      <selection activeCell="F34" sqref="F34"/>
    </sheetView>
  </sheetViews>
  <sheetFormatPr defaultColWidth="9" defaultRowHeight="13.5" outlineLevelCol="7"/>
  <cols>
    <col min="1" max="1" width="5.25" customWidth="1"/>
    <col min="2" max="3" width="9" customWidth="1"/>
    <col min="4" max="4" width="24.75" style="32" customWidth="1"/>
    <col min="5" max="6" width="11.375" customWidth="1"/>
    <col min="7" max="7" width="50.125" style="32" customWidth="1"/>
    <col min="8" max="8" width="25.25" customWidth="1"/>
  </cols>
  <sheetData>
    <row r="2" ht="20.1" customHeight="1" spans="1:7">
      <c r="A2" s="242" t="s">
        <v>101</v>
      </c>
      <c r="B2" s="242" t="s">
        <v>116</v>
      </c>
      <c r="C2" s="242" t="s">
        <v>117</v>
      </c>
      <c r="D2" s="242" t="s">
        <v>103</v>
      </c>
      <c r="E2" s="242" t="s">
        <v>962</v>
      </c>
      <c r="F2" s="242" t="s">
        <v>963</v>
      </c>
      <c r="G2" s="243" t="s">
        <v>258</v>
      </c>
    </row>
    <row r="3" ht="16.9" customHeight="1" spans="1:7">
      <c r="A3" s="242">
        <v>1</v>
      </c>
      <c r="B3" s="244" t="s">
        <v>124</v>
      </c>
      <c r="C3" s="7" t="s">
        <v>342</v>
      </c>
      <c r="D3" s="130" t="s">
        <v>964</v>
      </c>
      <c r="E3" s="242">
        <v>521801</v>
      </c>
      <c r="F3" s="242">
        <v>12</v>
      </c>
      <c r="G3" s="130" t="str">
        <f>"空压机"&amp;":"&amp;D3&amp;"("&amp;E3&amp;","&amp;F3&amp;")"</f>
        <v>空压机:电流检测故障(521801,12)</v>
      </c>
    </row>
    <row r="4" ht="16.9" customHeight="1" spans="1:7">
      <c r="A4" s="242">
        <v>2</v>
      </c>
      <c r="B4" s="244" t="s">
        <v>124</v>
      </c>
      <c r="C4" s="7" t="s">
        <v>368</v>
      </c>
      <c r="D4" s="130" t="s">
        <v>965</v>
      </c>
      <c r="E4" s="242">
        <v>521803</v>
      </c>
      <c r="F4" s="242">
        <v>3</v>
      </c>
      <c r="G4" s="130" t="str">
        <f t="shared" ref="G4:G29" si="0">"空压机"&amp;":"&amp;D4&amp;"("&amp;E4&amp;","&amp;F4&amp;")"</f>
        <v>空压机:控制器过载故障(521803,3)</v>
      </c>
    </row>
    <row r="5" ht="16.9" customHeight="1" spans="1:7">
      <c r="A5" s="242">
        <v>3</v>
      </c>
      <c r="B5" s="244" t="s">
        <v>124</v>
      </c>
      <c r="C5" s="7" t="s">
        <v>342</v>
      </c>
      <c r="D5" s="130" t="s">
        <v>966</v>
      </c>
      <c r="E5" s="242">
        <v>521803</v>
      </c>
      <c r="F5" s="242">
        <v>12</v>
      </c>
      <c r="G5" s="130" t="str">
        <f t="shared" si="0"/>
        <v>空压机:输出过流(521803,12)</v>
      </c>
    </row>
    <row r="6" ht="16.9" customHeight="1" spans="1:7">
      <c r="A6" s="242">
        <v>4</v>
      </c>
      <c r="B6" s="245" t="s">
        <v>122</v>
      </c>
      <c r="C6" s="7"/>
      <c r="D6" s="130" t="s">
        <v>967</v>
      </c>
      <c r="E6" s="242">
        <v>521808</v>
      </c>
      <c r="F6" s="242">
        <v>12</v>
      </c>
      <c r="G6" s="130" t="str">
        <f t="shared" si="0"/>
        <v>空压机:PT100短路(521808,12)</v>
      </c>
    </row>
    <row r="7" ht="16.9" customHeight="1" spans="1:7">
      <c r="A7" s="242">
        <v>5</v>
      </c>
      <c r="B7" s="245" t="s">
        <v>122</v>
      </c>
      <c r="C7" s="7"/>
      <c r="D7" s="130" t="s">
        <v>968</v>
      </c>
      <c r="E7" s="242">
        <v>521808</v>
      </c>
      <c r="F7" s="242">
        <v>5</v>
      </c>
      <c r="G7" s="130" t="str">
        <f t="shared" si="0"/>
        <v>空压机:PT100开路(521808,5)</v>
      </c>
    </row>
    <row r="8" ht="16.9" customHeight="1" spans="1:8">
      <c r="A8" s="242">
        <v>6</v>
      </c>
      <c r="B8" s="246" t="s">
        <v>133</v>
      </c>
      <c r="C8" s="7" t="s">
        <v>368</v>
      </c>
      <c r="D8" s="210" t="s">
        <v>369</v>
      </c>
      <c r="E8" s="211">
        <v>521809</v>
      </c>
      <c r="F8" s="211">
        <v>5</v>
      </c>
      <c r="G8" s="150" t="s">
        <v>969</v>
      </c>
      <c r="H8" s="145" t="s">
        <v>358</v>
      </c>
    </row>
    <row r="9" ht="16.9" customHeight="1" spans="1:8">
      <c r="A9" s="242">
        <v>7</v>
      </c>
      <c r="B9" s="246" t="s">
        <v>133</v>
      </c>
      <c r="C9" s="7" t="s">
        <v>368</v>
      </c>
      <c r="D9" s="210" t="s">
        <v>370</v>
      </c>
      <c r="E9" s="211">
        <v>521809</v>
      </c>
      <c r="F9" s="211">
        <v>6</v>
      </c>
      <c r="G9" s="150" t="s">
        <v>970</v>
      </c>
      <c r="H9" s="145" t="s">
        <v>358</v>
      </c>
    </row>
    <row r="10" ht="16.9" customHeight="1" spans="1:8">
      <c r="A10" s="242">
        <v>8</v>
      </c>
      <c r="B10" s="244" t="s">
        <v>124</v>
      </c>
      <c r="C10" s="7" t="s">
        <v>344</v>
      </c>
      <c r="D10" s="210" t="s">
        <v>371</v>
      </c>
      <c r="E10" s="211">
        <v>521810</v>
      </c>
      <c r="F10" s="211">
        <v>1</v>
      </c>
      <c r="G10" s="150" t="str">
        <f t="shared" si="0"/>
        <v>空压机:辅助电源欠压(521810,1)</v>
      </c>
      <c r="H10" s="145" t="s">
        <v>358</v>
      </c>
    </row>
    <row r="11" ht="16.9" customHeight="1" spans="1:8">
      <c r="A11" s="242">
        <v>9</v>
      </c>
      <c r="B11" s="245" t="s">
        <v>122</v>
      </c>
      <c r="C11" s="7"/>
      <c r="D11" s="210" t="s">
        <v>372</v>
      </c>
      <c r="E11" s="211">
        <v>521810</v>
      </c>
      <c r="F11" s="211">
        <v>16</v>
      </c>
      <c r="G11" s="150" t="str">
        <f t="shared" si="0"/>
        <v>空压机:辅助电源过压(521810,16)</v>
      </c>
      <c r="H11" s="145" t="s">
        <v>358</v>
      </c>
    </row>
    <row r="12" ht="16.9" customHeight="1" spans="1:7">
      <c r="A12" s="242">
        <v>10</v>
      </c>
      <c r="B12" s="244" t="s">
        <v>124</v>
      </c>
      <c r="C12" s="7" t="s">
        <v>342</v>
      </c>
      <c r="D12" s="130" t="s">
        <v>330</v>
      </c>
      <c r="E12" s="242">
        <v>521817</v>
      </c>
      <c r="F12" s="242">
        <v>4</v>
      </c>
      <c r="G12" s="130" t="str">
        <f t="shared" si="0"/>
        <v>空压机:输入欠压(521817,4)</v>
      </c>
    </row>
    <row r="13" ht="16.9" customHeight="1" spans="1:7">
      <c r="A13" s="242">
        <v>11</v>
      </c>
      <c r="B13" s="244" t="s">
        <v>124</v>
      </c>
      <c r="C13" s="7" t="s">
        <v>342</v>
      </c>
      <c r="D13" s="130" t="s">
        <v>332</v>
      </c>
      <c r="E13" s="242">
        <v>521817</v>
      </c>
      <c r="F13" s="242">
        <v>3</v>
      </c>
      <c r="G13" s="130" t="str">
        <f t="shared" si="0"/>
        <v>空压机:输入过压(521817,3)</v>
      </c>
    </row>
    <row r="14" ht="16.9" customHeight="1" spans="1:7">
      <c r="A14" s="242">
        <v>12</v>
      </c>
      <c r="B14" s="244" t="s">
        <v>124</v>
      </c>
      <c r="C14" s="7" t="s">
        <v>342</v>
      </c>
      <c r="D14" s="130" t="s">
        <v>971</v>
      </c>
      <c r="E14" s="242">
        <v>521819</v>
      </c>
      <c r="F14" s="242">
        <v>0</v>
      </c>
      <c r="G14" s="130" t="str">
        <f t="shared" si="0"/>
        <v>空压机:控制器过温故障(521819,0)</v>
      </c>
    </row>
    <row r="15" ht="16.9" customHeight="1" spans="1:7">
      <c r="A15" s="242">
        <v>13</v>
      </c>
      <c r="B15" s="246" t="s">
        <v>133</v>
      </c>
      <c r="C15" s="7" t="s">
        <v>368</v>
      </c>
      <c r="D15" s="130" t="s">
        <v>972</v>
      </c>
      <c r="E15" s="242">
        <v>521819</v>
      </c>
      <c r="F15" s="242">
        <v>3</v>
      </c>
      <c r="G15" s="130" t="str">
        <f t="shared" si="0"/>
        <v>空压机:控制器过温告警(521819,3)</v>
      </c>
    </row>
    <row r="16" ht="16.9" customHeight="1" spans="1:7">
      <c r="A16" s="242">
        <v>14</v>
      </c>
      <c r="B16" s="245" t="s">
        <v>122</v>
      </c>
      <c r="C16" s="7"/>
      <c r="D16" s="130" t="s">
        <v>341</v>
      </c>
      <c r="E16" s="242">
        <v>521820</v>
      </c>
      <c r="F16" s="242">
        <v>0</v>
      </c>
      <c r="G16" s="130" t="str">
        <f t="shared" si="0"/>
        <v>空压机:电机过温故障(521820,0)</v>
      </c>
    </row>
    <row r="17" ht="16.9" customHeight="1" spans="1:7">
      <c r="A17" s="242">
        <v>15</v>
      </c>
      <c r="B17" s="245" t="s">
        <v>348</v>
      </c>
      <c r="C17" s="7"/>
      <c r="D17" s="130" t="s">
        <v>973</v>
      </c>
      <c r="E17" s="242">
        <v>521820</v>
      </c>
      <c r="F17" s="242">
        <v>3</v>
      </c>
      <c r="G17" s="130" t="str">
        <f t="shared" si="0"/>
        <v>空压机:电机过温告警(521820,3)</v>
      </c>
    </row>
    <row r="18" ht="16.9" customHeight="1" spans="1:7">
      <c r="A18" s="242">
        <v>16</v>
      </c>
      <c r="B18" s="244" t="s">
        <v>124</v>
      </c>
      <c r="C18" s="7" t="s">
        <v>342</v>
      </c>
      <c r="D18" s="130" t="s">
        <v>337</v>
      </c>
      <c r="E18" s="242">
        <v>521835</v>
      </c>
      <c r="F18" s="242">
        <v>2</v>
      </c>
      <c r="G18" s="130" t="str">
        <f t="shared" si="0"/>
        <v>空压机:输出缺相(521835,2)</v>
      </c>
    </row>
    <row r="19" ht="16.9" customHeight="1" spans="1:8">
      <c r="A19" s="242">
        <v>17</v>
      </c>
      <c r="B19" s="244" t="s">
        <v>124</v>
      </c>
      <c r="C19" s="7" t="s">
        <v>342</v>
      </c>
      <c r="D19" s="210" t="s">
        <v>367</v>
      </c>
      <c r="E19" s="211">
        <v>521840</v>
      </c>
      <c r="F19" s="211">
        <v>12</v>
      </c>
      <c r="G19" s="150" t="str">
        <f t="shared" si="0"/>
        <v>空压机:硬件故障(521840,12)</v>
      </c>
      <c r="H19" t="s">
        <v>358</v>
      </c>
    </row>
    <row r="20" ht="16.9" customHeight="1" spans="1:8">
      <c r="A20" s="242">
        <v>18</v>
      </c>
      <c r="B20" s="244" t="s">
        <v>124</v>
      </c>
      <c r="C20" s="7" t="s">
        <v>342</v>
      </c>
      <c r="D20" s="210" t="s">
        <v>364</v>
      </c>
      <c r="E20" s="211">
        <v>521841</v>
      </c>
      <c r="F20" s="211">
        <v>0</v>
      </c>
      <c r="G20" s="150" t="str">
        <f t="shared" si="0"/>
        <v>空压机:超速故障(521841,0)</v>
      </c>
      <c r="H20" t="s">
        <v>358</v>
      </c>
    </row>
    <row r="21" ht="16.9" customHeight="1" spans="1:8">
      <c r="A21" s="242">
        <v>19</v>
      </c>
      <c r="B21" s="244" t="s">
        <v>124</v>
      </c>
      <c r="C21" s="7" t="s">
        <v>342</v>
      </c>
      <c r="D21" s="211" t="s">
        <v>974</v>
      </c>
      <c r="E21" s="211">
        <v>521842</v>
      </c>
      <c r="F21" s="211">
        <v>12</v>
      </c>
      <c r="G21" s="150" t="str">
        <f t="shared" si="0"/>
        <v>空压机:EEPROM故障(521842,12)</v>
      </c>
      <c r="H21" t="s">
        <v>358</v>
      </c>
    </row>
    <row r="22" ht="16.9" customHeight="1" spans="1:8">
      <c r="A22" s="242">
        <v>20</v>
      </c>
      <c r="B22" s="244" t="s">
        <v>124</v>
      </c>
      <c r="C22" s="7" t="s">
        <v>342</v>
      </c>
      <c r="D22" s="210" t="s">
        <v>365</v>
      </c>
      <c r="E22" s="211">
        <v>521843</v>
      </c>
      <c r="F22" s="211">
        <v>7</v>
      </c>
      <c r="G22" s="150" t="str">
        <f t="shared" si="0"/>
        <v>空压机:相间短路故障(521843,7)</v>
      </c>
      <c r="H22" t="s">
        <v>358</v>
      </c>
    </row>
    <row r="23" ht="16.9" customHeight="1" spans="1:7">
      <c r="A23" s="242">
        <v>21</v>
      </c>
      <c r="B23" s="244" t="s">
        <v>124</v>
      </c>
      <c r="C23" s="7" t="s">
        <v>342</v>
      </c>
      <c r="D23" s="130" t="s">
        <v>975</v>
      </c>
      <c r="E23" s="242">
        <v>521844</v>
      </c>
      <c r="F23" s="242">
        <v>6</v>
      </c>
      <c r="G23" s="130" t="str">
        <f t="shared" si="0"/>
        <v>空压机:对地短路(521844,6)</v>
      </c>
    </row>
    <row r="24" ht="16.9" customHeight="1" spans="1:7">
      <c r="A24" s="242">
        <v>22</v>
      </c>
      <c r="B24" s="244" t="s">
        <v>124</v>
      </c>
      <c r="C24" s="7" t="s">
        <v>342</v>
      </c>
      <c r="D24" s="130" t="s">
        <v>366</v>
      </c>
      <c r="E24" s="242">
        <v>521845</v>
      </c>
      <c r="F24" s="242">
        <v>12</v>
      </c>
      <c r="G24" s="130" t="str">
        <f t="shared" si="0"/>
        <v>空压机:失调故障(521845,12)</v>
      </c>
    </row>
    <row r="25" ht="16.9" customHeight="1" spans="1:7">
      <c r="A25" s="242">
        <v>23</v>
      </c>
      <c r="B25" s="244" t="s">
        <v>124</v>
      </c>
      <c r="C25" s="7" t="s">
        <v>342</v>
      </c>
      <c r="D25" s="130" t="s">
        <v>976</v>
      </c>
      <c r="E25" s="242">
        <v>521846</v>
      </c>
      <c r="F25" s="242">
        <v>10</v>
      </c>
      <c r="G25" s="130" t="str">
        <f t="shared" si="0"/>
        <v>空压机:速度偏差(521846,10)</v>
      </c>
    </row>
    <row r="26" ht="16.9" customHeight="1" spans="1:8">
      <c r="A26" s="242">
        <v>24</v>
      </c>
      <c r="B26" s="244" t="s">
        <v>124</v>
      </c>
      <c r="C26" s="7" t="s">
        <v>342</v>
      </c>
      <c r="D26" s="247" t="s">
        <v>977</v>
      </c>
      <c r="E26" s="248">
        <v>521847</v>
      </c>
      <c r="F26" s="248">
        <v>0</v>
      </c>
      <c r="G26" s="247" t="str">
        <f t="shared" si="0"/>
        <v>空压机:电机过载(521847,0)</v>
      </c>
      <c r="H26" t="s">
        <v>978</v>
      </c>
    </row>
    <row r="27" ht="16.9" customHeight="1" spans="1:8">
      <c r="A27" s="242">
        <v>25</v>
      </c>
      <c r="B27" s="246" t="s">
        <v>133</v>
      </c>
      <c r="C27" s="7" t="s">
        <v>368</v>
      </c>
      <c r="D27" s="249" t="s">
        <v>979</v>
      </c>
      <c r="E27" s="246">
        <v>521848</v>
      </c>
      <c r="F27" s="246">
        <v>0</v>
      </c>
      <c r="G27" s="249" t="str">
        <f t="shared" si="0"/>
        <v>空压机:超长时间输出报警 (521848,0)</v>
      </c>
      <c r="H27" t="s">
        <v>980</v>
      </c>
    </row>
    <row r="28" ht="16.9" customHeight="1" spans="1:8">
      <c r="A28" s="242">
        <v>26</v>
      </c>
      <c r="B28" s="246" t="s">
        <v>133</v>
      </c>
      <c r="C28" s="7" t="s">
        <v>368</v>
      </c>
      <c r="D28" s="249" t="s">
        <v>981</v>
      </c>
      <c r="E28" s="246">
        <v>521848</v>
      </c>
      <c r="F28" s="246">
        <v>23</v>
      </c>
      <c r="G28" s="249" t="str">
        <f t="shared" si="0"/>
        <v>空压机:通讯故障 (521848,23)</v>
      </c>
      <c r="H28" t="s">
        <v>980</v>
      </c>
    </row>
    <row r="29" ht="16.9" customHeight="1" spans="1:8">
      <c r="A29" s="242">
        <v>27</v>
      </c>
      <c r="B29" s="246" t="s">
        <v>133</v>
      </c>
      <c r="C29" s="7" t="s">
        <v>368</v>
      </c>
      <c r="D29" s="249" t="s">
        <v>982</v>
      </c>
      <c r="E29" s="246">
        <v>521849</v>
      </c>
      <c r="F29" s="246">
        <v>2</v>
      </c>
      <c r="G29" s="249" t="str">
        <f t="shared" si="0"/>
        <v>空压机:压力开关故障 (521849,2)</v>
      </c>
      <c r="H29" t="s">
        <v>980</v>
      </c>
    </row>
    <row r="30" spans="7:7">
      <c r="G30" s="250"/>
    </row>
    <row r="31" spans="7:7">
      <c r="G31" s="250"/>
    </row>
  </sheetData>
  <pageMargins left="0.7" right="0.7" top="0.75" bottom="0.75" header="0.3" footer="0.3"/>
  <pageSetup paperSize="9" orientation="portrait"/>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5"/>
  <sheetViews>
    <sheetView zoomScale="115" zoomScaleNormal="115" topLeftCell="A43" workbookViewId="0">
      <selection activeCell="B69" sqref="B69"/>
    </sheetView>
  </sheetViews>
  <sheetFormatPr defaultColWidth="9" defaultRowHeight="13.5"/>
  <cols>
    <col min="1" max="1" width="5.25" style="67" customWidth="1"/>
    <col min="2" max="3" width="9" style="67" customWidth="1"/>
    <col min="4" max="4" width="44.5" customWidth="1"/>
    <col min="5" max="5" width="9.5" style="32" customWidth="1"/>
    <col min="6" max="6" width="9.5" style="67" customWidth="1"/>
    <col min="7" max="7" width="65.125" style="67" customWidth="1"/>
    <col min="8" max="8" width="33.125" customWidth="1"/>
    <col min="9" max="9" width="14.75" customWidth="1"/>
  </cols>
  <sheetData>
    <row r="1" ht="20.1" customHeight="1" spans="1:7">
      <c r="A1" s="221" t="s">
        <v>101</v>
      </c>
      <c r="B1" s="221" t="s">
        <v>116</v>
      </c>
      <c r="C1" s="221" t="s">
        <v>117</v>
      </c>
      <c r="D1" s="221" t="s">
        <v>103</v>
      </c>
      <c r="E1" s="222" t="s">
        <v>118</v>
      </c>
      <c r="F1" s="221" t="s">
        <v>119</v>
      </c>
      <c r="G1" s="214" t="s">
        <v>258</v>
      </c>
    </row>
    <row r="2" ht="20.1" customHeight="1" spans="1:7">
      <c r="A2" s="221">
        <v>1</v>
      </c>
      <c r="B2" s="223" t="s">
        <v>133</v>
      </c>
      <c r="C2" s="221" t="s">
        <v>125</v>
      </c>
      <c r="D2" s="222" t="s">
        <v>983</v>
      </c>
      <c r="E2" s="224">
        <v>1378</v>
      </c>
      <c r="F2" s="225">
        <v>1</v>
      </c>
      <c r="G2" s="5" t="s">
        <v>984</v>
      </c>
    </row>
    <row r="3" ht="20.1" customHeight="1" spans="1:7">
      <c r="A3" s="221">
        <v>2</v>
      </c>
      <c r="B3" s="223" t="s">
        <v>133</v>
      </c>
      <c r="C3" s="221" t="s">
        <v>125</v>
      </c>
      <c r="D3" s="222" t="s">
        <v>985</v>
      </c>
      <c r="E3" s="224">
        <v>1378</v>
      </c>
      <c r="F3" s="225">
        <v>2</v>
      </c>
      <c r="G3" s="5" t="s">
        <v>986</v>
      </c>
    </row>
    <row r="4" ht="20.1" customHeight="1" spans="1:7">
      <c r="A4" s="221">
        <v>3</v>
      </c>
      <c r="B4" s="221"/>
      <c r="C4" s="221"/>
      <c r="D4" s="222" t="s">
        <v>987</v>
      </c>
      <c r="E4" s="224">
        <v>1824</v>
      </c>
      <c r="F4" s="225">
        <v>8</v>
      </c>
      <c r="G4" s="5" t="s">
        <v>988</v>
      </c>
    </row>
    <row r="5" ht="20.1" customHeight="1" spans="1:7">
      <c r="A5" s="221">
        <v>4</v>
      </c>
      <c r="B5" s="221"/>
      <c r="C5" s="221"/>
      <c r="D5" s="222" t="s">
        <v>989</v>
      </c>
      <c r="E5" s="224">
        <v>1824</v>
      </c>
      <c r="F5" s="225">
        <v>4</v>
      </c>
      <c r="G5" s="5" t="s">
        <v>990</v>
      </c>
    </row>
    <row r="6" ht="20.1" customHeight="1" spans="1:7">
      <c r="A6" s="221">
        <v>5</v>
      </c>
      <c r="B6" s="226" t="s">
        <v>124</v>
      </c>
      <c r="C6" s="221" t="s">
        <v>125</v>
      </c>
      <c r="D6" s="222" t="s">
        <v>991</v>
      </c>
      <c r="E6" s="224">
        <v>54786</v>
      </c>
      <c r="F6" s="225">
        <v>4</v>
      </c>
      <c r="G6" s="5" t="s">
        <v>992</v>
      </c>
    </row>
    <row r="7" ht="20.1" customHeight="1" spans="1:7">
      <c r="A7" s="221">
        <v>6</v>
      </c>
      <c r="B7" s="223" t="s">
        <v>133</v>
      </c>
      <c r="C7" s="221" t="s">
        <v>125</v>
      </c>
      <c r="D7" s="222" t="s">
        <v>993</v>
      </c>
      <c r="E7" s="224">
        <v>5953</v>
      </c>
      <c r="F7" s="225">
        <v>1</v>
      </c>
      <c r="G7" s="5" t="s">
        <v>994</v>
      </c>
    </row>
    <row r="8" ht="20.1" customHeight="1" spans="1:7">
      <c r="A8" s="221">
        <v>7</v>
      </c>
      <c r="B8" s="223" t="s">
        <v>133</v>
      </c>
      <c r="C8" s="221" t="s">
        <v>125</v>
      </c>
      <c r="D8" s="222" t="s">
        <v>995</v>
      </c>
      <c r="E8" s="224">
        <v>5953</v>
      </c>
      <c r="F8" s="225">
        <v>2</v>
      </c>
      <c r="G8" s="5" t="s">
        <v>996</v>
      </c>
    </row>
    <row r="9" ht="20.1" customHeight="1" spans="1:7">
      <c r="A9" s="221">
        <v>8</v>
      </c>
      <c r="B9" s="221"/>
      <c r="C9" s="221"/>
      <c r="D9" s="222" t="s">
        <v>997</v>
      </c>
      <c r="E9" s="224">
        <v>5953</v>
      </c>
      <c r="F9" s="225">
        <v>8</v>
      </c>
      <c r="G9" s="5" t="s">
        <v>998</v>
      </c>
    </row>
    <row r="10" ht="20.1" customHeight="1" spans="1:7">
      <c r="A10" s="221">
        <v>9</v>
      </c>
      <c r="B10" s="223" t="s">
        <v>133</v>
      </c>
      <c r="C10" s="221" t="s">
        <v>125</v>
      </c>
      <c r="D10" s="222" t="s">
        <v>999</v>
      </c>
      <c r="E10" s="224">
        <v>5954</v>
      </c>
      <c r="F10" s="225">
        <v>1</v>
      </c>
      <c r="G10" s="5" t="s">
        <v>1000</v>
      </c>
    </row>
    <row r="11" ht="20.1" customHeight="1" spans="1:7">
      <c r="A11" s="221">
        <v>10</v>
      </c>
      <c r="B11" s="223" t="s">
        <v>133</v>
      </c>
      <c r="C11" s="221" t="s">
        <v>125</v>
      </c>
      <c r="D11" s="222" t="s">
        <v>1001</v>
      </c>
      <c r="E11" s="224">
        <v>5954</v>
      </c>
      <c r="F11" s="225">
        <v>2</v>
      </c>
      <c r="G11" s="5" t="s">
        <v>1002</v>
      </c>
    </row>
    <row r="12" ht="20.1" customHeight="1" spans="1:7">
      <c r="A12" s="221">
        <v>11</v>
      </c>
      <c r="B12" s="221"/>
      <c r="C12" s="221"/>
      <c r="D12" s="222" t="s">
        <v>1003</v>
      </c>
      <c r="E12" s="224">
        <v>5954</v>
      </c>
      <c r="F12" s="225">
        <v>8</v>
      </c>
      <c r="G12" s="5" t="s">
        <v>1004</v>
      </c>
    </row>
    <row r="13" ht="20.1" customHeight="1" spans="1:7">
      <c r="A13" s="221">
        <v>12</v>
      </c>
      <c r="B13" s="223" t="s">
        <v>133</v>
      </c>
      <c r="C13" s="221" t="s">
        <v>125</v>
      </c>
      <c r="D13" s="222" t="s">
        <v>1005</v>
      </c>
      <c r="E13" s="224">
        <v>5969</v>
      </c>
      <c r="F13" s="225">
        <v>8</v>
      </c>
      <c r="G13" s="5" t="s">
        <v>1006</v>
      </c>
    </row>
    <row r="14" ht="20.1" customHeight="1" spans="1:7">
      <c r="A14" s="221">
        <v>13</v>
      </c>
      <c r="B14" s="223" t="s">
        <v>133</v>
      </c>
      <c r="C14" s="221" t="s">
        <v>125</v>
      </c>
      <c r="D14" s="222" t="s">
        <v>1007</v>
      </c>
      <c r="E14" s="224">
        <v>5971</v>
      </c>
      <c r="F14" s="225">
        <v>8</v>
      </c>
      <c r="G14" s="5" t="s">
        <v>1008</v>
      </c>
    </row>
    <row r="15" ht="20.1" customHeight="1" spans="1:7">
      <c r="A15" s="221">
        <v>14</v>
      </c>
      <c r="B15" s="226" t="s">
        <v>124</v>
      </c>
      <c r="C15" s="221" t="s">
        <v>125</v>
      </c>
      <c r="D15" s="222" t="s">
        <v>1009</v>
      </c>
      <c r="E15" s="224">
        <v>6208</v>
      </c>
      <c r="F15" s="225">
        <v>8</v>
      </c>
      <c r="G15" s="5" t="s">
        <v>1010</v>
      </c>
    </row>
    <row r="16" ht="20.1" customHeight="1" spans="1:7">
      <c r="A16" s="221">
        <v>15</v>
      </c>
      <c r="B16" s="221"/>
      <c r="C16" s="221"/>
      <c r="D16" s="222" t="s">
        <v>1011</v>
      </c>
      <c r="E16" s="224">
        <v>5990</v>
      </c>
      <c r="F16" s="225">
        <v>1</v>
      </c>
      <c r="G16" s="5" t="s">
        <v>1012</v>
      </c>
    </row>
    <row r="17" ht="20.1" customHeight="1" spans="1:7">
      <c r="A17" s="221">
        <v>16</v>
      </c>
      <c r="B17" s="221"/>
      <c r="C17" s="221"/>
      <c r="D17" s="222" t="s">
        <v>1013</v>
      </c>
      <c r="E17" s="224">
        <v>5991</v>
      </c>
      <c r="F17" s="225">
        <v>1</v>
      </c>
      <c r="G17" s="5" t="s">
        <v>1014</v>
      </c>
    </row>
    <row r="18" ht="20.1" customHeight="1" spans="1:7">
      <c r="A18" s="221">
        <v>17</v>
      </c>
      <c r="B18" s="221"/>
      <c r="C18" s="221"/>
      <c r="D18" s="222" t="s">
        <v>1015</v>
      </c>
      <c r="E18" s="224">
        <v>5992</v>
      </c>
      <c r="F18" s="225">
        <v>1</v>
      </c>
      <c r="G18" s="5" t="s">
        <v>1016</v>
      </c>
    </row>
    <row r="19" ht="20.1" customHeight="1" spans="1:8">
      <c r="A19" s="221">
        <v>18</v>
      </c>
      <c r="B19" s="221"/>
      <c r="C19" s="221"/>
      <c r="D19" s="227" t="s">
        <v>1017</v>
      </c>
      <c r="E19" s="224">
        <v>5977</v>
      </c>
      <c r="F19" s="225">
        <v>1</v>
      </c>
      <c r="G19" s="5" t="s">
        <v>1018</v>
      </c>
      <c r="H19" t="s">
        <v>402</v>
      </c>
    </row>
    <row r="20" ht="20.1" customHeight="1" spans="1:8">
      <c r="A20" s="221">
        <v>19</v>
      </c>
      <c r="B20" s="221"/>
      <c r="C20" s="221"/>
      <c r="D20" s="227" t="s">
        <v>115</v>
      </c>
      <c r="E20" s="224">
        <v>153</v>
      </c>
      <c r="F20" s="225">
        <v>0</v>
      </c>
      <c r="G20" s="5" t="s">
        <v>1019</v>
      </c>
      <c r="H20" t="s">
        <v>402</v>
      </c>
    </row>
    <row r="21" spans="1:7">
      <c r="A21" s="221">
        <v>20</v>
      </c>
      <c r="B21" s="223" t="s">
        <v>133</v>
      </c>
      <c r="C21" s="221" t="s">
        <v>1020</v>
      </c>
      <c r="D21" s="222" t="s">
        <v>1021</v>
      </c>
      <c r="E21" s="228">
        <v>7670</v>
      </c>
      <c r="F21" s="69">
        <v>4</v>
      </c>
      <c r="G21" s="5" t="s">
        <v>1022</v>
      </c>
    </row>
    <row r="22" spans="1:7">
      <c r="A22" s="221">
        <v>21</v>
      </c>
      <c r="B22" s="223" t="s">
        <v>133</v>
      </c>
      <c r="C22" s="221" t="s">
        <v>1020</v>
      </c>
      <c r="D22" s="222" t="s">
        <v>1023</v>
      </c>
      <c r="E22" s="228">
        <v>7670</v>
      </c>
      <c r="F22" s="69">
        <v>5</v>
      </c>
      <c r="G22" s="5" t="s">
        <v>1024</v>
      </c>
    </row>
    <row r="23" spans="1:7">
      <c r="A23" s="122">
        <v>22</v>
      </c>
      <c r="B23" s="223" t="s">
        <v>133</v>
      </c>
      <c r="C23" s="69" t="s">
        <v>1025</v>
      </c>
      <c r="D23" s="229" t="s">
        <v>1026</v>
      </c>
      <c r="E23" s="229">
        <v>520200</v>
      </c>
      <c r="F23" s="229">
        <v>7</v>
      </c>
      <c r="G23" s="229" t="s">
        <v>1027</v>
      </c>
    </row>
    <row r="24" spans="1:7">
      <c r="A24" s="122">
        <v>23</v>
      </c>
      <c r="B24" s="223" t="s">
        <v>133</v>
      </c>
      <c r="C24" s="69" t="s">
        <v>1025</v>
      </c>
      <c r="D24" s="229" t="s">
        <v>1028</v>
      </c>
      <c r="E24" s="229">
        <v>520201</v>
      </c>
      <c r="F24" s="229">
        <v>7</v>
      </c>
      <c r="G24" s="229" t="s">
        <v>1029</v>
      </c>
    </row>
    <row r="25" spans="1:7">
      <c r="A25" s="122">
        <v>24</v>
      </c>
      <c r="B25" s="223" t="s">
        <v>133</v>
      </c>
      <c r="C25" s="69" t="s">
        <v>1025</v>
      </c>
      <c r="D25" s="229" t="s">
        <v>1030</v>
      </c>
      <c r="E25" s="229">
        <v>520202</v>
      </c>
      <c r="F25" s="229">
        <v>7</v>
      </c>
      <c r="G25" s="229" t="s">
        <v>1031</v>
      </c>
    </row>
    <row r="26" spans="1:7">
      <c r="A26" s="122">
        <v>25</v>
      </c>
      <c r="B26" s="223" t="s">
        <v>133</v>
      </c>
      <c r="C26" s="69" t="s">
        <v>1025</v>
      </c>
      <c r="D26" s="229" t="s">
        <v>1032</v>
      </c>
      <c r="E26" s="229">
        <v>520203</v>
      </c>
      <c r="F26" s="229">
        <v>7</v>
      </c>
      <c r="G26" s="229" t="s">
        <v>1033</v>
      </c>
    </row>
    <row r="27" spans="1:7">
      <c r="A27" s="122">
        <v>26</v>
      </c>
      <c r="B27" s="223" t="s">
        <v>133</v>
      </c>
      <c r="C27" s="69" t="s">
        <v>1025</v>
      </c>
      <c r="D27" s="229" t="s">
        <v>1034</v>
      </c>
      <c r="E27" s="229">
        <v>520204</v>
      </c>
      <c r="F27" s="229">
        <v>7</v>
      </c>
      <c r="G27" s="229" t="s">
        <v>1035</v>
      </c>
    </row>
    <row r="28" spans="1:7">
      <c r="A28" s="122">
        <v>27</v>
      </c>
      <c r="B28" s="223" t="s">
        <v>133</v>
      </c>
      <c r="C28" s="69" t="s">
        <v>1025</v>
      </c>
      <c r="D28" s="229" t="s">
        <v>1036</v>
      </c>
      <c r="E28" s="229">
        <v>520205</v>
      </c>
      <c r="F28" s="229">
        <v>7</v>
      </c>
      <c r="G28" s="229" t="s">
        <v>1037</v>
      </c>
    </row>
    <row r="29" spans="1:7">
      <c r="A29" s="230">
        <v>28</v>
      </c>
      <c r="B29" s="230" t="s">
        <v>122</v>
      </c>
      <c r="C29" s="230"/>
      <c r="D29" s="231" t="s">
        <v>1038</v>
      </c>
      <c r="E29" s="231">
        <v>520206</v>
      </c>
      <c r="F29" s="231">
        <v>7</v>
      </c>
      <c r="G29" s="231" t="s">
        <v>1039</v>
      </c>
    </row>
    <row r="30" spans="1:7">
      <c r="A30" s="122">
        <v>29</v>
      </c>
      <c r="B30" s="223" t="s">
        <v>133</v>
      </c>
      <c r="C30" s="69" t="s">
        <v>1025</v>
      </c>
      <c r="D30" s="229" t="s">
        <v>1040</v>
      </c>
      <c r="E30" s="229">
        <v>520207</v>
      </c>
      <c r="F30" s="229">
        <v>7</v>
      </c>
      <c r="G30" s="229" t="s">
        <v>1041</v>
      </c>
    </row>
    <row r="31" spans="1:7">
      <c r="A31" s="122">
        <v>30</v>
      </c>
      <c r="B31" s="226" t="s">
        <v>124</v>
      </c>
      <c r="C31" s="69" t="s">
        <v>1025</v>
      </c>
      <c r="D31" s="229" t="s">
        <v>1042</v>
      </c>
      <c r="E31" s="229">
        <v>520208</v>
      </c>
      <c r="F31" s="229">
        <v>7</v>
      </c>
      <c r="G31" s="229" t="s">
        <v>1043</v>
      </c>
    </row>
    <row r="32" spans="1:7">
      <c r="A32" s="122">
        <v>31</v>
      </c>
      <c r="B32" s="226" t="s">
        <v>124</v>
      </c>
      <c r="C32" s="69" t="s">
        <v>1025</v>
      </c>
      <c r="D32" s="229" t="s">
        <v>1044</v>
      </c>
      <c r="E32" s="229">
        <v>520209</v>
      </c>
      <c r="F32" s="229">
        <v>7</v>
      </c>
      <c r="G32" s="229" t="s">
        <v>1045</v>
      </c>
    </row>
    <row r="33" spans="1:7">
      <c r="A33" s="122">
        <v>32</v>
      </c>
      <c r="B33" s="226" t="s">
        <v>124</v>
      </c>
      <c r="C33" s="69" t="s">
        <v>1025</v>
      </c>
      <c r="D33" s="229" t="s">
        <v>1046</v>
      </c>
      <c r="E33" s="229">
        <v>520213</v>
      </c>
      <c r="F33" s="229">
        <v>7</v>
      </c>
      <c r="G33" s="229" t="s">
        <v>1047</v>
      </c>
    </row>
    <row r="34" spans="1:8">
      <c r="A34" s="69">
        <v>33</v>
      </c>
      <c r="B34" s="223" t="s">
        <v>133</v>
      </c>
      <c r="C34" s="221" t="s">
        <v>125</v>
      </c>
      <c r="D34" s="5" t="s">
        <v>1048</v>
      </c>
      <c r="E34" s="228">
        <v>7649</v>
      </c>
      <c r="F34" s="69">
        <v>1</v>
      </c>
      <c r="G34" s="232" t="s">
        <v>1049</v>
      </c>
      <c r="H34" s="233" t="s">
        <v>856</v>
      </c>
    </row>
    <row r="35" spans="1:8">
      <c r="A35" s="69">
        <v>34</v>
      </c>
      <c r="B35" s="223" t="s">
        <v>133</v>
      </c>
      <c r="C35" s="221" t="s">
        <v>125</v>
      </c>
      <c r="D35" s="5" t="s">
        <v>1050</v>
      </c>
      <c r="E35" s="228">
        <v>7649</v>
      </c>
      <c r="F35" s="69">
        <v>2</v>
      </c>
      <c r="G35" s="232" t="s">
        <v>1051</v>
      </c>
      <c r="H35" s="233" t="s">
        <v>856</v>
      </c>
    </row>
    <row r="36" spans="1:8">
      <c r="A36" s="69">
        <v>35</v>
      </c>
      <c r="B36" s="223" t="s">
        <v>133</v>
      </c>
      <c r="C36" s="221" t="s">
        <v>1020</v>
      </c>
      <c r="D36" s="5" t="s">
        <v>1052</v>
      </c>
      <c r="E36" s="228">
        <v>1824</v>
      </c>
      <c r="F36" s="69">
        <v>1</v>
      </c>
      <c r="G36" s="232" t="s">
        <v>1053</v>
      </c>
      <c r="H36" s="233" t="s">
        <v>856</v>
      </c>
    </row>
    <row r="37" spans="1:8">
      <c r="A37" s="69">
        <v>36</v>
      </c>
      <c r="B37" s="223" t="s">
        <v>133</v>
      </c>
      <c r="C37" s="221" t="s">
        <v>1020</v>
      </c>
      <c r="D37" s="5" t="s">
        <v>1054</v>
      </c>
      <c r="E37" s="228">
        <v>1810</v>
      </c>
      <c r="F37" s="69">
        <v>2</v>
      </c>
      <c r="G37" s="232" t="s">
        <v>1055</v>
      </c>
      <c r="H37" s="233" t="s">
        <v>856</v>
      </c>
    </row>
    <row r="38" spans="1:8">
      <c r="A38" s="69">
        <v>37</v>
      </c>
      <c r="B38" s="69"/>
      <c r="C38" s="69"/>
      <c r="D38" s="5" t="s">
        <v>1056</v>
      </c>
      <c r="E38" s="228">
        <v>1810</v>
      </c>
      <c r="F38" s="69">
        <v>11</v>
      </c>
      <c r="G38" s="232" t="s">
        <v>1057</v>
      </c>
      <c r="H38" s="233" t="s">
        <v>856</v>
      </c>
    </row>
    <row r="39" spans="1:8">
      <c r="A39" s="69">
        <v>38</v>
      </c>
      <c r="B39" s="69"/>
      <c r="C39" s="69"/>
      <c r="D39" s="5" t="s">
        <v>1058</v>
      </c>
      <c r="E39" s="228">
        <v>518310</v>
      </c>
      <c r="F39" s="69">
        <v>12</v>
      </c>
      <c r="G39" s="232" t="s">
        <v>1059</v>
      </c>
      <c r="H39" s="233" t="s">
        <v>856</v>
      </c>
    </row>
    <row r="40" spans="1:8">
      <c r="A40" s="69">
        <v>39</v>
      </c>
      <c r="B40" s="69"/>
      <c r="C40" s="69"/>
      <c r="D40" s="5" t="s">
        <v>1060</v>
      </c>
      <c r="E40" s="228">
        <v>5997</v>
      </c>
      <c r="F40" s="69">
        <v>12</v>
      </c>
      <c r="G40" s="232" t="s">
        <v>1061</v>
      </c>
      <c r="H40" s="233" t="s">
        <v>856</v>
      </c>
    </row>
    <row r="41" spans="1:8">
      <c r="A41" s="69">
        <v>40</v>
      </c>
      <c r="B41" s="69"/>
      <c r="C41" s="69"/>
      <c r="D41" s="5" t="s">
        <v>1062</v>
      </c>
      <c r="E41" s="228">
        <v>5997</v>
      </c>
      <c r="F41" s="69">
        <v>13</v>
      </c>
      <c r="G41" s="232" t="s">
        <v>1063</v>
      </c>
      <c r="H41" s="233" t="s">
        <v>856</v>
      </c>
    </row>
    <row r="42" spans="1:8">
      <c r="A42" s="69">
        <v>41</v>
      </c>
      <c r="B42" s="69"/>
      <c r="C42" s="69"/>
      <c r="D42" s="5" t="s">
        <v>1064</v>
      </c>
      <c r="E42" s="228">
        <v>7673</v>
      </c>
      <c r="F42" s="69">
        <v>7</v>
      </c>
      <c r="G42" s="232" t="s">
        <v>1065</v>
      </c>
      <c r="H42" s="233" t="s">
        <v>856</v>
      </c>
    </row>
    <row r="43" spans="1:8">
      <c r="A43" s="69">
        <v>42</v>
      </c>
      <c r="B43" s="69"/>
      <c r="C43" s="69"/>
      <c r="D43" s="5" t="s">
        <v>1066</v>
      </c>
      <c r="E43" s="228">
        <v>7673</v>
      </c>
      <c r="F43" s="69">
        <v>15</v>
      </c>
      <c r="G43" s="232" t="s">
        <v>1067</v>
      </c>
      <c r="H43" s="233" t="s">
        <v>856</v>
      </c>
    </row>
    <row r="44" spans="1:8">
      <c r="A44" s="69">
        <v>43</v>
      </c>
      <c r="B44" s="69"/>
      <c r="C44" s="69"/>
      <c r="D44" s="5" t="s">
        <v>1068</v>
      </c>
      <c r="E44" s="228">
        <v>7673</v>
      </c>
      <c r="F44" s="69">
        <v>16</v>
      </c>
      <c r="G44" s="232" t="s">
        <v>1069</v>
      </c>
      <c r="H44" s="233" t="s">
        <v>856</v>
      </c>
    </row>
    <row r="45" spans="1:8">
      <c r="A45" s="69">
        <v>44</v>
      </c>
      <c r="B45" s="69"/>
      <c r="C45" s="69"/>
      <c r="D45" s="5" t="s">
        <v>1070</v>
      </c>
      <c r="E45" s="228">
        <v>520213</v>
      </c>
      <c r="F45" s="69">
        <v>5</v>
      </c>
      <c r="G45" s="232" t="s">
        <v>1071</v>
      </c>
      <c r="H45" s="233" t="s">
        <v>856</v>
      </c>
    </row>
    <row r="46" spans="1:8">
      <c r="A46" s="69">
        <v>45</v>
      </c>
      <c r="B46" s="69"/>
      <c r="C46" s="69"/>
      <c r="D46" s="5" t="s">
        <v>1072</v>
      </c>
      <c r="E46" s="228">
        <v>520213</v>
      </c>
      <c r="F46" s="69">
        <v>6</v>
      </c>
      <c r="G46" s="232" t="s">
        <v>1073</v>
      </c>
      <c r="H46" s="233" t="s">
        <v>856</v>
      </c>
    </row>
    <row r="47" spans="1:8">
      <c r="A47" s="69">
        <v>46</v>
      </c>
      <c r="B47" s="69"/>
      <c r="C47" s="69"/>
      <c r="D47" s="5" t="s">
        <v>1074</v>
      </c>
      <c r="E47" s="228">
        <v>520213</v>
      </c>
      <c r="F47" s="69">
        <v>8</v>
      </c>
      <c r="G47" s="232" t="s">
        <v>1075</v>
      </c>
      <c r="H47" s="233" t="s">
        <v>856</v>
      </c>
    </row>
    <row r="48" spans="1:8">
      <c r="A48" s="69">
        <v>47</v>
      </c>
      <c r="B48" s="69"/>
      <c r="C48" s="69"/>
      <c r="D48" s="5" t="s">
        <v>1076</v>
      </c>
      <c r="E48" s="228">
        <v>520213</v>
      </c>
      <c r="F48" s="69">
        <v>9</v>
      </c>
      <c r="G48" s="232" t="s">
        <v>1077</v>
      </c>
      <c r="H48" s="233" t="s">
        <v>856</v>
      </c>
    </row>
    <row r="49" spans="1:8">
      <c r="A49" s="69">
        <v>48</v>
      </c>
      <c r="B49" s="69"/>
      <c r="C49" s="69"/>
      <c r="D49" s="5" t="s">
        <v>1078</v>
      </c>
      <c r="E49" s="228">
        <v>520213</v>
      </c>
      <c r="F49" s="69">
        <v>10</v>
      </c>
      <c r="G49" s="232" t="s">
        <v>1079</v>
      </c>
      <c r="H49" s="233" t="s">
        <v>856</v>
      </c>
    </row>
    <row r="50" spans="1:8">
      <c r="A50" s="69">
        <v>49</v>
      </c>
      <c r="B50" s="69"/>
      <c r="C50" s="69"/>
      <c r="D50" s="5" t="s">
        <v>1080</v>
      </c>
      <c r="E50" s="228">
        <v>520213</v>
      </c>
      <c r="F50" s="69">
        <v>16</v>
      </c>
      <c r="G50" s="232" t="s">
        <v>1081</v>
      </c>
      <c r="H50" s="233" t="s">
        <v>856</v>
      </c>
    </row>
    <row r="51" spans="1:8">
      <c r="A51" s="69">
        <v>50</v>
      </c>
      <c r="B51" s="69"/>
      <c r="C51" s="69"/>
      <c r="D51" s="5" t="s">
        <v>1082</v>
      </c>
      <c r="E51" s="228">
        <v>520214</v>
      </c>
      <c r="F51" s="69">
        <v>7</v>
      </c>
      <c r="G51" s="232" t="s">
        <v>1083</v>
      </c>
      <c r="H51" s="233" t="s">
        <v>856</v>
      </c>
    </row>
    <row r="52" spans="1:8">
      <c r="A52" s="69">
        <v>51</v>
      </c>
      <c r="B52" s="69"/>
      <c r="C52" s="69"/>
      <c r="D52" s="5" t="s">
        <v>1084</v>
      </c>
      <c r="E52" s="228">
        <v>177</v>
      </c>
      <c r="F52" s="69">
        <v>0</v>
      </c>
      <c r="G52" s="232" t="s">
        <v>1085</v>
      </c>
      <c r="H52" s="233" t="s">
        <v>856</v>
      </c>
    </row>
    <row r="53" spans="1:8">
      <c r="A53" s="69">
        <v>52</v>
      </c>
      <c r="B53" s="69"/>
      <c r="C53" s="69"/>
      <c r="D53" s="5" t="s">
        <v>1086</v>
      </c>
      <c r="E53" s="228">
        <v>177</v>
      </c>
      <c r="F53" s="69">
        <v>16</v>
      </c>
      <c r="G53" s="232" t="s">
        <v>1087</v>
      </c>
      <c r="H53" s="233" t="s">
        <v>856</v>
      </c>
    </row>
    <row r="54" spans="1:8">
      <c r="A54" s="69">
        <v>53</v>
      </c>
      <c r="B54" s="69"/>
      <c r="C54" s="69"/>
      <c r="D54" s="5" t="s">
        <v>1088</v>
      </c>
      <c r="E54" s="228">
        <v>6031</v>
      </c>
      <c r="F54" s="69">
        <v>4</v>
      </c>
      <c r="G54" s="232" t="s">
        <v>1089</v>
      </c>
      <c r="H54" s="233" t="s">
        <v>856</v>
      </c>
    </row>
    <row r="55" spans="1:8">
      <c r="A55" s="69">
        <v>54</v>
      </c>
      <c r="B55" s="69"/>
      <c r="C55" s="69"/>
      <c r="D55" s="5" t="s">
        <v>1090</v>
      </c>
      <c r="E55" s="228">
        <v>6031</v>
      </c>
      <c r="F55" s="69">
        <v>3</v>
      </c>
      <c r="G55" s="232" t="s">
        <v>1091</v>
      </c>
      <c r="H55" s="233" t="s">
        <v>856</v>
      </c>
    </row>
    <row r="56" spans="1:8">
      <c r="A56" s="69">
        <v>55</v>
      </c>
      <c r="B56" s="69"/>
      <c r="C56" s="69"/>
      <c r="D56" s="5" t="s">
        <v>1092</v>
      </c>
      <c r="E56" s="228">
        <v>518389</v>
      </c>
      <c r="F56" s="69">
        <v>7</v>
      </c>
      <c r="G56" s="232" t="s">
        <v>1093</v>
      </c>
      <c r="H56" s="233" t="s">
        <v>856</v>
      </c>
    </row>
    <row r="57" spans="1:8">
      <c r="A57" s="69">
        <v>56</v>
      </c>
      <c r="B57" s="69"/>
      <c r="C57" s="69"/>
      <c r="D57" s="5" t="s">
        <v>1094</v>
      </c>
      <c r="E57" s="228">
        <v>518390</v>
      </c>
      <c r="F57" s="69">
        <v>7</v>
      </c>
      <c r="G57" s="232" t="s">
        <v>1095</v>
      </c>
      <c r="H57" s="233" t="s">
        <v>856</v>
      </c>
    </row>
    <row r="58" spans="1:8">
      <c r="A58" s="69">
        <v>57</v>
      </c>
      <c r="B58" s="69"/>
      <c r="C58" s="69"/>
      <c r="D58" s="5" t="s">
        <v>1096</v>
      </c>
      <c r="E58" s="228">
        <v>518391</v>
      </c>
      <c r="F58" s="69">
        <v>7</v>
      </c>
      <c r="G58" s="232" t="s">
        <v>1097</v>
      </c>
      <c r="H58" s="233" t="s">
        <v>856</v>
      </c>
    </row>
    <row r="59" spans="1:9">
      <c r="A59" s="69">
        <v>58</v>
      </c>
      <c r="B59" s="69"/>
      <c r="C59" s="69"/>
      <c r="D59" s="5" t="s">
        <v>1098</v>
      </c>
      <c r="E59" s="228">
        <v>518392</v>
      </c>
      <c r="F59" s="69">
        <v>7</v>
      </c>
      <c r="G59" s="232" t="s">
        <v>1099</v>
      </c>
      <c r="H59" s="233" t="s">
        <v>856</v>
      </c>
      <c r="I59" s="233" t="s">
        <v>1100</v>
      </c>
    </row>
    <row r="60" spans="1:9">
      <c r="A60" s="69">
        <v>59</v>
      </c>
      <c r="B60" s="69"/>
      <c r="C60" s="69"/>
      <c r="D60" s="5" t="s">
        <v>1101</v>
      </c>
      <c r="E60" s="228">
        <v>518393</v>
      </c>
      <c r="F60" s="69">
        <v>7</v>
      </c>
      <c r="G60" s="232" t="s">
        <v>1102</v>
      </c>
      <c r="H60" s="233" t="s">
        <v>856</v>
      </c>
      <c r="I60" s="233" t="s">
        <v>1100</v>
      </c>
    </row>
    <row r="61" spans="1:9">
      <c r="A61" s="69">
        <v>60</v>
      </c>
      <c r="B61" s="69"/>
      <c r="C61" s="69"/>
      <c r="D61" s="5" t="s">
        <v>1103</v>
      </c>
      <c r="E61" s="228">
        <v>518394</v>
      </c>
      <c r="F61" s="69">
        <v>7</v>
      </c>
      <c r="G61" s="232" t="s">
        <v>1104</v>
      </c>
      <c r="H61" s="233" t="s">
        <v>856</v>
      </c>
      <c r="I61" s="233" t="s">
        <v>1100</v>
      </c>
    </row>
    <row r="62" spans="1:8">
      <c r="A62" s="69">
        <v>61</v>
      </c>
      <c r="B62" s="69"/>
      <c r="C62" s="69"/>
      <c r="D62" s="5" t="s">
        <v>1105</v>
      </c>
      <c r="E62" s="228">
        <v>518395</v>
      </c>
      <c r="F62" s="69">
        <v>7</v>
      </c>
      <c r="G62" s="232" t="s">
        <v>1106</v>
      </c>
      <c r="H62" s="233" t="s">
        <v>856</v>
      </c>
    </row>
    <row r="63" spans="1:8">
      <c r="A63" s="69">
        <v>62</v>
      </c>
      <c r="B63" s="69"/>
      <c r="C63" s="69"/>
      <c r="D63" s="5" t="s">
        <v>1107</v>
      </c>
      <c r="E63" s="228">
        <v>518332</v>
      </c>
      <c r="F63" s="69">
        <v>13</v>
      </c>
      <c r="G63" s="232" t="s">
        <v>1108</v>
      </c>
      <c r="H63" s="233" t="s">
        <v>856</v>
      </c>
    </row>
    <row r="64" spans="1:8">
      <c r="A64" s="69">
        <v>63</v>
      </c>
      <c r="B64" s="69"/>
      <c r="C64" s="69"/>
      <c r="D64" s="5" t="s">
        <v>1109</v>
      </c>
      <c r="E64" s="228">
        <v>518332</v>
      </c>
      <c r="F64" s="69">
        <v>14</v>
      </c>
      <c r="G64" s="232" t="s">
        <v>1110</v>
      </c>
      <c r="H64" s="233" t="s">
        <v>856</v>
      </c>
    </row>
    <row r="65" spans="1:8">
      <c r="A65" s="69">
        <v>64</v>
      </c>
      <c r="B65" s="69"/>
      <c r="C65" s="69"/>
      <c r="D65" s="5" t="s">
        <v>1111</v>
      </c>
      <c r="E65" s="228">
        <v>518333</v>
      </c>
      <c r="F65" s="69">
        <v>13</v>
      </c>
      <c r="G65" s="232" t="s">
        <v>1112</v>
      </c>
      <c r="H65" s="233" t="s">
        <v>856</v>
      </c>
    </row>
    <row r="66" spans="1:8">
      <c r="A66" s="69">
        <v>65</v>
      </c>
      <c r="B66" s="234"/>
      <c r="C66" s="234"/>
      <c r="D66" s="235" t="s">
        <v>1113</v>
      </c>
      <c r="E66" s="236">
        <v>518333</v>
      </c>
      <c r="F66" s="234">
        <v>14</v>
      </c>
      <c r="G66" s="237" t="s">
        <v>1114</v>
      </c>
      <c r="H66" s="233" t="s">
        <v>856</v>
      </c>
    </row>
    <row r="67" spans="1:8">
      <c r="A67" s="139">
        <v>66</v>
      </c>
      <c r="B67" s="124" t="s">
        <v>133</v>
      </c>
      <c r="C67" s="69" t="s">
        <v>1020</v>
      </c>
      <c r="D67" s="238" t="s">
        <v>1052</v>
      </c>
      <c r="E67" s="239">
        <v>1824</v>
      </c>
      <c r="F67" s="240">
        <v>1</v>
      </c>
      <c r="G67" s="141" t="s">
        <v>1115</v>
      </c>
      <c r="H67" s="220" t="s">
        <v>1116</v>
      </c>
    </row>
    <row r="68" spans="1:8">
      <c r="A68" s="139">
        <v>67</v>
      </c>
      <c r="B68" s="124" t="s">
        <v>133</v>
      </c>
      <c r="C68" s="69" t="s">
        <v>1020</v>
      </c>
      <c r="D68" s="238" t="s">
        <v>1060</v>
      </c>
      <c r="E68" s="239">
        <v>1810</v>
      </c>
      <c r="F68" s="240">
        <v>12</v>
      </c>
      <c r="G68" s="141" t="s">
        <v>1117</v>
      </c>
      <c r="H68" s="220" t="s">
        <v>1116</v>
      </c>
    </row>
    <row r="69" spans="1:8">
      <c r="A69" s="139">
        <v>68</v>
      </c>
      <c r="B69" s="124" t="s">
        <v>133</v>
      </c>
      <c r="C69" s="69" t="s">
        <v>1020</v>
      </c>
      <c r="D69" s="238" t="s">
        <v>1062</v>
      </c>
      <c r="E69" s="239">
        <v>1810</v>
      </c>
      <c r="F69" s="240">
        <v>13</v>
      </c>
      <c r="G69" s="141" t="s">
        <v>1118</v>
      </c>
      <c r="H69" s="220" t="s">
        <v>1116</v>
      </c>
    </row>
    <row r="70" spans="1:8">
      <c r="A70" s="139">
        <v>69</v>
      </c>
      <c r="B70" s="124" t="s">
        <v>133</v>
      </c>
      <c r="C70" s="69" t="s">
        <v>1020</v>
      </c>
      <c r="D70" s="238" t="s">
        <v>1119</v>
      </c>
      <c r="E70" s="239">
        <v>1810</v>
      </c>
      <c r="F70" s="240">
        <v>14</v>
      </c>
      <c r="G70" s="141" t="s">
        <v>1120</v>
      </c>
      <c r="H70" s="220" t="s">
        <v>1116</v>
      </c>
    </row>
    <row r="71" spans="1:8">
      <c r="A71" s="139">
        <v>70</v>
      </c>
      <c r="B71" s="124" t="s">
        <v>133</v>
      </c>
      <c r="C71" s="69" t="s">
        <v>1020</v>
      </c>
      <c r="D71" s="238" t="s">
        <v>1121</v>
      </c>
      <c r="E71" s="239">
        <v>1810</v>
      </c>
      <c r="F71" s="240">
        <v>4</v>
      </c>
      <c r="G71" s="141" t="s">
        <v>1122</v>
      </c>
      <c r="H71" s="220" t="s">
        <v>1116</v>
      </c>
    </row>
    <row r="72" spans="1:8">
      <c r="A72" s="139">
        <v>71</v>
      </c>
      <c r="B72" s="124" t="s">
        <v>133</v>
      </c>
      <c r="C72" s="69" t="s">
        <v>1020</v>
      </c>
      <c r="D72" s="238" t="s">
        <v>1123</v>
      </c>
      <c r="E72" s="239">
        <v>518332</v>
      </c>
      <c r="F72" s="240">
        <v>11</v>
      </c>
      <c r="G72" s="141" t="s">
        <v>1124</v>
      </c>
      <c r="H72" s="220" t="s">
        <v>1116</v>
      </c>
    </row>
    <row r="73" spans="1:8">
      <c r="A73" s="139">
        <v>72</v>
      </c>
      <c r="B73" s="124" t="s">
        <v>133</v>
      </c>
      <c r="C73" s="69" t="s">
        <v>1020</v>
      </c>
      <c r="D73" s="238" t="s">
        <v>1125</v>
      </c>
      <c r="E73" s="239">
        <v>7670</v>
      </c>
      <c r="F73" s="240">
        <v>6</v>
      </c>
      <c r="G73" s="141" t="s">
        <v>1126</v>
      </c>
      <c r="H73" s="220" t="s">
        <v>1116</v>
      </c>
    </row>
    <row r="74" spans="1:8">
      <c r="A74" s="139">
        <v>73</v>
      </c>
      <c r="B74" s="124" t="s">
        <v>133</v>
      </c>
      <c r="C74" s="69" t="s">
        <v>1020</v>
      </c>
      <c r="D74" s="238" t="s">
        <v>1127</v>
      </c>
      <c r="E74" s="239">
        <v>7670</v>
      </c>
      <c r="F74" s="240">
        <v>7</v>
      </c>
      <c r="G74" s="141" t="s">
        <v>1128</v>
      </c>
      <c r="H74" s="220" t="s">
        <v>1116</v>
      </c>
    </row>
    <row r="75" spans="1:8">
      <c r="A75" s="139">
        <v>74</v>
      </c>
      <c r="B75" s="124" t="s">
        <v>133</v>
      </c>
      <c r="C75" s="69" t="s">
        <v>1020</v>
      </c>
      <c r="D75" s="238" t="s">
        <v>1129</v>
      </c>
      <c r="E75" s="239">
        <v>7670</v>
      </c>
      <c r="F75" s="240">
        <v>8</v>
      </c>
      <c r="G75" s="141" t="s">
        <v>1130</v>
      </c>
      <c r="H75" s="220" t="s">
        <v>1116</v>
      </c>
    </row>
    <row r="76" spans="1:8">
      <c r="A76" s="69"/>
      <c r="B76" s="124" t="s">
        <v>133</v>
      </c>
      <c r="C76" s="69" t="s">
        <v>1020</v>
      </c>
      <c r="D76" s="5" t="s">
        <v>1131</v>
      </c>
      <c r="E76" s="228">
        <v>522110</v>
      </c>
      <c r="F76" s="69">
        <v>5</v>
      </c>
      <c r="G76" s="228" t="s">
        <v>1132</v>
      </c>
      <c r="H76" s="5" t="s">
        <v>329</v>
      </c>
    </row>
    <row r="77" ht="16.5" spans="1:8">
      <c r="A77" s="69"/>
      <c r="B77" s="124" t="s">
        <v>133</v>
      </c>
      <c r="C77" s="69" t="s">
        <v>1020</v>
      </c>
      <c r="D77" s="7" t="s">
        <v>1133</v>
      </c>
      <c r="E77" s="228">
        <v>522111</v>
      </c>
      <c r="F77" s="69">
        <v>8</v>
      </c>
      <c r="G77" s="228" t="s">
        <v>1134</v>
      </c>
      <c r="H77" s="5"/>
    </row>
    <row r="78" ht="16.5" spans="1:8">
      <c r="A78" s="69"/>
      <c r="B78" s="124" t="s">
        <v>133</v>
      </c>
      <c r="C78" s="69" t="s">
        <v>1020</v>
      </c>
      <c r="D78" s="7" t="s">
        <v>1135</v>
      </c>
      <c r="E78" s="228">
        <v>522111</v>
      </c>
      <c r="F78" s="69">
        <v>6</v>
      </c>
      <c r="G78" s="228" t="s">
        <v>1136</v>
      </c>
      <c r="H78" s="5"/>
    </row>
    <row r="79" ht="16.5" spans="1:8">
      <c r="A79" s="69"/>
      <c r="B79" s="124" t="s">
        <v>133</v>
      </c>
      <c r="C79" s="69" t="s">
        <v>1020</v>
      </c>
      <c r="D79" s="7" t="s">
        <v>1137</v>
      </c>
      <c r="E79" s="228">
        <v>522111</v>
      </c>
      <c r="F79" s="69">
        <v>7</v>
      </c>
      <c r="G79" s="228" t="s">
        <v>1138</v>
      </c>
      <c r="H79" s="5"/>
    </row>
    <row r="80" spans="1:8">
      <c r="A80" s="69"/>
      <c r="B80" s="241" t="s">
        <v>124</v>
      </c>
      <c r="C80" s="69" t="s">
        <v>125</v>
      </c>
      <c r="D80" s="5" t="s">
        <v>1139</v>
      </c>
      <c r="E80" s="228">
        <v>522117</v>
      </c>
      <c r="F80" s="69">
        <v>12</v>
      </c>
      <c r="G80" s="228" t="s">
        <v>1140</v>
      </c>
      <c r="H80" s="5" t="s">
        <v>329</v>
      </c>
    </row>
    <row r="81" spans="1:8">
      <c r="A81" s="69"/>
      <c r="B81" s="241" t="s">
        <v>124</v>
      </c>
      <c r="C81" s="69" t="s">
        <v>125</v>
      </c>
      <c r="D81" s="5" t="s">
        <v>1141</v>
      </c>
      <c r="E81" s="228">
        <v>522119</v>
      </c>
      <c r="F81" s="69">
        <v>12</v>
      </c>
      <c r="G81" s="228" t="s">
        <v>1142</v>
      </c>
      <c r="H81" s="5" t="s">
        <v>329</v>
      </c>
    </row>
    <row r="82" spans="1:8">
      <c r="A82" s="69"/>
      <c r="B82" s="69"/>
      <c r="C82" s="69"/>
      <c r="D82" s="5"/>
      <c r="E82" s="228"/>
      <c r="F82" s="69"/>
      <c r="G82" s="69"/>
      <c r="H82" s="5"/>
    </row>
    <row r="83" spans="1:8">
      <c r="A83" s="69"/>
      <c r="B83" s="69"/>
      <c r="C83" s="69"/>
      <c r="D83" s="5"/>
      <c r="E83" s="228"/>
      <c r="F83" s="69"/>
      <c r="G83" s="69"/>
      <c r="H83" s="5"/>
    </row>
    <row r="84" spans="1:8">
      <c r="A84" s="69"/>
      <c r="B84" s="69"/>
      <c r="C84" s="69"/>
      <c r="D84" s="5"/>
      <c r="E84" s="228"/>
      <c r="F84" s="69"/>
      <c r="G84" s="69"/>
      <c r="H84" s="5"/>
    </row>
    <row r="85" spans="1:8">
      <c r="A85" s="69"/>
      <c r="B85" s="69"/>
      <c r="C85" s="69"/>
      <c r="D85" s="5"/>
      <c r="E85" s="228"/>
      <c r="F85" s="69"/>
      <c r="G85" s="69"/>
      <c r="H85" s="5"/>
    </row>
  </sheetData>
  <autoFilter ref="A1:I81">
    <extLst/>
  </autoFilter>
  <pageMargins left="0.7" right="0.7" top="0.75" bottom="0.75" header="0.3" footer="0.3"/>
  <pageSetup paperSize="9"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1"/>
  <sheetViews>
    <sheetView workbookViewId="0">
      <selection activeCell="D26" sqref="D26"/>
    </sheetView>
  </sheetViews>
  <sheetFormatPr defaultColWidth="9" defaultRowHeight="13.5" outlineLevelCol="7"/>
  <cols>
    <col min="1" max="1" width="5.25" style="67" customWidth="1"/>
    <col min="2" max="3" width="9" style="67" customWidth="1"/>
    <col min="4" max="4" width="19.375" style="32" customWidth="1"/>
    <col min="5" max="6" width="9.5" customWidth="1"/>
    <col min="7" max="7" width="35.875" style="32" customWidth="1"/>
    <col min="8" max="8" width="23.75" customWidth="1"/>
    <col min="13" max="13" width="43.875" customWidth="1"/>
  </cols>
  <sheetData>
    <row r="2" ht="20.1" customHeight="1" spans="1:7">
      <c r="A2" s="214" t="s">
        <v>101</v>
      </c>
      <c r="B2" s="214" t="s">
        <v>116</v>
      </c>
      <c r="C2" s="214" t="s">
        <v>117</v>
      </c>
      <c r="D2" s="204" t="s">
        <v>103</v>
      </c>
      <c r="E2" s="204" t="s">
        <v>118</v>
      </c>
      <c r="F2" s="204" t="s">
        <v>119</v>
      </c>
      <c r="G2" s="215" t="s">
        <v>258</v>
      </c>
    </row>
    <row r="3" ht="17.45" customHeight="1" spans="1:7">
      <c r="A3" s="214">
        <v>1</v>
      </c>
      <c r="B3" s="216" t="s">
        <v>133</v>
      </c>
      <c r="C3" s="7" t="s">
        <v>344</v>
      </c>
      <c r="D3" s="217" t="s">
        <v>1143</v>
      </c>
      <c r="E3" s="218">
        <v>521500</v>
      </c>
      <c r="F3" s="218">
        <v>0</v>
      </c>
      <c r="G3" s="206" t="str">
        <f>"DCDC"&amp;":"&amp;D3&amp;"("&amp;E3&amp;","&amp;F3&amp;")"</f>
        <v>DCDC:输出严重过压 (521500,0)</v>
      </c>
    </row>
    <row r="4" ht="17.45" customHeight="1" spans="1:7">
      <c r="A4" s="214">
        <v>2</v>
      </c>
      <c r="B4" s="216" t="s">
        <v>133</v>
      </c>
      <c r="C4" s="7" t="s">
        <v>368</v>
      </c>
      <c r="D4" s="217" t="s">
        <v>1144</v>
      </c>
      <c r="E4" s="218">
        <v>521500</v>
      </c>
      <c r="F4" s="218">
        <v>16</v>
      </c>
      <c r="G4" s="206" t="s">
        <v>1145</v>
      </c>
    </row>
    <row r="5" ht="17.45" customHeight="1" spans="1:7">
      <c r="A5" s="214">
        <v>3</v>
      </c>
      <c r="B5" s="216" t="s">
        <v>133</v>
      </c>
      <c r="C5" s="219" t="s">
        <v>344</v>
      </c>
      <c r="D5" s="217" t="s">
        <v>1146</v>
      </c>
      <c r="E5" s="218">
        <v>521501</v>
      </c>
      <c r="F5" s="218">
        <v>0</v>
      </c>
      <c r="G5" s="206" t="s">
        <v>1147</v>
      </c>
    </row>
    <row r="6" ht="17.45" customHeight="1" spans="1:7">
      <c r="A6" s="214">
        <v>4</v>
      </c>
      <c r="B6" s="216" t="s">
        <v>133</v>
      </c>
      <c r="C6" s="7" t="s">
        <v>344</v>
      </c>
      <c r="D6" s="217" t="s">
        <v>1148</v>
      </c>
      <c r="E6" s="218">
        <v>521502</v>
      </c>
      <c r="F6" s="218">
        <v>7</v>
      </c>
      <c r="G6" s="206" t="s">
        <v>1149</v>
      </c>
    </row>
    <row r="7" ht="17.45" customHeight="1" spans="1:7">
      <c r="A7" s="214">
        <v>5</v>
      </c>
      <c r="B7" s="216" t="s">
        <v>133</v>
      </c>
      <c r="C7" s="7" t="s">
        <v>344</v>
      </c>
      <c r="D7" s="217" t="s">
        <v>1150</v>
      </c>
      <c r="E7" s="218">
        <v>521503</v>
      </c>
      <c r="F7" s="218">
        <v>0</v>
      </c>
      <c r="G7" s="206" t="s">
        <v>1151</v>
      </c>
    </row>
    <row r="8" ht="17.45" customHeight="1" spans="1:7">
      <c r="A8" s="214">
        <v>6</v>
      </c>
      <c r="B8" s="216" t="s">
        <v>133</v>
      </c>
      <c r="C8" s="7" t="s">
        <v>342</v>
      </c>
      <c r="D8" s="217" t="s">
        <v>1152</v>
      </c>
      <c r="E8" s="218">
        <v>521504</v>
      </c>
      <c r="F8" s="218">
        <v>4</v>
      </c>
      <c r="G8" s="206" t="s">
        <v>1153</v>
      </c>
    </row>
    <row r="9" ht="17.45" customHeight="1" spans="1:7">
      <c r="A9" s="214">
        <v>7</v>
      </c>
      <c r="B9" s="216" t="s">
        <v>133</v>
      </c>
      <c r="C9" s="7" t="s">
        <v>353</v>
      </c>
      <c r="D9" s="217" t="s">
        <v>1154</v>
      </c>
      <c r="E9" s="218">
        <v>521505</v>
      </c>
      <c r="F9" s="218">
        <v>3</v>
      </c>
      <c r="G9" s="206" t="s">
        <v>1155</v>
      </c>
    </row>
    <row r="10" ht="17.45" customHeight="1" spans="1:8">
      <c r="A10" s="214">
        <v>8</v>
      </c>
      <c r="B10" s="216" t="s">
        <v>133</v>
      </c>
      <c r="C10" s="7" t="s">
        <v>344</v>
      </c>
      <c r="D10" s="210" t="s">
        <v>1156</v>
      </c>
      <c r="E10" s="211">
        <v>521506</v>
      </c>
      <c r="F10" s="211">
        <v>1</v>
      </c>
      <c r="G10" s="220" t="s">
        <v>1157</v>
      </c>
      <c r="H10" t="s">
        <v>358</v>
      </c>
    </row>
    <row r="11" ht="17.45" customHeight="1" spans="1:8">
      <c r="A11" s="214">
        <v>9</v>
      </c>
      <c r="B11" s="216" t="s">
        <v>133</v>
      </c>
      <c r="C11" s="7" t="s">
        <v>368</v>
      </c>
      <c r="D11" s="210" t="s">
        <v>1158</v>
      </c>
      <c r="E11" s="211">
        <v>521507</v>
      </c>
      <c r="F11" s="211">
        <v>12</v>
      </c>
      <c r="G11" s="220" t="s">
        <v>1159</v>
      </c>
      <c r="H11" t="s">
        <v>358</v>
      </c>
    </row>
    <row r="12" ht="17.45" customHeight="1" spans="1:8">
      <c r="A12" s="214">
        <v>10</v>
      </c>
      <c r="B12" s="216" t="s">
        <v>133</v>
      </c>
      <c r="C12" s="7" t="s">
        <v>344</v>
      </c>
      <c r="D12" s="210" t="s">
        <v>1160</v>
      </c>
      <c r="E12" s="211">
        <v>521508</v>
      </c>
      <c r="F12" s="211">
        <v>11</v>
      </c>
      <c r="G12" s="220" t="s">
        <v>1161</v>
      </c>
      <c r="H12" t="s">
        <v>358</v>
      </c>
    </row>
    <row r="13" ht="17.45" customHeight="1" spans="1:8">
      <c r="A13" s="214">
        <v>11</v>
      </c>
      <c r="B13" s="216" t="s">
        <v>133</v>
      </c>
      <c r="C13" s="7" t="s">
        <v>353</v>
      </c>
      <c r="D13" s="210" t="s">
        <v>1160</v>
      </c>
      <c r="E13" s="211">
        <v>521508</v>
      </c>
      <c r="F13" s="211">
        <v>7</v>
      </c>
      <c r="G13" s="220" t="s">
        <v>1162</v>
      </c>
      <c r="H13" t="s">
        <v>358</v>
      </c>
    </row>
    <row r="14" ht="17.45" customHeight="1" spans="1:8">
      <c r="A14" s="214">
        <v>12</v>
      </c>
      <c r="B14" s="216" t="s">
        <v>133</v>
      </c>
      <c r="C14" s="7" t="s">
        <v>344</v>
      </c>
      <c r="D14" s="210" t="s">
        <v>1163</v>
      </c>
      <c r="E14" s="211">
        <v>521509</v>
      </c>
      <c r="F14" s="211">
        <v>1</v>
      </c>
      <c r="G14" s="220" t="s">
        <v>1164</v>
      </c>
      <c r="H14" t="s">
        <v>358</v>
      </c>
    </row>
    <row r="15" ht="17.45" customHeight="1" spans="1:8">
      <c r="A15" s="214">
        <v>13</v>
      </c>
      <c r="B15" s="216" t="s">
        <v>133</v>
      </c>
      <c r="C15" s="7" t="s">
        <v>344</v>
      </c>
      <c r="D15" s="210" t="s">
        <v>1165</v>
      </c>
      <c r="E15" s="211">
        <v>521509</v>
      </c>
      <c r="F15" s="211">
        <v>0</v>
      </c>
      <c r="G15" s="220" t="s">
        <v>1166</v>
      </c>
      <c r="H15" t="s">
        <v>358</v>
      </c>
    </row>
    <row r="16" ht="17.45" customHeight="1" spans="1:8">
      <c r="A16" s="214">
        <v>14</v>
      </c>
      <c r="B16" s="216" t="s">
        <v>133</v>
      </c>
      <c r="C16" s="7" t="s">
        <v>344</v>
      </c>
      <c r="D16" s="210" t="s">
        <v>1167</v>
      </c>
      <c r="E16" s="211">
        <v>521510</v>
      </c>
      <c r="F16" s="211">
        <v>0</v>
      </c>
      <c r="G16" s="220" t="s">
        <v>1168</v>
      </c>
      <c r="H16" t="s">
        <v>358</v>
      </c>
    </row>
    <row r="17" ht="17.45" customHeight="1" spans="1:8">
      <c r="A17" s="214">
        <v>15</v>
      </c>
      <c r="B17" s="216" t="s">
        <v>133</v>
      </c>
      <c r="C17" s="7" t="s">
        <v>344</v>
      </c>
      <c r="D17" s="210" t="s">
        <v>1169</v>
      </c>
      <c r="E17" s="211">
        <v>521511</v>
      </c>
      <c r="F17" s="211">
        <v>0</v>
      </c>
      <c r="G17" s="220" t="s">
        <v>1170</v>
      </c>
      <c r="H17" t="s">
        <v>358</v>
      </c>
    </row>
    <row r="18" ht="17.45" customHeight="1" spans="1:8">
      <c r="A18" s="214">
        <v>16</v>
      </c>
      <c r="B18" s="216" t="s">
        <v>133</v>
      </c>
      <c r="C18" s="7" t="s">
        <v>342</v>
      </c>
      <c r="D18" s="210" t="s">
        <v>1171</v>
      </c>
      <c r="E18" s="211">
        <v>521512</v>
      </c>
      <c r="F18" s="211">
        <v>0</v>
      </c>
      <c r="G18" s="220" t="s">
        <v>1172</v>
      </c>
      <c r="H18" t="s">
        <v>358</v>
      </c>
    </row>
    <row r="19" ht="17.45" customHeight="1" spans="1:8">
      <c r="A19" s="214">
        <v>17</v>
      </c>
      <c r="B19" s="216" t="s">
        <v>133</v>
      </c>
      <c r="C19" s="7" t="s">
        <v>342</v>
      </c>
      <c r="D19" s="211" t="s">
        <v>974</v>
      </c>
      <c r="E19" s="211">
        <v>521513</v>
      </c>
      <c r="F19" s="211">
        <v>12</v>
      </c>
      <c r="G19" s="220" t="s">
        <v>1173</v>
      </c>
      <c r="H19" t="s">
        <v>358</v>
      </c>
    </row>
    <row r="20" ht="17.45" customHeight="1" spans="1:8">
      <c r="A20" s="214">
        <v>18</v>
      </c>
      <c r="B20" s="216" t="s">
        <v>133</v>
      </c>
      <c r="C20" s="7" t="s">
        <v>368</v>
      </c>
      <c r="D20" s="210" t="s">
        <v>1174</v>
      </c>
      <c r="E20" s="211">
        <v>521514</v>
      </c>
      <c r="F20" s="211">
        <v>16</v>
      </c>
      <c r="G20" s="220" t="s">
        <v>1175</v>
      </c>
      <c r="H20" t="s">
        <v>358</v>
      </c>
    </row>
    <row r="21" ht="17.45" customHeight="1" spans="1:8">
      <c r="A21" s="214">
        <v>19</v>
      </c>
      <c r="B21" s="216" t="s">
        <v>133</v>
      </c>
      <c r="C21" s="7" t="s">
        <v>342</v>
      </c>
      <c r="D21" s="210" t="s">
        <v>1176</v>
      </c>
      <c r="E21" s="211">
        <v>521515</v>
      </c>
      <c r="F21" s="211">
        <v>7</v>
      </c>
      <c r="G21" s="220" t="s">
        <v>1177</v>
      </c>
      <c r="H21" t="s">
        <v>358</v>
      </c>
    </row>
  </sheetData>
  <pageMargins left="0.7" right="0.7" top="0.75" bottom="0.75" header="0.3" footer="0.3"/>
  <pageSetup paperSize="9" orientation="portrait"/>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workbookViewId="0">
      <selection activeCell="B21" sqref="B21"/>
    </sheetView>
  </sheetViews>
  <sheetFormatPr defaultColWidth="9" defaultRowHeight="13.5" outlineLevelCol="7"/>
  <cols>
    <col min="1" max="1" width="5.25" style="67" customWidth="1"/>
    <col min="2" max="3" width="9" style="67" customWidth="1"/>
    <col min="4" max="4" width="23.625" style="32" customWidth="1"/>
    <col min="5" max="6" width="9.5" customWidth="1"/>
    <col min="7" max="7" width="56.25" customWidth="1"/>
    <col min="8" max="8" width="37.75" customWidth="1"/>
  </cols>
  <sheetData>
    <row r="1" ht="20.1" customHeight="1" spans="1:6">
      <c r="A1" s="203"/>
      <c r="B1" s="203"/>
      <c r="C1" s="203"/>
      <c r="D1" s="34"/>
      <c r="E1" s="35"/>
      <c r="F1" s="35"/>
    </row>
    <row r="2" ht="18.6" customHeight="1" spans="1:7">
      <c r="A2" s="96" t="s">
        <v>101</v>
      </c>
      <c r="B2" s="96" t="s">
        <v>116</v>
      </c>
      <c r="C2" s="96" t="s">
        <v>117</v>
      </c>
      <c r="D2" s="204" t="s">
        <v>103</v>
      </c>
      <c r="E2" s="204" t="s">
        <v>118</v>
      </c>
      <c r="F2" s="204" t="s">
        <v>119</v>
      </c>
      <c r="G2" s="205" t="s">
        <v>258</v>
      </c>
    </row>
    <row r="3" ht="18" customHeight="1" spans="1:7">
      <c r="A3" s="96">
        <v>1</v>
      </c>
      <c r="B3" s="119" t="s">
        <v>124</v>
      </c>
      <c r="C3" s="98" t="s">
        <v>342</v>
      </c>
      <c r="D3" s="206" t="s">
        <v>1178</v>
      </c>
      <c r="E3" s="204">
        <v>521550</v>
      </c>
      <c r="F3" s="204">
        <v>3</v>
      </c>
      <c r="G3" s="5" t="str">
        <f>"PDU"&amp;":"&amp;D3&amp;"("&amp;E3&amp;","&amp;F3&amp;")"</f>
        <v>PDU:输出短路(521550,3)</v>
      </c>
    </row>
    <row r="4" ht="18" customHeight="1" spans="1:7">
      <c r="A4" s="96">
        <v>2</v>
      </c>
      <c r="B4" s="119" t="s">
        <v>124</v>
      </c>
      <c r="C4" s="98"/>
      <c r="D4" s="206" t="s">
        <v>1179</v>
      </c>
      <c r="E4" s="204">
        <v>521551</v>
      </c>
      <c r="F4" s="204">
        <v>15</v>
      </c>
      <c r="G4" s="5" t="str">
        <f t="shared" ref="G4:G31" si="0">"PDU"&amp;":"&amp;D4&amp;"("&amp;E4&amp;","&amp;F4&amp;")"</f>
        <v>PDU:负载电容过大(521551,15)</v>
      </c>
    </row>
    <row r="5" ht="18" customHeight="1" spans="1:7">
      <c r="A5" s="96">
        <v>3</v>
      </c>
      <c r="B5" s="119" t="s">
        <v>124</v>
      </c>
      <c r="C5" s="98" t="s">
        <v>342</v>
      </c>
      <c r="D5" s="206" t="s">
        <v>1180</v>
      </c>
      <c r="E5" s="204">
        <v>521552</v>
      </c>
      <c r="F5" s="204">
        <v>5</v>
      </c>
      <c r="G5" s="5" t="str">
        <f t="shared" si="0"/>
        <v>PDU:外部输入高压失电超过3S(521552,5)</v>
      </c>
    </row>
    <row r="6" ht="18" customHeight="1" spans="1:7">
      <c r="A6" s="96">
        <v>4</v>
      </c>
      <c r="B6" s="119" t="s">
        <v>124</v>
      </c>
      <c r="C6" s="98"/>
      <c r="D6" s="206" t="s">
        <v>1181</v>
      </c>
      <c r="E6" s="204">
        <v>521553</v>
      </c>
      <c r="F6" s="204">
        <v>15</v>
      </c>
      <c r="G6" s="5" t="str">
        <f t="shared" si="0"/>
        <v>PDU:预充高压压差过大(521553,15)</v>
      </c>
    </row>
    <row r="7" ht="18" customHeight="1" spans="1:8">
      <c r="A7" s="96">
        <v>5</v>
      </c>
      <c r="B7" s="119" t="s">
        <v>124</v>
      </c>
      <c r="C7" s="98"/>
      <c r="D7" s="207" t="s">
        <v>1182</v>
      </c>
      <c r="E7" s="208">
        <v>521554</v>
      </c>
      <c r="F7" s="208">
        <v>31</v>
      </c>
      <c r="G7" s="209" t="str">
        <f t="shared" si="0"/>
        <v>PDU:预充失败(521554,31)</v>
      </c>
      <c r="H7" t="s">
        <v>1183</v>
      </c>
    </row>
    <row r="8" ht="18" customHeight="1" spans="1:8">
      <c r="A8" s="96">
        <v>6</v>
      </c>
      <c r="B8" s="119" t="s">
        <v>124</v>
      </c>
      <c r="C8" s="98"/>
      <c r="D8" s="210" t="s">
        <v>1184</v>
      </c>
      <c r="E8" s="211">
        <v>521554</v>
      </c>
      <c r="F8" s="211">
        <v>31</v>
      </c>
      <c r="G8" s="212" t="str">
        <f t="shared" si="0"/>
        <v>PDU:主驱接触器预充失败 (521554,31)</v>
      </c>
      <c r="H8" t="s">
        <v>358</v>
      </c>
    </row>
    <row r="9" ht="18" customHeight="1" spans="1:8">
      <c r="A9" s="96">
        <v>7</v>
      </c>
      <c r="B9" s="119" t="s">
        <v>124</v>
      </c>
      <c r="C9" s="98"/>
      <c r="D9" s="210" t="s">
        <v>1185</v>
      </c>
      <c r="E9" s="211">
        <v>521554</v>
      </c>
      <c r="F9" s="211">
        <v>30</v>
      </c>
      <c r="G9" s="212" t="str">
        <f t="shared" si="0"/>
        <v>PDU:辅驱接触器预充失败(521554,30)</v>
      </c>
      <c r="H9" t="s">
        <v>358</v>
      </c>
    </row>
    <row r="10" ht="18" customHeight="1" spans="1:8">
      <c r="A10" s="96">
        <v>8</v>
      </c>
      <c r="B10" s="119" t="s">
        <v>124</v>
      </c>
      <c r="C10" s="98"/>
      <c r="D10" s="210" t="s">
        <v>1186</v>
      </c>
      <c r="E10" s="211">
        <v>521554</v>
      </c>
      <c r="F10" s="211">
        <v>29</v>
      </c>
      <c r="G10" s="212" t="str">
        <f t="shared" si="0"/>
        <v>PDU:上装接触器预充失败(521554,29)</v>
      </c>
      <c r="H10" t="s">
        <v>358</v>
      </c>
    </row>
    <row r="11" ht="18" customHeight="1" spans="1:7">
      <c r="A11" s="96">
        <v>9</v>
      </c>
      <c r="B11" s="102" t="s">
        <v>122</v>
      </c>
      <c r="C11" s="98"/>
      <c r="D11" s="206" t="s">
        <v>1187</v>
      </c>
      <c r="E11" s="204">
        <v>521555</v>
      </c>
      <c r="F11" s="204">
        <v>2</v>
      </c>
      <c r="G11" s="5" t="str">
        <f t="shared" si="0"/>
        <v>PDU:MCU欠压复位(521555,2)</v>
      </c>
    </row>
    <row r="12" ht="18" customHeight="1" spans="1:8">
      <c r="A12" s="96">
        <v>10</v>
      </c>
      <c r="B12" s="119" t="s">
        <v>124</v>
      </c>
      <c r="C12" s="98" t="s">
        <v>353</v>
      </c>
      <c r="D12" s="210" t="s">
        <v>371</v>
      </c>
      <c r="E12" s="211">
        <v>521555</v>
      </c>
      <c r="F12" s="211">
        <v>1</v>
      </c>
      <c r="G12" s="212" t="str">
        <f t="shared" si="0"/>
        <v>PDU:辅助电源欠压(521555,1)</v>
      </c>
      <c r="H12" t="s">
        <v>358</v>
      </c>
    </row>
    <row r="13" ht="18" customHeight="1" spans="1:8">
      <c r="A13" s="96">
        <v>11</v>
      </c>
      <c r="B13" s="119" t="s">
        <v>124</v>
      </c>
      <c r="C13" s="213" t="s">
        <v>1188</v>
      </c>
      <c r="D13" s="210" t="s">
        <v>372</v>
      </c>
      <c r="E13" s="211">
        <v>521555</v>
      </c>
      <c r="F13" s="211">
        <v>16</v>
      </c>
      <c r="G13" s="212" t="str">
        <f t="shared" si="0"/>
        <v>PDU:辅助电源过压(521555,16)</v>
      </c>
      <c r="H13" t="s">
        <v>358</v>
      </c>
    </row>
    <row r="14" ht="18" customHeight="1" spans="1:7">
      <c r="A14" s="96">
        <v>12</v>
      </c>
      <c r="B14" s="119" t="s">
        <v>124</v>
      </c>
      <c r="C14" s="213" t="s">
        <v>368</v>
      </c>
      <c r="D14" s="206" t="s">
        <v>1189</v>
      </c>
      <c r="E14" s="204">
        <v>521555</v>
      </c>
      <c r="F14" s="204">
        <v>5</v>
      </c>
      <c r="G14" s="5" t="str">
        <f t="shared" si="0"/>
        <v>PDU:低压电控制失电(521555,5)</v>
      </c>
    </row>
    <row r="15" ht="18" customHeight="1" spans="1:7">
      <c r="A15" s="96">
        <v>13</v>
      </c>
      <c r="B15" s="102" t="s">
        <v>122</v>
      </c>
      <c r="C15" s="98"/>
      <c r="D15" s="206" t="s">
        <v>1190</v>
      </c>
      <c r="E15" s="204">
        <v>521556</v>
      </c>
      <c r="F15" s="204">
        <v>31</v>
      </c>
      <c r="G15" s="5" t="str">
        <f t="shared" si="0"/>
        <v>PDU:曾有禁止信号(521556,31)</v>
      </c>
    </row>
    <row r="16" ht="18" customHeight="1" spans="1:7">
      <c r="A16" s="96">
        <v>14</v>
      </c>
      <c r="B16" s="119" t="s">
        <v>124</v>
      </c>
      <c r="C16" s="213" t="s">
        <v>342</v>
      </c>
      <c r="D16" s="206" t="s">
        <v>1191</v>
      </c>
      <c r="E16" s="204">
        <v>521557</v>
      </c>
      <c r="F16" s="204">
        <v>1</v>
      </c>
      <c r="G16" s="5" t="str">
        <f t="shared" si="0"/>
        <v>PDU:高压输入异常(521557,1)</v>
      </c>
    </row>
    <row r="17" ht="18" customHeight="1" spans="1:7">
      <c r="A17" s="96">
        <v>15</v>
      </c>
      <c r="B17" s="119" t="s">
        <v>124</v>
      </c>
      <c r="C17" s="213" t="s">
        <v>342</v>
      </c>
      <c r="D17" s="206" t="s">
        <v>1192</v>
      </c>
      <c r="E17" s="204">
        <v>521558</v>
      </c>
      <c r="F17" s="204">
        <v>3</v>
      </c>
      <c r="G17" s="5" t="str">
        <f t="shared" si="0"/>
        <v>PDU:主接触器无法断开(521558,3)</v>
      </c>
    </row>
    <row r="18" ht="18" customHeight="1" spans="1:7">
      <c r="A18" s="96">
        <v>16</v>
      </c>
      <c r="B18" s="119" t="s">
        <v>124</v>
      </c>
      <c r="C18" s="213" t="s">
        <v>342</v>
      </c>
      <c r="D18" s="206" t="s">
        <v>1193</v>
      </c>
      <c r="E18" s="204">
        <v>521558</v>
      </c>
      <c r="F18" s="204">
        <v>5</v>
      </c>
      <c r="G18" s="5" t="str">
        <f t="shared" si="0"/>
        <v>PDU:主接触器无法闭合(521558,5)</v>
      </c>
    </row>
    <row r="19" ht="18" customHeight="1" spans="1:8">
      <c r="A19" s="96">
        <v>17</v>
      </c>
      <c r="B19" s="119" t="s">
        <v>124</v>
      </c>
      <c r="C19" s="213" t="s">
        <v>342</v>
      </c>
      <c r="D19" s="206" t="s">
        <v>1194</v>
      </c>
      <c r="E19" s="204">
        <v>521559</v>
      </c>
      <c r="F19" s="204">
        <v>3</v>
      </c>
      <c r="G19" s="5" t="str">
        <f t="shared" si="0"/>
        <v>PDU:辅驱接触器无法断开 (521559,3)</v>
      </c>
      <c r="H19" t="s">
        <v>1195</v>
      </c>
    </row>
    <row r="20" ht="18" customHeight="1" spans="1:8">
      <c r="A20" s="96">
        <v>18</v>
      </c>
      <c r="B20" s="119" t="s">
        <v>124</v>
      </c>
      <c r="C20" s="213" t="s">
        <v>342</v>
      </c>
      <c r="D20" s="206" t="s">
        <v>1196</v>
      </c>
      <c r="E20" s="204">
        <v>521559</v>
      </c>
      <c r="F20" s="204">
        <v>5</v>
      </c>
      <c r="G20" s="5" t="str">
        <f t="shared" si="0"/>
        <v>PDU:辅驱接触器无法闭合(521559,5)</v>
      </c>
      <c r="H20" t="s">
        <v>1195</v>
      </c>
    </row>
    <row r="21" ht="18" customHeight="1" spans="1:8">
      <c r="A21" s="96">
        <v>19</v>
      </c>
      <c r="B21" s="119" t="s">
        <v>124</v>
      </c>
      <c r="C21" s="213" t="s">
        <v>342</v>
      </c>
      <c r="D21" s="206" t="s">
        <v>330</v>
      </c>
      <c r="E21" s="204">
        <v>521560</v>
      </c>
      <c r="F21" s="204">
        <v>0</v>
      </c>
      <c r="G21" s="5" t="str">
        <f t="shared" si="0"/>
        <v>PDU:输入欠压(521560,0)</v>
      </c>
      <c r="H21" t="s">
        <v>1195</v>
      </c>
    </row>
    <row r="22" ht="18" customHeight="1" spans="1:8">
      <c r="A22" s="96">
        <v>20</v>
      </c>
      <c r="B22" s="119" t="s">
        <v>124</v>
      </c>
      <c r="C22" s="213" t="s">
        <v>342</v>
      </c>
      <c r="D22" s="206" t="s">
        <v>332</v>
      </c>
      <c r="E22" s="204">
        <v>521561</v>
      </c>
      <c r="F22" s="204">
        <v>0</v>
      </c>
      <c r="G22" s="5" t="str">
        <f t="shared" si="0"/>
        <v>PDU:输入过压(521561,0)</v>
      </c>
      <c r="H22" t="s">
        <v>1195</v>
      </c>
    </row>
    <row r="23" ht="18" customHeight="1" spans="1:8">
      <c r="A23" s="96">
        <v>21</v>
      </c>
      <c r="B23" s="119" t="s">
        <v>124</v>
      </c>
      <c r="C23" s="213" t="s">
        <v>344</v>
      </c>
      <c r="D23" s="206" t="s">
        <v>1197</v>
      </c>
      <c r="E23" s="204">
        <v>521562</v>
      </c>
      <c r="F23" s="204">
        <v>23</v>
      </c>
      <c r="G23" s="5" t="str">
        <f t="shared" si="0"/>
        <v>PDU:通讯故障 (521562,23)</v>
      </c>
      <c r="H23" t="s">
        <v>1195</v>
      </c>
    </row>
    <row r="24" ht="18" customHeight="1" spans="1:8">
      <c r="A24" s="96">
        <v>22</v>
      </c>
      <c r="B24" s="119" t="s">
        <v>124</v>
      </c>
      <c r="C24" s="213" t="s">
        <v>344</v>
      </c>
      <c r="D24" s="206" t="s">
        <v>1198</v>
      </c>
      <c r="E24" s="204">
        <v>521563</v>
      </c>
      <c r="F24" s="204">
        <v>3</v>
      </c>
      <c r="G24" s="5" t="str">
        <f t="shared" si="0"/>
        <v>PDU:其他接触器粘连 (521563,3)</v>
      </c>
      <c r="H24" t="s">
        <v>1195</v>
      </c>
    </row>
    <row r="25" ht="18" customHeight="1" spans="1:8">
      <c r="A25" s="96">
        <v>23</v>
      </c>
      <c r="B25" s="97" t="s">
        <v>133</v>
      </c>
      <c r="C25" s="213" t="s">
        <v>353</v>
      </c>
      <c r="D25" s="206" t="s">
        <v>1199</v>
      </c>
      <c r="E25" s="204">
        <v>521564</v>
      </c>
      <c r="F25" s="204">
        <v>2</v>
      </c>
      <c r="G25" s="5" t="str">
        <f t="shared" si="0"/>
        <v>PDU:上装用电硬线请求丢失(521564,2)</v>
      </c>
      <c r="H25" t="s">
        <v>1195</v>
      </c>
    </row>
    <row r="26" ht="18" customHeight="1" spans="1:8">
      <c r="A26" s="96">
        <v>24</v>
      </c>
      <c r="B26" s="119" t="s">
        <v>124</v>
      </c>
      <c r="C26" s="213" t="s">
        <v>342</v>
      </c>
      <c r="D26" s="211" t="s">
        <v>974</v>
      </c>
      <c r="E26" s="211">
        <v>521565</v>
      </c>
      <c r="F26" s="211">
        <v>12</v>
      </c>
      <c r="G26" s="212" t="str">
        <f t="shared" si="0"/>
        <v>PDU:EEPROM故障(521565,12)</v>
      </c>
      <c r="H26" t="s">
        <v>358</v>
      </c>
    </row>
    <row r="27" ht="18" customHeight="1" spans="1:8">
      <c r="A27" s="96">
        <v>25</v>
      </c>
      <c r="B27" s="119" t="s">
        <v>124</v>
      </c>
      <c r="C27" s="213" t="s">
        <v>342</v>
      </c>
      <c r="D27" s="210" t="s">
        <v>1200</v>
      </c>
      <c r="E27" s="211">
        <v>521566</v>
      </c>
      <c r="F27" s="211">
        <v>0</v>
      </c>
      <c r="G27" s="212" t="str">
        <f t="shared" si="0"/>
        <v>PDU:初始化故障(521566,0)</v>
      </c>
      <c r="H27" t="s">
        <v>358</v>
      </c>
    </row>
    <row r="28" ht="18" customHeight="1" spans="1:8">
      <c r="A28" s="96">
        <v>26</v>
      </c>
      <c r="B28" s="119" t="s">
        <v>124</v>
      </c>
      <c r="C28" s="213" t="s">
        <v>342</v>
      </c>
      <c r="D28" s="210" t="s">
        <v>1201</v>
      </c>
      <c r="E28" s="211">
        <v>521567</v>
      </c>
      <c r="F28" s="211">
        <v>0</v>
      </c>
      <c r="G28" s="212" t="str">
        <f t="shared" si="0"/>
        <v>PDU:主驱回路带转速上电故障(521567,0)</v>
      </c>
      <c r="H28" t="s">
        <v>358</v>
      </c>
    </row>
    <row r="29" ht="18" customHeight="1" spans="1:8">
      <c r="A29" s="96">
        <v>27</v>
      </c>
      <c r="B29" s="119" t="s">
        <v>124</v>
      </c>
      <c r="C29" s="213" t="s">
        <v>342</v>
      </c>
      <c r="D29" s="210" t="s">
        <v>1202</v>
      </c>
      <c r="E29" s="211">
        <v>521568</v>
      </c>
      <c r="F29" s="211">
        <v>20</v>
      </c>
      <c r="G29" s="212" t="str">
        <f t="shared" si="0"/>
        <v>PDU:主驱回路上电反向压差大(521568,20)</v>
      </c>
      <c r="H29" t="s">
        <v>358</v>
      </c>
    </row>
    <row r="30" ht="18" customHeight="1" spans="1:8">
      <c r="A30" s="96">
        <v>28</v>
      </c>
      <c r="B30" s="119" t="s">
        <v>124</v>
      </c>
      <c r="C30" s="213" t="s">
        <v>342</v>
      </c>
      <c r="D30" s="210" t="s">
        <v>1203</v>
      </c>
      <c r="E30" s="211">
        <v>521568</v>
      </c>
      <c r="F30" s="211">
        <v>21</v>
      </c>
      <c r="G30" s="212" t="str">
        <f t="shared" si="0"/>
        <v>PDU:辅驱回路上电反向压差大(521568,21)</v>
      </c>
      <c r="H30" t="s">
        <v>358</v>
      </c>
    </row>
    <row r="31" ht="18" customHeight="1" spans="1:8">
      <c r="A31" s="96">
        <v>29</v>
      </c>
      <c r="B31" s="119" t="s">
        <v>124</v>
      </c>
      <c r="C31" s="213" t="s">
        <v>342</v>
      </c>
      <c r="D31" s="210" t="s">
        <v>1204</v>
      </c>
      <c r="E31" s="211">
        <v>521568</v>
      </c>
      <c r="F31" s="211">
        <v>22</v>
      </c>
      <c r="G31" s="212" t="str">
        <f t="shared" si="0"/>
        <v>PDU:上装回路上电反向压差大(521568,22)</v>
      </c>
      <c r="H31" t="s">
        <v>358</v>
      </c>
    </row>
    <row r="32" ht="18" customHeight="1"/>
  </sheetData>
  <pageMargins left="0.7" right="0.7" top="0.75" bottom="0.75" header="0.3" footer="0.3"/>
  <pageSetup paperSize="9" orientation="portrait"/>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26"/>
  <sheetViews>
    <sheetView zoomScale="90" zoomScaleNormal="90" workbookViewId="0">
      <pane xSplit="1" ySplit="1" topLeftCell="B212" activePane="bottomRight" state="frozen"/>
      <selection/>
      <selection pane="topRight"/>
      <selection pane="bottomLeft"/>
      <selection pane="bottomRight" activeCell="L253" sqref="L253"/>
    </sheetView>
  </sheetViews>
  <sheetFormatPr defaultColWidth="9" defaultRowHeight="13.5" outlineLevelCol="3"/>
  <cols>
    <col min="1" max="1" width="4.5" style="41" customWidth="1"/>
    <col min="2" max="2" width="63.25" style="194" customWidth="1"/>
    <col min="3" max="4" width="8.5" style="41" customWidth="1"/>
    <col min="5" max="5" width="37.875" style="41" customWidth="1"/>
    <col min="6" max="16384" width="9" style="41"/>
  </cols>
  <sheetData>
    <row r="1" ht="14.25" spans="1:4">
      <c r="A1" s="195" t="s">
        <v>101</v>
      </c>
      <c r="B1" s="195" t="s">
        <v>375</v>
      </c>
      <c r="C1" s="196" t="s">
        <v>104</v>
      </c>
      <c r="D1" s="196" t="s">
        <v>105</v>
      </c>
    </row>
    <row r="2" ht="42.95" customHeight="1" spans="1:4">
      <c r="A2" s="197">
        <v>1</v>
      </c>
      <c r="B2" s="198" t="s">
        <v>1205</v>
      </c>
      <c r="C2" s="197">
        <v>168</v>
      </c>
      <c r="D2" s="197">
        <v>3</v>
      </c>
    </row>
    <row r="3" ht="42.95" customHeight="1" spans="1:4">
      <c r="A3" s="197">
        <v>2</v>
      </c>
      <c r="B3" s="199" t="s">
        <v>1206</v>
      </c>
      <c r="C3" s="197">
        <v>168</v>
      </c>
      <c r="D3" s="197">
        <v>4</v>
      </c>
    </row>
    <row r="4" ht="14.25" spans="1:4">
      <c r="A4" s="197">
        <v>3</v>
      </c>
      <c r="B4" s="199" t="s">
        <v>1207</v>
      </c>
      <c r="C4" s="197">
        <v>564</v>
      </c>
      <c r="D4" s="197">
        <v>3</v>
      </c>
    </row>
    <row r="5" ht="14.25" spans="1:4">
      <c r="A5" s="197">
        <v>4</v>
      </c>
      <c r="B5" s="199" t="s">
        <v>1208</v>
      </c>
      <c r="C5" s="197">
        <v>564</v>
      </c>
      <c r="D5" s="197">
        <v>4</v>
      </c>
    </row>
    <row r="6" ht="42.95" customHeight="1" spans="1:4">
      <c r="A6" s="197">
        <v>5</v>
      </c>
      <c r="B6" s="199" t="s">
        <v>1209</v>
      </c>
      <c r="C6" s="197">
        <v>564</v>
      </c>
      <c r="D6" s="197">
        <v>5</v>
      </c>
    </row>
    <row r="7" ht="42.95" customHeight="1" spans="1:4">
      <c r="A7" s="197">
        <v>6</v>
      </c>
      <c r="B7" s="199" t="s">
        <v>1210</v>
      </c>
      <c r="C7" s="197">
        <v>575</v>
      </c>
      <c r="D7" s="197">
        <v>14</v>
      </c>
    </row>
    <row r="8" ht="42.95" customHeight="1" spans="1:4">
      <c r="A8" s="197">
        <v>7</v>
      </c>
      <c r="B8" s="199" t="s">
        <v>1211</v>
      </c>
      <c r="C8" s="197">
        <v>576</v>
      </c>
      <c r="D8" s="197">
        <v>14</v>
      </c>
    </row>
    <row r="9" ht="42.95" customHeight="1" spans="1:4">
      <c r="A9" s="197">
        <v>8</v>
      </c>
      <c r="B9" s="199" t="s">
        <v>1212</v>
      </c>
      <c r="C9" s="197">
        <v>609</v>
      </c>
      <c r="D9" s="197">
        <v>2</v>
      </c>
    </row>
    <row r="10" ht="42.95" customHeight="1" spans="1:4">
      <c r="A10" s="197">
        <v>9</v>
      </c>
      <c r="B10" s="199" t="s">
        <v>1213</v>
      </c>
      <c r="C10" s="197">
        <v>609</v>
      </c>
      <c r="D10" s="197">
        <v>11</v>
      </c>
    </row>
    <row r="11" ht="14.25" spans="1:4">
      <c r="A11" s="197">
        <v>10</v>
      </c>
      <c r="B11" s="199" t="s">
        <v>1214</v>
      </c>
      <c r="C11" s="197">
        <v>609</v>
      </c>
      <c r="D11" s="197">
        <v>14</v>
      </c>
    </row>
    <row r="12" ht="14.25" spans="1:4">
      <c r="A12" s="197">
        <v>11</v>
      </c>
      <c r="B12" s="199" t="s">
        <v>1215</v>
      </c>
      <c r="C12" s="197">
        <v>612</v>
      </c>
      <c r="D12" s="197">
        <v>14</v>
      </c>
    </row>
    <row r="13" ht="42.95" customHeight="1" spans="1:4">
      <c r="A13" s="197">
        <v>12</v>
      </c>
      <c r="B13" s="199" t="s">
        <v>1216</v>
      </c>
      <c r="C13" s="197">
        <v>629</v>
      </c>
      <c r="D13" s="197">
        <v>2</v>
      </c>
    </row>
    <row r="14" ht="42.95" customHeight="1" spans="1:4">
      <c r="A14" s="197">
        <v>13</v>
      </c>
      <c r="B14" s="199" t="s">
        <v>1217</v>
      </c>
      <c r="C14" s="197">
        <v>629</v>
      </c>
      <c r="D14" s="197">
        <v>3</v>
      </c>
    </row>
    <row r="15" ht="42.95" customHeight="1" spans="1:4">
      <c r="A15" s="197">
        <v>14</v>
      </c>
      <c r="B15" s="199" t="s">
        <v>1218</v>
      </c>
      <c r="C15" s="197">
        <v>629</v>
      </c>
      <c r="D15" s="197">
        <v>7</v>
      </c>
    </row>
    <row r="16" ht="14.25" spans="1:4">
      <c r="A16" s="197">
        <v>15</v>
      </c>
      <c r="B16" s="199" t="s">
        <v>1219</v>
      </c>
      <c r="C16" s="197">
        <v>629</v>
      </c>
      <c r="D16" s="197">
        <v>8</v>
      </c>
    </row>
    <row r="17" ht="42.95" customHeight="1" spans="1:4">
      <c r="A17" s="197">
        <v>16</v>
      </c>
      <c r="B17" s="199" t="s">
        <v>1220</v>
      </c>
      <c r="C17" s="197">
        <v>629</v>
      </c>
      <c r="D17" s="197">
        <v>11</v>
      </c>
    </row>
    <row r="18" ht="42.95" customHeight="1" spans="1:4">
      <c r="A18" s="197">
        <v>17</v>
      </c>
      <c r="B18" s="199" t="s">
        <v>1221</v>
      </c>
      <c r="C18" s="197">
        <v>629</v>
      </c>
      <c r="D18" s="197">
        <v>12</v>
      </c>
    </row>
    <row r="19" ht="42.95" customHeight="1" spans="1:4">
      <c r="A19" s="197">
        <v>18</v>
      </c>
      <c r="B19" s="199" t="s">
        <v>1222</v>
      </c>
      <c r="C19" s="197">
        <v>629</v>
      </c>
      <c r="D19" s="197">
        <v>13</v>
      </c>
    </row>
    <row r="20" ht="42.95" customHeight="1" spans="1:4">
      <c r="A20" s="197">
        <v>19</v>
      </c>
      <c r="B20" s="199" t="s">
        <v>1223</v>
      </c>
      <c r="C20" s="197">
        <v>629</v>
      </c>
      <c r="D20" s="197">
        <v>14</v>
      </c>
    </row>
    <row r="21" ht="42.95" customHeight="1" spans="1:4">
      <c r="A21" s="197">
        <v>20</v>
      </c>
      <c r="B21" s="199" t="s">
        <v>1224</v>
      </c>
      <c r="C21" s="197">
        <v>630</v>
      </c>
      <c r="D21" s="197">
        <v>11</v>
      </c>
    </row>
    <row r="22" ht="42.95" customHeight="1" spans="1:4">
      <c r="A22" s="197">
        <v>21</v>
      </c>
      <c r="B22" s="199" t="s">
        <v>1225</v>
      </c>
      <c r="C22" s="197">
        <v>630</v>
      </c>
      <c r="D22" s="197">
        <v>12</v>
      </c>
    </row>
    <row r="23" ht="42.95" customHeight="1" spans="1:4">
      <c r="A23" s="197">
        <v>22</v>
      </c>
      <c r="B23" s="199" t="s">
        <v>1226</v>
      </c>
      <c r="C23" s="197">
        <v>630</v>
      </c>
      <c r="D23" s="197">
        <v>13</v>
      </c>
    </row>
    <row r="24" ht="42.95" customHeight="1" spans="1:4">
      <c r="A24" s="197">
        <v>23</v>
      </c>
      <c r="B24" s="199" t="s">
        <v>1227</v>
      </c>
      <c r="C24" s="197">
        <v>630</v>
      </c>
      <c r="D24" s="197">
        <v>14</v>
      </c>
    </row>
    <row r="25" ht="42.95" customHeight="1" spans="1:4">
      <c r="A25" s="197">
        <v>24</v>
      </c>
      <c r="B25" s="199" t="s">
        <v>1228</v>
      </c>
      <c r="C25" s="197">
        <v>639</v>
      </c>
      <c r="D25" s="197">
        <v>2</v>
      </c>
    </row>
    <row r="26" ht="42.95" customHeight="1" spans="1:4">
      <c r="A26" s="197">
        <v>25</v>
      </c>
      <c r="B26" s="199" t="s">
        <v>1229</v>
      </c>
      <c r="C26" s="197">
        <v>639</v>
      </c>
      <c r="D26" s="197">
        <v>11</v>
      </c>
    </row>
    <row r="27" ht="42.95" customHeight="1" spans="1:4">
      <c r="A27" s="197">
        <v>26</v>
      </c>
      <c r="B27" s="199" t="s">
        <v>1230</v>
      </c>
      <c r="C27" s="197">
        <v>639</v>
      </c>
      <c r="D27" s="197">
        <v>14</v>
      </c>
    </row>
    <row r="28" ht="14.25" spans="1:4">
      <c r="A28" s="197">
        <v>27</v>
      </c>
      <c r="B28" s="199" t="s">
        <v>1231</v>
      </c>
      <c r="C28" s="197">
        <v>789</v>
      </c>
      <c r="D28" s="197">
        <v>1</v>
      </c>
    </row>
    <row r="29" ht="14.25" spans="1:4">
      <c r="A29" s="197">
        <v>28</v>
      </c>
      <c r="B29" s="199" t="s">
        <v>1232</v>
      </c>
      <c r="C29" s="197">
        <v>789</v>
      </c>
      <c r="D29" s="197">
        <v>2</v>
      </c>
    </row>
    <row r="30" ht="42.95" customHeight="1" spans="1:4">
      <c r="A30" s="197">
        <v>29</v>
      </c>
      <c r="B30" s="199" t="s">
        <v>1233</v>
      </c>
      <c r="C30" s="197">
        <v>789</v>
      </c>
      <c r="D30" s="197">
        <v>5</v>
      </c>
    </row>
    <row r="31" ht="42.95" customHeight="1" spans="1:4">
      <c r="A31" s="197">
        <v>30</v>
      </c>
      <c r="B31" s="199" t="s">
        <v>1234</v>
      </c>
      <c r="C31" s="197">
        <v>789</v>
      </c>
      <c r="D31" s="197">
        <v>7</v>
      </c>
    </row>
    <row r="32" ht="42.95" customHeight="1" spans="1:4">
      <c r="A32" s="197">
        <v>31</v>
      </c>
      <c r="B32" s="199" t="s">
        <v>1235</v>
      </c>
      <c r="C32" s="197">
        <v>789</v>
      </c>
      <c r="D32" s="197">
        <v>8</v>
      </c>
    </row>
    <row r="33" ht="42.95" customHeight="1" spans="1:4">
      <c r="A33" s="197">
        <v>32</v>
      </c>
      <c r="B33" s="199" t="s">
        <v>1236</v>
      </c>
      <c r="C33" s="197">
        <v>789</v>
      </c>
      <c r="D33" s="197">
        <v>10</v>
      </c>
    </row>
    <row r="34" ht="42.95" customHeight="1" spans="1:4">
      <c r="A34" s="197">
        <v>33</v>
      </c>
      <c r="B34" s="199" t="s">
        <v>1237</v>
      </c>
      <c r="C34" s="197">
        <v>789</v>
      </c>
      <c r="D34" s="197">
        <v>13</v>
      </c>
    </row>
    <row r="35" ht="42.95" customHeight="1" spans="1:4">
      <c r="A35" s="197">
        <v>34</v>
      </c>
      <c r="B35" s="199" t="s">
        <v>1238</v>
      </c>
      <c r="C35" s="197">
        <v>790</v>
      </c>
      <c r="D35" s="197">
        <v>1</v>
      </c>
    </row>
    <row r="36" ht="42.95" customHeight="1" spans="1:4">
      <c r="A36" s="197">
        <v>35</v>
      </c>
      <c r="B36" s="199" t="s">
        <v>1239</v>
      </c>
      <c r="C36" s="197">
        <v>790</v>
      </c>
      <c r="D36" s="197">
        <v>2</v>
      </c>
    </row>
    <row r="37" ht="42.95" customHeight="1" spans="1:4">
      <c r="A37" s="197">
        <v>36</v>
      </c>
      <c r="B37" s="199" t="s">
        <v>1240</v>
      </c>
      <c r="C37" s="197">
        <v>790</v>
      </c>
      <c r="D37" s="197">
        <v>5</v>
      </c>
    </row>
    <row r="38" ht="42.95" customHeight="1" spans="1:4">
      <c r="A38" s="197">
        <v>37</v>
      </c>
      <c r="B38" s="199" t="s">
        <v>1241</v>
      </c>
      <c r="C38" s="197">
        <v>790</v>
      </c>
      <c r="D38" s="197">
        <v>7</v>
      </c>
    </row>
    <row r="39" ht="42.95" customHeight="1" spans="1:4">
      <c r="A39" s="197">
        <v>38</v>
      </c>
      <c r="B39" s="199" t="s">
        <v>1242</v>
      </c>
      <c r="C39" s="197">
        <v>790</v>
      </c>
      <c r="D39" s="197">
        <v>8</v>
      </c>
    </row>
    <row r="40" ht="42.95" customHeight="1" spans="1:4">
      <c r="A40" s="197">
        <v>39</v>
      </c>
      <c r="B40" s="199" t="s">
        <v>1243</v>
      </c>
      <c r="C40" s="197">
        <v>790</v>
      </c>
      <c r="D40" s="197">
        <v>10</v>
      </c>
    </row>
    <row r="41" ht="42.95" customHeight="1" spans="1:4">
      <c r="A41" s="197">
        <v>40</v>
      </c>
      <c r="B41" s="199" t="s">
        <v>1244</v>
      </c>
      <c r="C41" s="197">
        <v>790</v>
      </c>
      <c r="D41" s="197">
        <v>13</v>
      </c>
    </row>
    <row r="42" ht="42.95" customHeight="1" spans="1:4">
      <c r="A42" s="197">
        <v>41</v>
      </c>
      <c r="B42" s="199" t="s">
        <v>1245</v>
      </c>
      <c r="C42" s="197">
        <v>791</v>
      </c>
      <c r="D42" s="197">
        <v>1</v>
      </c>
    </row>
    <row r="43" ht="42.95" customHeight="1" spans="1:4">
      <c r="A43" s="197">
        <v>42</v>
      </c>
      <c r="B43" s="199" t="s">
        <v>1246</v>
      </c>
      <c r="C43" s="197">
        <v>791</v>
      </c>
      <c r="D43" s="197">
        <v>2</v>
      </c>
    </row>
    <row r="44" ht="42.95" customHeight="1" spans="1:4">
      <c r="A44" s="197">
        <v>43</v>
      </c>
      <c r="B44" s="199" t="s">
        <v>1247</v>
      </c>
      <c r="C44" s="197">
        <v>791</v>
      </c>
      <c r="D44" s="197">
        <v>5</v>
      </c>
    </row>
    <row r="45" ht="42.95" customHeight="1" spans="1:4">
      <c r="A45" s="197">
        <v>44</v>
      </c>
      <c r="B45" s="199" t="s">
        <v>1248</v>
      </c>
      <c r="C45" s="197">
        <v>791</v>
      </c>
      <c r="D45" s="197">
        <v>7</v>
      </c>
    </row>
    <row r="46" ht="42.95" customHeight="1" spans="1:4">
      <c r="A46" s="197">
        <v>45</v>
      </c>
      <c r="B46" s="199" t="s">
        <v>1249</v>
      </c>
      <c r="C46" s="197">
        <v>791</v>
      </c>
      <c r="D46" s="197">
        <v>8</v>
      </c>
    </row>
    <row r="47" ht="42.95" customHeight="1" spans="1:4">
      <c r="A47" s="197">
        <v>46</v>
      </c>
      <c r="B47" s="199" t="s">
        <v>1250</v>
      </c>
      <c r="C47" s="197">
        <v>791</v>
      </c>
      <c r="D47" s="197">
        <v>10</v>
      </c>
    </row>
    <row r="48" ht="42.95" customHeight="1" spans="1:4">
      <c r="A48" s="197">
        <v>47</v>
      </c>
      <c r="B48" s="199" t="s">
        <v>1251</v>
      </c>
      <c r="C48" s="197">
        <v>791</v>
      </c>
      <c r="D48" s="197">
        <v>13</v>
      </c>
    </row>
    <row r="49" ht="42.95" customHeight="1" spans="1:4">
      <c r="A49" s="197">
        <v>48</v>
      </c>
      <c r="B49" s="199" t="s">
        <v>1252</v>
      </c>
      <c r="C49" s="197">
        <v>792</v>
      </c>
      <c r="D49" s="197">
        <v>1</v>
      </c>
    </row>
    <row r="50" ht="42.95" customHeight="1" spans="1:4">
      <c r="A50" s="197">
        <v>49</v>
      </c>
      <c r="B50" s="199" t="s">
        <v>1253</v>
      </c>
      <c r="C50" s="197">
        <v>792</v>
      </c>
      <c r="D50" s="197">
        <v>2</v>
      </c>
    </row>
    <row r="51" ht="42.95" customHeight="1" spans="1:4">
      <c r="A51" s="197">
        <v>50</v>
      </c>
      <c r="B51" s="199" t="s">
        <v>1254</v>
      </c>
      <c r="C51" s="197">
        <v>792</v>
      </c>
      <c r="D51" s="197">
        <v>5</v>
      </c>
    </row>
    <row r="52" ht="42.95" customHeight="1" spans="1:4">
      <c r="A52" s="197">
        <v>51</v>
      </c>
      <c r="B52" s="199" t="s">
        <v>1255</v>
      </c>
      <c r="C52" s="197">
        <v>792</v>
      </c>
      <c r="D52" s="197">
        <v>7</v>
      </c>
    </row>
    <row r="53" ht="42.95" customHeight="1" spans="1:4">
      <c r="A53" s="197">
        <v>52</v>
      </c>
      <c r="B53" s="199" t="s">
        <v>1256</v>
      </c>
      <c r="C53" s="197">
        <v>792</v>
      </c>
      <c r="D53" s="197">
        <v>8</v>
      </c>
    </row>
    <row r="54" ht="42.95" customHeight="1" spans="1:4">
      <c r="A54" s="197">
        <v>53</v>
      </c>
      <c r="B54" s="199" t="s">
        <v>1257</v>
      </c>
      <c r="C54" s="197">
        <v>792</v>
      </c>
      <c r="D54" s="197">
        <v>10</v>
      </c>
    </row>
    <row r="55" ht="42.95" customHeight="1" spans="1:4">
      <c r="A55" s="197">
        <v>54</v>
      </c>
      <c r="B55" s="199" t="s">
        <v>1258</v>
      </c>
      <c r="C55" s="197">
        <v>792</v>
      </c>
      <c r="D55" s="197">
        <v>13</v>
      </c>
    </row>
    <row r="56" ht="42.95" customHeight="1" spans="1:4">
      <c r="A56" s="197">
        <v>55</v>
      </c>
      <c r="B56" s="199" t="s">
        <v>1259</v>
      </c>
      <c r="C56" s="197">
        <v>793</v>
      </c>
      <c r="D56" s="197">
        <v>1</v>
      </c>
    </row>
    <row r="57" ht="42.95" customHeight="1" spans="1:4">
      <c r="A57" s="197">
        <v>56</v>
      </c>
      <c r="B57" s="199" t="s">
        <v>1260</v>
      </c>
      <c r="C57" s="197">
        <v>793</v>
      </c>
      <c r="D57" s="197">
        <v>2</v>
      </c>
    </row>
    <row r="58" ht="42.95" customHeight="1" spans="1:4">
      <c r="A58" s="197">
        <v>57</v>
      </c>
      <c r="B58" s="199" t="s">
        <v>1261</v>
      </c>
      <c r="C58" s="197">
        <v>793</v>
      </c>
      <c r="D58" s="197">
        <v>5</v>
      </c>
    </row>
    <row r="59" ht="42.95" customHeight="1" spans="1:4">
      <c r="A59" s="197">
        <v>58</v>
      </c>
      <c r="B59" s="199" t="s">
        <v>1262</v>
      </c>
      <c r="C59" s="197">
        <v>793</v>
      </c>
      <c r="D59" s="197">
        <v>7</v>
      </c>
    </row>
    <row r="60" ht="42.95" customHeight="1" spans="1:4">
      <c r="A60" s="197">
        <v>59</v>
      </c>
      <c r="B60" s="199" t="s">
        <v>1263</v>
      </c>
      <c r="C60" s="197">
        <v>793</v>
      </c>
      <c r="D60" s="197">
        <v>8</v>
      </c>
    </row>
    <row r="61" ht="42.95" customHeight="1" spans="1:4">
      <c r="A61" s="197">
        <v>60</v>
      </c>
      <c r="B61" s="199" t="s">
        <v>1264</v>
      </c>
      <c r="C61" s="197">
        <v>793</v>
      </c>
      <c r="D61" s="197">
        <v>10</v>
      </c>
    </row>
    <row r="62" ht="42.95" customHeight="1" spans="1:4">
      <c r="A62" s="197">
        <v>61</v>
      </c>
      <c r="B62" s="199" t="s">
        <v>1265</v>
      </c>
      <c r="C62" s="197">
        <v>793</v>
      </c>
      <c r="D62" s="197">
        <v>13</v>
      </c>
    </row>
    <row r="63" ht="42.95" customHeight="1" spans="1:4">
      <c r="A63" s="197">
        <v>62</v>
      </c>
      <c r="B63" s="199" t="s">
        <v>1266</v>
      </c>
      <c r="C63" s="197">
        <v>794</v>
      </c>
      <c r="D63" s="197">
        <v>1</v>
      </c>
    </row>
    <row r="64" ht="42.95" customHeight="1" spans="1:4">
      <c r="A64" s="197">
        <v>63</v>
      </c>
      <c r="B64" s="199" t="s">
        <v>1267</v>
      </c>
      <c r="C64" s="197">
        <v>794</v>
      </c>
      <c r="D64" s="197">
        <v>2</v>
      </c>
    </row>
    <row r="65" ht="42.95" customHeight="1" spans="1:4">
      <c r="A65" s="197">
        <v>64</v>
      </c>
      <c r="B65" s="199" t="s">
        <v>1268</v>
      </c>
      <c r="C65" s="197">
        <v>794</v>
      </c>
      <c r="D65" s="197">
        <v>5</v>
      </c>
    </row>
    <row r="66" ht="42.95" customHeight="1" spans="1:4">
      <c r="A66" s="197">
        <v>65</v>
      </c>
      <c r="B66" s="199" t="s">
        <v>1269</v>
      </c>
      <c r="C66" s="197">
        <v>794</v>
      </c>
      <c r="D66" s="197">
        <v>7</v>
      </c>
    </row>
    <row r="67" ht="42.95" customHeight="1" spans="1:4">
      <c r="A67" s="197">
        <v>66</v>
      </c>
      <c r="B67" s="199" t="s">
        <v>1270</v>
      </c>
      <c r="C67" s="197">
        <v>794</v>
      </c>
      <c r="D67" s="197">
        <v>8</v>
      </c>
    </row>
    <row r="68" ht="42.95" customHeight="1" spans="1:4">
      <c r="A68" s="197">
        <v>67</v>
      </c>
      <c r="B68" s="199" t="s">
        <v>1271</v>
      </c>
      <c r="C68" s="197">
        <v>794</v>
      </c>
      <c r="D68" s="197">
        <v>10</v>
      </c>
    </row>
    <row r="69" ht="42.95" customHeight="1" spans="1:4">
      <c r="A69" s="197">
        <v>68</v>
      </c>
      <c r="B69" s="199" t="s">
        <v>1272</v>
      </c>
      <c r="C69" s="197">
        <v>794</v>
      </c>
      <c r="D69" s="197">
        <v>13</v>
      </c>
    </row>
    <row r="70" ht="42.95" customHeight="1" spans="1:4">
      <c r="A70" s="197">
        <v>69</v>
      </c>
      <c r="B70" s="199" t="s">
        <v>1273</v>
      </c>
      <c r="C70" s="197">
        <v>795</v>
      </c>
      <c r="D70" s="197">
        <v>5</v>
      </c>
    </row>
    <row r="71" ht="42.95" customHeight="1" spans="1:4">
      <c r="A71" s="197">
        <v>70</v>
      </c>
      <c r="B71" s="199" t="s">
        <v>1274</v>
      </c>
      <c r="C71" s="197">
        <v>795</v>
      </c>
      <c r="D71" s="197">
        <v>13</v>
      </c>
    </row>
    <row r="72" ht="42.95" customHeight="1" spans="1:4">
      <c r="A72" s="197">
        <v>71</v>
      </c>
      <c r="B72" s="199" t="s">
        <v>1275</v>
      </c>
      <c r="C72" s="197">
        <v>795</v>
      </c>
      <c r="D72" s="197">
        <v>14</v>
      </c>
    </row>
    <row r="73" ht="42.95" customHeight="1" spans="1:4">
      <c r="A73" s="197">
        <v>72</v>
      </c>
      <c r="B73" s="199" t="s">
        <v>1276</v>
      </c>
      <c r="C73" s="197">
        <v>796</v>
      </c>
      <c r="D73" s="197">
        <v>5</v>
      </c>
    </row>
    <row r="74" ht="42.95" customHeight="1" spans="1:4">
      <c r="A74" s="197">
        <v>73</v>
      </c>
      <c r="B74" s="199" t="s">
        <v>1277</v>
      </c>
      <c r="C74" s="197">
        <v>796</v>
      </c>
      <c r="D74" s="197">
        <v>13</v>
      </c>
    </row>
    <row r="75" ht="42.95" customHeight="1" spans="1:4">
      <c r="A75" s="197">
        <v>74</v>
      </c>
      <c r="B75" s="199" t="s">
        <v>1278</v>
      </c>
      <c r="C75" s="197">
        <v>796</v>
      </c>
      <c r="D75" s="197">
        <v>14</v>
      </c>
    </row>
    <row r="76" ht="42.95" customHeight="1" spans="1:4">
      <c r="A76" s="197">
        <v>75</v>
      </c>
      <c r="B76" s="199" t="s">
        <v>1279</v>
      </c>
      <c r="C76" s="197">
        <v>797</v>
      </c>
      <c r="D76" s="197">
        <v>5</v>
      </c>
    </row>
    <row r="77" ht="42.95" customHeight="1" spans="1:4">
      <c r="A77" s="197">
        <v>76</v>
      </c>
      <c r="B77" s="199" t="s">
        <v>1280</v>
      </c>
      <c r="C77" s="197">
        <v>797</v>
      </c>
      <c r="D77" s="197">
        <v>13</v>
      </c>
    </row>
    <row r="78" ht="42.95" customHeight="1" spans="1:4">
      <c r="A78" s="197">
        <v>77</v>
      </c>
      <c r="B78" s="199" t="s">
        <v>1281</v>
      </c>
      <c r="C78" s="197">
        <v>797</v>
      </c>
      <c r="D78" s="197">
        <v>14</v>
      </c>
    </row>
    <row r="79" ht="42.95" customHeight="1" spans="1:4">
      <c r="A79" s="197">
        <v>78</v>
      </c>
      <c r="B79" s="199" t="s">
        <v>1282</v>
      </c>
      <c r="C79" s="197">
        <v>798</v>
      </c>
      <c r="D79" s="197">
        <v>5</v>
      </c>
    </row>
    <row r="80" ht="42.95" customHeight="1" spans="1:4">
      <c r="A80" s="197">
        <v>79</v>
      </c>
      <c r="B80" s="199" t="s">
        <v>1283</v>
      </c>
      <c r="C80" s="197">
        <v>798</v>
      </c>
      <c r="D80" s="197">
        <v>13</v>
      </c>
    </row>
    <row r="81" ht="42.95" customHeight="1" spans="1:4">
      <c r="A81" s="197">
        <v>80</v>
      </c>
      <c r="B81" s="199" t="s">
        <v>1284</v>
      </c>
      <c r="C81" s="197">
        <v>798</v>
      </c>
      <c r="D81" s="197">
        <v>14</v>
      </c>
    </row>
    <row r="82" ht="42.95" customHeight="1" spans="1:4">
      <c r="A82" s="197">
        <v>81</v>
      </c>
      <c r="B82" s="199" t="s">
        <v>1285</v>
      </c>
      <c r="C82" s="197">
        <v>799</v>
      </c>
      <c r="D82" s="197">
        <v>5</v>
      </c>
    </row>
    <row r="83" ht="42.95" customHeight="1" spans="1:4">
      <c r="A83" s="197">
        <v>82</v>
      </c>
      <c r="B83" s="199" t="s">
        <v>1286</v>
      </c>
      <c r="C83" s="197">
        <v>799</v>
      </c>
      <c r="D83" s="197">
        <v>13</v>
      </c>
    </row>
    <row r="84" ht="42.95" customHeight="1" spans="1:4">
      <c r="A84" s="197">
        <v>83</v>
      </c>
      <c r="B84" s="199" t="s">
        <v>1287</v>
      </c>
      <c r="C84" s="197">
        <v>799</v>
      </c>
      <c r="D84" s="197">
        <v>14</v>
      </c>
    </row>
    <row r="85" ht="42.95" customHeight="1" spans="1:4">
      <c r="A85" s="197">
        <v>84</v>
      </c>
      <c r="B85" s="199" t="s">
        <v>1288</v>
      </c>
      <c r="C85" s="197">
        <v>800</v>
      </c>
      <c r="D85" s="197">
        <v>5</v>
      </c>
    </row>
    <row r="86" ht="42.95" customHeight="1" spans="1:4">
      <c r="A86" s="197">
        <v>85</v>
      </c>
      <c r="B86" s="199" t="s">
        <v>1289</v>
      </c>
      <c r="C86" s="197">
        <v>800</v>
      </c>
      <c r="D86" s="197">
        <v>13</v>
      </c>
    </row>
    <row r="87" ht="42.95" customHeight="1" spans="1:4">
      <c r="A87" s="197">
        <v>86</v>
      </c>
      <c r="B87" s="199" t="s">
        <v>1290</v>
      </c>
      <c r="C87" s="197">
        <v>800</v>
      </c>
      <c r="D87" s="197">
        <v>14</v>
      </c>
    </row>
    <row r="88" ht="42.95" customHeight="1" spans="1:4">
      <c r="A88" s="197">
        <v>87</v>
      </c>
      <c r="B88" s="199" t="s">
        <v>1291</v>
      </c>
      <c r="C88" s="197">
        <v>801</v>
      </c>
      <c r="D88" s="197">
        <v>2</v>
      </c>
    </row>
    <row r="89" ht="42.95" customHeight="1" spans="1:4">
      <c r="A89" s="197">
        <v>88</v>
      </c>
      <c r="B89" s="199" t="s">
        <v>1292</v>
      </c>
      <c r="C89" s="197">
        <v>801</v>
      </c>
      <c r="D89" s="197">
        <v>3</v>
      </c>
    </row>
    <row r="90" ht="42.95" customHeight="1" spans="1:4">
      <c r="A90" s="197">
        <v>89</v>
      </c>
      <c r="B90" s="199" t="s">
        <v>1293</v>
      </c>
      <c r="C90" s="197">
        <v>802</v>
      </c>
      <c r="D90" s="197">
        <v>3</v>
      </c>
    </row>
    <row r="91" ht="42.95" customHeight="1" spans="1:4">
      <c r="A91" s="197">
        <v>90</v>
      </c>
      <c r="B91" s="199" t="s">
        <v>1294</v>
      </c>
      <c r="C91" s="197">
        <v>802</v>
      </c>
      <c r="D91" s="197">
        <v>4</v>
      </c>
    </row>
    <row r="92" ht="14.25" spans="1:4">
      <c r="A92" s="197">
        <v>91</v>
      </c>
      <c r="B92" s="199" t="s">
        <v>1295</v>
      </c>
      <c r="C92" s="197">
        <v>806</v>
      </c>
      <c r="D92" s="197">
        <v>3</v>
      </c>
    </row>
    <row r="93" ht="14.25" spans="1:4">
      <c r="A93" s="197">
        <v>92</v>
      </c>
      <c r="B93" s="199" t="s">
        <v>1296</v>
      </c>
      <c r="C93" s="197">
        <v>806</v>
      </c>
      <c r="D93" s="197">
        <v>4</v>
      </c>
    </row>
    <row r="94" ht="42.95" customHeight="1" spans="1:4">
      <c r="A94" s="197">
        <v>93</v>
      </c>
      <c r="B94" s="199" t="s">
        <v>1297</v>
      </c>
      <c r="C94" s="197">
        <v>806</v>
      </c>
      <c r="D94" s="197">
        <v>5</v>
      </c>
    </row>
    <row r="95" ht="42.95" customHeight="1" spans="1:4">
      <c r="A95" s="197">
        <v>94</v>
      </c>
      <c r="B95" s="199" t="s">
        <v>1298</v>
      </c>
      <c r="C95" s="197">
        <v>806</v>
      </c>
      <c r="D95" s="197">
        <v>13</v>
      </c>
    </row>
    <row r="96" ht="42.95" customHeight="1" spans="1:4">
      <c r="A96" s="197">
        <v>95</v>
      </c>
      <c r="B96" s="199" t="s">
        <v>1299</v>
      </c>
      <c r="C96" s="197">
        <v>806</v>
      </c>
      <c r="D96" s="197">
        <v>14</v>
      </c>
    </row>
    <row r="97" ht="42.95" customHeight="1" spans="1:4">
      <c r="A97" s="197">
        <v>96</v>
      </c>
      <c r="B97" s="199" t="s">
        <v>1300</v>
      </c>
      <c r="C97" s="197">
        <v>807</v>
      </c>
      <c r="D97" s="197">
        <v>3</v>
      </c>
    </row>
    <row r="98" ht="42.95" customHeight="1" spans="1:4">
      <c r="A98" s="197">
        <v>97</v>
      </c>
      <c r="B98" s="199" t="s">
        <v>1301</v>
      </c>
      <c r="C98" s="197">
        <v>807</v>
      </c>
      <c r="D98" s="197">
        <v>4</v>
      </c>
    </row>
    <row r="99" ht="42.95" customHeight="1" spans="1:4">
      <c r="A99" s="197">
        <v>98</v>
      </c>
      <c r="B99" s="199" t="s">
        <v>1302</v>
      </c>
      <c r="C99" s="197">
        <v>807</v>
      </c>
      <c r="D99" s="197">
        <v>5</v>
      </c>
    </row>
    <row r="100" ht="42.95" customHeight="1" spans="1:4">
      <c r="A100" s="197">
        <v>99</v>
      </c>
      <c r="B100" s="199" t="s">
        <v>1303</v>
      </c>
      <c r="C100" s="197">
        <v>807</v>
      </c>
      <c r="D100" s="197">
        <v>13</v>
      </c>
    </row>
    <row r="101" ht="42.95" customHeight="1" spans="1:4">
      <c r="A101" s="197">
        <v>100</v>
      </c>
      <c r="B101" s="199" t="s">
        <v>1304</v>
      </c>
      <c r="C101" s="197">
        <v>807</v>
      </c>
      <c r="D101" s="197">
        <v>14</v>
      </c>
    </row>
    <row r="102" ht="42.95" customHeight="1" spans="1:4">
      <c r="A102" s="197">
        <v>101</v>
      </c>
      <c r="B102" s="199" t="s">
        <v>1305</v>
      </c>
      <c r="C102" s="197">
        <v>810</v>
      </c>
      <c r="D102" s="197">
        <v>7</v>
      </c>
    </row>
    <row r="103" ht="42.95" customHeight="1" spans="1:4">
      <c r="A103" s="197">
        <v>102</v>
      </c>
      <c r="B103" s="199" t="s">
        <v>1306</v>
      </c>
      <c r="C103" s="197">
        <v>811</v>
      </c>
      <c r="D103" s="197">
        <v>2</v>
      </c>
    </row>
    <row r="104" ht="42.95" customHeight="1" spans="1:4">
      <c r="A104" s="197">
        <v>103</v>
      </c>
      <c r="B104" s="199" t="s">
        <v>1307</v>
      </c>
      <c r="C104" s="197">
        <v>815</v>
      </c>
      <c r="D104" s="197">
        <v>13</v>
      </c>
    </row>
    <row r="105" ht="42.95" customHeight="1" spans="1:4">
      <c r="A105" s="197">
        <v>104</v>
      </c>
      <c r="B105" s="199" t="s">
        <v>1308</v>
      </c>
      <c r="C105" s="197">
        <v>925</v>
      </c>
      <c r="D105" s="197">
        <v>3</v>
      </c>
    </row>
    <row r="106" ht="42.95" customHeight="1" spans="1:4">
      <c r="A106" s="197">
        <v>105</v>
      </c>
      <c r="B106" s="199" t="s">
        <v>1309</v>
      </c>
      <c r="C106" s="197">
        <v>926</v>
      </c>
      <c r="D106" s="197">
        <v>3</v>
      </c>
    </row>
    <row r="107" ht="42.95" customHeight="1" spans="1:4">
      <c r="A107" s="197">
        <v>106</v>
      </c>
      <c r="B107" s="199" t="s">
        <v>1310</v>
      </c>
      <c r="C107" s="197">
        <v>926</v>
      </c>
      <c r="D107" s="197">
        <v>4</v>
      </c>
    </row>
    <row r="108" ht="42.95" customHeight="1" spans="1:4">
      <c r="A108" s="197">
        <v>107</v>
      </c>
      <c r="B108" s="199" t="s">
        <v>1311</v>
      </c>
      <c r="C108" s="197">
        <v>926</v>
      </c>
      <c r="D108" s="197">
        <v>5</v>
      </c>
    </row>
    <row r="109" ht="42.95" customHeight="1" spans="1:4">
      <c r="A109" s="197">
        <v>108</v>
      </c>
      <c r="B109" s="199" t="s">
        <v>1312</v>
      </c>
      <c r="C109" s="197">
        <v>932</v>
      </c>
      <c r="D109" s="197">
        <v>3</v>
      </c>
    </row>
    <row r="110" ht="42.95" customHeight="1" spans="1:4">
      <c r="A110" s="197">
        <v>109</v>
      </c>
      <c r="B110" s="199" t="s">
        <v>1313</v>
      </c>
      <c r="C110" s="197">
        <v>932</v>
      </c>
      <c r="D110" s="197">
        <v>4</v>
      </c>
    </row>
    <row r="111" ht="42.95" customHeight="1" spans="1:4">
      <c r="A111" s="197">
        <v>110</v>
      </c>
      <c r="B111" s="199" t="s">
        <v>1314</v>
      </c>
      <c r="C111" s="197">
        <v>932</v>
      </c>
      <c r="D111" s="197">
        <v>5</v>
      </c>
    </row>
    <row r="112" ht="42.95" customHeight="1" spans="1:4">
      <c r="A112" s="197">
        <v>111</v>
      </c>
      <c r="B112" s="199" t="s">
        <v>1315</v>
      </c>
      <c r="C112" s="197">
        <v>933</v>
      </c>
      <c r="D112" s="197">
        <v>3</v>
      </c>
    </row>
    <row r="113" ht="42.95" customHeight="1" spans="1:4">
      <c r="A113" s="197">
        <v>112</v>
      </c>
      <c r="B113" s="199" t="s">
        <v>1316</v>
      </c>
      <c r="C113" s="197">
        <v>933</v>
      </c>
      <c r="D113" s="197">
        <v>4</v>
      </c>
    </row>
    <row r="114" ht="42.95" customHeight="1" spans="1:4">
      <c r="A114" s="197">
        <v>113</v>
      </c>
      <c r="B114" s="199" t="s">
        <v>1317</v>
      </c>
      <c r="C114" s="197">
        <v>933</v>
      </c>
      <c r="D114" s="197">
        <v>5</v>
      </c>
    </row>
    <row r="115" ht="42.95" customHeight="1" spans="1:4">
      <c r="A115" s="197">
        <v>114</v>
      </c>
      <c r="B115" s="199" t="s">
        <v>1318</v>
      </c>
      <c r="C115" s="197">
        <v>934</v>
      </c>
      <c r="D115" s="197">
        <v>3</v>
      </c>
    </row>
    <row r="116" ht="42.95" customHeight="1" spans="1:4">
      <c r="A116" s="197">
        <v>115</v>
      </c>
      <c r="B116" s="199" t="s">
        <v>1319</v>
      </c>
      <c r="C116" s="197">
        <v>934</v>
      </c>
      <c r="D116" s="197">
        <v>4</v>
      </c>
    </row>
    <row r="117" ht="42.95" customHeight="1" spans="1:4">
      <c r="A117" s="197">
        <v>116</v>
      </c>
      <c r="B117" s="199" t="s">
        <v>1320</v>
      </c>
      <c r="C117" s="197">
        <v>934</v>
      </c>
      <c r="D117" s="197">
        <v>5</v>
      </c>
    </row>
    <row r="118" ht="42.95" customHeight="1" spans="1:4">
      <c r="A118" s="197">
        <v>117</v>
      </c>
      <c r="B118" s="199" t="s">
        <v>1321</v>
      </c>
      <c r="C118" s="197">
        <v>935</v>
      </c>
      <c r="D118" s="197">
        <v>3</v>
      </c>
    </row>
    <row r="119" ht="42.95" customHeight="1" spans="1:4">
      <c r="A119" s="197">
        <v>118</v>
      </c>
      <c r="B119" s="199" t="s">
        <v>1322</v>
      </c>
      <c r="C119" s="197">
        <v>935</v>
      </c>
      <c r="D119" s="197">
        <v>4</v>
      </c>
    </row>
    <row r="120" ht="42.95" customHeight="1" spans="1:4">
      <c r="A120" s="197">
        <v>119</v>
      </c>
      <c r="B120" s="199" t="s">
        <v>1323</v>
      </c>
      <c r="C120" s="197">
        <v>935</v>
      </c>
      <c r="D120" s="197">
        <v>5</v>
      </c>
    </row>
    <row r="121" ht="42.95" customHeight="1" spans="1:4">
      <c r="A121" s="197">
        <v>120</v>
      </c>
      <c r="B121" s="199" t="s">
        <v>1324</v>
      </c>
      <c r="C121" s="197">
        <v>936</v>
      </c>
      <c r="D121" s="197">
        <v>3</v>
      </c>
    </row>
    <row r="122" ht="42.95" customHeight="1" spans="1:4">
      <c r="A122" s="197">
        <v>121</v>
      </c>
      <c r="B122" s="199" t="s">
        <v>1325</v>
      </c>
      <c r="C122" s="197">
        <v>936</v>
      </c>
      <c r="D122" s="197">
        <v>4</v>
      </c>
    </row>
    <row r="123" ht="42.95" customHeight="1" spans="1:4">
      <c r="A123" s="197">
        <v>122</v>
      </c>
      <c r="B123" s="199" t="s">
        <v>1326</v>
      </c>
      <c r="C123" s="197">
        <v>936</v>
      </c>
      <c r="D123" s="197">
        <v>5</v>
      </c>
    </row>
    <row r="124" ht="42.95" customHeight="1" spans="1:4">
      <c r="A124" s="197">
        <v>123</v>
      </c>
      <c r="B124" s="199" t="s">
        <v>1327</v>
      </c>
      <c r="C124" s="197">
        <v>937</v>
      </c>
      <c r="D124" s="197">
        <v>3</v>
      </c>
    </row>
    <row r="125" ht="42.95" customHeight="1" spans="1:4">
      <c r="A125" s="197">
        <v>124</v>
      </c>
      <c r="B125" s="199" t="s">
        <v>1328</v>
      </c>
      <c r="C125" s="197">
        <v>937</v>
      </c>
      <c r="D125" s="197">
        <v>4</v>
      </c>
    </row>
    <row r="126" ht="42.95" customHeight="1" spans="1:4">
      <c r="A126" s="197">
        <v>125</v>
      </c>
      <c r="B126" s="199" t="s">
        <v>1329</v>
      </c>
      <c r="C126" s="197">
        <v>937</v>
      </c>
      <c r="D126" s="197">
        <v>5</v>
      </c>
    </row>
    <row r="127" ht="42.95" customHeight="1" spans="1:4">
      <c r="A127" s="197">
        <v>126</v>
      </c>
      <c r="B127" s="199" t="s">
        <v>1330</v>
      </c>
      <c r="C127" s="197">
        <v>938</v>
      </c>
      <c r="D127" s="197">
        <v>3</v>
      </c>
    </row>
    <row r="128" ht="42.95" customHeight="1" spans="1:4">
      <c r="A128" s="197">
        <v>127</v>
      </c>
      <c r="B128" s="199" t="s">
        <v>1331</v>
      </c>
      <c r="C128" s="197">
        <v>938</v>
      </c>
      <c r="D128" s="197">
        <v>4</v>
      </c>
    </row>
    <row r="129" ht="42.95" customHeight="1" spans="1:4">
      <c r="A129" s="197">
        <v>128</v>
      </c>
      <c r="B129" s="199" t="s">
        <v>1332</v>
      </c>
      <c r="C129" s="197">
        <v>938</v>
      </c>
      <c r="D129" s="197">
        <v>5</v>
      </c>
    </row>
    <row r="130" ht="42.95" customHeight="1" spans="1:4">
      <c r="A130" s="197">
        <v>129</v>
      </c>
      <c r="B130" s="199" t="s">
        <v>1333</v>
      </c>
      <c r="C130" s="197">
        <v>939</v>
      </c>
      <c r="D130" s="197">
        <v>3</v>
      </c>
    </row>
    <row r="131" ht="42.95" customHeight="1" spans="1:4">
      <c r="A131" s="197">
        <v>130</v>
      </c>
      <c r="B131" s="199" t="s">
        <v>1334</v>
      </c>
      <c r="C131" s="197">
        <v>939</v>
      </c>
      <c r="D131" s="197">
        <v>4</v>
      </c>
    </row>
    <row r="132" ht="42.95" customHeight="1" spans="1:4">
      <c r="A132" s="197">
        <v>131</v>
      </c>
      <c r="B132" s="199" t="s">
        <v>1335</v>
      </c>
      <c r="C132" s="197">
        <v>939</v>
      </c>
      <c r="D132" s="197">
        <v>5</v>
      </c>
    </row>
    <row r="133" ht="42.95" customHeight="1" spans="1:4">
      <c r="A133" s="197">
        <v>132</v>
      </c>
      <c r="B133" s="199" t="s">
        <v>1336</v>
      </c>
      <c r="C133" s="197">
        <v>940</v>
      </c>
      <c r="D133" s="197">
        <v>3</v>
      </c>
    </row>
    <row r="134" ht="42.95" customHeight="1" spans="1:4">
      <c r="A134" s="197">
        <v>133</v>
      </c>
      <c r="B134" s="199" t="s">
        <v>1337</v>
      </c>
      <c r="C134" s="197">
        <v>940</v>
      </c>
      <c r="D134" s="197">
        <v>4</v>
      </c>
    </row>
    <row r="135" ht="42.95" customHeight="1" spans="1:4">
      <c r="A135" s="197">
        <v>134</v>
      </c>
      <c r="B135" s="199" t="s">
        <v>1338</v>
      </c>
      <c r="C135" s="197">
        <v>940</v>
      </c>
      <c r="D135" s="197">
        <v>5</v>
      </c>
    </row>
    <row r="136" ht="42.95" customHeight="1" spans="1:4">
      <c r="A136" s="197">
        <v>135</v>
      </c>
      <c r="B136" s="199" t="s">
        <v>1339</v>
      </c>
      <c r="C136" s="197">
        <v>941</v>
      </c>
      <c r="D136" s="197">
        <v>3</v>
      </c>
    </row>
    <row r="137" ht="42.95" customHeight="1" spans="1:4">
      <c r="A137" s="197">
        <v>136</v>
      </c>
      <c r="B137" s="199" t="s">
        <v>1340</v>
      </c>
      <c r="C137" s="197">
        <v>941</v>
      </c>
      <c r="D137" s="197">
        <v>4</v>
      </c>
    </row>
    <row r="138" ht="42.95" customHeight="1" spans="1:4">
      <c r="A138" s="197">
        <v>137</v>
      </c>
      <c r="B138" s="199" t="s">
        <v>1341</v>
      </c>
      <c r="C138" s="197">
        <v>941</v>
      </c>
      <c r="D138" s="197">
        <v>5</v>
      </c>
    </row>
    <row r="139" ht="42.95" customHeight="1" spans="1:4">
      <c r="A139" s="197">
        <v>138</v>
      </c>
      <c r="B139" s="199" t="s">
        <v>1342</v>
      </c>
      <c r="C139" s="197">
        <v>942</v>
      </c>
      <c r="D139" s="197">
        <v>3</v>
      </c>
    </row>
    <row r="140" ht="42.95" customHeight="1" spans="1:4">
      <c r="A140" s="197">
        <v>139</v>
      </c>
      <c r="B140" s="199" t="s">
        <v>1343</v>
      </c>
      <c r="C140" s="197">
        <v>942</v>
      </c>
      <c r="D140" s="197">
        <v>4</v>
      </c>
    </row>
    <row r="141" ht="42.95" customHeight="1" spans="1:4">
      <c r="A141" s="197">
        <v>140</v>
      </c>
      <c r="B141" s="199" t="s">
        <v>1344</v>
      </c>
      <c r="C141" s="197">
        <v>942</v>
      </c>
      <c r="D141" s="197">
        <v>5</v>
      </c>
    </row>
    <row r="142" ht="42.95" customHeight="1" spans="1:4">
      <c r="A142" s="197">
        <v>141</v>
      </c>
      <c r="B142" s="199" t="s">
        <v>1345</v>
      </c>
      <c r="C142" s="197">
        <v>943</v>
      </c>
      <c r="D142" s="197">
        <v>3</v>
      </c>
    </row>
    <row r="143" ht="42.95" customHeight="1" spans="1:4">
      <c r="A143" s="197">
        <v>142</v>
      </c>
      <c r="B143" s="199" t="s">
        <v>1346</v>
      </c>
      <c r="C143" s="197">
        <v>943</v>
      </c>
      <c r="D143" s="197">
        <v>4</v>
      </c>
    </row>
    <row r="144" ht="42.95" customHeight="1" spans="1:4">
      <c r="A144" s="197">
        <v>143</v>
      </c>
      <c r="B144" s="199" t="s">
        <v>1347</v>
      </c>
      <c r="C144" s="197">
        <v>943</v>
      </c>
      <c r="D144" s="197">
        <v>5</v>
      </c>
    </row>
    <row r="145" ht="42.95" customHeight="1" spans="1:4">
      <c r="A145" s="197">
        <v>144</v>
      </c>
      <c r="B145" s="199" t="s">
        <v>1348</v>
      </c>
      <c r="C145" s="197">
        <v>1045</v>
      </c>
      <c r="D145" s="197">
        <v>2</v>
      </c>
    </row>
    <row r="146" ht="42.95" customHeight="1" spans="1:4">
      <c r="A146" s="197">
        <v>145</v>
      </c>
      <c r="B146" s="199" t="s">
        <v>1349</v>
      </c>
      <c r="C146" s="197">
        <v>1045</v>
      </c>
      <c r="D146" s="197">
        <v>7</v>
      </c>
    </row>
    <row r="147" ht="42.95" customHeight="1" spans="1:4">
      <c r="A147" s="197">
        <v>146</v>
      </c>
      <c r="B147" s="199" t="s">
        <v>1350</v>
      </c>
      <c r="C147" s="197">
        <v>1056</v>
      </c>
      <c r="D147" s="197">
        <v>3</v>
      </c>
    </row>
    <row r="148" ht="42.95" customHeight="1" spans="1:4">
      <c r="A148" s="197">
        <v>147</v>
      </c>
      <c r="B148" s="199" t="s">
        <v>1351</v>
      </c>
      <c r="C148" s="197">
        <v>1056</v>
      </c>
      <c r="D148" s="197">
        <v>4</v>
      </c>
    </row>
    <row r="149" ht="42.95" customHeight="1" spans="1:4">
      <c r="A149" s="197">
        <v>148</v>
      </c>
      <c r="B149" s="199" t="s">
        <v>1352</v>
      </c>
      <c r="C149" s="197">
        <v>1056</v>
      </c>
      <c r="D149" s="197">
        <v>5</v>
      </c>
    </row>
    <row r="150" ht="42.95" customHeight="1" spans="1:4">
      <c r="A150" s="197">
        <v>149</v>
      </c>
      <c r="B150" s="199" t="s">
        <v>1353</v>
      </c>
      <c r="C150" s="197">
        <v>1056</v>
      </c>
      <c r="D150" s="197">
        <v>11</v>
      </c>
    </row>
    <row r="151" ht="42.95" customHeight="1" spans="1:4">
      <c r="A151" s="197">
        <v>150</v>
      </c>
      <c r="B151" s="199" t="s">
        <v>1354</v>
      </c>
      <c r="C151" s="197">
        <v>1056</v>
      </c>
      <c r="D151" s="197">
        <v>13</v>
      </c>
    </row>
    <row r="152" ht="42.95" customHeight="1" spans="1:4">
      <c r="A152" s="197">
        <v>151</v>
      </c>
      <c r="B152" s="199" t="s">
        <v>1355</v>
      </c>
      <c r="C152" s="197">
        <v>1056</v>
      </c>
      <c r="D152" s="197">
        <v>14</v>
      </c>
    </row>
    <row r="153" ht="42.95" customHeight="1" spans="1:4">
      <c r="A153" s="197">
        <v>152</v>
      </c>
      <c r="B153" s="199" t="s">
        <v>1356</v>
      </c>
      <c r="C153" s="197">
        <v>1059</v>
      </c>
      <c r="D153" s="197">
        <v>2</v>
      </c>
    </row>
    <row r="154" ht="42.95" customHeight="1" spans="1:4">
      <c r="A154" s="197">
        <v>153</v>
      </c>
      <c r="B154" s="199" t="s">
        <v>1357</v>
      </c>
      <c r="C154" s="197">
        <v>1066</v>
      </c>
      <c r="D154" s="197">
        <v>3</v>
      </c>
    </row>
    <row r="155" ht="42.95" customHeight="1" spans="1:4">
      <c r="A155" s="197">
        <v>154</v>
      </c>
      <c r="B155" s="199" t="s">
        <v>1358</v>
      </c>
      <c r="C155" s="197">
        <v>1066</v>
      </c>
      <c r="D155" s="197">
        <v>4</v>
      </c>
    </row>
    <row r="156" ht="42.95" customHeight="1" spans="1:4">
      <c r="A156" s="197">
        <v>155</v>
      </c>
      <c r="B156" s="199" t="s">
        <v>1359</v>
      </c>
      <c r="C156" s="197">
        <v>1066</v>
      </c>
      <c r="D156" s="197">
        <v>6</v>
      </c>
    </row>
    <row r="157" ht="42.95" customHeight="1" spans="1:4">
      <c r="A157" s="197">
        <v>156</v>
      </c>
      <c r="B157" s="199" t="s">
        <v>1360</v>
      </c>
      <c r="C157" s="197">
        <v>1066</v>
      </c>
      <c r="D157" s="197">
        <v>11</v>
      </c>
    </row>
    <row r="158" ht="42.95" customHeight="1" spans="1:4">
      <c r="A158" s="197">
        <v>157</v>
      </c>
      <c r="B158" s="199" t="s">
        <v>1361</v>
      </c>
      <c r="C158" s="197">
        <v>1066</v>
      </c>
      <c r="D158" s="197">
        <v>13</v>
      </c>
    </row>
    <row r="159" ht="42.95" customHeight="1" spans="1:4">
      <c r="A159" s="197">
        <v>158</v>
      </c>
      <c r="B159" s="199" t="s">
        <v>1362</v>
      </c>
      <c r="C159" s="197">
        <v>1066</v>
      </c>
      <c r="D159" s="197">
        <v>14</v>
      </c>
    </row>
    <row r="160" ht="42.95" customHeight="1" spans="1:4">
      <c r="A160" s="197">
        <v>159</v>
      </c>
      <c r="B160" s="199" t="s">
        <v>1363</v>
      </c>
      <c r="C160" s="197">
        <v>1067</v>
      </c>
      <c r="D160" s="197">
        <v>2</v>
      </c>
    </row>
    <row r="161" ht="42.95" customHeight="1" spans="1:4">
      <c r="A161" s="197">
        <v>160</v>
      </c>
      <c r="B161" s="199" t="s">
        <v>1364</v>
      </c>
      <c r="C161" s="197">
        <v>1068</v>
      </c>
      <c r="D161" s="197">
        <v>2</v>
      </c>
    </row>
    <row r="162" ht="42.95" customHeight="1" spans="1:4">
      <c r="A162" s="197">
        <v>161</v>
      </c>
      <c r="B162" s="199" t="s">
        <v>1365</v>
      </c>
      <c r="C162" s="197">
        <v>1671</v>
      </c>
      <c r="D162" s="197">
        <v>2</v>
      </c>
    </row>
    <row r="163" ht="42.95" customHeight="1" spans="1:4">
      <c r="A163" s="197">
        <v>162</v>
      </c>
      <c r="B163" s="199" t="s">
        <v>1366</v>
      </c>
      <c r="C163" s="197">
        <v>1807</v>
      </c>
      <c r="D163" s="197">
        <v>0</v>
      </c>
    </row>
    <row r="164" ht="42.95" customHeight="1" spans="1:4">
      <c r="A164" s="197">
        <v>163</v>
      </c>
      <c r="B164" s="199" t="s">
        <v>1367</v>
      </c>
      <c r="C164" s="197">
        <v>1807</v>
      </c>
      <c r="D164" s="197">
        <v>2</v>
      </c>
    </row>
    <row r="165" ht="42.95" customHeight="1" spans="1:4">
      <c r="A165" s="197">
        <v>164</v>
      </c>
      <c r="B165" s="199" t="s">
        <v>1368</v>
      </c>
      <c r="C165" s="197">
        <v>1807</v>
      </c>
      <c r="D165" s="197">
        <v>7</v>
      </c>
    </row>
    <row r="166" ht="42.95" customHeight="1" spans="1:4">
      <c r="A166" s="197">
        <v>165</v>
      </c>
      <c r="B166" s="199" t="s">
        <v>1369</v>
      </c>
      <c r="C166" s="197">
        <v>1807</v>
      </c>
      <c r="D166" s="197">
        <v>9</v>
      </c>
    </row>
    <row r="167" ht="42.95" customHeight="1" spans="1:4">
      <c r="A167" s="197">
        <v>166</v>
      </c>
      <c r="B167" s="199" t="s">
        <v>1370</v>
      </c>
      <c r="C167" s="197">
        <v>1807</v>
      </c>
      <c r="D167" s="197">
        <v>10</v>
      </c>
    </row>
    <row r="168" ht="42.95" customHeight="1" spans="1:4">
      <c r="A168" s="197">
        <v>167</v>
      </c>
      <c r="B168" s="199" t="s">
        <v>1371</v>
      </c>
      <c r="C168" s="197">
        <v>1807</v>
      </c>
      <c r="D168" s="197">
        <v>11</v>
      </c>
    </row>
    <row r="169" ht="42.95" customHeight="1" spans="1:4">
      <c r="A169" s="197">
        <v>168</v>
      </c>
      <c r="B169" s="199" t="s">
        <v>1372</v>
      </c>
      <c r="C169" s="197">
        <v>1807</v>
      </c>
      <c r="D169" s="197">
        <v>12</v>
      </c>
    </row>
    <row r="170" ht="42.95" customHeight="1" spans="1:4">
      <c r="A170" s="197">
        <v>169</v>
      </c>
      <c r="B170" s="199" t="s">
        <v>1373</v>
      </c>
      <c r="C170" s="197">
        <v>1807</v>
      </c>
      <c r="D170" s="197">
        <v>13</v>
      </c>
    </row>
    <row r="171" ht="42.95" customHeight="1" spans="1:4">
      <c r="A171" s="197">
        <v>170</v>
      </c>
      <c r="B171" s="199" t="s">
        <v>1374</v>
      </c>
      <c r="C171" s="197">
        <v>1807</v>
      </c>
      <c r="D171" s="197">
        <v>14</v>
      </c>
    </row>
    <row r="172" ht="42.95" customHeight="1" spans="1:4">
      <c r="A172" s="197">
        <v>171</v>
      </c>
      <c r="B172" s="199" t="s">
        <v>1375</v>
      </c>
      <c r="C172" s="197">
        <v>1808</v>
      </c>
      <c r="D172" s="197">
        <v>0</v>
      </c>
    </row>
    <row r="173" ht="42.95" customHeight="1" spans="1:4">
      <c r="A173" s="197">
        <v>172</v>
      </c>
      <c r="B173" s="199" t="s">
        <v>1376</v>
      </c>
      <c r="C173" s="197">
        <v>1808</v>
      </c>
      <c r="D173" s="197">
        <v>2</v>
      </c>
    </row>
    <row r="174" ht="42.95" customHeight="1" spans="1:4">
      <c r="A174" s="197">
        <v>173</v>
      </c>
      <c r="B174" s="199" t="s">
        <v>1377</v>
      </c>
      <c r="C174" s="197">
        <v>1808</v>
      </c>
      <c r="D174" s="197">
        <v>3</v>
      </c>
    </row>
    <row r="175" ht="42.95" customHeight="1" spans="1:4">
      <c r="A175" s="197">
        <v>174</v>
      </c>
      <c r="B175" s="199" t="s">
        <v>1378</v>
      </c>
      <c r="C175" s="197">
        <v>1808</v>
      </c>
      <c r="D175" s="197">
        <v>7</v>
      </c>
    </row>
    <row r="176" ht="42.95" customHeight="1" spans="1:4">
      <c r="A176" s="197">
        <v>175</v>
      </c>
      <c r="B176" s="199" t="s">
        <v>1379</v>
      </c>
      <c r="C176" s="197">
        <v>1808</v>
      </c>
      <c r="D176" s="197">
        <v>8</v>
      </c>
    </row>
    <row r="177" ht="42.95" customHeight="1" spans="1:4">
      <c r="A177" s="197">
        <v>176</v>
      </c>
      <c r="B177" s="199" t="s">
        <v>1380</v>
      </c>
      <c r="C177" s="197">
        <v>1808</v>
      </c>
      <c r="D177" s="197">
        <v>9</v>
      </c>
    </row>
    <row r="178" ht="42.95" customHeight="1" spans="1:4">
      <c r="A178" s="197">
        <v>177</v>
      </c>
      <c r="B178" s="199" t="s">
        <v>1381</v>
      </c>
      <c r="C178" s="197">
        <v>1808</v>
      </c>
      <c r="D178" s="197">
        <v>10</v>
      </c>
    </row>
    <row r="179" ht="42.95" customHeight="1" spans="1:4">
      <c r="A179" s="197">
        <v>178</v>
      </c>
      <c r="B179" s="199" t="s">
        <v>1382</v>
      </c>
      <c r="C179" s="197">
        <v>1808</v>
      </c>
      <c r="D179" s="197">
        <v>11</v>
      </c>
    </row>
    <row r="180" ht="42.95" customHeight="1" spans="1:4">
      <c r="A180" s="197">
        <v>179</v>
      </c>
      <c r="B180" s="199" t="s">
        <v>1383</v>
      </c>
      <c r="C180" s="197">
        <v>1808</v>
      </c>
      <c r="D180" s="197">
        <v>12</v>
      </c>
    </row>
    <row r="181" ht="42.95" customHeight="1" spans="1:4">
      <c r="A181" s="197">
        <v>180</v>
      </c>
      <c r="B181" s="199" t="s">
        <v>1384</v>
      </c>
      <c r="C181" s="197">
        <v>1808</v>
      </c>
      <c r="D181" s="197">
        <v>13</v>
      </c>
    </row>
    <row r="182" ht="42.95" customHeight="1" spans="1:4">
      <c r="A182" s="197">
        <v>181</v>
      </c>
      <c r="B182" s="199" t="s">
        <v>1385</v>
      </c>
      <c r="C182" s="197">
        <v>1808</v>
      </c>
      <c r="D182" s="197">
        <v>14</v>
      </c>
    </row>
    <row r="183" ht="42.95" customHeight="1" spans="1:4">
      <c r="A183" s="197">
        <v>182</v>
      </c>
      <c r="B183" s="199" t="s">
        <v>1386</v>
      </c>
      <c r="C183" s="197">
        <v>1809</v>
      </c>
      <c r="D183" s="197">
        <v>0</v>
      </c>
    </row>
    <row r="184" ht="42.95" customHeight="1" spans="1:4">
      <c r="A184" s="197">
        <v>183</v>
      </c>
      <c r="B184" s="199" t="s">
        <v>1387</v>
      </c>
      <c r="C184" s="197">
        <v>1809</v>
      </c>
      <c r="D184" s="197">
        <v>2</v>
      </c>
    </row>
    <row r="185" ht="42.95" customHeight="1" spans="1:4">
      <c r="A185" s="197">
        <v>184</v>
      </c>
      <c r="B185" s="199" t="s">
        <v>1388</v>
      </c>
      <c r="C185" s="197">
        <v>1809</v>
      </c>
      <c r="D185" s="197">
        <v>11</v>
      </c>
    </row>
    <row r="186" ht="42.95" customHeight="1" spans="1:4">
      <c r="A186" s="197">
        <v>185</v>
      </c>
      <c r="B186" s="199" t="s">
        <v>1389</v>
      </c>
      <c r="C186" s="197">
        <v>1809</v>
      </c>
      <c r="D186" s="197">
        <v>13</v>
      </c>
    </row>
    <row r="187" ht="42.95" customHeight="1" spans="1:4">
      <c r="A187" s="197">
        <v>186</v>
      </c>
      <c r="B187" s="199" t="s">
        <v>1390</v>
      </c>
      <c r="C187" s="197">
        <v>1809</v>
      </c>
      <c r="D187" s="197">
        <v>14</v>
      </c>
    </row>
    <row r="188" ht="42.95" customHeight="1" spans="1:4">
      <c r="A188" s="197">
        <v>187</v>
      </c>
      <c r="B188" s="199" t="s">
        <v>1391</v>
      </c>
      <c r="C188" s="197">
        <v>520250</v>
      </c>
      <c r="D188" s="197">
        <v>14</v>
      </c>
    </row>
    <row r="189" ht="42.95" customHeight="1" spans="1:4">
      <c r="A189" s="197">
        <v>188</v>
      </c>
      <c r="B189" s="199" t="s">
        <v>1392</v>
      </c>
      <c r="C189" s="197">
        <v>520251</v>
      </c>
      <c r="D189" s="197">
        <v>14</v>
      </c>
    </row>
    <row r="190" ht="42.95" customHeight="1" spans="1:4">
      <c r="A190" s="197">
        <v>189</v>
      </c>
      <c r="B190" s="199" t="s">
        <v>1393</v>
      </c>
      <c r="C190" s="200" t="s">
        <v>1394</v>
      </c>
      <c r="D190" s="197">
        <v>4</v>
      </c>
    </row>
    <row r="191" ht="42.95" customHeight="1" spans="1:4">
      <c r="A191" s="197">
        <v>190</v>
      </c>
      <c r="B191" s="199" t="s">
        <v>1395</v>
      </c>
      <c r="C191" s="197">
        <v>521010</v>
      </c>
      <c r="D191" s="197">
        <v>2</v>
      </c>
    </row>
    <row r="192" ht="42.95" customHeight="1" spans="1:4">
      <c r="A192" s="197">
        <v>191</v>
      </c>
      <c r="B192" s="199" t="s">
        <v>1396</v>
      </c>
      <c r="C192" s="197">
        <v>521011</v>
      </c>
      <c r="D192" s="197">
        <v>2</v>
      </c>
    </row>
    <row r="193" ht="42.95" customHeight="1" spans="1:4">
      <c r="A193" s="197">
        <v>192</v>
      </c>
      <c r="B193" s="199" t="s">
        <v>1397</v>
      </c>
      <c r="C193" s="197">
        <v>521012</v>
      </c>
      <c r="D193" s="197">
        <v>2</v>
      </c>
    </row>
    <row r="194" ht="42.95" customHeight="1" spans="1:4">
      <c r="A194" s="197">
        <v>193</v>
      </c>
      <c r="B194" s="199" t="s">
        <v>1398</v>
      </c>
      <c r="C194" s="197">
        <v>521014</v>
      </c>
      <c r="D194" s="197">
        <v>2</v>
      </c>
    </row>
    <row r="195" ht="42.95" customHeight="1" spans="1:4">
      <c r="A195" s="197">
        <v>194</v>
      </c>
      <c r="B195" s="199" t="s">
        <v>1399</v>
      </c>
      <c r="C195" s="197">
        <v>521016</v>
      </c>
      <c r="D195" s="197">
        <v>2</v>
      </c>
    </row>
    <row r="196" ht="42.95" customHeight="1" spans="1:4">
      <c r="A196" s="197">
        <v>195</v>
      </c>
      <c r="B196" s="199" t="s">
        <v>1400</v>
      </c>
      <c r="C196" s="197">
        <v>521017</v>
      </c>
      <c r="D196" s="197">
        <v>2</v>
      </c>
    </row>
    <row r="197" ht="42.95" customHeight="1" spans="1:4">
      <c r="A197" s="197">
        <v>196</v>
      </c>
      <c r="B197" s="199" t="s">
        <v>1401</v>
      </c>
      <c r="C197" s="197">
        <v>521018</v>
      </c>
      <c r="D197" s="197">
        <v>2</v>
      </c>
    </row>
    <row r="198" ht="42.95" customHeight="1" spans="1:4">
      <c r="A198" s="197">
        <v>197</v>
      </c>
      <c r="B198" s="199" t="s">
        <v>1402</v>
      </c>
      <c r="C198" s="197">
        <v>521019</v>
      </c>
      <c r="D198" s="197">
        <v>2</v>
      </c>
    </row>
    <row r="199" ht="42.95" customHeight="1" spans="1:4">
      <c r="A199" s="197">
        <v>198</v>
      </c>
      <c r="B199" s="199" t="s">
        <v>1403</v>
      </c>
      <c r="C199" s="197">
        <v>521020</v>
      </c>
      <c r="D199" s="197">
        <v>2</v>
      </c>
    </row>
    <row r="200" ht="42.95" customHeight="1" spans="1:4">
      <c r="A200" s="197">
        <v>199</v>
      </c>
      <c r="B200" s="199" t="s">
        <v>1404</v>
      </c>
      <c r="C200" s="197">
        <v>521021</v>
      </c>
      <c r="D200" s="197">
        <v>2</v>
      </c>
    </row>
    <row r="201" ht="42.95" customHeight="1" spans="1:4">
      <c r="A201" s="197">
        <v>200</v>
      </c>
      <c r="B201" s="199" t="s">
        <v>1405</v>
      </c>
      <c r="C201" s="197">
        <v>521022</v>
      </c>
      <c r="D201" s="197">
        <v>2</v>
      </c>
    </row>
    <row r="202" ht="42.95" customHeight="1" spans="1:4">
      <c r="A202" s="197">
        <v>201</v>
      </c>
      <c r="B202" s="199" t="s">
        <v>1406</v>
      </c>
      <c r="C202" s="197">
        <v>521023</v>
      </c>
      <c r="D202" s="197">
        <v>2</v>
      </c>
    </row>
    <row r="203" ht="42.95" customHeight="1" spans="1:4">
      <c r="A203" s="197">
        <v>202</v>
      </c>
      <c r="B203" s="199" t="s">
        <v>1407</v>
      </c>
      <c r="C203" s="197">
        <v>521024</v>
      </c>
      <c r="D203" s="197">
        <v>2</v>
      </c>
    </row>
    <row r="204" ht="42.95" customHeight="1" spans="1:4">
      <c r="A204" s="197">
        <v>203</v>
      </c>
      <c r="B204" s="199" t="s">
        <v>1408</v>
      </c>
      <c r="C204" s="197">
        <v>521025</v>
      </c>
      <c r="D204" s="197">
        <v>2</v>
      </c>
    </row>
    <row r="205" ht="42.95" customHeight="1" spans="1:4">
      <c r="A205" s="197">
        <v>204</v>
      </c>
      <c r="B205" s="199" t="s">
        <v>1409</v>
      </c>
      <c r="C205" s="197">
        <v>521026</v>
      </c>
      <c r="D205" s="197">
        <v>2</v>
      </c>
    </row>
    <row r="206" ht="42.95" customHeight="1" spans="1:4">
      <c r="A206" s="197">
        <v>205</v>
      </c>
      <c r="B206" s="199" t="s">
        <v>1410</v>
      </c>
      <c r="C206" s="197">
        <v>521027</v>
      </c>
      <c r="D206" s="197">
        <v>2</v>
      </c>
    </row>
    <row r="207" ht="42.95" customHeight="1" spans="1:4">
      <c r="A207" s="197">
        <v>206</v>
      </c>
      <c r="B207" s="199" t="s">
        <v>1411</v>
      </c>
      <c r="C207" s="197">
        <v>521028</v>
      </c>
      <c r="D207" s="197">
        <v>2</v>
      </c>
    </row>
    <row r="208" ht="14.25" spans="1:4">
      <c r="A208" s="197">
        <v>207</v>
      </c>
      <c r="B208" s="199" t="s">
        <v>1412</v>
      </c>
      <c r="C208" s="197">
        <v>521029</v>
      </c>
      <c r="D208" s="197">
        <v>2</v>
      </c>
    </row>
    <row r="209" ht="14.25" spans="1:4">
      <c r="A209" s="197">
        <v>208</v>
      </c>
      <c r="B209" s="199" t="s">
        <v>1413</v>
      </c>
      <c r="C209" s="197">
        <v>521030</v>
      </c>
      <c r="D209" s="197">
        <v>2</v>
      </c>
    </row>
    <row r="210" ht="14.25" spans="1:4">
      <c r="A210" s="197">
        <v>209</v>
      </c>
      <c r="B210" s="199" t="s">
        <v>1414</v>
      </c>
      <c r="C210" s="197">
        <v>521031</v>
      </c>
      <c r="D210" s="197">
        <v>2</v>
      </c>
    </row>
    <row r="211" ht="14.25" spans="1:4">
      <c r="A211" s="197">
        <v>210</v>
      </c>
      <c r="B211" s="199" t="s">
        <v>1415</v>
      </c>
      <c r="C211" s="197">
        <v>521032</v>
      </c>
      <c r="D211" s="197">
        <v>2</v>
      </c>
    </row>
    <row r="212" ht="14.25" spans="1:4">
      <c r="A212" s="201">
        <v>211</v>
      </c>
      <c r="B212" s="202" t="s">
        <v>1416</v>
      </c>
      <c r="C212" s="201" t="s">
        <v>1417</v>
      </c>
      <c r="D212" s="201" t="s">
        <v>1418</v>
      </c>
    </row>
    <row r="213" ht="14.25" spans="1:4">
      <c r="A213" s="201">
        <v>212</v>
      </c>
      <c r="B213" s="202" t="s">
        <v>1419</v>
      </c>
      <c r="C213" s="201" t="s">
        <v>1420</v>
      </c>
      <c r="D213" s="201" t="s">
        <v>1421</v>
      </c>
    </row>
    <row r="214" ht="14.25" spans="1:4">
      <c r="A214" s="201">
        <v>213</v>
      </c>
      <c r="B214" s="202" t="s">
        <v>1422</v>
      </c>
      <c r="C214" s="201" t="s">
        <v>1423</v>
      </c>
      <c r="D214" s="201" t="s">
        <v>1424</v>
      </c>
    </row>
    <row r="215" ht="14.25" spans="1:4">
      <c r="A215" s="201">
        <v>214</v>
      </c>
      <c r="B215" s="202" t="s">
        <v>1425</v>
      </c>
      <c r="C215" s="201" t="s">
        <v>1426</v>
      </c>
      <c r="D215" s="201" t="s">
        <v>1427</v>
      </c>
    </row>
    <row r="216" ht="14.25" spans="1:4">
      <c r="A216" s="201">
        <v>215</v>
      </c>
      <c r="B216" s="202" t="s">
        <v>1428</v>
      </c>
      <c r="C216" s="201" t="s">
        <v>1429</v>
      </c>
      <c r="D216" s="201" t="s">
        <v>1427</v>
      </c>
    </row>
    <row r="217" ht="14.25" spans="1:4">
      <c r="A217" s="201">
        <v>216</v>
      </c>
      <c r="B217" s="202" t="s">
        <v>1430</v>
      </c>
      <c r="C217" s="201" t="s">
        <v>1431</v>
      </c>
      <c r="D217" s="201" t="s">
        <v>1427</v>
      </c>
    </row>
    <row r="218" ht="14.25" spans="1:4">
      <c r="A218" s="201">
        <v>217</v>
      </c>
      <c r="B218" s="202" t="s">
        <v>1432</v>
      </c>
      <c r="C218" s="201" t="s">
        <v>1431</v>
      </c>
      <c r="D218" s="201" t="s">
        <v>1433</v>
      </c>
    </row>
    <row r="219" ht="14.25" spans="1:4">
      <c r="A219" s="201">
        <v>218</v>
      </c>
      <c r="B219" s="202" t="s">
        <v>1434</v>
      </c>
      <c r="C219" s="201" t="s">
        <v>1431</v>
      </c>
      <c r="D219" s="201" t="s">
        <v>1418</v>
      </c>
    </row>
    <row r="220" ht="14.25" spans="1:4">
      <c r="A220" s="201">
        <v>219</v>
      </c>
      <c r="B220" s="202" t="s">
        <v>1435</v>
      </c>
      <c r="C220" s="201" t="s">
        <v>1436</v>
      </c>
      <c r="D220" s="201" t="s">
        <v>1437</v>
      </c>
    </row>
    <row r="221" ht="14.25" spans="1:4">
      <c r="A221" s="201">
        <v>220</v>
      </c>
      <c r="B221" s="202" t="s">
        <v>1438</v>
      </c>
      <c r="C221" s="201" t="s">
        <v>1439</v>
      </c>
      <c r="D221" s="201" t="s">
        <v>1424</v>
      </c>
    </row>
    <row r="222" ht="14.25" spans="1:4">
      <c r="A222" s="201">
        <v>221</v>
      </c>
      <c r="B222" s="202" t="s">
        <v>1440</v>
      </c>
      <c r="C222" s="201" t="s">
        <v>1441</v>
      </c>
      <c r="D222" s="201" t="s">
        <v>1424</v>
      </c>
    </row>
    <row r="223" ht="14.25" spans="1:4">
      <c r="A223" s="201">
        <v>222</v>
      </c>
      <c r="B223" s="202" t="s">
        <v>1442</v>
      </c>
      <c r="C223" s="201" t="s">
        <v>1443</v>
      </c>
      <c r="D223" s="201" t="s">
        <v>1424</v>
      </c>
    </row>
    <row r="224" ht="14.25" spans="1:4">
      <c r="A224" s="201">
        <v>223</v>
      </c>
      <c r="B224" s="202" t="s">
        <v>1444</v>
      </c>
      <c r="C224" s="201" t="s">
        <v>1445</v>
      </c>
      <c r="D224" s="201" t="s">
        <v>1424</v>
      </c>
    </row>
    <row r="225" ht="14.25" spans="1:4">
      <c r="A225" s="201">
        <v>224</v>
      </c>
      <c r="B225" s="202" t="s">
        <v>1446</v>
      </c>
      <c r="C225" s="201" t="s">
        <v>1447</v>
      </c>
      <c r="D225" s="201" t="s">
        <v>1424</v>
      </c>
    </row>
    <row r="226" ht="14.25" spans="1:4">
      <c r="A226" s="201">
        <v>225</v>
      </c>
      <c r="B226" s="202" t="s">
        <v>1448</v>
      </c>
      <c r="C226" s="201" t="s">
        <v>1449</v>
      </c>
      <c r="D226" s="201" t="s">
        <v>1424</v>
      </c>
    </row>
  </sheetData>
  <pageMargins left="0.7" right="0.7" top="0.75" bottom="0.75" header="0.3" footer="0.3"/>
  <pageSetup paperSize="9" orientation="portrait"/>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0"/>
  </sheetPr>
  <dimension ref="A1:AD793"/>
  <sheetViews>
    <sheetView zoomScale="90" zoomScaleNormal="90" topLeftCell="A748" workbookViewId="0">
      <selection activeCell="L797" sqref="L797"/>
    </sheetView>
  </sheetViews>
  <sheetFormatPr defaultColWidth="0" defaultRowHeight="13.5"/>
  <cols>
    <col min="1" max="1" width="5.75" style="41" customWidth="1"/>
    <col min="2" max="3" width="9.875" style="41" hidden="1" customWidth="1"/>
    <col min="5" max="5" width="4.5" hidden="1"/>
    <col min="6" max="6" width="10.5" style="41" hidden="1" customWidth="1"/>
    <col min="7" max="7" width="5.5" style="41" hidden="1" customWidth="1"/>
    <col min="8" max="8" width="34.625" style="41" hidden="1" customWidth="1"/>
    <col min="9" max="9" width="255.75" style="41" hidden="1" customWidth="1"/>
    <col min="10" max="10" width="42.5" style="41" customWidth="1"/>
    <col min="11" max="11" width="64.375" style="41" hidden="1" customWidth="1"/>
    <col min="12" max="12" width="6.75" style="41" customWidth="1"/>
    <col min="13" max="13" width="4.5" style="41" customWidth="1"/>
    <col min="14" max="14" width="102.75" style="41" customWidth="1"/>
    <col min="15" max="15" width="13.875" style="41" hidden="1" customWidth="1"/>
    <col min="16" max="16" width="8.875" style="41" hidden="1" customWidth="1"/>
    <col min="17" max="17" width="17.75" style="41" hidden="1" customWidth="1"/>
    <col min="18" max="19" width="8.875" style="41" hidden="1" customWidth="1"/>
    <col min="20" max="20" width="24.375" style="41" hidden="1" customWidth="1"/>
    <col min="21" max="26" width="8.875" style="41" hidden="1" customWidth="1"/>
    <col min="27" max="27" width="25.5" style="41" hidden="1" customWidth="1"/>
    <col min="28" max="30" width="0" style="41" hidden="1" customWidth="1"/>
    <col min="31" max="16384" width="8.875" style="41" hidden="1"/>
  </cols>
  <sheetData>
    <row r="1" spans="1:14">
      <c r="A1" s="188" t="s">
        <v>101</v>
      </c>
      <c r="B1" s="189" t="s">
        <v>1450</v>
      </c>
      <c r="C1" s="189" t="s">
        <v>1451</v>
      </c>
      <c r="F1" s="189"/>
      <c r="G1" s="189" t="s">
        <v>1452</v>
      </c>
      <c r="H1" s="189" t="s">
        <v>1453</v>
      </c>
      <c r="I1" s="189"/>
      <c r="J1" s="191" t="s">
        <v>1454</v>
      </c>
      <c r="K1" s="191" t="s">
        <v>1455</v>
      </c>
      <c r="L1" s="188" t="s">
        <v>104</v>
      </c>
      <c r="M1" s="188" t="s">
        <v>105</v>
      </c>
      <c r="N1" s="189" t="s">
        <v>1456</v>
      </c>
    </row>
    <row r="2" spans="1:30">
      <c r="A2" s="190">
        <v>1</v>
      </c>
      <c r="B2" s="40">
        <v>1</v>
      </c>
      <c r="C2" s="40">
        <v>4</v>
      </c>
      <c r="F2" s="40" t="s">
        <v>1457</v>
      </c>
      <c r="G2" s="40"/>
      <c r="H2" s="40" t="s">
        <v>1458</v>
      </c>
      <c r="I2" s="40" t="s">
        <v>1459</v>
      </c>
      <c r="J2" s="40" t="s">
        <v>1460</v>
      </c>
      <c r="K2" s="40" t="s">
        <v>1461</v>
      </c>
      <c r="L2" s="190">
        <v>260</v>
      </c>
      <c r="M2" s="190">
        <v>0</v>
      </c>
      <c r="N2" s="40" t="s">
        <v>1462</v>
      </c>
      <c r="O2" s="41" t="str">
        <f t="shared" ref="O2:O65" si="0">"EBS1_"&amp;L2&amp;"_"&amp;M2</f>
        <v>EBS1_260_0</v>
      </c>
      <c r="P2" s="41" t="s">
        <v>1463</v>
      </c>
      <c r="Q2" s="41" t="s">
        <v>1464</v>
      </c>
      <c r="R2" s="41">
        <v>1</v>
      </c>
      <c r="S2" s="41" t="s">
        <v>1465</v>
      </c>
      <c r="T2" s="41" t="str">
        <f>P2&amp;$Q$2&amp;R2&amp;$S$2</f>
        <v>26000:Var_ui_ErrNo:=1;</v>
      </c>
      <c r="AA2" s="41" t="s">
        <v>1466</v>
      </c>
      <c r="AB2" s="41" t="s">
        <v>1467</v>
      </c>
      <c r="AC2" s="41">
        <v>1</v>
      </c>
      <c r="AD2" s="41" t="s">
        <v>1465</v>
      </c>
    </row>
    <row r="3" spans="1:20">
      <c r="A3" s="190">
        <v>2</v>
      </c>
      <c r="B3" s="40">
        <v>1</v>
      </c>
      <c r="C3" s="40">
        <v>5</v>
      </c>
      <c r="F3" s="40" t="s">
        <v>1457</v>
      </c>
      <c r="G3" s="40"/>
      <c r="H3" s="40" t="s">
        <v>1468</v>
      </c>
      <c r="I3" s="40" t="s">
        <v>1469</v>
      </c>
      <c r="J3" s="40" t="s">
        <v>1470</v>
      </c>
      <c r="K3" s="40" t="s">
        <v>1471</v>
      </c>
      <c r="L3" s="190">
        <v>261</v>
      </c>
      <c r="M3" s="190">
        <v>0</v>
      </c>
      <c r="N3" s="40" t="s">
        <v>1472</v>
      </c>
      <c r="O3" s="41" t="str">
        <f t="shared" si="0"/>
        <v>EBS1_261_0</v>
      </c>
      <c r="P3" s="41" t="s">
        <v>1473</v>
      </c>
      <c r="R3" s="41">
        <v>2</v>
      </c>
      <c r="T3" s="41" t="str">
        <f t="shared" ref="T3:T66" si="1">P3&amp;$Q$2&amp;R3&amp;$S$2</f>
        <v>26100:Var_ui_ErrNo:=2;</v>
      </c>
    </row>
    <row r="4" spans="1:20">
      <c r="A4" s="190">
        <v>3</v>
      </c>
      <c r="B4" s="40">
        <v>1</v>
      </c>
      <c r="C4" s="40">
        <v>6</v>
      </c>
      <c r="F4" s="40" t="s">
        <v>1457</v>
      </c>
      <c r="G4" s="40"/>
      <c r="H4" s="40" t="s">
        <v>1468</v>
      </c>
      <c r="I4" s="40" t="s">
        <v>1474</v>
      </c>
      <c r="J4" s="40" t="s">
        <v>1475</v>
      </c>
      <c r="K4" s="40" t="s">
        <v>1476</v>
      </c>
      <c r="L4" s="190">
        <v>262</v>
      </c>
      <c r="M4" s="190">
        <v>0</v>
      </c>
      <c r="N4" s="40" t="s">
        <v>1472</v>
      </c>
      <c r="O4" s="41" t="str">
        <f t="shared" si="0"/>
        <v>EBS1_262_0</v>
      </c>
      <c r="P4" s="41" t="s">
        <v>1477</v>
      </c>
      <c r="R4" s="41">
        <v>3</v>
      </c>
      <c r="T4" s="41" t="str">
        <f t="shared" si="1"/>
        <v>26200:Var_ui_ErrNo:=3;</v>
      </c>
    </row>
    <row r="5" spans="1:20">
      <c r="A5" s="190">
        <v>4</v>
      </c>
      <c r="B5" s="40">
        <v>1</v>
      </c>
      <c r="C5" s="40">
        <v>9</v>
      </c>
      <c r="F5" s="40" t="s">
        <v>1457</v>
      </c>
      <c r="G5" s="40"/>
      <c r="H5" s="40" t="s">
        <v>1478</v>
      </c>
      <c r="I5" s="40" t="s">
        <v>1479</v>
      </c>
      <c r="J5" s="40" t="s">
        <v>1480</v>
      </c>
      <c r="K5" s="40" t="s">
        <v>1481</v>
      </c>
      <c r="L5" s="190">
        <v>265</v>
      </c>
      <c r="M5" s="190">
        <v>0</v>
      </c>
      <c r="N5" s="40" t="s">
        <v>1482</v>
      </c>
      <c r="O5" s="41" t="str">
        <f t="shared" si="0"/>
        <v>EBS1_265_0</v>
      </c>
      <c r="P5" s="41" t="s">
        <v>1483</v>
      </c>
      <c r="R5" s="41">
        <v>4</v>
      </c>
      <c r="T5" s="41" t="str">
        <f t="shared" si="1"/>
        <v>26500:Var_ui_ErrNo:=4;</v>
      </c>
    </row>
    <row r="6" spans="1:20">
      <c r="A6" s="190">
        <v>5</v>
      </c>
      <c r="B6" s="40">
        <v>1</v>
      </c>
      <c r="C6" s="40">
        <v>17</v>
      </c>
      <c r="F6" s="40" t="s">
        <v>1457</v>
      </c>
      <c r="G6" s="40"/>
      <c r="H6" s="40" t="s">
        <v>1468</v>
      </c>
      <c r="I6" s="40" t="s">
        <v>1484</v>
      </c>
      <c r="J6" s="40" t="s">
        <v>1485</v>
      </c>
      <c r="K6" s="40" t="s">
        <v>1486</v>
      </c>
      <c r="L6" s="190">
        <v>273</v>
      </c>
      <c r="M6" s="190">
        <v>0</v>
      </c>
      <c r="N6" s="40" t="s">
        <v>1472</v>
      </c>
      <c r="O6" s="41" t="str">
        <f t="shared" si="0"/>
        <v>EBS1_273_0</v>
      </c>
      <c r="P6" s="41" t="s">
        <v>1487</v>
      </c>
      <c r="R6" s="41">
        <v>5</v>
      </c>
      <c r="T6" s="41" t="str">
        <f t="shared" si="1"/>
        <v>27300:Var_ui_ErrNo:=5;</v>
      </c>
    </row>
    <row r="7" spans="1:20">
      <c r="A7" s="190">
        <v>6</v>
      </c>
      <c r="B7" s="40">
        <v>1</v>
      </c>
      <c r="C7" s="40">
        <v>18</v>
      </c>
      <c r="F7" s="40" t="s">
        <v>1457</v>
      </c>
      <c r="G7" s="40"/>
      <c r="H7" s="40" t="s">
        <v>1468</v>
      </c>
      <c r="I7" s="40" t="s">
        <v>1488</v>
      </c>
      <c r="J7" s="40" t="s">
        <v>1489</v>
      </c>
      <c r="K7" s="40" t="s">
        <v>1490</v>
      </c>
      <c r="L7" s="190">
        <v>274</v>
      </c>
      <c r="M7" s="190">
        <v>0</v>
      </c>
      <c r="N7" s="40" t="s">
        <v>1472</v>
      </c>
      <c r="O7" s="41" t="str">
        <f t="shared" si="0"/>
        <v>EBS1_274_0</v>
      </c>
      <c r="P7" s="41" t="s">
        <v>1491</v>
      </c>
      <c r="R7" s="41">
        <v>6</v>
      </c>
      <c r="T7" s="41" t="str">
        <f t="shared" si="1"/>
        <v>27400:Var_ui_ErrNo:=6;</v>
      </c>
    </row>
    <row r="8" spans="1:20">
      <c r="A8" s="190">
        <v>7</v>
      </c>
      <c r="B8" s="40">
        <v>1</v>
      </c>
      <c r="C8" s="40">
        <v>40</v>
      </c>
      <c r="F8" s="40" t="s">
        <v>1492</v>
      </c>
      <c r="G8" s="40"/>
      <c r="H8" s="40" t="s">
        <v>1493</v>
      </c>
      <c r="I8" s="40" t="s">
        <v>1494</v>
      </c>
      <c r="J8" s="40" t="s">
        <v>1495</v>
      </c>
      <c r="K8" s="40" t="s">
        <v>1496</v>
      </c>
      <c r="L8" s="190">
        <v>296</v>
      </c>
      <c r="M8" s="190">
        <v>0</v>
      </c>
      <c r="N8" s="40" t="s">
        <v>1497</v>
      </c>
      <c r="O8" s="41" t="str">
        <f t="shared" si="0"/>
        <v>EBS1_296_0</v>
      </c>
      <c r="P8" s="41" t="s">
        <v>1498</v>
      </c>
      <c r="R8" s="41">
        <v>7</v>
      </c>
      <c r="T8" s="41" t="str">
        <f t="shared" si="1"/>
        <v>29600:Var_ui_ErrNo:=7;</v>
      </c>
    </row>
    <row r="9" spans="1:20">
      <c r="A9" s="190">
        <v>8</v>
      </c>
      <c r="B9" s="40">
        <v>1</v>
      </c>
      <c r="C9" s="40">
        <v>156</v>
      </c>
      <c r="F9" s="40" t="s">
        <v>1457</v>
      </c>
      <c r="G9" s="40"/>
      <c r="H9" s="40" t="s">
        <v>1499</v>
      </c>
      <c r="I9" s="40" t="s">
        <v>1500</v>
      </c>
      <c r="J9" s="40" t="s">
        <v>1501</v>
      </c>
      <c r="K9" s="40" t="s">
        <v>1502</v>
      </c>
      <c r="L9" s="190">
        <v>412</v>
      </c>
      <c r="M9" s="190">
        <v>0</v>
      </c>
      <c r="N9" s="40" t="s">
        <v>1503</v>
      </c>
      <c r="O9" s="41" t="str">
        <f t="shared" si="0"/>
        <v>EBS1_412_0</v>
      </c>
      <c r="P9" s="41" t="s">
        <v>1504</v>
      </c>
      <c r="R9" s="41">
        <v>8</v>
      </c>
      <c r="T9" s="41" t="str">
        <f t="shared" si="1"/>
        <v>41200:Var_ui_ErrNo:=8;</v>
      </c>
    </row>
    <row r="10" spans="1:20">
      <c r="A10" s="190">
        <v>9</v>
      </c>
      <c r="B10" s="40">
        <v>1</v>
      </c>
      <c r="C10" s="40">
        <v>159</v>
      </c>
      <c r="F10" s="40" t="s">
        <v>1457</v>
      </c>
      <c r="G10" s="40"/>
      <c r="H10" s="40" t="s">
        <v>1468</v>
      </c>
      <c r="I10" s="40" t="s">
        <v>1505</v>
      </c>
      <c r="J10" s="40" t="s">
        <v>1506</v>
      </c>
      <c r="K10" s="40" t="s">
        <v>1507</v>
      </c>
      <c r="L10" s="190">
        <v>415</v>
      </c>
      <c r="M10" s="190">
        <v>0</v>
      </c>
      <c r="N10" s="40" t="s">
        <v>1472</v>
      </c>
      <c r="O10" s="41" t="str">
        <f t="shared" si="0"/>
        <v>EBS1_415_0</v>
      </c>
      <c r="P10" s="41" t="s">
        <v>1508</v>
      </c>
      <c r="R10" s="41">
        <v>9</v>
      </c>
      <c r="T10" s="41" t="str">
        <f t="shared" si="1"/>
        <v>41500:Var_ui_ErrNo:=9;</v>
      </c>
    </row>
    <row r="11" spans="1:20">
      <c r="A11" s="190">
        <v>10</v>
      </c>
      <c r="B11" s="40">
        <v>1</v>
      </c>
      <c r="C11" s="40">
        <v>164</v>
      </c>
      <c r="F11" s="40" t="s">
        <v>1457</v>
      </c>
      <c r="G11" s="40"/>
      <c r="H11" s="40" t="s">
        <v>1468</v>
      </c>
      <c r="I11" s="40" t="s">
        <v>1509</v>
      </c>
      <c r="J11" s="40" t="s">
        <v>1510</v>
      </c>
      <c r="K11" s="40" t="s">
        <v>1511</v>
      </c>
      <c r="L11" s="190">
        <v>420</v>
      </c>
      <c r="M11" s="190">
        <v>0</v>
      </c>
      <c r="N11" s="40" t="s">
        <v>1472</v>
      </c>
      <c r="O11" s="41" t="str">
        <f t="shared" si="0"/>
        <v>EBS1_420_0</v>
      </c>
      <c r="P11" s="41" t="s">
        <v>1512</v>
      </c>
      <c r="R11" s="41">
        <v>10</v>
      </c>
      <c r="T11" s="41" t="str">
        <f t="shared" si="1"/>
        <v>42000:Var_ui_ErrNo:=10;</v>
      </c>
    </row>
    <row r="12" spans="1:20">
      <c r="A12" s="190">
        <v>11</v>
      </c>
      <c r="B12" s="40">
        <v>1</v>
      </c>
      <c r="C12" s="40">
        <v>167</v>
      </c>
      <c r="F12" s="40" t="s">
        <v>1457</v>
      </c>
      <c r="G12" s="40"/>
      <c r="H12" s="40" t="s">
        <v>1468</v>
      </c>
      <c r="I12" s="40" t="s">
        <v>1513</v>
      </c>
      <c r="J12" s="40" t="s">
        <v>1514</v>
      </c>
      <c r="K12" s="40" t="s">
        <v>1515</v>
      </c>
      <c r="L12" s="190">
        <v>423</v>
      </c>
      <c r="M12" s="190">
        <v>0</v>
      </c>
      <c r="N12" s="40" t="s">
        <v>1472</v>
      </c>
      <c r="O12" s="41" t="str">
        <f t="shared" si="0"/>
        <v>EBS1_423_0</v>
      </c>
      <c r="P12" s="41" t="s">
        <v>1516</v>
      </c>
      <c r="R12" s="41">
        <v>11</v>
      </c>
      <c r="T12" s="41" t="str">
        <f t="shared" si="1"/>
        <v>42300:Var_ui_ErrNo:=11;</v>
      </c>
    </row>
    <row r="13" spans="1:20">
      <c r="A13" s="190">
        <v>12</v>
      </c>
      <c r="B13" s="40">
        <v>1</v>
      </c>
      <c r="C13" s="40">
        <v>168</v>
      </c>
      <c r="F13" s="40" t="s">
        <v>1457</v>
      </c>
      <c r="G13" s="40"/>
      <c r="H13" s="40" t="s">
        <v>1468</v>
      </c>
      <c r="I13" s="40" t="s">
        <v>1505</v>
      </c>
      <c r="J13" s="40" t="s">
        <v>1517</v>
      </c>
      <c r="K13" s="40" t="s">
        <v>1518</v>
      </c>
      <c r="L13" s="190">
        <v>424</v>
      </c>
      <c r="M13" s="190">
        <v>0</v>
      </c>
      <c r="N13" s="40" t="s">
        <v>1472</v>
      </c>
      <c r="O13" s="41" t="str">
        <f t="shared" si="0"/>
        <v>EBS1_424_0</v>
      </c>
      <c r="P13" s="41" t="s">
        <v>1519</v>
      </c>
      <c r="R13" s="41">
        <v>12</v>
      </c>
      <c r="T13" s="41" t="str">
        <f t="shared" si="1"/>
        <v>42400:Var_ui_ErrNo:=12;</v>
      </c>
    </row>
    <row r="14" spans="1:20">
      <c r="A14" s="190">
        <v>13</v>
      </c>
      <c r="B14" s="40">
        <v>1</v>
      </c>
      <c r="C14" s="40">
        <v>169</v>
      </c>
      <c r="F14" s="40" t="s">
        <v>1457</v>
      </c>
      <c r="G14" s="40"/>
      <c r="H14" s="40" t="s">
        <v>1468</v>
      </c>
      <c r="I14" s="40" t="s">
        <v>1488</v>
      </c>
      <c r="J14" s="40" t="s">
        <v>1520</v>
      </c>
      <c r="K14" s="40" t="s">
        <v>1521</v>
      </c>
      <c r="L14" s="190">
        <v>425</v>
      </c>
      <c r="M14" s="190">
        <v>0</v>
      </c>
      <c r="N14" s="40" t="s">
        <v>1472</v>
      </c>
      <c r="O14" s="41" t="str">
        <f t="shared" si="0"/>
        <v>EBS1_425_0</v>
      </c>
      <c r="P14" s="41" t="s">
        <v>1522</v>
      </c>
      <c r="R14" s="41">
        <v>13</v>
      </c>
      <c r="T14" s="41" t="str">
        <f t="shared" si="1"/>
        <v>42500:Var_ui_ErrNo:=13;</v>
      </c>
    </row>
    <row r="15" spans="1:20">
      <c r="A15" s="190">
        <v>14</v>
      </c>
      <c r="B15" s="40">
        <v>2</v>
      </c>
      <c r="C15" s="40">
        <v>5</v>
      </c>
      <c r="F15" s="40"/>
      <c r="G15" s="40"/>
      <c r="H15" s="40" t="s">
        <v>1468</v>
      </c>
      <c r="I15" s="40" t="s">
        <v>1488</v>
      </c>
      <c r="J15" s="40" t="s">
        <v>1523</v>
      </c>
      <c r="K15" s="40" t="s">
        <v>1524</v>
      </c>
      <c r="L15" s="190">
        <v>517</v>
      </c>
      <c r="M15" s="190">
        <v>0</v>
      </c>
      <c r="N15" s="40" t="s">
        <v>1472</v>
      </c>
      <c r="O15" s="41" t="str">
        <f t="shared" si="0"/>
        <v>EBS1_517_0</v>
      </c>
      <c r="P15" s="41" t="s">
        <v>1525</v>
      </c>
      <c r="R15" s="41">
        <v>14</v>
      </c>
      <c r="T15" s="41" t="str">
        <f t="shared" si="1"/>
        <v>51700:Var_ui_ErrNo:=14;</v>
      </c>
    </row>
    <row r="16" spans="1:20">
      <c r="A16" s="190">
        <v>15</v>
      </c>
      <c r="B16" s="40">
        <v>2</v>
      </c>
      <c r="C16" s="40">
        <v>6</v>
      </c>
      <c r="F16" s="40"/>
      <c r="G16" s="40"/>
      <c r="H16" s="40" t="s">
        <v>1468</v>
      </c>
      <c r="I16" s="40" t="s">
        <v>1526</v>
      </c>
      <c r="J16" s="40" t="s">
        <v>1527</v>
      </c>
      <c r="K16" s="40" t="s">
        <v>1528</v>
      </c>
      <c r="L16" s="190">
        <v>518</v>
      </c>
      <c r="M16" s="190">
        <v>0</v>
      </c>
      <c r="N16" s="40" t="s">
        <v>1472</v>
      </c>
      <c r="O16" s="41" t="str">
        <f t="shared" si="0"/>
        <v>EBS1_518_0</v>
      </c>
      <c r="P16" s="41" t="s">
        <v>1529</v>
      </c>
      <c r="R16" s="41">
        <v>15</v>
      </c>
      <c r="T16" s="41" t="str">
        <f t="shared" si="1"/>
        <v>51800:Var_ui_ErrNo:=15;</v>
      </c>
    </row>
    <row r="17" spans="1:20">
      <c r="A17" s="190">
        <v>16</v>
      </c>
      <c r="B17" s="40">
        <v>2</v>
      </c>
      <c r="C17" s="40">
        <v>9</v>
      </c>
      <c r="F17" s="40"/>
      <c r="G17" s="40"/>
      <c r="H17" s="40" t="s">
        <v>1478</v>
      </c>
      <c r="I17" s="40" t="s">
        <v>1530</v>
      </c>
      <c r="J17" s="40" t="s">
        <v>1531</v>
      </c>
      <c r="K17" s="40" t="s">
        <v>1532</v>
      </c>
      <c r="L17" s="190">
        <v>521</v>
      </c>
      <c r="M17" s="190">
        <v>0</v>
      </c>
      <c r="N17" s="40" t="s">
        <v>1482</v>
      </c>
      <c r="O17" s="41" t="str">
        <f t="shared" si="0"/>
        <v>EBS1_521_0</v>
      </c>
      <c r="P17" s="41" t="s">
        <v>1533</v>
      </c>
      <c r="R17" s="41">
        <v>16</v>
      </c>
      <c r="T17" s="41" t="str">
        <f t="shared" si="1"/>
        <v>52100:Var_ui_ErrNo:=16;</v>
      </c>
    </row>
    <row r="18" spans="1:20">
      <c r="A18" s="190">
        <v>17</v>
      </c>
      <c r="B18" s="40">
        <v>2</v>
      </c>
      <c r="C18" s="40">
        <v>18</v>
      </c>
      <c r="F18" s="40"/>
      <c r="G18" s="40"/>
      <c r="H18" s="40" t="s">
        <v>1468</v>
      </c>
      <c r="I18" s="40" t="s">
        <v>1534</v>
      </c>
      <c r="J18" s="40" t="s">
        <v>1535</v>
      </c>
      <c r="K18" s="40" t="s">
        <v>1536</v>
      </c>
      <c r="L18" s="190">
        <v>530</v>
      </c>
      <c r="M18" s="190">
        <v>0</v>
      </c>
      <c r="N18" s="40" t="s">
        <v>1472</v>
      </c>
      <c r="O18" s="41" t="str">
        <f t="shared" si="0"/>
        <v>EBS1_530_0</v>
      </c>
      <c r="P18" s="41" t="s">
        <v>1537</v>
      </c>
      <c r="R18" s="41">
        <v>17</v>
      </c>
      <c r="T18" s="41" t="str">
        <f t="shared" si="1"/>
        <v>53000:Var_ui_ErrNo:=17;</v>
      </c>
    </row>
    <row r="19" spans="1:20">
      <c r="A19" s="190">
        <v>18</v>
      </c>
      <c r="B19" s="40">
        <v>2</v>
      </c>
      <c r="C19" s="40">
        <v>40</v>
      </c>
      <c r="F19" s="40"/>
      <c r="G19" s="40"/>
      <c r="H19" s="40" t="s">
        <v>1468</v>
      </c>
      <c r="I19" s="40" t="s">
        <v>1538</v>
      </c>
      <c r="J19" s="40" t="s">
        <v>1539</v>
      </c>
      <c r="K19" s="40" t="s">
        <v>1540</v>
      </c>
      <c r="L19" s="190">
        <v>552</v>
      </c>
      <c r="M19" s="190">
        <v>0</v>
      </c>
      <c r="N19" s="40" t="s">
        <v>1472</v>
      </c>
      <c r="O19" s="41" t="str">
        <f t="shared" si="0"/>
        <v>EBS1_552_0</v>
      </c>
      <c r="P19" s="41" t="s">
        <v>1541</v>
      </c>
      <c r="R19" s="41">
        <v>18</v>
      </c>
      <c r="T19" s="41" t="str">
        <f t="shared" si="1"/>
        <v>55200:Var_ui_ErrNo:=18;</v>
      </c>
    </row>
    <row r="20" spans="1:20">
      <c r="A20" s="190">
        <v>19</v>
      </c>
      <c r="B20" s="40">
        <v>2</v>
      </c>
      <c r="C20" s="40">
        <v>55</v>
      </c>
      <c r="F20" s="40"/>
      <c r="G20" s="40"/>
      <c r="H20" s="40" t="s">
        <v>1542</v>
      </c>
      <c r="I20" s="40" t="s">
        <v>1543</v>
      </c>
      <c r="J20" s="40" t="s">
        <v>1544</v>
      </c>
      <c r="K20" s="40" t="s">
        <v>1545</v>
      </c>
      <c r="L20" s="190">
        <v>567</v>
      </c>
      <c r="M20" s="190">
        <v>0</v>
      </c>
      <c r="N20" s="40" t="s">
        <v>1546</v>
      </c>
      <c r="O20" s="41" t="str">
        <f t="shared" si="0"/>
        <v>EBS1_567_0</v>
      </c>
      <c r="P20" s="41" t="s">
        <v>1547</v>
      </c>
      <c r="R20" s="41">
        <v>19</v>
      </c>
      <c r="T20" s="41" t="str">
        <f t="shared" si="1"/>
        <v>56700:Var_ui_ErrNo:=19;</v>
      </c>
    </row>
    <row r="21" spans="1:20">
      <c r="A21" s="190">
        <v>20</v>
      </c>
      <c r="B21" s="40">
        <v>2</v>
      </c>
      <c r="C21" s="40">
        <v>156</v>
      </c>
      <c r="F21" s="40"/>
      <c r="G21" s="40"/>
      <c r="H21" s="40" t="s">
        <v>1499</v>
      </c>
      <c r="I21" s="40" t="s">
        <v>1548</v>
      </c>
      <c r="J21" s="40" t="s">
        <v>1549</v>
      </c>
      <c r="K21" s="40" t="s">
        <v>1550</v>
      </c>
      <c r="L21" s="190">
        <v>668</v>
      </c>
      <c r="M21" s="190">
        <v>0</v>
      </c>
      <c r="N21" s="40" t="s">
        <v>1503</v>
      </c>
      <c r="O21" s="41" t="str">
        <f t="shared" si="0"/>
        <v>EBS1_668_0</v>
      </c>
      <c r="P21" s="41" t="s">
        <v>1551</v>
      </c>
      <c r="R21" s="41">
        <v>20</v>
      </c>
      <c r="T21" s="41" t="str">
        <f t="shared" si="1"/>
        <v>66800:Var_ui_ErrNo:=20;</v>
      </c>
    </row>
    <row r="22" spans="1:20">
      <c r="A22" s="190">
        <v>21</v>
      </c>
      <c r="B22" s="40">
        <v>2</v>
      </c>
      <c r="C22" s="40">
        <v>159</v>
      </c>
      <c r="F22" s="40"/>
      <c r="G22" s="40"/>
      <c r="H22" s="40" t="s">
        <v>1468</v>
      </c>
      <c r="I22" s="40" t="s">
        <v>1505</v>
      </c>
      <c r="J22" s="40" t="s">
        <v>1552</v>
      </c>
      <c r="K22" s="40" t="s">
        <v>1553</v>
      </c>
      <c r="L22" s="190">
        <v>671</v>
      </c>
      <c r="M22" s="190">
        <v>0</v>
      </c>
      <c r="N22" s="40" t="s">
        <v>1472</v>
      </c>
      <c r="O22" s="41" t="str">
        <f t="shared" si="0"/>
        <v>EBS1_671_0</v>
      </c>
      <c r="P22" s="41" t="s">
        <v>1554</v>
      </c>
      <c r="R22" s="41">
        <v>21</v>
      </c>
      <c r="T22" s="41" t="str">
        <f t="shared" si="1"/>
        <v>67100:Var_ui_ErrNo:=21;</v>
      </c>
    </row>
    <row r="23" spans="1:20">
      <c r="A23" s="190">
        <v>22</v>
      </c>
      <c r="B23" s="40">
        <v>2</v>
      </c>
      <c r="C23" s="40">
        <v>162</v>
      </c>
      <c r="F23" s="40"/>
      <c r="G23" s="40"/>
      <c r="H23" s="40" t="s">
        <v>1555</v>
      </c>
      <c r="I23" s="40" t="s">
        <v>1505</v>
      </c>
      <c r="J23" s="40" t="s">
        <v>1556</v>
      </c>
      <c r="K23" s="40" t="s">
        <v>1557</v>
      </c>
      <c r="L23" s="190">
        <v>674</v>
      </c>
      <c r="M23" s="190">
        <v>0</v>
      </c>
      <c r="N23" s="40" t="s">
        <v>1558</v>
      </c>
      <c r="O23" s="41" t="str">
        <f t="shared" si="0"/>
        <v>EBS1_674_0</v>
      </c>
      <c r="P23" s="41" t="s">
        <v>1559</v>
      </c>
      <c r="R23" s="41">
        <v>22</v>
      </c>
      <c r="T23" s="41" t="str">
        <f t="shared" si="1"/>
        <v>67400:Var_ui_ErrNo:=22;</v>
      </c>
    </row>
    <row r="24" spans="1:20">
      <c r="A24" s="190">
        <v>23</v>
      </c>
      <c r="B24" s="40">
        <v>2</v>
      </c>
      <c r="C24" s="40">
        <v>163</v>
      </c>
      <c r="F24" s="40"/>
      <c r="G24" s="40"/>
      <c r="H24" s="40" t="s">
        <v>1468</v>
      </c>
      <c r="I24" s="40" t="s">
        <v>1560</v>
      </c>
      <c r="J24" s="40" t="s">
        <v>1561</v>
      </c>
      <c r="K24" s="40" t="s">
        <v>1562</v>
      </c>
      <c r="L24" s="190">
        <v>675</v>
      </c>
      <c r="M24" s="190">
        <v>0</v>
      </c>
      <c r="N24" s="40" t="s">
        <v>1472</v>
      </c>
      <c r="O24" s="41" t="str">
        <f t="shared" si="0"/>
        <v>EBS1_675_0</v>
      </c>
      <c r="P24" s="41" t="s">
        <v>1563</v>
      </c>
      <c r="R24" s="41">
        <v>23</v>
      </c>
      <c r="T24" s="41" t="str">
        <f t="shared" si="1"/>
        <v>67500:Var_ui_ErrNo:=23;</v>
      </c>
    </row>
    <row r="25" spans="1:20">
      <c r="A25" s="190">
        <v>24</v>
      </c>
      <c r="B25" s="40">
        <v>2</v>
      </c>
      <c r="C25" s="40">
        <v>180</v>
      </c>
      <c r="F25" s="40"/>
      <c r="G25" s="40"/>
      <c r="H25" s="40" t="s">
        <v>1468</v>
      </c>
      <c r="I25" s="40" t="s">
        <v>1505</v>
      </c>
      <c r="J25" s="40" t="s">
        <v>1564</v>
      </c>
      <c r="K25" s="40" t="s">
        <v>1565</v>
      </c>
      <c r="L25" s="190">
        <v>692</v>
      </c>
      <c r="M25" s="190">
        <v>0</v>
      </c>
      <c r="N25" s="40" t="s">
        <v>1472</v>
      </c>
      <c r="O25" s="41" t="str">
        <f t="shared" si="0"/>
        <v>EBS1_692_0</v>
      </c>
      <c r="P25" s="41" t="s">
        <v>1566</v>
      </c>
      <c r="R25" s="41">
        <v>24</v>
      </c>
      <c r="T25" s="41" t="str">
        <f t="shared" si="1"/>
        <v>69200:Var_ui_ErrNo:=24;</v>
      </c>
    </row>
    <row r="26" spans="1:20">
      <c r="A26" s="190">
        <v>25</v>
      </c>
      <c r="B26" s="40">
        <v>2</v>
      </c>
      <c r="C26" s="40">
        <v>181</v>
      </c>
      <c r="F26" s="40"/>
      <c r="G26" s="40"/>
      <c r="H26" s="40" t="s">
        <v>1468</v>
      </c>
      <c r="I26" s="40" t="s">
        <v>1505</v>
      </c>
      <c r="J26" s="40" t="s">
        <v>1567</v>
      </c>
      <c r="K26" s="40" t="s">
        <v>1568</v>
      </c>
      <c r="L26" s="190">
        <v>693</v>
      </c>
      <c r="M26" s="190">
        <v>0</v>
      </c>
      <c r="N26" s="40" t="s">
        <v>1472</v>
      </c>
      <c r="O26" s="41" t="str">
        <f t="shared" si="0"/>
        <v>EBS1_693_0</v>
      </c>
      <c r="P26" s="41" t="s">
        <v>1569</v>
      </c>
      <c r="R26" s="41">
        <v>25</v>
      </c>
      <c r="T26" s="41" t="str">
        <f t="shared" si="1"/>
        <v>69300:Var_ui_ErrNo:=25;</v>
      </c>
    </row>
    <row r="27" spans="1:20">
      <c r="A27" s="190">
        <v>26</v>
      </c>
      <c r="B27" s="40">
        <v>2</v>
      </c>
      <c r="C27" s="40">
        <v>182</v>
      </c>
      <c r="F27" s="40"/>
      <c r="G27" s="40"/>
      <c r="H27" s="40" t="s">
        <v>1468</v>
      </c>
      <c r="I27" s="40" t="s">
        <v>1505</v>
      </c>
      <c r="J27" s="40" t="s">
        <v>1570</v>
      </c>
      <c r="K27" s="40" t="s">
        <v>1571</v>
      </c>
      <c r="L27" s="190">
        <v>694</v>
      </c>
      <c r="M27" s="190">
        <v>0</v>
      </c>
      <c r="N27" s="40" t="s">
        <v>1472</v>
      </c>
      <c r="O27" s="41" t="str">
        <f t="shared" si="0"/>
        <v>EBS1_694_0</v>
      </c>
      <c r="P27" s="41" t="s">
        <v>1572</v>
      </c>
      <c r="R27" s="41">
        <v>26</v>
      </c>
      <c r="T27" s="41" t="str">
        <f t="shared" si="1"/>
        <v>69400:Var_ui_ErrNo:=26;</v>
      </c>
    </row>
    <row r="28" spans="1:20">
      <c r="A28" s="190">
        <v>27</v>
      </c>
      <c r="B28" s="40">
        <v>2</v>
      </c>
      <c r="C28" s="40">
        <v>183</v>
      </c>
      <c r="F28" s="40"/>
      <c r="G28" s="40"/>
      <c r="H28" s="40" t="s">
        <v>1468</v>
      </c>
      <c r="I28" s="40" t="s">
        <v>1505</v>
      </c>
      <c r="J28" s="40" t="s">
        <v>1573</v>
      </c>
      <c r="K28" s="40" t="s">
        <v>1574</v>
      </c>
      <c r="L28" s="190">
        <v>695</v>
      </c>
      <c r="M28" s="190">
        <v>0</v>
      </c>
      <c r="N28" s="40" t="s">
        <v>1472</v>
      </c>
      <c r="O28" s="41" t="str">
        <f t="shared" si="0"/>
        <v>EBS1_695_0</v>
      </c>
      <c r="P28" s="41" t="s">
        <v>1575</v>
      </c>
      <c r="R28" s="41">
        <v>27</v>
      </c>
      <c r="T28" s="41" t="str">
        <f t="shared" si="1"/>
        <v>69500:Var_ui_ErrNo:=27;</v>
      </c>
    </row>
    <row r="29" spans="1:20">
      <c r="A29" s="190">
        <v>28</v>
      </c>
      <c r="B29" s="40">
        <v>2</v>
      </c>
      <c r="C29" s="40">
        <v>185</v>
      </c>
      <c r="F29" s="40"/>
      <c r="G29" s="40"/>
      <c r="H29" s="40" t="s">
        <v>1468</v>
      </c>
      <c r="I29" s="40" t="s">
        <v>1505</v>
      </c>
      <c r="J29" s="40" t="s">
        <v>1576</v>
      </c>
      <c r="K29" s="40" t="s">
        <v>1577</v>
      </c>
      <c r="L29" s="190">
        <v>697</v>
      </c>
      <c r="M29" s="190">
        <v>0</v>
      </c>
      <c r="N29" s="40" t="s">
        <v>1472</v>
      </c>
      <c r="O29" s="41" t="str">
        <f t="shared" si="0"/>
        <v>EBS1_697_0</v>
      </c>
      <c r="P29" s="41" t="s">
        <v>1578</v>
      </c>
      <c r="R29" s="41">
        <v>28</v>
      </c>
      <c r="T29" s="41" t="str">
        <f t="shared" si="1"/>
        <v>69700:Var_ui_ErrNo:=28;</v>
      </c>
    </row>
    <row r="30" spans="1:20">
      <c r="A30" s="190">
        <v>29</v>
      </c>
      <c r="B30" s="40">
        <v>2</v>
      </c>
      <c r="C30" s="40">
        <v>186</v>
      </c>
      <c r="F30" s="40"/>
      <c r="G30" s="40"/>
      <c r="H30" s="40" t="s">
        <v>1468</v>
      </c>
      <c r="I30" s="40" t="s">
        <v>1505</v>
      </c>
      <c r="J30" s="40" t="s">
        <v>1579</v>
      </c>
      <c r="K30" s="40" t="s">
        <v>1580</v>
      </c>
      <c r="L30" s="190">
        <v>698</v>
      </c>
      <c r="M30" s="190">
        <v>0</v>
      </c>
      <c r="N30" s="40" t="s">
        <v>1472</v>
      </c>
      <c r="O30" s="41" t="str">
        <f t="shared" si="0"/>
        <v>EBS1_698_0</v>
      </c>
      <c r="P30" s="41" t="s">
        <v>1581</v>
      </c>
      <c r="R30" s="41">
        <v>29</v>
      </c>
      <c r="T30" s="41" t="str">
        <f t="shared" si="1"/>
        <v>69800:Var_ui_ErrNo:=29;</v>
      </c>
    </row>
    <row r="31" spans="1:20">
      <c r="A31" s="190">
        <v>30</v>
      </c>
      <c r="B31" s="40">
        <v>2</v>
      </c>
      <c r="C31" s="40">
        <v>187</v>
      </c>
      <c r="F31" s="40"/>
      <c r="G31" s="40"/>
      <c r="H31" s="40" t="s">
        <v>1468</v>
      </c>
      <c r="I31" s="40" t="s">
        <v>1505</v>
      </c>
      <c r="J31" s="40" t="s">
        <v>1582</v>
      </c>
      <c r="K31" s="40" t="s">
        <v>1583</v>
      </c>
      <c r="L31" s="190">
        <v>699</v>
      </c>
      <c r="M31" s="190">
        <v>0</v>
      </c>
      <c r="N31" s="40" t="s">
        <v>1472</v>
      </c>
      <c r="O31" s="41" t="str">
        <f t="shared" si="0"/>
        <v>EBS1_699_0</v>
      </c>
      <c r="P31" s="41" t="s">
        <v>1584</v>
      </c>
      <c r="R31" s="41">
        <v>30</v>
      </c>
      <c r="T31" s="41" t="str">
        <f t="shared" si="1"/>
        <v>69900:Var_ui_ErrNo:=30;</v>
      </c>
    </row>
    <row r="32" spans="1:20">
      <c r="A32" s="190">
        <v>31</v>
      </c>
      <c r="B32" s="40">
        <v>2</v>
      </c>
      <c r="C32" s="40">
        <v>188</v>
      </c>
      <c r="F32" s="40"/>
      <c r="G32" s="40"/>
      <c r="H32" s="40" t="s">
        <v>1468</v>
      </c>
      <c r="I32" s="40" t="s">
        <v>1505</v>
      </c>
      <c r="J32" s="40" t="s">
        <v>1585</v>
      </c>
      <c r="K32" s="40" t="s">
        <v>1586</v>
      </c>
      <c r="L32" s="190">
        <v>700</v>
      </c>
      <c r="M32" s="190">
        <v>0</v>
      </c>
      <c r="N32" s="40" t="s">
        <v>1472</v>
      </c>
      <c r="O32" s="41" t="str">
        <f t="shared" si="0"/>
        <v>EBS1_700_0</v>
      </c>
      <c r="P32" s="41" t="s">
        <v>1587</v>
      </c>
      <c r="R32" s="41">
        <v>31</v>
      </c>
      <c r="T32" s="41" t="str">
        <f t="shared" si="1"/>
        <v>70000:Var_ui_ErrNo:=31;</v>
      </c>
    </row>
    <row r="33" spans="1:20">
      <c r="A33" s="190">
        <v>32</v>
      </c>
      <c r="B33" s="40">
        <v>3</v>
      </c>
      <c r="C33" s="40">
        <v>6</v>
      </c>
      <c r="F33" s="40"/>
      <c r="G33" s="40"/>
      <c r="H33" s="40" t="s">
        <v>1468</v>
      </c>
      <c r="I33" s="40" t="s">
        <v>1588</v>
      </c>
      <c r="J33" s="40" t="s">
        <v>1589</v>
      </c>
      <c r="K33" s="40" t="s">
        <v>1590</v>
      </c>
      <c r="L33" s="190">
        <v>774</v>
      </c>
      <c r="M33" s="190">
        <v>0</v>
      </c>
      <c r="N33" s="40" t="s">
        <v>1472</v>
      </c>
      <c r="O33" s="41" t="str">
        <f t="shared" si="0"/>
        <v>EBS1_774_0</v>
      </c>
      <c r="P33" s="41" t="s">
        <v>1591</v>
      </c>
      <c r="R33" s="41">
        <v>32</v>
      </c>
      <c r="T33" s="41" t="str">
        <f t="shared" si="1"/>
        <v>77400:Var_ui_ErrNo:=32;</v>
      </c>
    </row>
    <row r="34" spans="1:20">
      <c r="A34" s="190">
        <v>33</v>
      </c>
      <c r="B34" s="40">
        <v>3</v>
      </c>
      <c r="C34" s="40">
        <v>159</v>
      </c>
      <c r="F34" s="40"/>
      <c r="G34" s="40"/>
      <c r="H34" s="40" t="s">
        <v>1468</v>
      </c>
      <c r="I34" s="40" t="s">
        <v>1505</v>
      </c>
      <c r="J34" s="40" t="s">
        <v>1592</v>
      </c>
      <c r="K34" s="40" t="s">
        <v>1593</v>
      </c>
      <c r="L34" s="190">
        <v>927</v>
      </c>
      <c r="M34" s="190">
        <v>0</v>
      </c>
      <c r="N34" s="40" t="s">
        <v>1472</v>
      </c>
      <c r="O34" s="41" t="str">
        <f t="shared" si="0"/>
        <v>EBS1_927_0</v>
      </c>
      <c r="P34" s="41" t="s">
        <v>1594</v>
      </c>
      <c r="R34" s="41">
        <v>33</v>
      </c>
      <c r="T34" s="41" t="str">
        <f t="shared" si="1"/>
        <v>92700:Var_ui_ErrNo:=33;</v>
      </c>
    </row>
    <row r="35" spans="1:20">
      <c r="A35" s="190">
        <v>34</v>
      </c>
      <c r="B35" s="40">
        <v>3</v>
      </c>
      <c r="C35" s="40">
        <v>160</v>
      </c>
      <c r="F35" s="40"/>
      <c r="G35" s="40"/>
      <c r="H35" s="40" t="s">
        <v>1595</v>
      </c>
      <c r="I35" s="40" t="s">
        <v>1596</v>
      </c>
      <c r="J35" s="40" t="s">
        <v>1597</v>
      </c>
      <c r="K35" s="40" t="s">
        <v>1598</v>
      </c>
      <c r="L35" s="190">
        <v>928</v>
      </c>
      <c r="M35" s="190">
        <v>0</v>
      </c>
      <c r="N35" s="40" t="s">
        <v>1599</v>
      </c>
      <c r="O35" s="41" t="str">
        <f t="shared" si="0"/>
        <v>EBS1_928_0</v>
      </c>
      <c r="P35" s="41" t="s">
        <v>1600</v>
      </c>
      <c r="R35" s="41">
        <v>34</v>
      </c>
      <c r="T35" s="41" t="str">
        <f t="shared" si="1"/>
        <v>92800:Var_ui_ErrNo:=34;</v>
      </c>
    </row>
    <row r="36" spans="1:20">
      <c r="A36" s="190">
        <v>35</v>
      </c>
      <c r="B36" s="40">
        <v>3</v>
      </c>
      <c r="C36" s="40">
        <v>161</v>
      </c>
      <c r="F36" s="40"/>
      <c r="G36" s="40"/>
      <c r="H36" s="40" t="s">
        <v>1468</v>
      </c>
      <c r="I36" s="40" t="s">
        <v>1534</v>
      </c>
      <c r="J36" s="40" t="s">
        <v>1601</v>
      </c>
      <c r="K36" s="40" t="s">
        <v>1602</v>
      </c>
      <c r="L36" s="190">
        <v>929</v>
      </c>
      <c r="M36" s="190">
        <v>0</v>
      </c>
      <c r="N36" s="40" t="s">
        <v>1472</v>
      </c>
      <c r="O36" s="41" t="str">
        <f t="shared" si="0"/>
        <v>EBS1_929_0</v>
      </c>
      <c r="P36" s="41" t="s">
        <v>1603</v>
      </c>
      <c r="R36" s="41">
        <v>35</v>
      </c>
      <c r="T36" s="41" t="str">
        <f t="shared" si="1"/>
        <v>92900:Var_ui_ErrNo:=35;</v>
      </c>
    </row>
    <row r="37" spans="1:20">
      <c r="A37" s="190">
        <v>36</v>
      </c>
      <c r="B37" s="40">
        <v>3</v>
      </c>
      <c r="C37" s="40">
        <v>162</v>
      </c>
      <c r="F37" s="40"/>
      <c r="G37" s="40"/>
      <c r="H37" s="40" t="s">
        <v>1555</v>
      </c>
      <c r="I37" s="40" t="s">
        <v>1534</v>
      </c>
      <c r="J37" s="40" t="s">
        <v>1604</v>
      </c>
      <c r="K37" s="40" t="s">
        <v>1605</v>
      </c>
      <c r="L37" s="190">
        <v>930</v>
      </c>
      <c r="M37" s="190">
        <v>0</v>
      </c>
      <c r="N37" s="40" t="s">
        <v>1558</v>
      </c>
      <c r="O37" s="41" t="str">
        <f t="shared" si="0"/>
        <v>EBS1_930_0</v>
      </c>
      <c r="P37" s="41" t="s">
        <v>1606</v>
      </c>
      <c r="R37" s="41">
        <v>36</v>
      </c>
      <c r="T37" s="41" t="str">
        <f t="shared" si="1"/>
        <v>93000:Var_ui_ErrNo:=36;</v>
      </c>
    </row>
    <row r="38" spans="1:20">
      <c r="A38" s="190">
        <v>37</v>
      </c>
      <c r="B38" s="40">
        <v>3</v>
      </c>
      <c r="C38" s="40">
        <v>165</v>
      </c>
      <c r="F38" s="40"/>
      <c r="G38" s="40"/>
      <c r="H38" s="40" t="s">
        <v>1468</v>
      </c>
      <c r="I38" s="40" t="s">
        <v>1588</v>
      </c>
      <c r="J38" s="40" t="s">
        <v>1607</v>
      </c>
      <c r="K38" s="40" t="s">
        <v>1608</v>
      </c>
      <c r="L38" s="190">
        <v>933</v>
      </c>
      <c r="M38" s="190">
        <v>0</v>
      </c>
      <c r="N38" s="40" t="s">
        <v>1472</v>
      </c>
      <c r="O38" s="41" t="str">
        <f t="shared" si="0"/>
        <v>EBS1_933_0</v>
      </c>
      <c r="P38" s="41" t="s">
        <v>1609</v>
      </c>
      <c r="R38" s="41">
        <v>37</v>
      </c>
      <c r="T38" s="41" t="str">
        <f t="shared" si="1"/>
        <v>93300:Var_ui_ErrNo:=37;</v>
      </c>
    </row>
    <row r="39" spans="1:20">
      <c r="A39" s="190">
        <v>38</v>
      </c>
      <c r="B39" s="40">
        <v>3</v>
      </c>
      <c r="C39" s="40">
        <v>189</v>
      </c>
      <c r="F39" s="40"/>
      <c r="G39" s="40"/>
      <c r="H39" s="40" t="s">
        <v>1468</v>
      </c>
      <c r="I39" s="40" t="s">
        <v>1596</v>
      </c>
      <c r="J39" s="40" t="s">
        <v>1610</v>
      </c>
      <c r="K39" s="40" t="s">
        <v>1611</v>
      </c>
      <c r="L39" s="190">
        <v>957</v>
      </c>
      <c r="M39" s="190">
        <v>0</v>
      </c>
      <c r="N39" s="40" t="s">
        <v>1472</v>
      </c>
      <c r="O39" s="41" t="str">
        <f t="shared" si="0"/>
        <v>EBS1_957_0</v>
      </c>
      <c r="P39" s="41" t="s">
        <v>1612</v>
      </c>
      <c r="R39" s="41">
        <v>38</v>
      </c>
      <c r="T39" s="41" t="str">
        <f t="shared" si="1"/>
        <v>95700:Var_ui_ErrNo:=38;</v>
      </c>
    </row>
    <row r="40" spans="1:20">
      <c r="A40" s="190">
        <v>39</v>
      </c>
      <c r="B40" s="40">
        <v>3</v>
      </c>
      <c r="C40" s="40">
        <v>190</v>
      </c>
      <c r="F40" s="40"/>
      <c r="G40" s="40"/>
      <c r="H40" s="40" t="s">
        <v>1468</v>
      </c>
      <c r="I40" s="40" t="s">
        <v>1596</v>
      </c>
      <c r="J40" s="40" t="s">
        <v>1613</v>
      </c>
      <c r="K40" s="40" t="s">
        <v>1614</v>
      </c>
      <c r="L40" s="190">
        <v>958</v>
      </c>
      <c r="M40" s="190">
        <v>0</v>
      </c>
      <c r="N40" s="40" t="s">
        <v>1472</v>
      </c>
      <c r="O40" s="41" t="str">
        <f t="shared" si="0"/>
        <v>EBS1_958_0</v>
      </c>
      <c r="P40" s="41" t="s">
        <v>1615</v>
      </c>
      <c r="R40" s="41">
        <v>39</v>
      </c>
      <c r="T40" s="41" t="str">
        <f t="shared" si="1"/>
        <v>95800:Var_ui_ErrNo:=39;</v>
      </c>
    </row>
    <row r="41" spans="1:20">
      <c r="A41" s="190">
        <v>40</v>
      </c>
      <c r="B41" s="40">
        <v>3</v>
      </c>
      <c r="C41" s="40">
        <v>191</v>
      </c>
      <c r="F41" s="40"/>
      <c r="G41" s="40"/>
      <c r="H41" s="40" t="s">
        <v>1468</v>
      </c>
      <c r="I41" s="40" t="s">
        <v>1596</v>
      </c>
      <c r="J41" s="40" t="s">
        <v>1616</v>
      </c>
      <c r="K41" s="40" t="s">
        <v>1617</v>
      </c>
      <c r="L41" s="190">
        <v>959</v>
      </c>
      <c r="M41" s="190">
        <v>0</v>
      </c>
      <c r="N41" s="40" t="s">
        <v>1472</v>
      </c>
      <c r="O41" s="41" t="str">
        <f t="shared" si="0"/>
        <v>EBS1_959_0</v>
      </c>
      <c r="P41" s="41" t="s">
        <v>1618</v>
      </c>
      <c r="R41" s="41">
        <v>40</v>
      </c>
      <c r="T41" s="41" t="str">
        <f t="shared" si="1"/>
        <v>95900:Var_ui_ErrNo:=40;</v>
      </c>
    </row>
    <row r="42" spans="1:20">
      <c r="A42" s="190">
        <v>41</v>
      </c>
      <c r="B42" s="40">
        <v>3</v>
      </c>
      <c r="C42" s="40">
        <v>192</v>
      </c>
      <c r="F42" s="40"/>
      <c r="G42" s="40"/>
      <c r="H42" s="40" t="s">
        <v>1468</v>
      </c>
      <c r="I42" s="40" t="s">
        <v>1505</v>
      </c>
      <c r="J42" s="40" t="s">
        <v>1619</v>
      </c>
      <c r="K42" s="40" t="s">
        <v>1620</v>
      </c>
      <c r="L42" s="190">
        <v>960</v>
      </c>
      <c r="M42" s="190">
        <v>0</v>
      </c>
      <c r="N42" s="40" t="s">
        <v>1472</v>
      </c>
      <c r="O42" s="41" t="str">
        <f t="shared" si="0"/>
        <v>EBS1_960_0</v>
      </c>
      <c r="P42" s="41" t="s">
        <v>1621</v>
      </c>
      <c r="R42" s="41">
        <v>41</v>
      </c>
      <c r="T42" s="41" t="str">
        <f t="shared" si="1"/>
        <v>96000:Var_ui_ErrNo:=41;</v>
      </c>
    </row>
    <row r="43" spans="1:20">
      <c r="A43" s="190">
        <v>42</v>
      </c>
      <c r="B43" s="40">
        <v>3</v>
      </c>
      <c r="C43" s="40">
        <v>193</v>
      </c>
      <c r="F43" s="40"/>
      <c r="G43" s="40"/>
      <c r="H43" s="40" t="s">
        <v>1468</v>
      </c>
      <c r="I43" s="40" t="s">
        <v>1505</v>
      </c>
      <c r="J43" s="40" t="s">
        <v>1622</v>
      </c>
      <c r="K43" s="40" t="s">
        <v>1623</v>
      </c>
      <c r="L43" s="190">
        <v>961</v>
      </c>
      <c r="M43" s="190">
        <v>0</v>
      </c>
      <c r="N43" s="40" t="s">
        <v>1472</v>
      </c>
      <c r="O43" s="41" t="str">
        <f t="shared" si="0"/>
        <v>EBS1_961_0</v>
      </c>
      <c r="P43" s="41" t="s">
        <v>1624</v>
      </c>
      <c r="R43" s="41">
        <v>42</v>
      </c>
      <c r="T43" s="41" t="str">
        <f t="shared" si="1"/>
        <v>96100:Var_ui_ErrNo:=42;</v>
      </c>
    </row>
    <row r="44" spans="1:20">
      <c r="A44" s="190">
        <v>43</v>
      </c>
      <c r="B44" s="40">
        <v>3</v>
      </c>
      <c r="C44" s="40">
        <v>194</v>
      </c>
      <c r="F44" s="40"/>
      <c r="G44" s="40"/>
      <c r="H44" s="40" t="s">
        <v>1468</v>
      </c>
      <c r="I44" s="40" t="s">
        <v>1505</v>
      </c>
      <c r="J44" s="40" t="s">
        <v>1625</v>
      </c>
      <c r="K44" s="40" t="s">
        <v>1626</v>
      </c>
      <c r="L44" s="190">
        <v>962</v>
      </c>
      <c r="M44" s="190">
        <v>0</v>
      </c>
      <c r="N44" s="40" t="s">
        <v>1472</v>
      </c>
      <c r="O44" s="41" t="str">
        <f t="shared" si="0"/>
        <v>EBS1_962_0</v>
      </c>
      <c r="P44" s="41" t="s">
        <v>1627</v>
      </c>
      <c r="R44" s="41">
        <v>43</v>
      </c>
      <c r="T44" s="41" t="str">
        <f t="shared" si="1"/>
        <v>96200:Var_ui_ErrNo:=43;</v>
      </c>
    </row>
    <row r="45" spans="1:20">
      <c r="A45" s="190">
        <v>44</v>
      </c>
      <c r="B45" s="40">
        <v>4</v>
      </c>
      <c r="C45" s="40">
        <v>14</v>
      </c>
      <c r="F45" s="40"/>
      <c r="G45" s="40"/>
      <c r="H45" s="40" t="s">
        <v>1468</v>
      </c>
      <c r="I45" s="40" t="s">
        <v>1628</v>
      </c>
      <c r="J45" s="40" t="s">
        <v>1629</v>
      </c>
      <c r="K45" s="40" t="s">
        <v>1630</v>
      </c>
      <c r="L45" s="190">
        <v>1038</v>
      </c>
      <c r="M45" s="190">
        <v>0</v>
      </c>
      <c r="N45" s="40" t="s">
        <v>1472</v>
      </c>
      <c r="O45" s="41" t="str">
        <f t="shared" si="0"/>
        <v>EBS1_1038_0</v>
      </c>
      <c r="P45" s="41" t="s">
        <v>1631</v>
      </c>
      <c r="R45" s="41">
        <v>44</v>
      </c>
      <c r="T45" s="41" t="str">
        <f t="shared" si="1"/>
        <v>103800:Var_ui_ErrNo:=44;</v>
      </c>
    </row>
    <row r="46" spans="1:20">
      <c r="A46" s="190">
        <v>45</v>
      </c>
      <c r="B46" s="40">
        <v>4</v>
      </c>
      <c r="C46" s="40">
        <v>17</v>
      </c>
      <c r="F46" s="40"/>
      <c r="G46" s="40"/>
      <c r="H46" s="40" t="s">
        <v>1468</v>
      </c>
      <c r="I46" s="40" t="s">
        <v>1628</v>
      </c>
      <c r="J46" s="40" t="s">
        <v>1632</v>
      </c>
      <c r="K46" s="40" t="s">
        <v>1633</v>
      </c>
      <c r="L46" s="190">
        <v>1041</v>
      </c>
      <c r="M46" s="190">
        <v>0</v>
      </c>
      <c r="N46" s="40" t="s">
        <v>1472</v>
      </c>
      <c r="O46" s="41" t="str">
        <f t="shared" si="0"/>
        <v>EBS1_1041_0</v>
      </c>
      <c r="P46" s="41" t="s">
        <v>1634</v>
      </c>
      <c r="R46" s="41">
        <v>45</v>
      </c>
      <c r="T46" s="41" t="str">
        <f t="shared" si="1"/>
        <v>104100:Var_ui_ErrNo:=45;</v>
      </c>
    </row>
    <row r="47" spans="1:20">
      <c r="A47" s="190">
        <v>46</v>
      </c>
      <c r="B47" s="40">
        <v>4</v>
      </c>
      <c r="C47" s="40">
        <v>18</v>
      </c>
      <c r="F47" s="40"/>
      <c r="G47" s="40"/>
      <c r="H47" s="40" t="s">
        <v>1468</v>
      </c>
      <c r="I47" s="40" t="s">
        <v>1628</v>
      </c>
      <c r="J47" s="40" t="s">
        <v>1635</v>
      </c>
      <c r="K47" s="40" t="s">
        <v>1636</v>
      </c>
      <c r="L47" s="190">
        <v>1042</v>
      </c>
      <c r="M47" s="190">
        <v>0</v>
      </c>
      <c r="N47" s="40" t="s">
        <v>1472</v>
      </c>
      <c r="O47" s="41" t="str">
        <f t="shared" si="0"/>
        <v>EBS1_1042_0</v>
      </c>
      <c r="P47" s="41" t="s">
        <v>1637</v>
      </c>
      <c r="R47" s="41">
        <v>46</v>
      </c>
      <c r="T47" s="41" t="str">
        <f t="shared" si="1"/>
        <v>104200:Var_ui_ErrNo:=46;</v>
      </c>
    </row>
    <row r="48" spans="1:20">
      <c r="A48" s="190">
        <v>47</v>
      </c>
      <c r="B48" s="40">
        <v>5</v>
      </c>
      <c r="C48" s="40">
        <v>14</v>
      </c>
      <c r="F48" s="40"/>
      <c r="G48" s="40"/>
      <c r="H48" s="40" t="s">
        <v>1468</v>
      </c>
      <c r="I48" s="40" t="s">
        <v>1628</v>
      </c>
      <c r="J48" s="40" t="s">
        <v>1638</v>
      </c>
      <c r="K48" s="40" t="s">
        <v>1639</v>
      </c>
      <c r="L48" s="190">
        <v>1294</v>
      </c>
      <c r="M48" s="190">
        <v>0</v>
      </c>
      <c r="N48" s="40" t="s">
        <v>1472</v>
      </c>
      <c r="O48" s="41" t="str">
        <f t="shared" si="0"/>
        <v>EBS1_1294_0</v>
      </c>
      <c r="P48" s="41" t="s">
        <v>1640</v>
      </c>
      <c r="R48" s="41">
        <v>47</v>
      </c>
      <c r="T48" s="41" t="str">
        <f t="shared" si="1"/>
        <v>129400:Var_ui_ErrNo:=47;</v>
      </c>
    </row>
    <row r="49" spans="1:20">
      <c r="A49" s="190">
        <v>48</v>
      </c>
      <c r="B49" s="40">
        <v>5</v>
      </c>
      <c r="C49" s="40">
        <v>17</v>
      </c>
      <c r="F49" s="40"/>
      <c r="G49" s="40"/>
      <c r="H49" s="40" t="s">
        <v>1468</v>
      </c>
      <c r="I49" s="40" t="s">
        <v>1628</v>
      </c>
      <c r="J49" s="40" t="s">
        <v>1641</v>
      </c>
      <c r="K49" s="40" t="s">
        <v>1642</v>
      </c>
      <c r="L49" s="190">
        <v>1297</v>
      </c>
      <c r="M49" s="190">
        <v>0</v>
      </c>
      <c r="N49" s="40" t="s">
        <v>1472</v>
      </c>
      <c r="O49" s="41" t="str">
        <f t="shared" si="0"/>
        <v>EBS1_1297_0</v>
      </c>
      <c r="P49" s="41" t="s">
        <v>1643</v>
      </c>
      <c r="R49" s="41">
        <v>48</v>
      </c>
      <c r="T49" s="41" t="str">
        <f t="shared" si="1"/>
        <v>129700:Var_ui_ErrNo:=48;</v>
      </c>
    </row>
    <row r="50" spans="1:20">
      <c r="A50" s="190">
        <v>49</v>
      </c>
      <c r="B50" s="40">
        <v>5</v>
      </c>
      <c r="C50" s="40">
        <v>18</v>
      </c>
      <c r="F50" s="40"/>
      <c r="G50" s="40"/>
      <c r="H50" s="40" t="s">
        <v>1468</v>
      </c>
      <c r="I50" s="40" t="s">
        <v>1628</v>
      </c>
      <c r="J50" s="40" t="s">
        <v>1644</v>
      </c>
      <c r="K50" s="40" t="s">
        <v>1645</v>
      </c>
      <c r="L50" s="190">
        <v>1298</v>
      </c>
      <c r="M50" s="190">
        <v>0</v>
      </c>
      <c r="N50" s="40" t="s">
        <v>1472</v>
      </c>
      <c r="O50" s="41" t="str">
        <f t="shared" si="0"/>
        <v>EBS1_1298_0</v>
      </c>
      <c r="P50" s="41" t="s">
        <v>1646</v>
      </c>
      <c r="R50" s="41">
        <v>49</v>
      </c>
      <c r="T50" s="41" t="str">
        <f t="shared" si="1"/>
        <v>129800:Var_ui_ErrNo:=49;</v>
      </c>
    </row>
    <row r="51" spans="1:20">
      <c r="A51" s="190">
        <v>50</v>
      </c>
      <c r="B51" s="40">
        <v>6</v>
      </c>
      <c r="C51" s="40">
        <v>1</v>
      </c>
      <c r="F51" s="40"/>
      <c r="G51" s="40"/>
      <c r="H51" s="40" t="s">
        <v>1647</v>
      </c>
      <c r="I51" s="40" t="s">
        <v>1648</v>
      </c>
      <c r="J51" s="40" t="s">
        <v>1649</v>
      </c>
      <c r="K51" s="40" t="s">
        <v>1650</v>
      </c>
      <c r="L51" s="190">
        <v>1537</v>
      </c>
      <c r="M51" s="190">
        <v>0</v>
      </c>
      <c r="N51" s="40" t="s">
        <v>1651</v>
      </c>
      <c r="O51" s="41" t="str">
        <f t="shared" si="0"/>
        <v>EBS1_1537_0</v>
      </c>
      <c r="P51" s="41" t="s">
        <v>1652</v>
      </c>
      <c r="R51" s="41">
        <v>50</v>
      </c>
      <c r="T51" s="41" t="str">
        <f t="shared" si="1"/>
        <v>153700:Var_ui_ErrNo:=50;</v>
      </c>
    </row>
    <row r="52" spans="1:20">
      <c r="A52" s="190">
        <v>51</v>
      </c>
      <c r="B52" s="40">
        <v>6</v>
      </c>
      <c r="C52" s="40">
        <v>90</v>
      </c>
      <c r="F52" s="40"/>
      <c r="G52" s="40"/>
      <c r="H52" s="40" t="s">
        <v>1468</v>
      </c>
      <c r="I52" s="40" t="s">
        <v>1653</v>
      </c>
      <c r="J52" s="40" t="s">
        <v>1654</v>
      </c>
      <c r="K52" s="40" t="s">
        <v>1655</v>
      </c>
      <c r="L52" s="190">
        <v>1626</v>
      </c>
      <c r="M52" s="190">
        <v>0</v>
      </c>
      <c r="N52" s="40" t="s">
        <v>1472</v>
      </c>
      <c r="O52" s="41" t="str">
        <f t="shared" si="0"/>
        <v>EBS1_1626_0</v>
      </c>
      <c r="P52" s="41" t="s">
        <v>1656</v>
      </c>
      <c r="R52" s="41">
        <v>51</v>
      </c>
      <c r="T52" s="41" t="str">
        <f t="shared" si="1"/>
        <v>162600:Var_ui_ErrNo:=51;</v>
      </c>
    </row>
    <row r="53" spans="1:20">
      <c r="A53" s="190">
        <v>52</v>
      </c>
      <c r="B53" s="40">
        <v>6</v>
      </c>
      <c r="C53" s="40">
        <v>91</v>
      </c>
      <c r="F53" s="40"/>
      <c r="G53" s="40"/>
      <c r="H53" s="40" t="s">
        <v>1468</v>
      </c>
      <c r="I53" s="40" t="s">
        <v>1657</v>
      </c>
      <c r="J53" s="40" t="s">
        <v>1658</v>
      </c>
      <c r="K53" s="40" t="s">
        <v>1659</v>
      </c>
      <c r="L53" s="190">
        <v>1627</v>
      </c>
      <c r="M53" s="190">
        <v>0</v>
      </c>
      <c r="N53" s="40" t="s">
        <v>1472</v>
      </c>
      <c r="O53" s="41" t="str">
        <f t="shared" si="0"/>
        <v>EBS1_1627_0</v>
      </c>
      <c r="P53" s="41" t="s">
        <v>1660</v>
      </c>
      <c r="R53" s="41">
        <v>52</v>
      </c>
      <c r="T53" s="41" t="str">
        <f t="shared" si="1"/>
        <v>162700:Var_ui_ErrNo:=52;</v>
      </c>
    </row>
    <row r="54" spans="1:20">
      <c r="A54" s="190">
        <v>53</v>
      </c>
      <c r="B54" s="40">
        <v>6</v>
      </c>
      <c r="C54" s="40">
        <v>92</v>
      </c>
      <c r="F54" s="40"/>
      <c r="G54" s="40"/>
      <c r="H54" s="40" t="s">
        <v>1468</v>
      </c>
      <c r="I54" s="40" t="s">
        <v>1653</v>
      </c>
      <c r="J54" s="40" t="s">
        <v>1661</v>
      </c>
      <c r="K54" s="40" t="s">
        <v>1662</v>
      </c>
      <c r="L54" s="190">
        <v>1628</v>
      </c>
      <c r="M54" s="190">
        <v>0</v>
      </c>
      <c r="N54" s="40" t="s">
        <v>1472</v>
      </c>
      <c r="O54" s="41" t="str">
        <f t="shared" si="0"/>
        <v>EBS1_1628_0</v>
      </c>
      <c r="P54" s="41" t="s">
        <v>1663</v>
      </c>
      <c r="R54" s="41">
        <v>53</v>
      </c>
      <c r="T54" s="41" t="str">
        <f t="shared" si="1"/>
        <v>162800:Var_ui_ErrNo:=53;</v>
      </c>
    </row>
    <row r="55" spans="1:20">
      <c r="A55" s="190">
        <v>54</v>
      </c>
      <c r="B55" s="40">
        <v>6</v>
      </c>
      <c r="C55" s="40">
        <v>94</v>
      </c>
      <c r="F55" s="40"/>
      <c r="G55" s="40"/>
      <c r="H55" s="40" t="s">
        <v>1468</v>
      </c>
      <c r="I55" s="40" t="s">
        <v>1653</v>
      </c>
      <c r="J55" s="40" t="s">
        <v>1664</v>
      </c>
      <c r="K55" s="40" t="s">
        <v>1665</v>
      </c>
      <c r="L55" s="190">
        <v>1630</v>
      </c>
      <c r="M55" s="190">
        <v>0</v>
      </c>
      <c r="N55" s="40" t="s">
        <v>1472</v>
      </c>
      <c r="O55" s="41" t="str">
        <f t="shared" si="0"/>
        <v>EBS1_1630_0</v>
      </c>
      <c r="P55" s="41" t="s">
        <v>1666</v>
      </c>
      <c r="R55" s="41">
        <v>54</v>
      </c>
      <c r="T55" s="41" t="str">
        <f t="shared" si="1"/>
        <v>163000:Var_ui_ErrNo:=54;</v>
      </c>
    </row>
    <row r="56" spans="1:20">
      <c r="A56" s="190">
        <v>55</v>
      </c>
      <c r="B56" s="40">
        <v>6</v>
      </c>
      <c r="C56" s="40">
        <v>95</v>
      </c>
      <c r="F56" s="40"/>
      <c r="G56" s="40"/>
      <c r="H56" s="40" t="s">
        <v>1468</v>
      </c>
      <c r="I56" s="40" t="s">
        <v>1657</v>
      </c>
      <c r="J56" s="40" t="s">
        <v>1667</v>
      </c>
      <c r="K56" s="40" t="s">
        <v>1668</v>
      </c>
      <c r="L56" s="190">
        <v>1631</v>
      </c>
      <c r="M56" s="190">
        <v>0</v>
      </c>
      <c r="N56" s="40" t="s">
        <v>1472</v>
      </c>
      <c r="O56" s="41" t="str">
        <f t="shared" si="0"/>
        <v>EBS1_1631_0</v>
      </c>
      <c r="P56" s="41" t="s">
        <v>1669</v>
      </c>
      <c r="R56" s="41">
        <v>55</v>
      </c>
      <c r="T56" s="41" t="str">
        <f t="shared" si="1"/>
        <v>163100:Var_ui_ErrNo:=55;</v>
      </c>
    </row>
    <row r="57" spans="1:20">
      <c r="A57" s="190">
        <v>56</v>
      </c>
      <c r="B57" s="40">
        <v>6</v>
      </c>
      <c r="C57" s="40">
        <v>96</v>
      </c>
      <c r="F57" s="40"/>
      <c r="G57" s="40"/>
      <c r="H57" s="40" t="s">
        <v>1468</v>
      </c>
      <c r="I57" s="40" t="s">
        <v>1653</v>
      </c>
      <c r="J57" s="40" t="s">
        <v>1670</v>
      </c>
      <c r="K57" s="40" t="s">
        <v>1671</v>
      </c>
      <c r="L57" s="190">
        <v>1632</v>
      </c>
      <c r="M57" s="190">
        <v>0</v>
      </c>
      <c r="N57" s="40" t="s">
        <v>1472</v>
      </c>
      <c r="O57" s="41" t="str">
        <f t="shared" si="0"/>
        <v>EBS1_1632_0</v>
      </c>
      <c r="P57" s="41" t="s">
        <v>1672</v>
      </c>
      <c r="R57" s="41">
        <v>56</v>
      </c>
      <c r="T57" s="41" t="str">
        <f t="shared" si="1"/>
        <v>163200:Var_ui_ErrNo:=56;</v>
      </c>
    </row>
    <row r="58" spans="1:20">
      <c r="A58" s="190">
        <v>57</v>
      </c>
      <c r="B58" s="40">
        <v>6</v>
      </c>
      <c r="C58" s="40">
        <v>98</v>
      </c>
      <c r="F58" s="40"/>
      <c r="G58" s="40"/>
      <c r="H58" s="40" t="s">
        <v>1468</v>
      </c>
      <c r="I58" s="40" t="s">
        <v>1653</v>
      </c>
      <c r="J58" s="40" t="s">
        <v>1673</v>
      </c>
      <c r="K58" s="40" t="s">
        <v>1674</v>
      </c>
      <c r="L58" s="190">
        <v>1634</v>
      </c>
      <c r="M58" s="190">
        <v>0</v>
      </c>
      <c r="N58" s="40" t="s">
        <v>1472</v>
      </c>
      <c r="O58" s="41" t="str">
        <f t="shared" si="0"/>
        <v>EBS1_1634_0</v>
      </c>
      <c r="P58" s="41" t="s">
        <v>1675</v>
      </c>
      <c r="R58" s="41">
        <v>57</v>
      </c>
      <c r="T58" s="41" t="str">
        <f t="shared" si="1"/>
        <v>163400:Var_ui_ErrNo:=57;</v>
      </c>
    </row>
    <row r="59" spans="1:20">
      <c r="A59" s="190">
        <v>58</v>
      </c>
      <c r="B59" s="40">
        <v>6</v>
      </c>
      <c r="C59" s="40">
        <v>100</v>
      </c>
      <c r="F59" s="40"/>
      <c r="G59" s="40"/>
      <c r="H59" s="40" t="s">
        <v>1468</v>
      </c>
      <c r="I59" s="40" t="s">
        <v>1676</v>
      </c>
      <c r="J59" s="40" t="s">
        <v>1677</v>
      </c>
      <c r="K59" s="40" t="s">
        <v>1678</v>
      </c>
      <c r="L59" s="190">
        <v>1636</v>
      </c>
      <c r="M59" s="190">
        <v>0</v>
      </c>
      <c r="N59" s="40" t="s">
        <v>1472</v>
      </c>
      <c r="O59" s="41" t="str">
        <f t="shared" si="0"/>
        <v>EBS1_1636_0</v>
      </c>
      <c r="P59" s="41" t="s">
        <v>1679</v>
      </c>
      <c r="R59" s="41">
        <v>58</v>
      </c>
      <c r="T59" s="41" t="str">
        <f t="shared" si="1"/>
        <v>163600:Var_ui_ErrNo:=58;</v>
      </c>
    </row>
    <row r="60" spans="1:20">
      <c r="A60" s="190">
        <v>59</v>
      </c>
      <c r="B60" s="40">
        <v>6</v>
      </c>
      <c r="C60" s="40">
        <v>101</v>
      </c>
      <c r="F60" s="40"/>
      <c r="G60" s="40"/>
      <c r="H60" s="40" t="s">
        <v>1468</v>
      </c>
      <c r="I60" s="40" t="s">
        <v>1657</v>
      </c>
      <c r="J60" s="40" t="s">
        <v>1680</v>
      </c>
      <c r="K60" s="40" t="s">
        <v>1681</v>
      </c>
      <c r="L60" s="190">
        <v>1637</v>
      </c>
      <c r="M60" s="190">
        <v>0</v>
      </c>
      <c r="N60" s="40" t="s">
        <v>1472</v>
      </c>
      <c r="O60" s="41" t="str">
        <f t="shared" si="0"/>
        <v>EBS1_1637_0</v>
      </c>
      <c r="P60" s="41" t="s">
        <v>1682</v>
      </c>
      <c r="R60" s="41">
        <v>59</v>
      </c>
      <c r="T60" s="41" t="str">
        <f t="shared" si="1"/>
        <v>163700:Var_ui_ErrNo:=59;</v>
      </c>
    </row>
    <row r="61" spans="1:20">
      <c r="A61" s="190">
        <v>60</v>
      </c>
      <c r="B61" s="40">
        <v>6</v>
      </c>
      <c r="C61" s="40">
        <v>102</v>
      </c>
      <c r="F61" s="40"/>
      <c r="G61" s="40"/>
      <c r="H61" s="40" t="s">
        <v>1468</v>
      </c>
      <c r="I61" s="40" t="s">
        <v>1657</v>
      </c>
      <c r="J61" s="40" t="s">
        <v>1683</v>
      </c>
      <c r="K61" s="40" t="s">
        <v>1684</v>
      </c>
      <c r="L61" s="190">
        <v>1638</v>
      </c>
      <c r="M61" s="190">
        <v>0</v>
      </c>
      <c r="N61" s="40" t="s">
        <v>1472</v>
      </c>
      <c r="O61" s="41" t="str">
        <f t="shared" si="0"/>
        <v>EBS1_1638_0</v>
      </c>
      <c r="P61" s="41" t="s">
        <v>1685</v>
      </c>
      <c r="R61" s="41">
        <v>60</v>
      </c>
      <c r="T61" s="41" t="str">
        <f t="shared" si="1"/>
        <v>163800:Var_ui_ErrNo:=60;</v>
      </c>
    </row>
    <row r="62" spans="1:20">
      <c r="A62" s="190">
        <v>61</v>
      </c>
      <c r="B62" s="40">
        <v>6</v>
      </c>
      <c r="C62" s="40">
        <v>103</v>
      </c>
      <c r="F62" s="40"/>
      <c r="G62" s="40"/>
      <c r="H62" s="40" t="s">
        <v>1468</v>
      </c>
      <c r="I62" s="40" t="s">
        <v>1657</v>
      </c>
      <c r="J62" s="40" t="s">
        <v>1686</v>
      </c>
      <c r="K62" s="40" t="s">
        <v>1687</v>
      </c>
      <c r="L62" s="190">
        <v>1639</v>
      </c>
      <c r="M62" s="190">
        <v>0</v>
      </c>
      <c r="N62" s="40" t="s">
        <v>1472</v>
      </c>
      <c r="O62" s="41" t="str">
        <f t="shared" si="0"/>
        <v>EBS1_1639_0</v>
      </c>
      <c r="P62" s="41" t="s">
        <v>1688</v>
      </c>
      <c r="R62" s="41">
        <v>61</v>
      </c>
      <c r="T62" s="41" t="str">
        <f t="shared" si="1"/>
        <v>163900:Var_ui_ErrNo:=61;</v>
      </c>
    </row>
    <row r="63" spans="1:20">
      <c r="A63" s="190">
        <v>62</v>
      </c>
      <c r="B63" s="40">
        <v>6</v>
      </c>
      <c r="C63" s="40">
        <v>105</v>
      </c>
      <c r="F63" s="40"/>
      <c r="G63" s="40"/>
      <c r="H63" s="40" t="s">
        <v>1468</v>
      </c>
      <c r="I63" s="40" t="s">
        <v>1657</v>
      </c>
      <c r="J63" s="40" t="s">
        <v>1689</v>
      </c>
      <c r="K63" s="40" t="s">
        <v>1690</v>
      </c>
      <c r="L63" s="190">
        <v>1641</v>
      </c>
      <c r="M63" s="190">
        <v>0</v>
      </c>
      <c r="N63" s="40" t="s">
        <v>1472</v>
      </c>
      <c r="O63" s="41" t="str">
        <f t="shared" si="0"/>
        <v>EBS1_1641_0</v>
      </c>
      <c r="P63" s="41" t="s">
        <v>1691</v>
      </c>
      <c r="R63" s="41">
        <v>62</v>
      </c>
      <c r="T63" s="41" t="str">
        <f t="shared" si="1"/>
        <v>164100:Var_ui_ErrNo:=62;</v>
      </c>
    </row>
    <row r="64" spans="1:20">
      <c r="A64" s="190">
        <v>63</v>
      </c>
      <c r="B64" s="40">
        <v>6</v>
      </c>
      <c r="C64" s="40">
        <v>106</v>
      </c>
      <c r="F64" s="40"/>
      <c r="G64" s="40"/>
      <c r="H64" s="40" t="s">
        <v>1468</v>
      </c>
      <c r="I64" s="40" t="s">
        <v>1653</v>
      </c>
      <c r="J64" s="40" t="s">
        <v>1692</v>
      </c>
      <c r="K64" s="40" t="s">
        <v>1693</v>
      </c>
      <c r="L64" s="190">
        <v>1642</v>
      </c>
      <c r="M64" s="190">
        <v>0</v>
      </c>
      <c r="N64" s="40" t="s">
        <v>1472</v>
      </c>
      <c r="O64" s="41" t="str">
        <f t="shared" si="0"/>
        <v>EBS1_1642_0</v>
      </c>
      <c r="P64" s="41" t="s">
        <v>1694</v>
      </c>
      <c r="R64" s="41">
        <v>63</v>
      </c>
      <c r="T64" s="41" t="str">
        <f t="shared" si="1"/>
        <v>164200:Var_ui_ErrNo:=63;</v>
      </c>
    </row>
    <row r="65" spans="1:20">
      <c r="A65" s="190">
        <v>64</v>
      </c>
      <c r="B65" s="40">
        <v>6</v>
      </c>
      <c r="C65" s="40">
        <v>107</v>
      </c>
      <c r="F65" s="40"/>
      <c r="G65" s="40"/>
      <c r="H65" s="40" t="s">
        <v>1468</v>
      </c>
      <c r="I65" s="40" t="s">
        <v>1657</v>
      </c>
      <c r="J65" s="40" t="s">
        <v>1695</v>
      </c>
      <c r="K65" s="40" t="s">
        <v>1696</v>
      </c>
      <c r="L65" s="190">
        <v>1643</v>
      </c>
      <c r="M65" s="190">
        <v>0</v>
      </c>
      <c r="N65" s="40" t="s">
        <v>1472</v>
      </c>
      <c r="O65" s="41" t="str">
        <f t="shared" si="0"/>
        <v>EBS1_1643_0</v>
      </c>
      <c r="P65" s="41" t="s">
        <v>1697</v>
      </c>
      <c r="R65" s="41">
        <v>64</v>
      </c>
      <c r="T65" s="41" t="str">
        <f t="shared" si="1"/>
        <v>164300:Var_ui_ErrNo:=64;</v>
      </c>
    </row>
    <row r="66" spans="1:20">
      <c r="A66" s="190">
        <v>65</v>
      </c>
      <c r="B66" s="40">
        <v>6</v>
      </c>
      <c r="C66" s="40">
        <v>109</v>
      </c>
      <c r="F66" s="40"/>
      <c r="G66" s="40"/>
      <c r="H66" s="40" t="s">
        <v>1468</v>
      </c>
      <c r="I66" s="40" t="s">
        <v>1657</v>
      </c>
      <c r="J66" s="40" t="s">
        <v>1698</v>
      </c>
      <c r="K66" s="40" t="s">
        <v>1699</v>
      </c>
      <c r="L66" s="190">
        <v>1645</v>
      </c>
      <c r="M66" s="190">
        <v>0</v>
      </c>
      <c r="N66" s="40" t="s">
        <v>1472</v>
      </c>
      <c r="O66" s="41" t="str">
        <f t="shared" ref="O66:O129" si="2">"EBS1_"&amp;L66&amp;"_"&amp;M66</f>
        <v>EBS1_1645_0</v>
      </c>
      <c r="P66" s="41" t="s">
        <v>1700</v>
      </c>
      <c r="R66" s="41">
        <v>65</v>
      </c>
      <c r="T66" s="41" t="str">
        <f t="shared" si="1"/>
        <v>164500:Var_ui_ErrNo:=65;</v>
      </c>
    </row>
    <row r="67" spans="1:20">
      <c r="A67" s="190">
        <v>66</v>
      </c>
      <c r="B67" s="40">
        <v>6</v>
      </c>
      <c r="C67" s="40">
        <v>110</v>
      </c>
      <c r="F67" s="40"/>
      <c r="G67" s="40"/>
      <c r="H67" s="40" t="s">
        <v>1468</v>
      </c>
      <c r="I67" s="40" t="s">
        <v>1701</v>
      </c>
      <c r="J67" s="40" t="s">
        <v>1702</v>
      </c>
      <c r="K67" s="40" t="s">
        <v>1703</v>
      </c>
      <c r="L67" s="190">
        <v>1646</v>
      </c>
      <c r="M67" s="190">
        <v>0</v>
      </c>
      <c r="N67" s="40" t="s">
        <v>1472</v>
      </c>
      <c r="O67" s="41" t="str">
        <f t="shared" si="2"/>
        <v>EBS1_1646_0</v>
      </c>
      <c r="P67" s="41" t="s">
        <v>1704</v>
      </c>
      <c r="R67" s="41">
        <v>66</v>
      </c>
      <c r="T67" s="41" t="str">
        <f t="shared" ref="T67:T130" si="3">P67&amp;$Q$2&amp;R67&amp;$S$2</f>
        <v>164600:Var_ui_ErrNo:=66;</v>
      </c>
    </row>
    <row r="68" spans="1:20">
      <c r="A68" s="190">
        <v>67</v>
      </c>
      <c r="B68" s="40">
        <v>6</v>
      </c>
      <c r="C68" s="40">
        <v>111</v>
      </c>
      <c r="F68" s="40"/>
      <c r="G68" s="40"/>
      <c r="H68" s="40" t="s">
        <v>1468</v>
      </c>
      <c r="I68" s="40" t="s">
        <v>1657</v>
      </c>
      <c r="J68" s="40" t="s">
        <v>1705</v>
      </c>
      <c r="K68" s="40" t="s">
        <v>1706</v>
      </c>
      <c r="L68" s="190">
        <v>1647</v>
      </c>
      <c r="M68" s="190">
        <v>0</v>
      </c>
      <c r="N68" s="40" t="s">
        <v>1472</v>
      </c>
      <c r="O68" s="41" t="str">
        <f t="shared" si="2"/>
        <v>EBS1_1647_0</v>
      </c>
      <c r="P68" s="41" t="s">
        <v>1707</v>
      </c>
      <c r="R68" s="41">
        <v>67</v>
      </c>
      <c r="T68" s="41" t="str">
        <f t="shared" si="3"/>
        <v>164700:Var_ui_ErrNo:=67;</v>
      </c>
    </row>
    <row r="69" spans="1:20">
      <c r="A69" s="190">
        <v>68</v>
      </c>
      <c r="B69" s="40">
        <v>6</v>
      </c>
      <c r="C69" s="40">
        <v>112</v>
      </c>
      <c r="F69" s="40"/>
      <c r="G69" s="40"/>
      <c r="H69" s="40" t="s">
        <v>1468</v>
      </c>
      <c r="I69" s="40" t="s">
        <v>1708</v>
      </c>
      <c r="J69" s="40" t="s">
        <v>1709</v>
      </c>
      <c r="K69" s="40" t="s">
        <v>1710</v>
      </c>
      <c r="L69" s="190">
        <v>1648</v>
      </c>
      <c r="M69" s="190">
        <v>0</v>
      </c>
      <c r="N69" s="40" t="s">
        <v>1472</v>
      </c>
      <c r="O69" s="41" t="str">
        <f t="shared" si="2"/>
        <v>EBS1_1648_0</v>
      </c>
      <c r="P69" s="41" t="s">
        <v>1711</v>
      </c>
      <c r="R69" s="41">
        <v>68</v>
      </c>
      <c r="T69" s="41" t="str">
        <f t="shared" si="3"/>
        <v>164800:Var_ui_ErrNo:=68;</v>
      </c>
    </row>
    <row r="70" spans="1:20">
      <c r="A70" s="190">
        <v>69</v>
      </c>
      <c r="B70" s="40">
        <v>6</v>
      </c>
      <c r="C70" s="40">
        <v>120</v>
      </c>
      <c r="F70" s="40"/>
      <c r="G70" s="40"/>
      <c r="H70" s="40" t="s">
        <v>1468</v>
      </c>
      <c r="I70" s="40" t="s">
        <v>1653</v>
      </c>
      <c r="J70" s="40" t="s">
        <v>1712</v>
      </c>
      <c r="K70" s="40" t="s">
        <v>1713</v>
      </c>
      <c r="L70" s="190">
        <v>1656</v>
      </c>
      <c r="M70" s="190">
        <v>0</v>
      </c>
      <c r="N70" s="40" t="s">
        <v>1472</v>
      </c>
      <c r="O70" s="41" t="str">
        <f t="shared" si="2"/>
        <v>EBS1_1656_0</v>
      </c>
      <c r="P70" s="41" t="s">
        <v>1714</v>
      </c>
      <c r="R70" s="41">
        <v>69</v>
      </c>
      <c r="T70" s="41" t="str">
        <f t="shared" si="3"/>
        <v>165600:Var_ui_ErrNo:=69;</v>
      </c>
    </row>
    <row r="71" spans="1:20">
      <c r="A71" s="190">
        <v>70</v>
      </c>
      <c r="B71" s="40">
        <v>6</v>
      </c>
      <c r="C71" s="40">
        <v>121</v>
      </c>
      <c r="F71" s="40"/>
      <c r="G71" s="40"/>
      <c r="H71" s="40" t="s">
        <v>1468</v>
      </c>
      <c r="I71" s="40" t="s">
        <v>1657</v>
      </c>
      <c r="J71" s="40" t="s">
        <v>1715</v>
      </c>
      <c r="K71" s="40" t="s">
        <v>1716</v>
      </c>
      <c r="L71" s="190">
        <v>1657</v>
      </c>
      <c r="M71" s="190">
        <v>0</v>
      </c>
      <c r="N71" s="40" t="s">
        <v>1472</v>
      </c>
      <c r="O71" s="41" t="str">
        <f t="shared" si="2"/>
        <v>EBS1_1657_0</v>
      </c>
      <c r="P71" s="41" t="s">
        <v>1717</v>
      </c>
      <c r="R71" s="41">
        <v>70</v>
      </c>
      <c r="T71" s="41" t="str">
        <f t="shared" si="3"/>
        <v>165700:Var_ui_ErrNo:=70;</v>
      </c>
    </row>
    <row r="72" spans="1:20">
      <c r="A72" s="190">
        <v>71</v>
      </c>
      <c r="B72" s="40">
        <v>6</v>
      </c>
      <c r="C72" s="40">
        <v>122</v>
      </c>
      <c r="F72" s="40"/>
      <c r="G72" s="40"/>
      <c r="H72" s="40" t="s">
        <v>1468</v>
      </c>
      <c r="I72" s="40" t="s">
        <v>1653</v>
      </c>
      <c r="J72" s="40" t="s">
        <v>1718</v>
      </c>
      <c r="K72" s="40" t="s">
        <v>1719</v>
      </c>
      <c r="L72" s="190">
        <v>1658</v>
      </c>
      <c r="M72" s="190">
        <v>0</v>
      </c>
      <c r="N72" s="40" t="s">
        <v>1472</v>
      </c>
      <c r="O72" s="41" t="str">
        <f t="shared" si="2"/>
        <v>EBS1_1658_0</v>
      </c>
      <c r="P72" s="41" t="s">
        <v>1720</v>
      </c>
      <c r="R72" s="41">
        <v>71</v>
      </c>
      <c r="T72" s="41" t="str">
        <f t="shared" si="3"/>
        <v>165800:Var_ui_ErrNo:=71;</v>
      </c>
    </row>
    <row r="73" spans="1:20">
      <c r="A73" s="190">
        <v>72</v>
      </c>
      <c r="B73" s="40">
        <v>6</v>
      </c>
      <c r="C73" s="40">
        <v>124</v>
      </c>
      <c r="F73" s="40"/>
      <c r="G73" s="40"/>
      <c r="H73" s="40" t="s">
        <v>1468</v>
      </c>
      <c r="I73" s="40" t="s">
        <v>1653</v>
      </c>
      <c r="J73" s="40" t="s">
        <v>1721</v>
      </c>
      <c r="K73" s="40" t="s">
        <v>1722</v>
      </c>
      <c r="L73" s="190">
        <v>1660</v>
      </c>
      <c r="M73" s="190">
        <v>0</v>
      </c>
      <c r="N73" s="40" t="s">
        <v>1472</v>
      </c>
      <c r="O73" s="41" t="str">
        <f t="shared" si="2"/>
        <v>EBS1_1660_0</v>
      </c>
      <c r="P73" s="41" t="s">
        <v>1723</v>
      </c>
      <c r="R73" s="41">
        <v>72</v>
      </c>
      <c r="T73" s="41" t="str">
        <f t="shared" si="3"/>
        <v>166000:Var_ui_ErrNo:=72;</v>
      </c>
    </row>
    <row r="74" spans="1:20">
      <c r="A74" s="190">
        <v>73</v>
      </c>
      <c r="B74" s="40">
        <v>6</v>
      </c>
      <c r="C74" s="40">
        <v>125</v>
      </c>
      <c r="F74" s="40"/>
      <c r="G74" s="40"/>
      <c r="H74" s="40" t="s">
        <v>1468</v>
      </c>
      <c r="I74" s="40" t="s">
        <v>1657</v>
      </c>
      <c r="J74" s="40" t="s">
        <v>1724</v>
      </c>
      <c r="K74" s="40" t="s">
        <v>1725</v>
      </c>
      <c r="L74" s="190">
        <v>1661</v>
      </c>
      <c r="M74" s="190">
        <v>0</v>
      </c>
      <c r="N74" s="40" t="s">
        <v>1472</v>
      </c>
      <c r="O74" s="41" t="str">
        <f t="shared" si="2"/>
        <v>EBS1_1661_0</v>
      </c>
      <c r="P74" s="41" t="s">
        <v>1726</v>
      </c>
      <c r="R74" s="41">
        <v>73</v>
      </c>
      <c r="T74" s="41" t="str">
        <f t="shared" si="3"/>
        <v>166100:Var_ui_ErrNo:=73;</v>
      </c>
    </row>
    <row r="75" spans="1:20">
      <c r="A75" s="190">
        <v>74</v>
      </c>
      <c r="B75" s="40">
        <v>6</v>
      </c>
      <c r="C75" s="40">
        <v>126</v>
      </c>
      <c r="F75" s="40"/>
      <c r="G75" s="40"/>
      <c r="H75" s="40" t="s">
        <v>1468</v>
      </c>
      <c r="I75" s="40" t="s">
        <v>1653</v>
      </c>
      <c r="J75" s="40" t="s">
        <v>1727</v>
      </c>
      <c r="K75" s="40" t="s">
        <v>1728</v>
      </c>
      <c r="L75" s="190">
        <v>1662</v>
      </c>
      <c r="M75" s="190">
        <v>0</v>
      </c>
      <c r="N75" s="40" t="s">
        <v>1472</v>
      </c>
      <c r="O75" s="41" t="str">
        <f t="shared" si="2"/>
        <v>EBS1_1662_0</v>
      </c>
      <c r="P75" s="41" t="s">
        <v>1729</v>
      </c>
      <c r="R75" s="41">
        <v>74</v>
      </c>
      <c r="T75" s="41" t="str">
        <f t="shared" si="3"/>
        <v>166200:Var_ui_ErrNo:=74;</v>
      </c>
    </row>
    <row r="76" spans="1:20">
      <c r="A76" s="190">
        <v>75</v>
      </c>
      <c r="B76" s="40">
        <v>6</v>
      </c>
      <c r="C76" s="40">
        <v>128</v>
      </c>
      <c r="F76" s="40"/>
      <c r="G76" s="40"/>
      <c r="H76" s="40" t="s">
        <v>1468</v>
      </c>
      <c r="I76" s="40" t="s">
        <v>1653</v>
      </c>
      <c r="J76" s="40" t="s">
        <v>1730</v>
      </c>
      <c r="K76" s="40" t="s">
        <v>1731</v>
      </c>
      <c r="L76" s="190">
        <v>1664</v>
      </c>
      <c r="M76" s="190">
        <v>0</v>
      </c>
      <c r="N76" s="40" t="s">
        <v>1472</v>
      </c>
      <c r="O76" s="41" t="str">
        <f t="shared" si="2"/>
        <v>EBS1_1664_0</v>
      </c>
      <c r="P76" s="41" t="s">
        <v>1732</v>
      </c>
      <c r="R76" s="41">
        <v>75</v>
      </c>
      <c r="T76" s="41" t="str">
        <f t="shared" si="3"/>
        <v>166400:Var_ui_ErrNo:=75;</v>
      </c>
    </row>
    <row r="77" spans="1:20">
      <c r="A77" s="190">
        <v>76</v>
      </c>
      <c r="B77" s="40">
        <v>6</v>
      </c>
      <c r="C77" s="40">
        <v>130</v>
      </c>
      <c r="F77" s="40"/>
      <c r="G77" s="40"/>
      <c r="H77" s="40" t="s">
        <v>1468</v>
      </c>
      <c r="I77" s="40" t="s">
        <v>1653</v>
      </c>
      <c r="J77" s="40" t="s">
        <v>1733</v>
      </c>
      <c r="K77" s="40" t="s">
        <v>1734</v>
      </c>
      <c r="L77" s="190">
        <v>1666</v>
      </c>
      <c r="M77" s="190">
        <v>0</v>
      </c>
      <c r="N77" s="40" t="s">
        <v>1472</v>
      </c>
      <c r="O77" s="41" t="str">
        <f t="shared" si="2"/>
        <v>EBS1_1666_0</v>
      </c>
      <c r="P77" s="41" t="s">
        <v>1735</v>
      </c>
      <c r="R77" s="41">
        <v>76</v>
      </c>
      <c r="T77" s="41" t="str">
        <f t="shared" si="3"/>
        <v>166600:Var_ui_ErrNo:=76;</v>
      </c>
    </row>
    <row r="78" spans="1:20">
      <c r="A78" s="190">
        <v>77</v>
      </c>
      <c r="B78" s="40">
        <v>6</v>
      </c>
      <c r="C78" s="40">
        <v>131</v>
      </c>
      <c r="F78" s="40"/>
      <c r="G78" s="40"/>
      <c r="H78" s="40" t="s">
        <v>1468</v>
      </c>
      <c r="I78" s="40" t="s">
        <v>1657</v>
      </c>
      <c r="J78" s="40" t="s">
        <v>1736</v>
      </c>
      <c r="K78" s="40" t="s">
        <v>1737</v>
      </c>
      <c r="L78" s="190">
        <v>1667</v>
      </c>
      <c r="M78" s="190">
        <v>0</v>
      </c>
      <c r="N78" s="40" t="s">
        <v>1472</v>
      </c>
      <c r="O78" s="41" t="str">
        <f t="shared" si="2"/>
        <v>EBS1_1667_0</v>
      </c>
      <c r="P78" s="41" t="s">
        <v>1738</v>
      </c>
      <c r="R78" s="41">
        <v>77</v>
      </c>
      <c r="T78" s="41" t="str">
        <f t="shared" si="3"/>
        <v>166700:Var_ui_ErrNo:=77;</v>
      </c>
    </row>
    <row r="79" spans="1:20">
      <c r="A79" s="190">
        <v>78</v>
      </c>
      <c r="B79" s="40">
        <v>6</v>
      </c>
      <c r="C79" s="40">
        <v>132</v>
      </c>
      <c r="F79" s="40"/>
      <c r="G79" s="40"/>
      <c r="H79" s="40" t="s">
        <v>1468</v>
      </c>
      <c r="I79" s="40" t="s">
        <v>1657</v>
      </c>
      <c r="J79" s="40" t="s">
        <v>1739</v>
      </c>
      <c r="K79" s="40" t="s">
        <v>1740</v>
      </c>
      <c r="L79" s="190">
        <v>1668</v>
      </c>
      <c r="M79" s="190">
        <v>0</v>
      </c>
      <c r="N79" s="40" t="s">
        <v>1472</v>
      </c>
      <c r="O79" s="41" t="str">
        <f t="shared" si="2"/>
        <v>EBS1_1668_0</v>
      </c>
      <c r="P79" s="41" t="s">
        <v>1741</v>
      </c>
      <c r="R79" s="41">
        <v>78</v>
      </c>
      <c r="T79" s="41" t="str">
        <f t="shared" si="3"/>
        <v>166800:Var_ui_ErrNo:=78;</v>
      </c>
    </row>
    <row r="80" spans="1:20">
      <c r="A80" s="190">
        <v>79</v>
      </c>
      <c r="B80" s="40">
        <v>6</v>
      </c>
      <c r="C80" s="40">
        <v>133</v>
      </c>
      <c r="F80" s="40"/>
      <c r="G80" s="40"/>
      <c r="H80" s="40" t="s">
        <v>1468</v>
      </c>
      <c r="I80" s="40" t="s">
        <v>1657</v>
      </c>
      <c r="J80" s="40" t="s">
        <v>1742</v>
      </c>
      <c r="K80" s="40" t="s">
        <v>1743</v>
      </c>
      <c r="L80" s="190">
        <v>1669</v>
      </c>
      <c r="M80" s="190">
        <v>0</v>
      </c>
      <c r="N80" s="40" t="s">
        <v>1472</v>
      </c>
      <c r="O80" s="41" t="str">
        <f t="shared" si="2"/>
        <v>EBS1_1669_0</v>
      </c>
      <c r="P80" s="41" t="s">
        <v>1744</v>
      </c>
      <c r="R80" s="41">
        <v>79</v>
      </c>
      <c r="T80" s="41" t="str">
        <f t="shared" si="3"/>
        <v>166900:Var_ui_ErrNo:=79;</v>
      </c>
    </row>
    <row r="81" spans="1:20">
      <c r="A81" s="190">
        <v>80</v>
      </c>
      <c r="B81" s="40">
        <v>6</v>
      </c>
      <c r="C81" s="40">
        <v>135</v>
      </c>
      <c r="F81" s="40"/>
      <c r="G81" s="40"/>
      <c r="H81" s="40" t="s">
        <v>1468</v>
      </c>
      <c r="I81" s="40" t="s">
        <v>1657</v>
      </c>
      <c r="J81" s="40" t="s">
        <v>1745</v>
      </c>
      <c r="K81" s="40" t="s">
        <v>1746</v>
      </c>
      <c r="L81" s="190">
        <v>1671</v>
      </c>
      <c r="M81" s="190">
        <v>0</v>
      </c>
      <c r="N81" s="40" t="s">
        <v>1472</v>
      </c>
      <c r="O81" s="41" t="str">
        <f t="shared" si="2"/>
        <v>EBS1_1671_0</v>
      </c>
      <c r="P81" s="41" t="s">
        <v>1747</v>
      </c>
      <c r="R81" s="41">
        <v>80</v>
      </c>
      <c r="T81" s="41" t="str">
        <f t="shared" si="3"/>
        <v>167100:Var_ui_ErrNo:=80;</v>
      </c>
    </row>
    <row r="82" spans="1:20">
      <c r="A82" s="190">
        <v>81</v>
      </c>
      <c r="B82" s="40">
        <v>6</v>
      </c>
      <c r="C82" s="40">
        <v>136</v>
      </c>
      <c r="F82" s="40"/>
      <c r="G82" s="40"/>
      <c r="H82" s="40" t="s">
        <v>1468</v>
      </c>
      <c r="I82" s="40" t="s">
        <v>1653</v>
      </c>
      <c r="J82" s="40" t="s">
        <v>1748</v>
      </c>
      <c r="K82" s="40" t="s">
        <v>1749</v>
      </c>
      <c r="L82" s="190">
        <v>1672</v>
      </c>
      <c r="M82" s="190">
        <v>0</v>
      </c>
      <c r="N82" s="40" t="s">
        <v>1472</v>
      </c>
      <c r="O82" s="41" t="str">
        <f t="shared" si="2"/>
        <v>EBS1_1672_0</v>
      </c>
      <c r="P82" s="41" t="s">
        <v>1750</v>
      </c>
      <c r="R82" s="41">
        <v>81</v>
      </c>
      <c r="T82" s="41" t="str">
        <f t="shared" si="3"/>
        <v>167200:Var_ui_ErrNo:=81;</v>
      </c>
    </row>
    <row r="83" spans="1:20">
      <c r="A83" s="190">
        <v>82</v>
      </c>
      <c r="B83" s="40">
        <v>6</v>
      </c>
      <c r="C83" s="40">
        <v>137</v>
      </c>
      <c r="F83" s="40"/>
      <c r="G83" s="40"/>
      <c r="H83" s="40" t="s">
        <v>1468</v>
      </c>
      <c r="I83" s="40" t="s">
        <v>1657</v>
      </c>
      <c r="J83" s="40" t="s">
        <v>1751</v>
      </c>
      <c r="K83" s="40" t="s">
        <v>1752</v>
      </c>
      <c r="L83" s="190">
        <v>1673</v>
      </c>
      <c r="M83" s="190">
        <v>0</v>
      </c>
      <c r="N83" s="40" t="s">
        <v>1472</v>
      </c>
      <c r="O83" s="41" t="str">
        <f t="shared" si="2"/>
        <v>EBS1_1673_0</v>
      </c>
      <c r="P83" s="41" t="s">
        <v>1753</v>
      </c>
      <c r="R83" s="41">
        <v>82</v>
      </c>
      <c r="T83" s="41" t="str">
        <f t="shared" si="3"/>
        <v>167300:Var_ui_ErrNo:=82;</v>
      </c>
    </row>
    <row r="84" spans="1:20">
      <c r="A84" s="190">
        <v>83</v>
      </c>
      <c r="B84" s="40">
        <v>6</v>
      </c>
      <c r="C84" s="40">
        <v>139</v>
      </c>
      <c r="F84" s="40"/>
      <c r="G84" s="40"/>
      <c r="H84" s="40" t="s">
        <v>1468</v>
      </c>
      <c r="I84" s="40" t="s">
        <v>1657</v>
      </c>
      <c r="J84" s="40" t="s">
        <v>1754</v>
      </c>
      <c r="K84" s="40" t="s">
        <v>1755</v>
      </c>
      <c r="L84" s="190">
        <v>1675</v>
      </c>
      <c r="M84" s="190">
        <v>0</v>
      </c>
      <c r="N84" s="40" t="s">
        <v>1472</v>
      </c>
      <c r="O84" s="41" t="str">
        <f t="shared" si="2"/>
        <v>EBS1_1675_0</v>
      </c>
      <c r="P84" s="41" t="s">
        <v>1756</v>
      </c>
      <c r="R84" s="41">
        <v>83</v>
      </c>
      <c r="T84" s="41" t="str">
        <f t="shared" si="3"/>
        <v>167500:Var_ui_ErrNo:=83;</v>
      </c>
    </row>
    <row r="85" spans="1:20">
      <c r="A85" s="190">
        <v>84</v>
      </c>
      <c r="B85" s="40">
        <v>6</v>
      </c>
      <c r="C85" s="40">
        <v>140</v>
      </c>
      <c r="F85" s="40"/>
      <c r="G85" s="40"/>
      <c r="H85" s="40" t="s">
        <v>1468</v>
      </c>
      <c r="I85" s="40" t="s">
        <v>1757</v>
      </c>
      <c r="J85" s="40" t="s">
        <v>1758</v>
      </c>
      <c r="K85" s="40" t="s">
        <v>1759</v>
      </c>
      <c r="L85" s="190">
        <v>1676</v>
      </c>
      <c r="M85" s="190">
        <v>0</v>
      </c>
      <c r="N85" s="40" t="s">
        <v>1472</v>
      </c>
      <c r="O85" s="41" t="str">
        <f t="shared" si="2"/>
        <v>EBS1_1676_0</v>
      </c>
      <c r="P85" s="41" t="s">
        <v>1760</v>
      </c>
      <c r="R85" s="41">
        <v>84</v>
      </c>
      <c r="T85" s="41" t="str">
        <f t="shared" si="3"/>
        <v>167600:Var_ui_ErrNo:=84;</v>
      </c>
    </row>
    <row r="86" spans="1:20">
      <c r="A86" s="190">
        <v>85</v>
      </c>
      <c r="B86" s="40">
        <v>6</v>
      </c>
      <c r="C86" s="40">
        <v>142</v>
      </c>
      <c r="F86" s="40"/>
      <c r="G86" s="40"/>
      <c r="H86" s="40" t="s">
        <v>1468</v>
      </c>
      <c r="I86" s="40" t="s">
        <v>1757</v>
      </c>
      <c r="J86" s="40" t="s">
        <v>1761</v>
      </c>
      <c r="K86" s="40" t="s">
        <v>1762</v>
      </c>
      <c r="L86" s="190">
        <v>1678</v>
      </c>
      <c r="M86" s="190">
        <v>0</v>
      </c>
      <c r="N86" s="40" t="s">
        <v>1472</v>
      </c>
      <c r="O86" s="41" t="str">
        <f t="shared" si="2"/>
        <v>EBS1_1678_0</v>
      </c>
      <c r="P86" s="41" t="s">
        <v>1763</v>
      </c>
      <c r="R86" s="41">
        <v>85</v>
      </c>
      <c r="T86" s="41" t="str">
        <f t="shared" si="3"/>
        <v>167800:Var_ui_ErrNo:=85;</v>
      </c>
    </row>
    <row r="87" spans="1:20">
      <c r="A87" s="190">
        <v>86</v>
      </c>
      <c r="B87" s="40">
        <v>6</v>
      </c>
      <c r="C87" s="40">
        <v>143</v>
      </c>
      <c r="F87" s="40"/>
      <c r="G87" s="40"/>
      <c r="H87" s="40" t="s">
        <v>1468</v>
      </c>
      <c r="I87" s="40" t="s">
        <v>1757</v>
      </c>
      <c r="J87" s="40" t="s">
        <v>1764</v>
      </c>
      <c r="K87" s="40" t="s">
        <v>1765</v>
      </c>
      <c r="L87" s="190">
        <v>1679</v>
      </c>
      <c r="M87" s="190">
        <v>0</v>
      </c>
      <c r="N87" s="40" t="s">
        <v>1472</v>
      </c>
      <c r="O87" s="41" t="str">
        <f t="shared" si="2"/>
        <v>EBS1_1679_0</v>
      </c>
      <c r="P87" s="41" t="s">
        <v>1766</v>
      </c>
      <c r="R87" s="41">
        <v>86</v>
      </c>
      <c r="T87" s="41" t="str">
        <f t="shared" si="3"/>
        <v>167900:Var_ui_ErrNo:=86;</v>
      </c>
    </row>
    <row r="88" spans="1:20">
      <c r="A88" s="190">
        <v>87</v>
      </c>
      <c r="B88" s="40">
        <v>6</v>
      </c>
      <c r="C88" s="40">
        <v>144</v>
      </c>
      <c r="F88" s="40"/>
      <c r="G88" s="40"/>
      <c r="H88" s="40" t="s">
        <v>1468</v>
      </c>
      <c r="I88" s="40" t="s">
        <v>1657</v>
      </c>
      <c r="J88" s="40" t="s">
        <v>1767</v>
      </c>
      <c r="K88" s="40" t="s">
        <v>1768</v>
      </c>
      <c r="L88" s="190">
        <v>1680</v>
      </c>
      <c r="M88" s="190">
        <v>0</v>
      </c>
      <c r="N88" s="40" t="s">
        <v>1472</v>
      </c>
      <c r="O88" s="41" t="str">
        <f t="shared" si="2"/>
        <v>EBS1_1680_0</v>
      </c>
      <c r="P88" s="41" t="s">
        <v>1769</v>
      </c>
      <c r="R88" s="41">
        <v>87</v>
      </c>
      <c r="T88" s="41" t="str">
        <f t="shared" si="3"/>
        <v>168000:Var_ui_ErrNo:=87;</v>
      </c>
    </row>
    <row r="89" spans="1:20">
      <c r="A89" s="190">
        <v>88</v>
      </c>
      <c r="B89" s="40">
        <v>7</v>
      </c>
      <c r="C89" s="40">
        <v>14</v>
      </c>
      <c r="F89" s="40"/>
      <c r="G89" s="40"/>
      <c r="H89" s="40" t="s">
        <v>1770</v>
      </c>
      <c r="I89" s="40" t="s">
        <v>1513</v>
      </c>
      <c r="J89" s="40" t="s">
        <v>1771</v>
      </c>
      <c r="K89" s="40" t="s">
        <v>1772</v>
      </c>
      <c r="L89" s="190">
        <v>1806</v>
      </c>
      <c r="M89" s="190">
        <v>0</v>
      </c>
      <c r="N89" s="40" t="s">
        <v>1773</v>
      </c>
      <c r="O89" s="41" t="str">
        <f t="shared" si="2"/>
        <v>EBS1_1806_0</v>
      </c>
      <c r="P89" s="41" t="s">
        <v>1774</v>
      </c>
      <c r="R89" s="41">
        <v>88</v>
      </c>
      <c r="T89" s="41" t="str">
        <f t="shared" si="3"/>
        <v>180600:Var_ui_ErrNo:=88;</v>
      </c>
    </row>
    <row r="90" spans="1:20">
      <c r="A90" s="190">
        <v>89</v>
      </c>
      <c r="B90" s="40">
        <v>7</v>
      </c>
      <c r="C90" s="40">
        <v>19</v>
      </c>
      <c r="F90" s="40"/>
      <c r="G90" s="40"/>
      <c r="H90" s="40" t="s">
        <v>1775</v>
      </c>
      <c r="I90" s="40" t="s">
        <v>1776</v>
      </c>
      <c r="J90" s="40" t="s">
        <v>1777</v>
      </c>
      <c r="K90" s="40" t="s">
        <v>1778</v>
      </c>
      <c r="L90" s="190">
        <v>1811</v>
      </c>
      <c r="M90" s="190">
        <v>0</v>
      </c>
      <c r="N90" s="40" t="s">
        <v>1779</v>
      </c>
      <c r="O90" s="41" t="str">
        <f t="shared" si="2"/>
        <v>EBS1_1811_0</v>
      </c>
      <c r="P90" s="41" t="s">
        <v>1780</v>
      </c>
      <c r="R90" s="41">
        <v>89</v>
      </c>
      <c r="T90" s="41" t="str">
        <f t="shared" si="3"/>
        <v>181100:Var_ui_ErrNo:=89;</v>
      </c>
    </row>
    <row r="91" spans="1:20">
      <c r="A91" s="190">
        <v>90</v>
      </c>
      <c r="B91" s="40">
        <v>7</v>
      </c>
      <c r="C91" s="40">
        <v>45</v>
      </c>
      <c r="F91" s="40"/>
      <c r="G91" s="40"/>
      <c r="H91" s="40" t="s">
        <v>1781</v>
      </c>
      <c r="I91" s="40" t="s">
        <v>1776</v>
      </c>
      <c r="J91" s="40" t="s">
        <v>1782</v>
      </c>
      <c r="K91" s="40" t="s">
        <v>1783</v>
      </c>
      <c r="L91" s="190">
        <v>1837</v>
      </c>
      <c r="M91" s="190">
        <v>0</v>
      </c>
      <c r="N91" s="40" t="s">
        <v>1784</v>
      </c>
      <c r="O91" s="41" t="str">
        <f t="shared" si="2"/>
        <v>EBS1_1837_0</v>
      </c>
      <c r="P91" s="41" t="s">
        <v>1785</v>
      </c>
      <c r="R91" s="41">
        <v>90</v>
      </c>
      <c r="T91" s="41" t="str">
        <f t="shared" si="3"/>
        <v>183700:Var_ui_ErrNo:=90;</v>
      </c>
    </row>
    <row r="92" spans="1:20">
      <c r="A92" s="190">
        <v>91</v>
      </c>
      <c r="B92" s="40">
        <v>7</v>
      </c>
      <c r="C92" s="40">
        <v>59</v>
      </c>
      <c r="F92" s="40"/>
      <c r="G92" s="40"/>
      <c r="H92" s="40" t="s">
        <v>1786</v>
      </c>
      <c r="I92" s="40" t="s">
        <v>1787</v>
      </c>
      <c r="J92" s="40" t="s">
        <v>1788</v>
      </c>
      <c r="K92" s="40" t="s">
        <v>1789</v>
      </c>
      <c r="L92" s="190">
        <v>1851</v>
      </c>
      <c r="M92" s="190">
        <v>0</v>
      </c>
      <c r="N92" s="40" t="s">
        <v>1790</v>
      </c>
      <c r="O92" s="41" t="str">
        <f t="shared" si="2"/>
        <v>EBS1_1851_0</v>
      </c>
      <c r="P92" s="41" t="s">
        <v>1791</v>
      </c>
      <c r="R92" s="41">
        <v>91</v>
      </c>
      <c r="T92" s="41" t="str">
        <f t="shared" si="3"/>
        <v>185100:Var_ui_ErrNo:=91;</v>
      </c>
    </row>
    <row r="93" spans="1:20">
      <c r="A93" s="190">
        <v>92</v>
      </c>
      <c r="B93" s="40">
        <v>10</v>
      </c>
      <c r="C93" s="40">
        <v>10</v>
      </c>
      <c r="F93" s="40"/>
      <c r="G93" s="40"/>
      <c r="H93" s="40" t="s">
        <v>1792</v>
      </c>
      <c r="I93" s="40" t="s">
        <v>1793</v>
      </c>
      <c r="J93" s="40" t="s">
        <v>1794</v>
      </c>
      <c r="K93" s="40" t="s">
        <v>1795</v>
      </c>
      <c r="L93" s="190">
        <v>2570</v>
      </c>
      <c r="M93" s="190">
        <v>0</v>
      </c>
      <c r="N93" s="40" t="s">
        <v>1796</v>
      </c>
      <c r="O93" s="41" t="str">
        <f t="shared" si="2"/>
        <v>EBS1_2570_0</v>
      </c>
      <c r="P93" s="41" t="s">
        <v>1797</v>
      </c>
      <c r="R93" s="41">
        <v>92</v>
      </c>
      <c r="T93" s="41" t="str">
        <f t="shared" si="3"/>
        <v>257000:Var_ui_ErrNo:=92;</v>
      </c>
    </row>
    <row r="94" spans="1:20">
      <c r="A94" s="190">
        <v>93</v>
      </c>
      <c r="B94" s="40">
        <v>10</v>
      </c>
      <c r="C94" s="40">
        <v>13</v>
      </c>
      <c r="F94" s="40"/>
      <c r="G94" s="40"/>
      <c r="H94" s="40" t="s">
        <v>1792</v>
      </c>
      <c r="I94" s="40" t="s">
        <v>1505</v>
      </c>
      <c r="J94" s="40" t="s">
        <v>1798</v>
      </c>
      <c r="K94" s="40" t="s">
        <v>1799</v>
      </c>
      <c r="L94" s="190">
        <v>2573</v>
      </c>
      <c r="M94" s="190">
        <v>0</v>
      </c>
      <c r="N94" s="40" t="s">
        <v>1796</v>
      </c>
      <c r="O94" s="41" t="str">
        <f t="shared" si="2"/>
        <v>EBS1_2573_0</v>
      </c>
      <c r="P94" s="41" t="s">
        <v>1800</v>
      </c>
      <c r="R94" s="41">
        <v>93</v>
      </c>
      <c r="T94" s="41" t="str">
        <f t="shared" si="3"/>
        <v>257300:Var_ui_ErrNo:=93;</v>
      </c>
    </row>
    <row r="95" spans="1:20">
      <c r="A95" s="190">
        <v>94</v>
      </c>
      <c r="B95" s="40">
        <v>10</v>
      </c>
      <c r="C95" s="40">
        <v>202</v>
      </c>
      <c r="F95" s="40"/>
      <c r="G95" s="40"/>
      <c r="H95" s="40" t="s">
        <v>1801</v>
      </c>
      <c r="I95" s="40" t="s">
        <v>1802</v>
      </c>
      <c r="J95" s="40" t="s">
        <v>1803</v>
      </c>
      <c r="K95" s="40" t="s">
        <v>1804</v>
      </c>
      <c r="L95" s="190">
        <v>2762</v>
      </c>
      <c r="M95" s="190">
        <v>0</v>
      </c>
      <c r="N95" s="40" t="s">
        <v>1805</v>
      </c>
      <c r="O95" s="41" t="str">
        <f t="shared" si="2"/>
        <v>EBS1_2762_0</v>
      </c>
      <c r="P95" s="41" t="s">
        <v>1806</v>
      </c>
      <c r="R95" s="41">
        <v>94</v>
      </c>
      <c r="T95" s="41" t="str">
        <f t="shared" si="3"/>
        <v>276200:Var_ui_ErrNo:=94;</v>
      </c>
    </row>
    <row r="96" spans="1:20">
      <c r="A96" s="190">
        <v>95</v>
      </c>
      <c r="B96" s="40">
        <v>10</v>
      </c>
      <c r="C96" s="40">
        <v>203</v>
      </c>
      <c r="F96" s="40"/>
      <c r="G96" s="40"/>
      <c r="H96" s="40" t="s">
        <v>1807</v>
      </c>
      <c r="I96" s="40" t="s">
        <v>1808</v>
      </c>
      <c r="J96" s="40" t="s">
        <v>1809</v>
      </c>
      <c r="K96" s="40" t="s">
        <v>1810</v>
      </c>
      <c r="L96" s="190">
        <v>2763</v>
      </c>
      <c r="M96" s="190">
        <v>0</v>
      </c>
      <c r="N96" s="40" t="s">
        <v>1811</v>
      </c>
      <c r="O96" s="41" t="str">
        <f t="shared" si="2"/>
        <v>EBS1_2763_0</v>
      </c>
      <c r="P96" s="41" t="s">
        <v>1812</v>
      </c>
      <c r="R96" s="41">
        <v>95</v>
      </c>
      <c r="T96" s="41" t="str">
        <f t="shared" si="3"/>
        <v>276300:Var_ui_ErrNo:=95;</v>
      </c>
    </row>
    <row r="97" spans="1:20">
      <c r="A97" s="190">
        <v>96</v>
      </c>
      <c r="B97" s="40">
        <v>10</v>
      </c>
      <c r="C97" s="40">
        <v>228</v>
      </c>
      <c r="F97" s="40"/>
      <c r="G97" s="40"/>
      <c r="H97" s="40" t="s">
        <v>1813</v>
      </c>
      <c r="I97" s="40" t="s">
        <v>1814</v>
      </c>
      <c r="J97" s="40" t="s">
        <v>1815</v>
      </c>
      <c r="K97" s="40" t="s">
        <v>1816</v>
      </c>
      <c r="L97" s="190">
        <v>2788</v>
      </c>
      <c r="M97" s="190">
        <v>0</v>
      </c>
      <c r="N97" s="40" t="s">
        <v>1817</v>
      </c>
      <c r="O97" s="41" t="str">
        <f t="shared" si="2"/>
        <v>EBS1_2788_0</v>
      </c>
      <c r="P97" s="41" t="s">
        <v>1818</v>
      </c>
      <c r="R97" s="41">
        <v>96</v>
      </c>
      <c r="T97" s="41" t="str">
        <f t="shared" si="3"/>
        <v>278800:Var_ui_ErrNo:=96;</v>
      </c>
    </row>
    <row r="98" spans="1:20">
      <c r="A98" s="190">
        <v>97</v>
      </c>
      <c r="B98" s="40">
        <v>10</v>
      </c>
      <c r="C98" s="40">
        <v>229</v>
      </c>
      <c r="F98" s="40"/>
      <c r="G98" s="40"/>
      <c r="H98" s="40" t="s">
        <v>1819</v>
      </c>
      <c r="I98" s="40" t="s">
        <v>1820</v>
      </c>
      <c r="J98" s="40" t="s">
        <v>1821</v>
      </c>
      <c r="K98" s="40" t="s">
        <v>1822</v>
      </c>
      <c r="L98" s="190">
        <v>2789</v>
      </c>
      <c r="M98" s="190">
        <v>0</v>
      </c>
      <c r="N98" s="40" t="s">
        <v>1823</v>
      </c>
      <c r="O98" s="41" t="str">
        <f t="shared" si="2"/>
        <v>EBS1_2789_0</v>
      </c>
      <c r="P98" s="41" t="s">
        <v>1824</v>
      </c>
      <c r="R98" s="41">
        <v>97</v>
      </c>
      <c r="T98" s="41" t="str">
        <f t="shared" si="3"/>
        <v>278900:Var_ui_ErrNo:=97;</v>
      </c>
    </row>
    <row r="99" spans="1:20">
      <c r="A99" s="190">
        <v>98</v>
      </c>
      <c r="B99" s="40">
        <v>10</v>
      </c>
      <c r="C99" s="40">
        <v>230</v>
      </c>
      <c r="F99" s="40"/>
      <c r="G99" s="40"/>
      <c r="H99" s="40" t="s">
        <v>1825</v>
      </c>
      <c r="I99" s="40" t="s">
        <v>1826</v>
      </c>
      <c r="J99" s="40" t="s">
        <v>1827</v>
      </c>
      <c r="K99" s="40" t="s">
        <v>1828</v>
      </c>
      <c r="L99" s="190">
        <v>2790</v>
      </c>
      <c r="M99" s="190">
        <v>0</v>
      </c>
      <c r="N99" s="40" t="s">
        <v>1829</v>
      </c>
      <c r="O99" s="41" t="str">
        <f t="shared" si="2"/>
        <v>EBS1_2790_0</v>
      </c>
      <c r="P99" s="41" t="s">
        <v>1830</v>
      </c>
      <c r="R99" s="41">
        <v>98</v>
      </c>
      <c r="T99" s="41" t="str">
        <f t="shared" si="3"/>
        <v>279000:Var_ui_ErrNo:=98;</v>
      </c>
    </row>
    <row r="100" spans="1:20">
      <c r="A100" s="190">
        <v>99</v>
      </c>
      <c r="B100" s="40">
        <v>10</v>
      </c>
      <c r="C100" s="40">
        <v>231</v>
      </c>
      <c r="F100" s="40"/>
      <c r="G100" s="40"/>
      <c r="H100" s="40" t="s">
        <v>1831</v>
      </c>
      <c r="I100" s="40" t="s">
        <v>1832</v>
      </c>
      <c r="J100" s="40" t="s">
        <v>1833</v>
      </c>
      <c r="K100" s="40" t="s">
        <v>1834</v>
      </c>
      <c r="L100" s="190">
        <v>2791</v>
      </c>
      <c r="M100" s="190">
        <v>0</v>
      </c>
      <c r="N100" s="40" t="s">
        <v>1835</v>
      </c>
      <c r="O100" s="41" t="str">
        <f t="shared" si="2"/>
        <v>EBS1_2791_0</v>
      </c>
      <c r="P100" s="41" t="s">
        <v>1836</v>
      </c>
      <c r="R100" s="41">
        <v>99</v>
      </c>
      <c r="T100" s="41" t="str">
        <f t="shared" si="3"/>
        <v>279100:Var_ui_ErrNo:=99;</v>
      </c>
    </row>
    <row r="101" spans="1:20">
      <c r="A101" s="190">
        <v>100</v>
      </c>
      <c r="B101" s="40">
        <v>10</v>
      </c>
      <c r="C101" s="40">
        <v>232</v>
      </c>
      <c r="F101" s="40"/>
      <c r="G101" s="40"/>
      <c r="H101" s="40" t="s">
        <v>1837</v>
      </c>
      <c r="I101" s="40" t="s">
        <v>1838</v>
      </c>
      <c r="J101" s="40" t="s">
        <v>1839</v>
      </c>
      <c r="K101" s="40" t="s">
        <v>1840</v>
      </c>
      <c r="L101" s="190">
        <v>2792</v>
      </c>
      <c r="M101" s="190">
        <v>0</v>
      </c>
      <c r="N101" s="40" t="s">
        <v>1841</v>
      </c>
      <c r="O101" s="41" t="str">
        <f t="shared" si="2"/>
        <v>EBS1_2792_0</v>
      </c>
      <c r="P101" s="41" t="s">
        <v>1842</v>
      </c>
      <c r="R101" s="41">
        <v>100</v>
      </c>
      <c r="T101" s="41" t="str">
        <f t="shared" si="3"/>
        <v>279200:Var_ui_ErrNo:=100;</v>
      </c>
    </row>
    <row r="102" spans="1:20">
      <c r="A102" s="190">
        <v>101</v>
      </c>
      <c r="B102" s="40">
        <v>10</v>
      </c>
      <c r="C102" s="40">
        <v>233</v>
      </c>
      <c r="F102" s="40"/>
      <c r="G102" s="40"/>
      <c r="H102" s="40" t="s">
        <v>1843</v>
      </c>
      <c r="I102" s="40" t="s">
        <v>1844</v>
      </c>
      <c r="J102" s="40" t="s">
        <v>1845</v>
      </c>
      <c r="K102" s="40" t="s">
        <v>1846</v>
      </c>
      <c r="L102" s="190">
        <v>2793</v>
      </c>
      <c r="M102" s="190">
        <v>0</v>
      </c>
      <c r="N102" s="40" t="s">
        <v>1847</v>
      </c>
      <c r="O102" s="41" t="str">
        <f t="shared" si="2"/>
        <v>EBS1_2793_0</v>
      </c>
      <c r="P102" s="41" t="s">
        <v>1848</v>
      </c>
      <c r="R102" s="41">
        <v>101</v>
      </c>
      <c r="T102" s="41" t="str">
        <f t="shared" si="3"/>
        <v>279300:Var_ui_ErrNo:=101;</v>
      </c>
    </row>
    <row r="103" spans="1:20">
      <c r="A103" s="190">
        <v>102</v>
      </c>
      <c r="B103" s="40">
        <v>10</v>
      </c>
      <c r="C103" s="40">
        <v>234</v>
      </c>
      <c r="F103" s="40"/>
      <c r="G103" s="40"/>
      <c r="H103" s="40" t="s">
        <v>1849</v>
      </c>
      <c r="I103" s="40" t="s">
        <v>1850</v>
      </c>
      <c r="J103" s="40" t="s">
        <v>1851</v>
      </c>
      <c r="K103" s="40" t="s">
        <v>1852</v>
      </c>
      <c r="L103" s="190">
        <v>2794</v>
      </c>
      <c r="M103" s="190">
        <v>0</v>
      </c>
      <c r="N103" s="40" t="s">
        <v>1853</v>
      </c>
      <c r="O103" s="41" t="str">
        <f t="shared" si="2"/>
        <v>EBS1_2794_0</v>
      </c>
      <c r="P103" s="41" t="s">
        <v>1854</v>
      </c>
      <c r="R103" s="41">
        <v>102</v>
      </c>
      <c r="T103" s="41" t="str">
        <f t="shared" si="3"/>
        <v>279400:Var_ui_ErrNo:=102;</v>
      </c>
    </row>
    <row r="104" spans="1:20">
      <c r="A104" s="190">
        <v>103</v>
      </c>
      <c r="B104" s="40">
        <v>10</v>
      </c>
      <c r="C104" s="40">
        <v>235</v>
      </c>
      <c r="F104" s="40"/>
      <c r="G104" s="40"/>
      <c r="H104" s="40" t="s">
        <v>1855</v>
      </c>
      <c r="I104" s="40" t="s">
        <v>1856</v>
      </c>
      <c r="J104" s="40" t="s">
        <v>1857</v>
      </c>
      <c r="K104" s="40" t="s">
        <v>1858</v>
      </c>
      <c r="L104" s="190">
        <v>2795</v>
      </c>
      <c r="M104" s="190">
        <v>0</v>
      </c>
      <c r="N104" s="40" t="s">
        <v>1859</v>
      </c>
      <c r="O104" s="41" t="str">
        <f t="shared" si="2"/>
        <v>EBS1_2795_0</v>
      </c>
      <c r="P104" s="41" t="s">
        <v>1860</v>
      </c>
      <c r="R104" s="41">
        <v>103</v>
      </c>
      <c r="T104" s="41" t="str">
        <f t="shared" si="3"/>
        <v>279500:Var_ui_ErrNo:=103;</v>
      </c>
    </row>
    <row r="105" spans="1:20">
      <c r="A105" s="190">
        <v>104</v>
      </c>
      <c r="B105" s="40">
        <v>10</v>
      </c>
      <c r="C105" s="40">
        <v>236</v>
      </c>
      <c r="F105" s="40"/>
      <c r="G105" s="40"/>
      <c r="H105" s="40" t="s">
        <v>1861</v>
      </c>
      <c r="I105" s="40" t="s">
        <v>1862</v>
      </c>
      <c r="J105" s="40" t="s">
        <v>1863</v>
      </c>
      <c r="K105" s="40" t="s">
        <v>1864</v>
      </c>
      <c r="L105" s="190">
        <v>2796</v>
      </c>
      <c r="M105" s="190">
        <v>0</v>
      </c>
      <c r="N105" s="40" t="s">
        <v>1865</v>
      </c>
      <c r="O105" s="41" t="str">
        <f t="shared" si="2"/>
        <v>EBS1_2796_0</v>
      </c>
      <c r="P105" s="41" t="s">
        <v>1866</v>
      </c>
      <c r="R105" s="41">
        <v>104</v>
      </c>
      <c r="T105" s="41" t="str">
        <f t="shared" si="3"/>
        <v>279600:Var_ui_ErrNo:=104;</v>
      </c>
    </row>
    <row r="106" spans="1:20">
      <c r="A106" s="190">
        <v>105</v>
      </c>
      <c r="B106" s="40">
        <v>10</v>
      </c>
      <c r="C106" s="40">
        <v>237</v>
      </c>
      <c r="F106" s="40"/>
      <c r="G106" s="40"/>
      <c r="H106" s="40" t="s">
        <v>1867</v>
      </c>
      <c r="I106" s="40" t="s">
        <v>1868</v>
      </c>
      <c r="J106" s="40" t="s">
        <v>1869</v>
      </c>
      <c r="K106" s="40" t="s">
        <v>1870</v>
      </c>
      <c r="L106" s="190">
        <v>2797</v>
      </c>
      <c r="M106" s="190">
        <v>0</v>
      </c>
      <c r="N106" s="40" t="s">
        <v>1871</v>
      </c>
      <c r="O106" s="41" t="str">
        <f t="shared" si="2"/>
        <v>EBS1_2797_0</v>
      </c>
      <c r="P106" s="41" t="s">
        <v>1872</v>
      </c>
      <c r="R106" s="41">
        <v>105</v>
      </c>
      <c r="T106" s="41" t="str">
        <f t="shared" si="3"/>
        <v>279700:Var_ui_ErrNo:=105;</v>
      </c>
    </row>
    <row r="107" spans="1:20">
      <c r="A107" s="190">
        <v>106</v>
      </c>
      <c r="B107" s="40">
        <v>10</v>
      </c>
      <c r="C107" s="40">
        <v>239</v>
      </c>
      <c r="F107" s="40"/>
      <c r="G107" s="40"/>
      <c r="H107" s="40" t="s">
        <v>1873</v>
      </c>
      <c r="I107" s="40" t="s">
        <v>1874</v>
      </c>
      <c r="J107" s="40" t="s">
        <v>1875</v>
      </c>
      <c r="K107" s="40" t="s">
        <v>1876</v>
      </c>
      <c r="L107" s="190">
        <v>2799</v>
      </c>
      <c r="M107" s="190">
        <v>0</v>
      </c>
      <c r="N107" s="40" t="s">
        <v>1877</v>
      </c>
      <c r="O107" s="41" t="str">
        <f t="shared" si="2"/>
        <v>EBS1_2799_0</v>
      </c>
      <c r="P107" s="41" t="s">
        <v>1878</v>
      </c>
      <c r="R107" s="41">
        <v>106</v>
      </c>
      <c r="T107" s="41" t="str">
        <f t="shared" si="3"/>
        <v>279900:Var_ui_ErrNo:=106;</v>
      </c>
    </row>
    <row r="108" spans="1:20">
      <c r="A108" s="190">
        <v>107</v>
      </c>
      <c r="B108" s="40">
        <v>10</v>
      </c>
      <c r="C108" s="40">
        <v>241</v>
      </c>
      <c r="F108" s="40"/>
      <c r="G108" s="40"/>
      <c r="H108" s="40" t="s">
        <v>1879</v>
      </c>
      <c r="I108" s="40" t="s">
        <v>1880</v>
      </c>
      <c r="J108" s="40" t="s">
        <v>1881</v>
      </c>
      <c r="K108" s="40" t="s">
        <v>1882</v>
      </c>
      <c r="L108" s="190">
        <v>2801</v>
      </c>
      <c r="M108" s="190">
        <v>0</v>
      </c>
      <c r="N108" s="40" t="s">
        <v>1883</v>
      </c>
      <c r="O108" s="41" t="str">
        <f t="shared" si="2"/>
        <v>EBS1_2801_0</v>
      </c>
      <c r="P108" s="41" t="s">
        <v>1884</v>
      </c>
      <c r="R108" s="41">
        <v>107</v>
      </c>
      <c r="T108" s="41" t="str">
        <f t="shared" si="3"/>
        <v>280100:Var_ui_ErrNo:=107;</v>
      </c>
    </row>
    <row r="109" spans="1:20">
      <c r="A109" s="190">
        <v>108</v>
      </c>
      <c r="B109" s="40">
        <v>10</v>
      </c>
      <c r="C109" s="40">
        <v>244</v>
      </c>
      <c r="F109" s="40"/>
      <c r="G109" s="40"/>
      <c r="H109" s="40" t="s">
        <v>1885</v>
      </c>
      <c r="I109" s="40" t="s">
        <v>1886</v>
      </c>
      <c r="J109" s="40" t="s">
        <v>1887</v>
      </c>
      <c r="K109" s="40" t="s">
        <v>1888</v>
      </c>
      <c r="L109" s="190">
        <v>2804</v>
      </c>
      <c r="M109" s="190">
        <v>0</v>
      </c>
      <c r="N109" s="40" t="s">
        <v>1889</v>
      </c>
      <c r="O109" s="41" t="str">
        <f t="shared" si="2"/>
        <v>EBS1_2804_0</v>
      </c>
      <c r="P109" s="41" t="s">
        <v>1890</v>
      </c>
      <c r="R109" s="41">
        <v>108</v>
      </c>
      <c r="T109" s="41" t="str">
        <f t="shared" si="3"/>
        <v>280400:Var_ui_ErrNo:=108;</v>
      </c>
    </row>
    <row r="110" spans="1:20">
      <c r="A110" s="190">
        <v>109</v>
      </c>
      <c r="B110" s="40">
        <v>10</v>
      </c>
      <c r="C110" s="40">
        <v>252</v>
      </c>
      <c r="F110" s="40"/>
      <c r="G110" s="40"/>
      <c r="H110" s="40" t="s">
        <v>1891</v>
      </c>
      <c r="I110" s="40" t="s">
        <v>1892</v>
      </c>
      <c r="J110" s="40" t="s">
        <v>1893</v>
      </c>
      <c r="K110" s="40" t="s">
        <v>1894</v>
      </c>
      <c r="L110" s="190">
        <v>2812</v>
      </c>
      <c r="M110" s="190">
        <v>0</v>
      </c>
      <c r="N110" s="40" t="s">
        <v>1895</v>
      </c>
      <c r="O110" s="41" t="str">
        <f t="shared" si="2"/>
        <v>EBS1_2812_0</v>
      </c>
      <c r="P110" s="41" t="s">
        <v>1896</v>
      </c>
      <c r="R110" s="41">
        <v>109</v>
      </c>
      <c r="T110" s="41" t="str">
        <f t="shared" si="3"/>
        <v>281200:Var_ui_ErrNo:=109;</v>
      </c>
    </row>
    <row r="111" spans="1:20">
      <c r="A111" s="190">
        <v>110</v>
      </c>
      <c r="B111" s="40">
        <v>10</v>
      </c>
      <c r="C111" s="40">
        <v>253</v>
      </c>
      <c r="F111" s="40"/>
      <c r="G111" s="40"/>
      <c r="H111" s="40" t="s">
        <v>1897</v>
      </c>
      <c r="I111" s="40" t="s">
        <v>1892</v>
      </c>
      <c r="J111" s="40" t="s">
        <v>1898</v>
      </c>
      <c r="K111" s="40" t="s">
        <v>1899</v>
      </c>
      <c r="L111" s="190">
        <v>2813</v>
      </c>
      <c r="M111" s="190">
        <v>0</v>
      </c>
      <c r="N111" s="40" t="s">
        <v>1900</v>
      </c>
      <c r="O111" s="41" t="str">
        <f t="shared" si="2"/>
        <v>EBS1_2813_0</v>
      </c>
      <c r="P111" s="41" t="s">
        <v>1901</v>
      </c>
      <c r="R111" s="41">
        <v>110</v>
      </c>
      <c r="T111" s="41" t="str">
        <f t="shared" si="3"/>
        <v>281300:Var_ui_ErrNo:=110;</v>
      </c>
    </row>
    <row r="112" spans="1:20">
      <c r="A112" s="190">
        <v>111</v>
      </c>
      <c r="B112" s="40">
        <v>10</v>
      </c>
      <c r="C112" s="40">
        <v>254</v>
      </c>
      <c r="F112" s="40"/>
      <c r="G112" s="40"/>
      <c r="H112" s="40" t="s">
        <v>1897</v>
      </c>
      <c r="I112" s="40" t="s">
        <v>1892</v>
      </c>
      <c r="J112" s="40" t="s">
        <v>1902</v>
      </c>
      <c r="K112" s="40" t="s">
        <v>1903</v>
      </c>
      <c r="L112" s="190">
        <v>2814</v>
      </c>
      <c r="M112" s="190">
        <v>0</v>
      </c>
      <c r="N112" s="40" t="s">
        <v>1900</v>
      </c>
      <c r="O112" s="41" t="str">
        <f t="shared" si="2"/>
        <v>EBS1_2814_0</v>
      </c>
      <c r="P112" s="41" t="s">
        <v>1904</v>
      </c>
      <c r="R112" s="41">
        <v>111</v>
      </c>
      <c r="T112" s="41" t="str">
        <f t="shared" si="3"/>
        <v>281400:Var_ui_ErrNo:=111;</v>
      </c>
    </row>
    <row r="113" spans="1:20">
      <c r="A113" s="190">
        <v>112</v>
      </c>
      <c r="B113" s="40">
        <v>10</v>
      </c>
      <c r="C113" s="40">
        <v>255</v>
      </c>
      <c r="F113" s="40"/>
      <c r="G113" s="40"/>
      <c r="H113" s="40" t="s">
        <v>1905</v>
      </c>
      <c r="I113" s="40" t="s">
        <v>1906</v>
      </c>
      <c r="J113" s="40" t="s">
        <v>1907</v>
      </c>
      <c r="K113" s="40" t="s">
        <v>1908</v>
      </c>
      <c r="L113" s="190">
        <v>2815</v>
      </c>
      <c r="M113" s="190">
        <v>0</v>
      </c>
      <c r="N113" s="40" t="s">
        <v>1909</v>
      </c>
      <c r="O113" s="41" t="str">
        <f t="shared" si="2"/>
        <v>EBS1_2815_0</v>
      </c>
      <c r="P113" s="41" t="s">
        <v>1910</v>
      </c>
      <c r="R113" s="41">
        <v>112</v>
      </c>
      <c r="T113" s="41" t="str">
        <f t="shared" si="3"/>
        <v>281500:Var_ui_ErrNo:=112;</v>
      </c>
    </row>
    <row r="114" spans="1:20">
      <c r="A114" s="190">
        <v>113</v>
      </c>
      <c r="B114" s="40">
        <v>12</v>
      </c>
      <c r="C114" s="40">
        <v>10</v>
      </c>
      <c r="F114" s="40"/>
      <c r="G114" s="40"/>
      <c r="H114" s="40" t="s">
        <v>1911</v>
      </c>
      <c r="I114" s="40" t="s">
        <v>1912</v>
      </c>
      <c r="J114" s="40" t="s">
        <v>1913</v>
      </c>
      <c r="K114" s="40" t="s">
        <v>1914</v>
      </c>
      <c r="L114" s="190">
        <v>3082</v>
      </c>
      <c r="M114" s="190">
        <v>0</v>
      </c>
      <c r="N114" s="40" t="s">
        <v>1915</v>
      </c>
      <c r="O114" s="41" t="str">
        <f t="shared" si="2"/>
        <v>EBS1_3082_0</v>
      </c>
      <c r="P114" s="41" t="s">
        <v>1916</v>
      </c>
      <c r="R114" s="41">
        <v>113</v>
      </c>
      <c r="T114" s="41" t="str">
        <f t="shared" si="3"/>
        <v>308200:Var_ui_ErrNo:=113;</v>
      </c>
    </row>
    <row r="115" spans="1:20">
      <c r="A115" s="190">
        <v>114</v>
      </c>
      <c r="B115" s="40">
        <v>12</v>
      </c>
      <c r="C115" s="40">
        <v>15</v>
      </c>
      <c r="F115" s="40"/>
      <c r="G115" s="40"/>
      <c r="H115" s="40" t="s">
        <v>1917</v>
      </c>
      <c r="I115" s="40" t="s">
        <v>1918</v>
      </c>
      <c r="J115" s="40" t="s">
        <v>1919</v>
      </c>
      <c r="K115" s="40" t="s">
        <v>1920</v>
      </c>
      <c r="L115" s="190">
        <v>3087</v>
      </c>
      <c r="M115" s="190">
        <v>0</v>
      </c>
      <c r="N115" s="40" t="s">
        <v>1915</v>
      </c>
      <c r="O115" s="41" t="str">
        <f t="shared" si="2"/>
        <v>EBS1_3087_0</v>
      </c>
      <c r="P115" s="41" t="s">
        <v>1921</v>
      </c>
      <c r="R115" s="41">
        <v>114</v>
      </c>
      <c r="T115" s="41" t="str">
        <f t="shared" si="3"/>
        <v>308700:Var_ui_ErrNo:=114;</v>
      </c>
    </row>
    <row r="116" spans="1:20">
      <c r="A116" s="190">
        <v>115</v>
      </c>
      <c r="B116" s="40">
        <v>12</v>
      </c>
      <c r="C116" s="40">
        <v>16</v>
      </c>
      <c r="F116" s="40"/>
      <c r="G116" s="40"/>
      <c r="H116" s="40" t="s">
        <v>1922</v>
      </c>
      <c r="I116" s="40" t="s">
        <v>1918</v>
      </c>
      <c r="J116" s="40" t="s">
        <v>1923</v>
      </c>
      <c r="K116" s="40" t="s">
        <v>1924</v>
      </c>
      <c r="L116" s="190">
        <v>3088</v>
      </c>
      <c r="M116" s="190">
        <v>0</v>
      </c>
      <c r="N116" s="40" t="s">
        <v>1915</v>
      </c>
      <c r="O116" s="41" t="str">
        <f t="shared" si="2"/>
        <v>EBS1_3088_0</v>
      </c>
      <c r="P116" s="41" t="s">
        <v>1925</v>
      </c>
      <c r="R116" s="41">
        <v>115</v>
      </c>
      <c r="T116" s="41" t="str">
        <f t="shared" si="3"/>
        <v>308800:Var_ui_ErrNo:=115;</v>
      </c>
    </row>
    <row r="117" spans="1:20">
      <c r="A117" s="190">
        <v>116</v>
      </c>
      <c r="B117" s="40">
        <v>12</v>
      </c>
      <c r="C117" s="40">
        <v>89</v>
      </c>
      <c r="F117" s="40"/>
      <c r="G117" s="40"/>
      <c r="H117" s="40" t="s">
        <v>1926</v>
      </c>
      <c r="I117" s="40" t="s">
        <v>1927</v>
      </c>
      <c r="J117" s="40" t="s">
        <v>1928</v>
      </c>
      <c r="K117" s="40" t="s">
        <v>1929</v>
      </c>
      <c r="L117" s="190">
        <v>3161</v>
      </c>
      <c r="M117" s="190">
        <v>0</v>
      </c>
      <c r="N117" s="40" t="s">
        <v>1930</v>
      </c>
      <c r="O117" s="41" t="str">
        <f t="shared" si="2"/>
        <v>EBS1_3161_0</v>
      </c>
      <c r="P117" s="41" t="s">
        <v>1931</v>
      </c>
      <c r="R117" s="41">
        <v>116</v>
      </c>
      <c r="T117" s="41" t="str">
        <f t="shared" si="3"/>
        <v>316100:Var_ui_ErrNo:=116;</v>
      </c>
    </row>
    <row r="118" spans="1:20">
      <c r="A118" s="190">
        <v>117</v>
      </c>
      <c r="B118" s="40">
        <v>12</v>
      </c>
      <c r="C118" s="40">
        <v>247</v>
      </c>
      <c r="F118" s="40"/>
      <c r="G118" s="40"/>
      <c r="H118" s="40" t="s">
        <v>1932</v>
      </c>
      <c r="I118" s="40" t="s">
        <v>1933</v>
      </c>
      <c r="J118" s="40" t="s">
        <v>1934</v>
      </c>
      <c r="K118" s="40" t="s">
        <v>1935</v>
      </c>
      <c r="L118" s="190">
        <v>3319</v>
      </c>
      <c r="M118" s="190">
        <v>0</v>
      </c>
      <c r="N118" s="40" t="s">
        <v>1936</v>
      </c>
      <c r="O118" s="41" t="str">
        <f t="shared" si="2"/>
        <v>EBS1_3319_0</v>
      </c>
      <c r="P118" s="41" t="s">
        <v>1937</v>
      </c>
      <c r="R118" s="41">
        <v>117</v>
      </c>
      <c r="T118" s="41" t="str">
        <f t="shared" si="3"/>
        <v>331900:Var_ui_ErrNo:=117;</v>
      </c>
    </row>
    <row r="119" spans="1:20">
      <c r="A119" s="190">
        <v>118</v>
      </c>
      <c r="B119" s="40">
        <v>12</v>
      </c>
      <c r="C119" s="40">
        <v>248</v>
      </c>
      <c r="F119" s="40"/>
      <c r="G119" s="40"/>
      <c r="H119" s="40" t="s">
        <v>1938</v>
      </c>
      <c r="I119" s="40" t="s">
        <v>1939</v>
      </c>
      <c r="J119" s="40" t="s">
        <v>1940</v>
      </c>
      <c r="K119" s="40" t="s">
        <v>1941</v>
      </c>
      <c r="L119" s="190">
        <v>3320</v>
      </c>
      <c r="M119" s="190">
        <v>0</v>
      </c>
      <c r="N119" s="40" t="s">
        <v>1942</v>
      </c>
      <c r="O119" s="41" t="str">
        <f t="shared" si="2"/>
        <v>EBS1_3320_0</v>
      </c>
      <c r="P119" s="41" t="s">
        <v>1943</v>
      </c>
      <c r="R119" s="41">
        <v>118</v>
      </c>
      <c r="T119" s="41" t="str">
        <f t="shared" si="3"/>
        <v>332000:Var_ui_ErrNo:=118;</v>
      </c>
    </row>
    <row r="120" spans="1:20">
      <c r="A120" s="190">
        <v>119</v>
      </c>
      <c r="B120" s="40">
        <v>12</v>
      </c>
      <c r="C120" s="40">
        <v>249</v>
      </c>
      <c r="F120" s="40"/>
      <c r="G120" s="40"/>
      <c r="H120" s="40" t="s">
        <v>1944</v>
      </c>
      <c r="I120" s="40" t="s">
        <v>1945</v>
      </c>
      <c r="J120" s="40" t="s">
        <v>1946</v>
      </c>
      <c r="K120" s="40" t="s">
        <v>1947</v>
      </c>
      <c r="L120" s="190">
        <v>3321</v>
      </c>
      <c r="M120" s="190">
        <v>0</v>
      </c>
      <c r="N120" s="40" t="s">
        <v>1948</v>
      </c>
      <c r="O120" s="41" t="str">
        <f t="shared" si="2"/>
        <v>EBS1_3321_0</v>
      </c>
      <c r="P120" s="41" t="s">
        <v>1949</v>
      </c>
      <c r="R120" s="41">
        <v>119</v>
      </c>
      <c r="T120" s="41" t="str">
        <f t="shared" si="3"/>
        <v>332100:Var_ui_ErrNo:=119;</v>
      </c>
    </row>
    <row r="121" spans="1:20">
      <c r="A121" s="190">
        <v>120</v>
      </c>
      <c r="B121" s="40">
        <v>12</v>
      </c>
      <c r="C121" s="40">
        <v>250</v>
      </c>
      <c r="F121" s="40"/>
      <c r="G121" s="40"/>
      <c r="H121" s="40" t="s">
        <v>1950</v>
      </c>
      <c r="I121" s="40" t="s">
        <v>1951</v>
      </c>
      <c r="J121" s="40" t="s">
        <v>1952</v>
      </c>
      <c r="K121" s="40" t="s">
        <v>1953</v>
      </c>
      <c r="L121" s="190">
        <v>3322</v>
      </c>
      <c r="M121" s="190">
        <v>0</v>
      </c>
      <c r="N121" s="40" t="s">
        <v>1954</v>
      </c>
      <c r="O121" s="41" t="str">
        <f t="shared" si="2"/>
        <v>EBS1_3322_0</v>
      </c>
      <c r="P121" s="41" t="s">
        <v>1955</v>
      </c>
      <c r="R121" s="41">
        <v>120</v>
      </c>
      <c r="T121" s="41" t="str">
        <f t="shared" si="3"/>
        <v>332200:Var_ui_ErrNo:=120;</v>
      </c>
    </row>
    <row r="122" spans="1:20">
      <c r="A122" s="190">
        <v>121</v>
      </c>
      <c r="B122" s="40">
        <v>12</v>
      </c>
      <c r="C122" s="40">
        <v>251</v>
      </c>
      <c r="F122" s="40"/>
      <c r="G122" s="40"/>
      <c r="H122" s="40" t="s">
        <v>1956</v>
      </c>
      <c r="I122" s="40" t="s">
        <v>1957</v>
      </c>
      <c r="J122" s="40" t="s">
        <v>1958</v>
      </c>
      <c r="K122" s="40" t="s">
        <v>1959</v>
      </c>
      <c r="L122" s="190">
        <v>3323</v>
      </c>
      <c r="M122" s="190">
        <v>0</v>
      </c>
      <c r="N122" s="40" t="s">
        <v>1960</v>
      </c>
      <c r="O122" s="41" t="str">
        <f t="shared" si="2"/>
        <v>EBS1_3323_0</v>
      </c>
      <c r="P122" s="41" t="s">
        <v>1961</v>
      </c>
      <c r="R122" s="41">
        <v>121</v>
      </c>
      <c r="T122" s="41" t="str">
        <f t="shared" si="3"/>
        <v>332300:Var_ui_ErrNo:=121;</v>
      </c>
    </row>
    <row r="123" spans="1:20">
      <c r="A123" s="190">
        <v>122</v>
      </c>
      <c r="B123" s="40">
        <v>14</v>
      </c>
      <c r="C123" s="40">
        <v>2</v>
      </c>
      <c r="F123" s="40"/>
      <c r="G123" s="40"/>
      <c r="H123" s="40" t="s">
        <v>1962</v>
      </c>
      <c r="I123" s="40" t="s">
        <v>1963</v>
      </c>
      <c r="J123" s="40" t="s">
        <v>1964</v>
      </c>
      <c r="K123" s="40" t="s">
        <v>1965</v>
      </c>
      <c r="L123" s="190">
        <v>3586</v>
      </c>
      <c r="M123" s="190">
        <v>0</v>
      </c>
      <c r="N123" s="40" t="s">
        <v>1966</v>
      </c>
      <c r="O123" s="41" t="str">
        <f t="shared" si="2"/>
        <v>EBS1_3586_0</v>
      </c>
      <c r="P123" s="41" t="s">
        <v>1967</v>
      </c>
      <c r="R123" s="41">
        <v>122</v>
      </c>
      <c r="T123" s="41" t="str">
        <f t="shared" si="3"/>
        <v>358600:Var_ui_ErrNo:=122;</v>
      </c>
    </row>
    <row r="124" spans="1:20">
      <c r="A124" s="190">
        <v>123</v>
      </c>
      <c r="B124" s="40">
        <v>14</v>
      </c>
      <c r="C124" s="40">
        <v>10</v>
      </c>
      <c r="F124" s="40"/>
      <c r="G124" s="40"/>
      <c r="H124" s="40" t="s">
        <v>1968</v>
      </c>
      <c r="I124" s="40" t="s">
        <v>1969</v>
      </c>
      <c r="J124" s="40" t="s">
        <v>1970</v>
      </c>
      <c r="K124" s="40" t="s">
        <v>1971</v>
      </c>
      <c r="L124" s="190">
        <v>3594</v>
      </c>
      <c r="M124" s="190">
        <v>0</v>
      </c>
      <c r="N124" s="40" t="s">
        <v>1972</v>
      </c>
      <c r="O124" s="41" t="str">
        <f t="shared" si="2"/>
        <v>EBS1_3594_0</v>
      </c>
      <c r="P124" s="41" t="s">
        <v>1973</v>
      </c>
      <c r="R124" s="41">
        <v>123</v>
      </c>
      <c r="T124" s="41" t="str">
        <f t="shared" si="3"/>
        <v>359400:Var_ui_ErrNo:=123;</v>
      </c>
    </row>
    <row r="125" spans="1:20">
      <c r="A125" s="190">
        <v>124</v>
      </c>
      <c r="B125" s="40">
        <v>14</v>
      </c>
      <c r="C125" s="40">
        <v>13</v>
      </c>
      <c r="F125" s="40"/>
      <c r="G125" s="40"/>
      <c r="H125" s="40" t="s">
        <v>1968</v>
      </c>
      <c r="I125" s="40" t="s">
        <v>1505</v>
      </c>
      <c r="J125" s="40" t="s">
        <v>1974</v>
      </c>
      <c r="K125" s="40" t="s">
        <v>1975</v>
      </c>
      <c r="L125" s="190">
        <v>3597</v>
      </c>
      <c r="M125" s="190">
        <v>0</v>
      </c>
      <c r="N125" s="40" t="s">
        <v>1972</v>
      </c>
      <c r="O125" s="41" t="str">
        <f t="shared" si="2"/>
        <v>EBS1_3597_0</v>
      </c>
      <c r="P125" s="41" t="s">
        <v>1976</v>
      </c>
      <c r="R125" s="41">
        <v>124</v>
      </c>
      <c r="T125" s="41" t="str">
        <f t="shared" si="3"/>
        <v>359700:Var_ui_ErrNo:=124;</v>
      </c>
    </row>
    <row r="126" spans="1:20">
      <c r="A126" s="190">
        <v>125</v>
      </c>
      <c r="B126" s="40">
        <v>14</v>
      </c>
      <c r="C126" s="40">
        <v>14</v>
      </c>
      <c r="F126" s="40"/>
      <c r="G126" s="40"/>
      <c r="H126" s="40" t="s">
        <v>1968</v>
      </c>
      <c r="I126" s="40" t="s">
        <v>1969</v>
      </c>
      <c r="J126" s="40" t="s">
        <v>1977</v>
      </c>
      <c r="K126" s="40" t="s">
        <v>1978</v>
      </c>
      <c r="L126" s="190">
        <v>3598</v>
      </c>
      <c r="M126" s="190">
        <v>0</v>
      </c>
      <c r="N126" s="40" t="s">
        <v>1972</v>
      </c>
      <c r="O126" s="41" t="str">
        <f t="shared" si="2"/>
        <v>EBS1_3598_0</v>
      </c>
      <c r="P126" s="41" t="s">
        <v>1979</v>
      </c>
      <c r="R126" s="41">
        <v>125</v>
      </c>
      <c r="T126" s="41" t="str">
        <f t="shared" si="3"/>
        <v>359800:Var_ui_ErrNo:=125;</v>
      </c>
    </row>
    <row r="127" spans="1:20">
      <c r="A127" s="190">
        <v>126</v>
      </c>
      <c r="B127" s="40">
        <v>15</v>
      </c>
      <c r="C127" s="40">
        <v>10</v>
      </c>
      <c r="F127" s="40"/>
      <c r="G127" s="40"/>
      <c r="H127" s="40" t="s">
        <v>1980</v>
      </c>
      <c r="I127" s="40" t="s">
        <v>1981</v>
      </c>
      <c r="J127" s="40" t="s">
        <v>1982</v>
      </c>
      <c r="K127" s="40" t="s">
        <v>1983</v>
      </c>
      <c r="L127" s="190">
        <v>3850</v>
      </c>
      <c r="M127" s="190">
        <v>0</v>
      </c>
      <c r="N127" s="40" t="s">
        <v>1972</v>
      </c>
      <c r="O127" s="41" t="str">
        <f t="shared" si="2"/>
        <v>EBS1_3850_0</v>
      </c>
      <c r="P127" s="41" t="s">
        <v>1984</v>
      </c>
      <c r="R127" s="41">
        <v>126</v>
      </c>
      <c r="T127" s="41" t="str">
        <f t="shared" si="3"/>
        <v>385000:Var_ui_ErrNo:=126;</v>
      </c>
    </row>
    <row r="128" spans="1:20">
      <c r="A128" s="190">
        <v>127</v>
      </c>
      <c r="B128" s="40">
        <v>15</v>
      </c>
      <c r="C128" s="40">
        <v>13</v>
      </c>
      <c r="F128" s="40"/>
      <c r="G128" s="40"/>
      <c r="H128" s="40" t="s">
        <v>1980</v>
      </c>
      <c r="I128" s="40" t="s">
        <v>1505</v>
      </c>
      <c r="J128" s="40" t="s">
        <v>1985</v>
      </c>
      <c r="K128" s="40" t="s">
        <v>1986</v>
      </c>
      <c r="L128" s="190">
        <v>3853</v>
      </c>
      <c r="M128" s="190">
        <v>0</v>
      </c>
      <c r="N128" s="40" t="s">
        <v>1972</v>
      </c>
      <c r="O128" s="41" t="str">
        <f t="shared" si="2"/>
        <v>EBS1_3853_0</v>
      </c>
      <c r="P128" s="41" t="s">
        <v>1987</v>
      </c>
      <c r="R128" s="41">
        <v>127</v>
      </c>
      <c r="T128" s="41" t="str">
        <f t="shared" si="3"/>
        <v>385300:Var_ui_ErrNo:=127;</v>
      </c>
    </row>
    <row r="129" spans="1:20">
      <c r="A129" s="190">
        <v>128</v>
      </c>
      <c r="B129" s="40">
        <v>21</v>
      </c>
      <c r="C129" s="40">
        <v>50</v>
      </c>
      <c r="F129" s="40"/>
      <c r="G129" s="40"/>
      <c r="H129" s="40" t="s">
        <v>1988</v>
      </c>
      <c r="I129" s="40" t="s">
        <v>1989</v>
      </c>
      <c r="J129" s="40" t="s">
        <v>1990</v>
      </c>
      <c r="K129" s="40" t="s">
        <v>1991</v>
      </c>
      <c r="L129" s="190">
        <v>5426</v>
      </c>
      <c r="M129" s="190">
        <v>0</v>
      </c>
      <c r="N129" s="40" t="s">
        <v>1992</v>
      </c>
      <c r="O129" s="41" t="str">
        <f t="shared" si="2"/>
        <v>EBS1_5426_0</v>
      </c>
      <c r="P129" s="41" t="s">
        <v>1993</v>
      </c>
      <c r="R129" s="41">
        <v>128</v>
      </c>
      <c r="T129" s="41" t="str">
        <f t="shared" si="3"/>
        <v>542600:Var_ui_ErrNo:=128;</v>
      </c>
    </row>
    <row r="130" spans="1:20">
      <c r="A130" s="190">
        <v>129</v>
      </c>
      <c r="B130" s="40">
        <v>24</v>
      </c>
      <c r="C130" s="40">
        <v>19</v>
      </c>
      <c r="F130" s="40"/>
      <c r="G130" s="40"/>
      <c r="H130" s="40" t="s">
        <v>1994</v>
      </c>
      <c r="I130" s="40" t="s">
        <v>1995</v>
      </c>
      <c r="J130" s="40" t="s">
        <v>1996</v>
      </c>
      <c r="K130" s="40" t="s">
        <v>1997</v>
      </c>
      <c r="L130" s="190">
        <v>6163</v>
      </c>
      <c r="M130" s="190">
        <v>0</v>
      </c>
      <c r="N130" s="40" t="s">
        <v>1998</v>
      </c>
      <c r="O130" s="41" t="str">
        <f t="shared" ref="O130:O193" si="4">"EBS1_"&amp;L130&amp;"_"&amp;M130</f>
        <v>EBS1_6163_0</v>
      </c>
      <c r="P130" s="41" t="s">
        <v>1999</v>
      </c>
      <c r="R130" s="41">
        <v>129</v>
      </c>
      <c r="T130" s="41" t="str">
        <f t="shared" si="3"/>
        <v>616300:Var_ui_ErrNo:=129;</v>
      </c>
    </row>
    <row r="131" spans="1:20">
      <c r="A131" s="190">
        <v>130</v>
      </c>
      <c r="B131" s="40">
        <v>24</v>
      </c>
      <c r="C131" s="40">
        <v>45</v>
      </c>
      <c r="F131" s="40"/>
      <c r="G131" s="40"/>
      <c r="H131" s="40" t="s">
        <v>2000</v>
      </c>
      <c r="I131" s="40" t="s">
        <v>1513</v>
      </c>
      <c r="J131" s="40" t="s">
        <v>2001</v>
      </c>
      <c r="K131" s="40" t="s">
        <v>2002</v>
      </c>
      <c r="L131" s="190">
        <v>6189</v>
      </c>
      <c r="M131" s="190">
        <v>0</v>
      </c>
      <c r="N131" s="40" t="s">
        <v>2003</v>
      </c>
      <c r="O131" s="41" t="str">
        <f t="shared" si="4"/>
        <v>EBS1_6189_0</v>
      </c>
      <c r="P131" s="41" t="s">
        <v>2004</v>
      </c>
      <c r="R131" s="41">
        <v>130</v>
      </c>
      <c r="T131" s="41" t="str">
        <f t="shared" ref="T131:T194" si="5">P131&amp;$Q$2&amp;R131&amp;$S$2</f>
        <v>618900:Var_ui_ErrNo:=130;</v>
      </c>
    </row>
    <row r="132" spans="1:20">
      <c r="A132" s="190">
        <v>131</v>
      </c>
      <c r="B132" s="40">
        <v>25</v>
      </c>
      <c r="C132" s="40">
        <v>45</v>
      </c>
      <c r="F132" s="40"/>
      <c r="G132" s="40"/>
      <c r="H132" s="40" t="s">
        <v>1468</v>
      </c>
      <c r="I132" s="40" t="s">
        <v>1513</v>
      </c>
      <c r="J132" s="40" t="s">
        <v>2005</v>
      </c>
      <c r="K132" s="40" t="s">
        <v>2006</v>
      </c>
      <c r="L132" s="190">
        <v>6445</v>
      </c>
      <c r="M132" s="190">
        <v>0</v>
      </c>
      <c r="N132" s="40" t="s">
        <v>1472</v>
      </c>
      <c r="O132" s="41" t="str">
        <f t="shared" si="4"/>
        <v>EBS1_6445_0</v>
      </c>
      <c r="P132" s="41" t="s">
        <v>2007</v>
      </c>
      <c r="R132" s="41">
        <v>131</v>
      </c>
      <c r="T132" s="41" t="str">
        <f t="shared" si="5"/>
        <v>644500:Var_ui_ErrNo:=131;</v>
      </c>
    </row>
    <row r="133" spans="1:20">
      <c r="A133" s="190">
        <v>132</v>
      </c>
      <c r="B133" s="40">
        <v>31</v>
      </c>
      <c r="C133" s="40">
        <v>30</v>
      </c>
      <c r="F133" s="40"/>
      <c r="G133" s="40"/>
      <c r="H133" s="40" t="s">
        <v>2008</v>
      </c>
      <c r="I133" s="40" t="s">
        <v>2009</v>
      </c>
      <c r="J133" s="40" t="s">
        <v>2010</v>
      </c>
      <c r="K133" s="40" t="s">
        <v>2011</v>
      </c>
      <c r="L133" s="190">
        <v>7966</v>
      </c>
      <c r="M133" s="190">
        <v>0</v>
      </c>
      <c r="N133" s="40" t="s">
        <v>2012</v>
      </c>
      <c r="O133" s="41" t="str">
        <f t="shared" si="4"/>
        <v>EBS1_7966_0</v>
      </c>
      <c r="P133" s="41" t="s">
        <v>2013</v>
      </c>
      <c r="R133" s="41">
        <v>132</v>
      </c>
      <c r="T133" s="41" t="str">
        <f t="shared" si="5"/>
        <v>796600:Var_ui_ErrNo:=132;</v>
      </c>
    </row>
    <row r="134" spans="1:20">
      <c r="A134" s="190">
        <v>133</v>
      </c>
      <c r="B134" s="40">
        <v>31</v>
      </c>
      <c r="C134" s="40">
        <v>31</v>
      </c>
      <c r="F134" s="40"/>
      <c r="G134" s="40"/>
      <c r="H134" s="40" t="s">
        <v>2014</v>
      </c>
      <c r="I134" s="40" t="s">
        <v>2015</v>
      </c>
      <c r="J134" s="40" t="s">
        <v>2016</v>
      </c>
      <c r="K134" s="40" t="s">
        <v>2017</v>
      </c>
      <c r="L134" s="190">
        <v>7967</v>
      </c>
      <c r="M134" s="190">
        <v>0</v>
      </c>
      <c r="N134" s="40" t="s">
        <v>2018</v>
      </c>
      <c r="O134" s="41" t="str">
        <f t="shared" si="4"/>
        <v>EBS1_7967_0</v>
      </c>
      <c r="P134" s="41" t="s">
        <v>2019</v>
      </c>
      <c r="R134" s="41">
        <v>133</v>
      </c>
      <c r="T134" s="41" t="str">
        <f t="shared" si="5"/>
        <v>796700:Var_ui_ErrNo:=133;</v>
      </c>
    </row>
    <row r="135" spans="1:20">
      <c r="A135" s="190">
        <v>134</v>
      </c>
      <c r="B135" s="40">
        <v>31</v>
      </c>
      <c r="C135" s="40">
        <v>32</v>
      </c>
      <c r="F135" s="40"/>
      <c r="G135" s="40"/>
      <c r="H135" s="40" t="s">
        <v>2020</v>
      </c>
      <c r="I135" s="40" t="s">
        <v>2009</v>
      </c>
      <c r="J135" s="40" t="s">
        <v>2021</v>
      </c>
      <c r="K135" s="40" t="s">
        <v>2022</v>
      </c>
      <c r="L135" s="190">
        <v>7968</v>
      </c>
      <c r="M135" s="190">
        <v>0</v>
      </c>
      <c r="N135" s="40" t="s">
        <v>2023</v>
      </c>
      <c r="O135" s="41" t="str">
        <f t="shared" si="4"/>
        <v>EBS1_7968_0</v>
      </c>
      <c r="P135" s="41" t="s">
        <v>2024</v>
      </c>
      <c r="R135" s="41">
        <v>134</v>
      </c>
      <c r="T135" s="41" t="str">
        <f t="shared" si="5"/>
        <v>796800:Var_ui_ErrNo:=134;</v>
      </c>
    </row>
    <row r="136" spans="1:20">
      <c r="A136" s="190">
        <v>135</v>
      </c>
      <c r="B136" s="40">
        <v>31</v>
      </c>
      <c r="C136" s="40">
        <v>33</v>
      </c>
      <c r="F136" s="40"/>
      <c r="G136" s="40"/>
      <c r="H136" s="40" t="s">
        <v>2025</v>
      </c>
      <c r="I136" s="40" t="s">
        <v>2009</v>
      </c>
      <c r="J136" s="40" t="s">
        <v>2026</v>
      </c>
      <c r="K136" s="40" t="s">
        <v>2027</v>
      </c>
      <c r="L136" s="190">
        <v>7969</v>
      </c>
      <c r="M136" s="190">
        <v>0</v>
      </c>
      <c r="N136" s="40" t="s">
        <v>2028</v>
      </c>
      <c r="O136" s="41" t="str">
        <f t="shared" si="4"/>
        <v>EBS1_7969_0</v>
      </c>
      <c r="P136" s="41" t="s">
        <v>2029</v>
      </c>
      <c r="R136" s="41">
        <v>135</v>
      </c>
      <c r="T136" s="41" t="str">
        <f t="shared" si="5"/>
        <v>796900:Var_ui_ErrNo:=135;</v>
      </c>
    </row>
    <row r="137" spans="1:20">
      <c r="A137" s="190">
        <v>136</v>
      </c>
      <c r="B137" s="40">
        <v>31</v>
      </c>
      <c r="C137" s="40">
        <v>35</v>
      </c>
      <c r="F137" s="40"/>
      <c r="G137" s="40"/>
      <c r="H137" s="40" t="s">
        <v>2030</v>
      </c>
      <c r="I137" s="40" t="s">
        <v>2015</v>
      </c>
      <c r="J137" s="40" t="s">
        <v>2031</v>
      </c>
      <c r="K137" s="40" t="s">
        <v>2032</v>
      </c>
      <c r="L137" s="190">
        <v>7971</v>
      </c>
      <c r="M137" s="190">
        <v>0</v>
      </c>
      <c r="N137" s="40" t="s">
        <v>2033</v>
      </c>
      <c r="O137" s="41" t="str">
        <f t="shared" si="4"/>
        <v>EBS1_7971_0</v>
      </c>
      <c r="P137" s="41" t="s">
        <v>2034</v>
      </c>
      <c r="R137" s="41">
        <v>136</v>
      </c>
      <c r="T137" s="41" t="str">
        <f t="shared" si="5"/>
        <v>797100:Var_ui_ErrNo:=136;</v>
      </c>
    </row>
    <row r="138" spans="1:20">
      <c r="A138" s="190">
        <v>137</v>
      </c>
      <c r="B138" s="40">
        <v>32</v>
      </c>
      <c r="C138" s="40">
        <v>30</v>
      </c>
      <c r="F138" s="40"/>
      <c r="G138" s="40"/>
      <c r="H138" s="40" t="s">
        <v>2035</v>
      </c>
      <c r="I138" s="40" t="s">
        <v>2009</v>
      </c>
      <c r="J138" s="40" t="s">
        <v>2036</v>
      </c>
      <c r="K138" s="40" t="s">
        <v>2037</v>
      </c>
      <c r="L138" s="190">
        <v>8222</v>
      </c>
      <c r="M138" s="190">
        <v>0</v>
      </c>
      <c r="N138" s="40" t="s">
        <v>2038</v>
      </c>
      <c r="O138" s="41" t="str">
        <f t="shared" si="4"/>
        <v>EBS1_8222_0</v>
      </c>
      <c r="P138" s="41" t="s">
        <v>2039</v>
      </c>
      <c r="R138" s="41">
        <v>137</v>
      </c>
      <c r="T138" s="41" t="str">
        <f t="shared" si="5"/>
        <v>822200:Var_ui_ErrNo:=137;</v>
      </c>
    </row>
    <row r="139" spans="1:20">
      <c r="A139" s="190">
        <v>138</v>
      </c>
      <c r="B139" s="40">
        <v>32</v>
      </c>
      <c r="C139" s="40">
        <v>31</v>
      </c>
      <c r="F139" s="40"/>
      <c r="G139" s="40"/>
      <c r="H139" s="40" t="s">
        <v>2040</v>
      </c>
      <c r="I139" s="40" t="s">
        <v>2009</v>
      </c>
      <c r="J139" s="40" t="s">
        <v>2041</v>
      </c>
      <c r="K139" s="40" t="s">
        <v>2042</v>
      </c>
      <c r="L139" s="190">
        <v>8223</v>
      </c>
      <c r="M139" s="190">
        <v>0</v>
      </c>
      <c r="N139" s="40" t="s">
        <v>2043</v>
      </c>
      <c r="O139" s="41" t="str">
        <f t="shared" si="4"/>
        <v>EBS1_8223_0</v>
      </c>
      <c r="P139" s="41" t="s">
        <v>2044</v>
      </c>
      <c r="R139" s="41">
        <v>138</v>
      </c>
      <c r="T139" s="41" t="str">
        <f t="shared" si="5"/>
        <v>822300:Var_ui_ErrNo:=138;</v>
      </c>
    </row>
    <row r="140" spans="1:20">
      <c r="A140" s="190">
        <v>139</v>
      </c>
      <c r="B140" s="40">
        <v>32</v>
      </c>
      <c r="C140" s="40">
        <v>32</v>
      </c>
      <c r="F140" s="40"/>
      <c r="G140" s="40"/>
      <c r="H140" s="40" t="s">
        <v>2045</v>
      </c>
      <c r="I140" s="40" t="s">
        <v>2015</v>
      </c>
      <c r="J140" s="40" t="s">
        <v>2046</v>
      </c>
      <c r="K140" s="40" t="s">
        <v>2047</v>
      </c>
      <c r="L140" s="190">
        <v>8224</v>
      </c>
      <c r="M140" s="190">
        <v>0</v>
      </c>
      <c r="N140" s="40" t="s">
        <v>2048</v>
      </c>
      <c r="O140" s="41" t="str">
        <f t="shared" si="4"/>
        <v>EBS1_8224_0</v>
      </c>
      <c r="P140" s="41" t="s">
        <v>2049</v>
      </c>
      <c r="R140" s="41">
        <v>139</v>
      </c>
      <c r="T140" s="41" t="str">
        <f t="shared" si="5"/>
        <v>822400:Var_ui_ErrNo:=139;</v>
      </c>
    </row>
    <row r="141" spans="1:20">
      <c r="A141" s="190">
        <v>140</v>
      </c>
      <c r="B141" s="40">
        <v>32</v>
      </c>
      <c r="C141" s="40">
        <v>33</v>
      </c>
      <c r="F141" s="40"/>
      <c r="G141" s="40"/>
      <c r="H141" s="40" t="s">
        <v>2050</v>
      </c>
      <c r="I141" s="40" t="s">
        <v>2015</v>
      </c>
      <c r="J141" s="40" t="s">
        <v>2051</v>
      </c>
      <c r="K141" s="40" t="s">
        <v>2052</v>
      </c>
      <c r="L141" s="190">
        <v>8225</v>
      </c>
      <c r="M141" s="190">
        <v>0</v>
      </c>
      <c r="N141" s="40" t="s">
        <v>2053</v>
      </c>
      <c r="O141" s="41" t="str">
        <f t="shared" si="4"/>
        <v>EBS1_8225_0</v>
      </c>
      <c r="P141" s="41" t="s">
        <v>2054</v>
      </c>
      <c r="R141" s="41">
        <v>140</v>
      </c>
      <c r="T141" s="41" t="str">
        <f t="shared" si="5"/>
        <v>822500:Var_ui_ErrNo:=140;</v>
      </c>
    </row>
    <row r="142" spans="1:20">
      <c r="A142" s="190">
        <v>141</v>
      </c>
      <c r="B142" s="40">
        <v>32</v>
      </c>
      <c r="C142" s="40">
        <v>35</v>
      </c>
      <c r="F142" s="40"/>
      <c r="G142" s="40"/>
      <c r="H142" s="40" t="s">
        <v>2055</v>
      </c>
      <c r="I142" s="40" t="s">
        <v>2009</v>
      </c>
      <c r="J142" s="40" t="s">
        <v>2056</v>
      </c>
      <c r="K142" s="40" t="s">
        <v>2057</v>
      </c>
      <c r="L142" s="190">
        <v>8227</v>
      </c>
      <c r="M142" s="190">
        <v>0</v>
      </c>
      <c r="N142" s="40" t="s">
        <v>2058</v>
      </c>
      <c r="O142" s="41" t="str">
        <f t="shared" si="4"/>
        <v>EBS1_8227_0</v>
      </c>
      <c r="P142" s="41" t="s">
        <v>2059</v>
      </c>
      <c r="R142" s="41">
        <v>141</v>
      </c>
      <c r="T142" s="41" t="str">
        <f t="shared" si="5"/>
        <v>822700:Var_ui_ErrNo:=141;</v>
      </c>
    </row>
    <row r="143" spans="1:20">
      <c r="A143" s="190">
        <v>142</v>
      </c>
      <c r="B143" s="40">
        <v>33</v>
      </c>
      <c r="C143" s="40">
        <v>30</v>
      </c>
      <c r="F143" s="40"/>
      <c r="G143" s="40"/>
      <c r="H143" s="40" t="s">
        <v>2060</v>
      </c>
      <c r="I143" s="40" t="s">
        <v>2009</v>
      </c>
      <c r="J143" s="40" t="s">
        <v>2061</v>
      </c>
      <c r="K143" s="40" t="s">
        <v>2062</v>
      </c>
      <c r="L143" s="190">
        <v>8478</v>
      </c>
      <c r="M143" s="190">
        <v>0</v>
      </c>
      <c r="N143" s="40" t="s">
        <v>2063</v>
      </c>
      <c r="O143" s="41" t="str">
        <f t="shared" si="4"/>
        <v>EBS1_8478_0</v>
      </c>
      <c r="P143" s="41" t="s">
        <v>2064</v>
      </c>
      <c r="R143" s="41">
        <v>142</v>
      </c>
      <c r="T143" s="41" t="str">
        <f t="shared" si="5"/>
        <v>847800:Var_ui_ErrNo:=142;</v>
      </c>
    </row>
    <row r="144" spans="1:20">
      <c r="A144" s="190">
        <v>143</v>
      </c>
      <c r="B144" s="40">
        <v>33</v>
      </c>
      <c r="C144" s="40">
        <v>31</v>
      </c>
      <c r="F144" s="40"/>
      <c r="G144" s="40"/>
      <c r="H144" s="40" t="s">
        <v>2065</v>
      </c>
      <c r="I144" s="40" t="s">
        <v>2015</v>
      </c>
      <c r="J144" s="40" t="s">
        <v>2066</v>
      </c>
      <c r="K144" s="40" t="s">
        <v>2067</v>
      </c>
      <c r="L144" s="190">
        <v>8479</v>
      </c>
      <c r="M144" s="190">
        <v>0</v>
      </c>
      <c r="N144" s="40" t="s">
        <v>2068</v>
      </c>
      <c r="O144" s="41" t="str">
        <f t="shared" si="4"/>
        <v>EBS1_8479_0</v>
      </c>
      <c r="P144" s="41" t="s">
        <v>2069</v>
      </c>
      <c r="R144" s="41">
        <v>143</v>
      </c>
      <c r="T144" s="41" t="str">
        <f t="shared" si="5"/>
        <v>847900:Var_ui_ErrNo:=143;</v>
      </c>
    </row>
    <row r="145" spans="1:20">
      <c r="A145" s="190">
        <v>144</v>
      </c>
      <c r="B145" s="40">
        <v>33</v>
      </c>
      <c r="C145" s="40">
        <v>32</v>
      </c>
      <c r="F145" s="40"/>
      <c r="G145" s="40"/>
      <c r="H145" s="40" t="s">
        <v>2070</v>
      </c>
      <c r="I145" s="40" t="s">
        <v>2009</v>
      </c>
      <c r="J145" s="40" t="s">
        <v>2071</v>
      </c>
      <c r="K145" s="40" t="s">
        <v>2072</v>
      </c>
      <c r="L145" s="190">
        <v>8480</v>
      </c>
      <c r="M145" s="190">
        <v>0</v>
      </c>
      <c r="N145" s="40" t="s">
        <v>2073</v>
      </c>
      <c r="O145" s="41" t="str">
        <f t="shared" si="4"/>
        <v>EBS1_8480_0</v>
      </c>
      <c r="P145" s="41" t="s">
        <v>2074</v>
      </c>
      <c r="R145" s="41">
        <v>144</v>
      </c>
      <c r="T145" s="41" t="str">
        <f t="shared" si="5"/>
        <v>848000:Var_ui_ErrNo:=144;</v>
      </c>
    </row>
    <row r="146" spans="1:20">
      <c r="A146" s="190">
        <v>145</v>
      </c>
      <c r="B146" s="40">
        <v>33</v>
      </c>
      <c r="C146" s="40">
        <v>33</v>
      </c>
      <c r="F146" s="40"/>
      <c r="G146" s="40"/>
      <c r="H146" s="40" t="s">
        <v>2075</v>
      </c>
      <c r="I146" s="40" t="s">
        <v>2009</v>
      </c>
      <c r="J146" s="40" t="s">
        <v>2076</v>
      </c>
      <c r="K146" s="40" t="s">
        <v>2077</v>
      </c>
      <c r="L146" s="190">
        <v>8481</v>
      </c>
      <c r="M146" s="190">
        <v>0</v>
      </c>
      <c r="N146" s="40" t="s">
        <v>2078</v>
      </c>
      <c r="O146" s="41" t="str">
        <f t="shared" si="4"/>
        <v>EBS1_8481_0</v>
      </c>
      <c r="P146" s="41" t="s">
        <v>2079</v>
      </c>
      <c r="R146" s="41">
        <v>145</v>
      </c>
      <c r="T146" s="41" t="str">
        <f t="shared" si="5"/>
        <v>848100:Var_ui_ErrNo:=145;</v>
      </c>
    </row>
    <row r="147" spans="1:20">
      <c r="A147" s="190">
        <v>146</v>
      </c>
      <c r="B147" s="40">
        <v>33</v>
      </c>
      <c r="C147" s="40">
        <v>35</v>
      </c>
      <c r="F147" s="40"/>
      <c r="G147" s="40"/>
      <c r="H147" s="40" t="s">
        <v>2080</v>
      </c>
      <c r="I147" s="40" t="s">
        <v>2015</v>
      </c>
      <c r="J147" s="40" t="s">
        <v>2081</v>
      </c>
      <c r="K147" s="40" t="s">
        <v>2082</v>
      </c>
      <c r="L147" s="190">
        <v>8483</v>
      </c>
      <c r="M147" s="190">
        <v>0</v>
      </c>
      <c r="N147" s="40" t="s">
        <v>2083</v>
      </c>
      <c r="O147" s="41" t="str">
        <f t="shared" si="4"/>
        <v>EBS1_8483_0</v>
      </c>
      <c r="P147" s="41" t="s">
        <v>2084</v>
      </c>
      <c r="R147" s="41">
        <v>146</v>
      </c>
      <c r="T147" s="41" t="str">
        <f t="shared" si="5"/>
        <v>848300:Var_ui_ErrNo:=146;</v>
      </c>
    </row>
    <row r="148" spans="1:20">
      <c r="A148" s="190">
        <v>147</v>
      </c>
      <c r="B148" s="40">
        <v>34</v>
      </c>
      <c r="C148" s="40">
        <v>30</v>
      </c>
      <c r="F148" s="40"/>
      <c r="G148" s="40"/>
      <c r="H148" s="40" t="s">
        <v>2085</v>
      </c>
      <c r="I148" s="40" t="s">
        <v>2009</v>
      </c>
      <c r="J148" s="40" t="s">
        <v>2086</v>
      </c>
      <c r="K148" s="40" t="s">
        <v>2087</v>
      </c>
      <c r="L148" s="190">
        <v>8734</v>
      </c>
      <c r="M148" s="190">
        <v>0</v>
      </c>
      <c r="N148" s="40" t="s">
        <v>2088</v>
      </c>
      <c r="O148" s="41" t="str">
        <f t="shared" si="4"/>
        <v>EBS1_8734_0</v>
      </c>
      <c r="P148" s="41" t="s">
        <v>2089</v>
      </c>
      <c r="R148" s="41">
        <v>147</v>
      </c>
      <c r="T148" s="41" t="str">
        <f t="shared" si="5"/>
        <v>873400:Var_ui_ErrNo:=147;</v>
      </c>
    </row>
    <row r="149" spans="1:20">
      <c r="A149" s="190">
        <v>148</v>
      </c>
      <c r="B149" s="40">
        <v>34</v>
      </c>
      <c r="C149" s="40">
        <v>31</v>
      </c>
      <c r="F149" s="40"/>
      <c r="G149" s="40"/>
      <c r="H149" s="40" t="s">
        <v>2090</v>
      </c>
      <c r="I149" s="40" t="s">
        <v>2009</v>
      </c>
      <c r="J149" s="40" t="s">
        <v>2091</v>
      </c>
      <c r="K149" s="40" t="s">
        <v>2092</v>
      </c>
      <c r="L149" s="190">
        <v>8735</v>
      </c>
      <c r="M149" s="190">
        <v>0</v>
      </c>
      <c r="N149" s="40" t="s">
        <v>2093</v>
      </c>
      <c r="O149" s="41" t="str">
        <f t="shared" si="4"/>
        <v>EBS1_8735_0</v>
      </c>
      <c r="P149" s="41" t="s">
        <v>2094</v>
      </c>
      <c r="R149" s="41">
        <v>148</v>
      </c>
      <c r="T149" s="41" t="str">
        <f t="shared" si="5"/>
        <v>873500:Var_ui_ErrNo:=148;</v>
      </c>
    </row>
    <row r="150" spans="1:20">
      <c r="A150" s="190">
        <v>149</v>
      </c>
      <c r="B150" s="40">
        <v>34</v>
      </c>
      <c r="C150" s="40">
        <v>32</v>
      </c>
      <c r="F150" s="40"/>
      <c r="G150" s="40"/>
      <c r="H150" s="40" t="s">
        <v>2095</v>
      </c>
      <c r="I150" s="40" t="s">
        <v>2015</v>
      </c>
      <c r="J150" s="40" t="s">
        <v>2096</v>
      </c>
      <c r="K150" s="40" t="s">
        <v>2097</v>
      </c>
      <c r="L150" s="190">
        <v>8736</v>
      </c>
      <c r="M150" s="190">
        <v>0</v>
      </c>
      <c r="N150" s="40" t="s">
        <v>2098</v>
      </c>
      <c r="O150" s="41" t="str">
        <f t="shared" si="4"/>
        <v>EBS1_8736_0</v>
      </c>
      <c r="P150" s="41" t="s">
        <v>2099</v>
      </c>
      <c r="R150" s="41">
        <v>149</v>
      </c>
      <c r="T150" s="41" t="str">
        <f t="shared" si="5"/>
        <v>873600:Var_ui_ErrNo:=149;</v>
      </c>
    </row>
    <row r="151" spans="1:20">
      <c r="A151" s="190">
        <v>150</v>
      </c>
      <c r="B151" s="40">
        <v>34</v>
      </c>
      <c r="C151" s="40">
        <v>33</v>
      </c>
      <c r="F151" s="40"/>
      <c r="G151" s="40"/>
      <c r="H151" s="40" t="s">
        <v>2100</v>
      </c>
      <c r="I151" s="40" t="s">
        <v>2009</v>
      </c>
      <c r="J151" s="40" t="s">
        <v>2101</v>
      </c>
      <c r="K151" s="40" t="s">
        <v>2102</v>
      </c>
      <c r="L151" s="190">
        <v>8737</v>
      </c>
      <c r="M151" s="190">
        <v>0</v>
      </c>
      <c r="N151" s="40" t="s">
        <v>2103</v>
      </c>
      <c r="O151" s="41" t="str">
        <f t="shared" si="4"/>
        <v>EBS1_8737_0</v>
      </c>
      <c r="P151" s="41" t="s">
        <v>2104</v>
      </c>
      <c r="R151" s="41">
        <v>150</v>
      </c>
      <c r="T151" s="41" t="str">
        <f t="shared" si="5"/>
        <v>873700:Var_ui_ErrNo:=150;</v>
      </c>
    </row>
    <row r="152" spans="1:20">
      <c r="A152" s="190">
        <v>151</v>
      </c>
      <c r="B152" s="40">
        <v>34</v>
      </c>
      <c r="C152" s="40">
        <v>35</v>
      </c>
      <c r="F152" s="40"/>
      <c r="G152" s="40"/>
      <c r="H152" s="40" t="s">
        <v>2105</v>
      </c>
      <c r="I152" s="40" t="s">
        <v>2009</v>
      </c>
      <c r="J152" s="40" t="s">
        <v>2106</v>
      </c>
      <c r="K152" s="40" t="s">
        <v>2107</v>
      </c>
      <c r="L152" s="190">
        <v>8739</v>
      </c>
      <c r="M152" s="190">
        <v>0</v>
      </c>
      <c r="N152" s="40" t="s">
        <v>2108</v>
      </c>
      <c r="O152" s="41" t="str">
        <f t="shared" si="4"/>
        <v>EBS1_8739_0</v>
      </c>
      <c r="P152" s="41" t="s">
        <v>2109</v>
      </c>
      <c r="R152" s="41">
        <v>151</v>
      </c>
      <c r="T152" s="41" t="str">
        <f t="shared" si="5"/>
        <v>873900:Var_ui_ErrNo:=151;</v>
      </c>
    </row>
    <row r="153" spans="1:20">
      <c r="A153" s="190">
        <v>152</v>
      </c>
      <c r="B153" s="40">
        <v>37</v>
      </c>
      <c r="C153" s="40">
        <v>51</v>
      </c>
      <c r="F153" s="40"/>
      <c r="G153" s="40"/>
      <c r="H153" s="40" t="s">
        <v>2110</v>
      </c>
      <c r="I153" s="40" t="s">
        <v>2111</v>
      </c>
      <c r="J153" s="40" t="s">
        <v>2112</v>
      </c>
      <c r="K153" s="40" t="s">
        <v>2113</v>
      </c>
      <c r="L153" s="190">
        <v>9523</v>
      </c>
      <c r="M153" s="190">
        <v>0</v>
      </c>
      <c r="N153" s="40" t="s">
        <v>2114</v>
      </c>
      <c r="O153" s="41" t="str">
        <f t="shared" si="4"/>
        <v>EBS1_9523_0</v>
      </c>
      <c r="P153" s="41" t="s">
        <v>2115</v>
      </c>
      <c r="R153" s="41">
        <v>152</v>
      </c>
      <c r="T153" s="41" t="str">
        <f t="shared" si="5"/>
        <v>952300:Var_ui_ErrNo:=152;</v>
      </c>
    </row>
    <row r="154" spans="1:20">
      <c r="A154" s="190">
        <v>153</v>
      </c>
      <c r="B154" s="40">
        <v>38</v>
      </c>
      <c r="C154" s="40">
        <v>51</v>
      </c>
      <c r="F154" s="40"/>
      <c r="G154" s="40"/>
      <c r="H154" s="40" t="s">
        <v>2116</v>
      </c>
      <c r="I154" s="40" t="s">
        <v>2117</v>
      </c>
      <c r="J154" s="40" t="s">
        <v>2118</v>
      </c>
      <c r="K154" s="40" t="s">
        <v>2119</v>
      </c>
      <c r="L154" s="190">
        <v>9779</v>
      </c>
      <c r="M154" s="190">
        <v>0</v>
      </c>
      <c r="N154" s="40" t="s">
        <v>2120</v>
      </c>
      <c r="O154" s="41" t="str">
        <f t="shared" si="4"/>
        <v>EBS1_9779_0</v>
      </c>
      <c r="P154" s="41" t="s">
        <v>2121</v>
      </c>
      <c r="R154" s="41">
        <v>153</v>
      </c>
      <c r="T154" s="41" t="str">
        <f t="shared" si="5"/>
        <v>977900:Var_ui_ErrNo:=153;</v>
      </c>
    </row>
    <row r="155" spans="1:20">
      <c r="A155" s="190">
        <v>154</v>
      </c>
      <c r="B155" s="40">
        <v>44</v>
      </c>
      <c r="C155" s="40">
        <v>50</v>
      </c>
      <c r="F155" s="40"/>
      <c r="G155" s="40"/>
      <c r="H155" s="40" t="s">
        <v>2122</v>
      </c>
      <c r="I155" s="40" t="s">
        <v>2123</v>
      </c>
      <c r="J155" s="40" t="s">
        <v>2124</v>
      </c>
      <c r="K155" s="40" t="s">
        <v>2125</v>
      </c>
      <c r="L155" s="190">
        <v>11314</v>
      </c>
      <c r="M155" s="190">
        <v>0</v>
      </c>
      <c r="N155" s="40" t="s">
        <v>2126</v>
      </c>
      <c r="O155" s="41" t="str">
        <f t="shared" si="4"/>
        <v>EBS1_11314_0</v>
      </c>
      <c r="P155" s="41" t="s">
        <v>2127</v>
      </c>
      <c r="R155" s="41">
        <v>154</v>
      </c>
      <c r="T155" s="41" t="str">
        <f t="shared" si="5"/>
        <v>1131400:Var_ui_ErrNo:=154;</v>
      </c>
    </row>
    <row r="156" spans="1:20">
      <c r="A156" s="190">
        <v>155</v>
      </c>
      <c r="B156" s="40">
        <v>45</v>
      </c>
      <c r="C156" s="40">
        <v>10</v>
      </c>
      <c r="F156" s="40"/>
      <c r="G156" s="40"/>
      <c r="H156" s="40" t="s">
        <v>2128</v>
      </c>
      <c r="I156" s="40" t="s">
        <v>2129</v>
      </c>
      <c r="J156" s="40" t="s">
        <v>2130</v>
      </c>
      <c r="K156" s="40" t="s">
        <v>2131</v>
      </c>
      <c r="L156" s="190">
        <v>11530</v>
      </c>
      <c r="M156" s="190">
        <v>0</v>
      </c>
      <c r="N156" s="40" t="s">
        <v>2132</v>
      </c>
      <c r="O156" s="41" t="str">
        <f t="shared" si="4"/>
        <v>EBS1_11530_0</v>
      </c>
      <c r="P156" s="41" t="s">
        <v>2133</v>
      </c>
      <c r="R156" s="41">
        <v>155</v>
      </c>
      <c r="T156" s="41" t="str">
        <f t="shared" si="5"/>
        <v>1153000:Var_ui_ErrNo:=155;</v>
      </c>
    </row>
    <row r="157" spans="1:20">
      <c r="A157" s="190">
        <v>156</v>
      </c>
      <c r="B157" s="40">
        <v>50</v>
      </c>
      <c r="C157" s="40">
        <v>14</v>
      </c>
      <c r="F157" s="40"/>
      <c r="G157" s="40"/>
      <c r="H157" s="40" t="s">
        <v>2134</v>
      </c>
      <c r="I157" s="40" t="s">
        <v>2135</v>
      </c>
      <c r="J157" s="40" t="s">
        <v>2136</v>
      </c>
      <c r="K157" s="40" t="s">
        <v>2137</v>
      </c>
      <c r="L157" s="190">
        <v>12814</v>
      </c>
      <c r="M157" s="190">
        <v>0</v>
      </c>
      <c r="N157" s="40" t="s">
        <v>2138</v>
      </c>
      <c r="O157" s="41" t="str">
        <f t="shared" si="4"/>
        <v>EBS1_12814_0</v>
      </c>
      <c r="P157" s="41" t="s">
        <v>2139</v>
      </c>
      <c r="R157" s="41">
        <v>156</v>
      </c>
      <c r="T157" s="41" t="str">
        <f t="shared" si="5"/>
        <v>1281400:Var_ui_ErrNo:=156;</v>
      </c>
    </row>
    <row r="158" spans="1:20">
      <c r="A158" s="190">
        <v>157</v>
      </c>
      <c r="B158" s="40">
        <v>50</v>
      </c>
      <c r="C158" s="40">
        <v>204</v>
      </c>
      <c r="F158" s="40"/>
      <c r="G158" s="40"/>
      <c r="H158" s="40" t="s">
        <v>2140</v>
      </c>
      <c r="I158" s="40" t="s">
        <v>2141</v>
      </c>
      <c r="J158" s="40" t="s">
        <v>2142</v>
      </c>
      <c r="K158" s="40" t="s">
        <v>2143</v>
      </c>
      <c r="L158" s="190">
        <v>13004</v>
      </c>
      <c r="M158" s="190">
        <v>0</v>
      </c>
      <c r="N158" s="40" t="s">
        <v>2144</v>
      </c>
      <c r="O158" s="41" t="str">
        <f t="shared" si="4"/>
        <v>EBS1_13004_0</v>
      </c>
      <c r="P158" s="41" t="s">
        <v>2145</v>
      </c>
      <c r="R158" s="41">
        <v>157</v>
      </c>
      <c r="T158" s="41" t="str">
        <f t="shared" si="5"/>
        <v>1300400:Var_ui_ErrNo:=157;</v>
      </c>
    </row>
    <row r="159" spans="1:20">
      <c r="A159" s="190">
        <v>158</v>
      </c>
      <c r="B159" s="40">
        <v>50</v>
      </c>
      <c r="C159" s="40">
        <v>212</v>
      </c>
      <c r="F159" s="40"/>
      <c r="G159" s="40"/>
      <c r="H159" s="40" t="s">
        <v>2146</v>
      </c>
      <c r="I159" s="40" t="s">
        <v>2147</v>
      </c>
      <c r="J159" s="40" t="s">
        <v>2148</v>
      </c>
      <c r="K159" s="40" t="s">
        <v>2149</v>
      </c>
      <c r="L159" s="190">
        <v>13012</v>
      </c>
      <c r="M159" s="190">
        <v>0</v>
      </c>
      <c r="N159" s="40" t="s">
        <v>2150</v>
      </c>
      <c r="O159" s="41" t="str">
        <f t="shared" si="4"/>
        <v>EBS1_13012_0</v>
      </c>
      <c r="P159" s="41" t="s">
        <v>2151</v>
      </c>
      <c r="R159" s="41">
        <v>158</v>
      </c>
      <c r="T159" s="41" t="str">
        <f t="shared" si="5"/>
        <v>1301200:Var_ui_ErrNo:=158;</v>
      </c>
    </row>
    <row r="160" spans="1:20">
      <c r="A160" s="190">
        <v>159</v>
      </c>
      <c r="B160" s="40">
        <v>51</v>
      </c>
      <c r="C160" s="40">
        <v>0</v>
      </c>
      <c r="F160" s="40"/>
      <c r="G160" s="40"/>
      <c r="H160" s="40" t="s">
        <v>2152</v>
      </c>
      <c r="I160" s="40" t="s">
        <v>2153</v>
      </c>
      <c r="J160" s="40" t="s">
        <v>2154</v>
      </c>
      <c r="K160" s="40" t="s">
        <v>2155</v>
      </c>
      <c r="L160" s="190">
        <v>13056</v>
      </c>
      <c r="M160" s="190">
        <v>0</v>
      </c>
      <c r="N160" s="40" t="s">
        <v>2156</v>
      </c>
      <c r="O160" s="41" t="str">
        <f t="shared" si="4"/>
        <v>EBS1_13056_0</v>
      </c>
      <c r="P160" s="41" t="s">
        <v>2157</v>
      </c>
      <c r="R160" s="41">
        <v>159</v>
      </c>
      <c r="T160" s="41" t="str">
        <f t="shared" si="5"/>
        <v>1305600:Var_ui_ErrNo:=159;</v>
      </c>
    </row>
    <row r="161" spans="1:20">
      <c r="A161" s="190">
        <v>160</v>
      </c>
      <c r="B161" s="40">
        <v>51</v>
      </c>
      <c r="C161" s="40">
        <v>12</v>
      </c>
      <c r="F161" s="40"/>
      <c r="G161" s="40"/>
      <c r="H161" s="40" t="s">
        <v>2158</v>
      </c>
      <c r="I161" s="40" t="s">
        <v>2159</v>
      </c>
      <c r="J161" s="40" t="s">
        <v>2160</v>
      </c>
      <c r="K161" s="40" t="s">
        <v>2161</v>
      </c>
      <c r="L161" s="190">
        <v>13068</v>
      </c>
      <c r="M161" s="190">
        <v>0</v>
      </c>
      <c r="N161" s="40" t="s">
        <v>2162</v>
      </c>
      <c r="O161" s="41" t="str">
        <f t="shared" si="4"/>
        <v>EBS1_13068_0</v>
      </c>
      <c r="P161" s="41" t="s">
        <v>2163</v>
      </c>
      <c r="R161" s="41">
        <v>160</v>
      </c>
      <c r="T161" s="41" t="str">
        <f t="shared" si="5"/>
        <v>1306800:Var_ui_ErrNo:=160;</v>
      </c>
    </row>
    <row r="162" spans="1:20">
      <c r="A162" s="190">
        <v>161</v>
      </c>
      <c r="B162" s="40">
        <v>51</v>
      </c>
      <c r="C162" s="40">
        <v>14</v>
      </c>
      <c r="F162" s="40"/>
      <c r="G162" s="40"/>
      <c r="H162" s="40" t="s">
        <v>2134</v>
      </c>
      <c r="I162" s="40" t="s">
        <v>2135</v>
      </c>
      <c r="J162" s="40" t="s">
        <v>2164</v>
      </c>
      <c r="K162" s="40" t="s">
        <v>2165</v>
      </c>
      <c r="L162" s="190">
        <v>13070</v>
      </c>
      <c r="M162" s="190">
        <v>0</v>
      </c>
      <c r="N162" s="40" t="s">
        <v>2138</v>
      </c>
      <c r="O162" s="41" t="str">
        <f t="shared" si="4"/>
        <v>EBS1_13070_0</v>
      </c>
      <c r="P162" s="41" t="s">
        <v>2166</v>
      </c>
      <c r="R162" s="41">
        <v>161</v>
      </c>
      <c r="T162" s="41" t="str">
        <f t="shared" si="5"/>
        <v>1307000:Var_ui_ErrNo:=161;</v>
      </c>
    </row>
    <row r="163" spans="1:20">
      <c r="A163" s="190">
        <v>162</v>
      </c>
      <c r="B163" s="40">
        <v>51</v>
      </c>
      <c r="C163" s="40">
        <v>210</v>
      </c>
      <c r="F163" s="40"/>
      <c r="G163" s="40"/>
      <c r="H163" s="40" t="s">
        <v>2167</v>
      </c>
      <c r="I163" s="40" t="s">
        <v>2141</v>
      </c>
      <c r="J163" s="40" t="s">
        <v>2168</v>
      </c>
      <c r="K163" s="40" t="s">
        <v>2169</v>
      </c>
      <c r="L163" s="190">
        <v>13266</v>
      </c>
      <c r="M163" s="190">
        <v>0</v>
      </c>
      <c r="N163" s="40" t="s">
        <v>2170</v>
      </c>
      <c r="O163" s="41" t="str">
        <f t="shared" si="4"/>
        <v>EBS1_13266_0</v>
      </c>
      <c r="P163" s="41" t="s">
        <v>2171</v>
      </c>
      <c r="R163" s="41">
        <v>162</v>
      </c>
      <c r="T163" s="41" t="str">
        <f t="shared" si="5"/>
        <v>1326600:Var_ui_ErrNo:=162;</v>
      </c>
    </row>
    <row r="164" spans="1:20">
      <c r="A164" s="190">
        <v>163</v>
      </c>
      <c r="B164" s="40">
        <v>51</v>
      </c>
      <c r="C164" s="40">
        <v>211</v>
      </c>
      <c r="F164" s="40"/>
      <c r="G164" s="40"/>
      <c r="H164" s="40" t="s">
        <v>2172</v>
      </c>
      <c r="I164" s="40" t="s">
        <v>2173</v>
      </c>
      <c r="J164" s="40" t="s">
        <v>2174</v>
      </c>
      <c r="K164" s="40" t="s">
        <v>2175</v>
      </c>
      <c r="L164" s="190">
        <v>13267</v>
      </c>
      <c r="M164" s="190">
        <v>0</v>
      </c>
      <c r="N164" s="40" t="s">
        <v>2176</v>
      </c>
      <c r="O164" s="41" t="str">
        <f t="shared" si="4"/>
        <v>EBS1_13267_0</v>
      </c>
      <c r="P164" s="41" t="s">
        <v>2177</v>
      </c>
      <c r="R164" s="41">
        <v>163</v>
      </c>
      <c r="T164" s="41" t="str">
        <f t="shared" si="5"/>
        <v>1326700:Var_ui_ErrNo:=163;</v>
      </c>
    </row>
    <row r="165" spans="1:20">
      <c r="A165" s="190">
        <v>164</v>
      </c>
      <c r="B165" s="40">
        <v>51</v>
      </c>
      <c r="C165" s="40">
        <v>212</v>
      </c>
      <c r="F165" s="40"/>
      <c r="G165" s="40"/>
      <c r="H165" s="40" t="s">
        <v>2146</v>
      </c>
      <c r="I165" s="40" t="s">
        <v>2147</v>
      </c>
      <c r="J165" s="40" t="s">
        <v>2178</v>
      </c>
      <c r="K165" s="40" t="s">
        <v>2179</v>
      </c>
      <c r="L165" s="190">
        <v>13268</v>
      </c>
      <c r="M165" s="190">
        <v>0</v>
      </c>
      <c r="N165" s="40" t="s">
        <v>2150</v>
      </c>
      <c r="O165" s="41" t="str">
        <f t="shared" si="4"/>
        <v>EBS1_13268_0</v>
      </c>
      <c r="P165" s="41" t="s">
        <v>2180</v>
      </c>
      <c r="R165" s="41">
        <v>164</v>
      </c>
      <c r="T165" s="41" t="str">
        <f t="shared" si="5"/>
        <v>1326800:Var_ui_ErrNo:=164;</v>
      </c>
    </row>
    <row r="166" spans="1:20">
      <c r="A166" s="190">
        <v>165</v>
      </c>
      <c r="B166" s="40">
        <v>51</v>
      </c>
      <c r="C166" s="40">
        <v>214</v>
      </c>
      <c r="F166" s="40"/>
      <c r="G166" s="40"/>
      <c r="H166" s="40" t="s">
        <v>2181</v>
      </c>
      <c r="I166" s="40" t="s">
        <v>2182</v>
      </c>
      <c r="J166" s="40" t="s">
        <v>2183</v>
      </c>
      <c r="K166" s="40" t="s">
        <v>2184</v>
      </c>
      <c r="L166" s="190">
        <v>13270</v>
      </c>
      <c r="M166" s="190">
        <v>0</v>
      </c>
      <c r="N166" s="40" t="s">
        <v>2185</v>
      </c>
      <c r="O166" s="41" t="str">
        <f t="shared" si="4"/>
        <v>EBS1_13270_0</v>
      </c>
      <c r="P166" s="41" t="s">
        <v>2186</v>
      </c>
      <c r="R166" s="41">
        <v>165</v>
      </c>
      <c r="T166" s="41" t="str">
        <f t="shared" si="5"/>
        <v>1327000:Var_ui_ErrNo:=165;</v>
      </c>
    </row>
    <row r="167" spans="1:20">
      <c r="A167" s="190">
        <v>166</v>
      </c>
      <c r="B167" s="40">
        <v>51</v>
      </c>
      <c r="C167" s="40">
        <v>220</v>
      </c>
      <c r="F167" s="40"/>
      <c r="G167" s="40"/>
      <c r="H167" s="40" t="s">
        <v>2187</v>
      </c>
      <c r="I167" s="40" t="s">
        <v>2182</v>
      </c>
      <c r="J167" s="40" t="s">
        <v>2188</v>
      </c>
      <c r="K167" s="40" t="s">
        <v>2189</v>
      </c>
      <c r="L167" s="190">
        <v>13276</v>
      </c>
      <c r="M167" s="190">
        <v>0</v>
      </c>
      <c r="N167" s="40" t="s">
        <v>2190</v>
      </c>
      <c r="O167" s="41" t="str">
        <f t="shared" si="4"/>
        <v>EBS1_13276_0</v>
      </c>
      <c r="P167" s="41" t="s">
        <v>2191</v>
      </c>
      <c r="R167" s="41">
        <v>166</v>
      </c>
      <c r="T167" s="41" t="str">
        <f t="shared" si="5"/>
        <v>1327600:Var_ui_ErrNo:=166;</v>
      </c>
    </row>
    <row r="168" spans="1:20">
      <c r="A168" s="190">
        <v>167</v>
      </c>
      <c r="B168" s="40">
        <v>51</v>
      </c>
      <c r="C168" s="40">
        <v>221</v>
      </c>
      <c r="F168" s="40"/>
      <c r="G168" s="40"/>
      <c r="H168" s="40" t="s">
        <v>2192</v>
      </c>
      <c r="I168" s="40" t="s">
        <v>2141</v>
      </c>
      <c r="J168" s="40" t="s">
        <v>2193</v>
      </c>
      <c r="K168" s="40" t="s">
        <v>2194</v>
      </c>
      <c r="L168" s="190">
        <v>13277</v>
      </c>
      <c r="M168" s="190">
        <v>0</v>
      </c>
      <c r="N168" s="40" t="s">
        <v>2195</v>
      </c>
      <c r="O168" s="41" t="str">
        <f t="shared" si="4"/>
        <v>EBS1_13277_0</v>
      </c>
      <c r="P168" s="41" t="s">
        <v>2196</v>
      </c>
      <c r="R168" s="41">
        <v>167</v>
      </c>
      <c r="T168" s="41" t="str">
        <f t="shared" si="5"/>
        <v>1327700:Var_ui_ErrNo:=167;</v>
      </c>
    </row>
    <row r="169" spans="1:20">
      <c r="A169" s="190">
        <v>168</v>
      </c>
      <c r="B169" s="40">
        <v>51</v>
      </c>
      <c r="C169" s="40">
        <v>222</v>
      </c>
      <c r="F169" s="40"/>
      <c r="G169" s="40"/>
      <c r="H169" s="40" t="s">
        <v>2192</v>
      </c>
      <c r="I169" s="40" t="s">
        <v>2141</v>
      </c>
      <c r="J169" s="40" t="s">
        <v>2197</v>
      </c>
      <c r="K169" s="40" t="s">
        <v>2198</v>
      </c>
      <c r="L169" s="190">
        <v>13278</v>
      </c>
      <c r="M169" s="190">
        <v>0</v>
      </c>
      <c r="N169" s="40" t="s">
        <v>2195</v>
      </c>
      <c r="O169" s="41" t="str">
        <f t="shared" si="4"/>
        <v>EBS1_13278_0</v>
      </c>
      <c r="P169" s="41" t="s">
        <v>2199</v>
      </c>
      <c r="R169" s="41">
        <v>168</v>
      </c>
      <c r="T169" s="41" t="str">
        <f t="shared" si="5"/>
        <v>1327800:Var_ui_ErrNo:=168;</v>
      </c>
    </row>
    <row r="170" spans="1:20">
      <c r="A170" s="190">
        <v>169</v>
      </c>
      <c r="B170" s="40">
        <v>51</v>
      </c>
      <c r="C170" s="40">
        <v>225</v>
      </c>
      <c r="F170" s="40"/>
      <c r="G170" s="40"/>
      <c r="H170" s="40" t="s">
        <v>2200</v>
      </c>
      <c r="I170" s="40" t="s">
        <v>2201</v>
      </c>
      <c r="J170" s="40" t="s">
        <v>2202</v>
      </c>
      <c r="K170" s="40" t="s">
        <v>2203</v>
      </c>
      <c r="L170" s="190">
        <v>13281</v>
      </c>
      <c r="M170" s="190">
        <v>0</v>
      </c>
      <c r="N170" s="40" t="s">
        <v>2150</v>
      </c>
      <c r="O170" s="41" t="str">
        <f t="shared" si="4"/>
        <v>EBS1_13281_0</v>
      </c>
      <c r="P170" s="41" t="s">
        <v>2204</v>
      </c>
      <c r="R170" s="41">
        <v>169</v>
      </c>
      <c r="T170" s="41" t="str">
        <f t="shared" si="5"/>
        <v>1328100:Var_ui_ErrNo:=169;</v>
      </c>
    </row>
    <row r="171" spans="1:20">
      <c r="A171" s="190">
        <v>170</v>
      </c>
      <c r="B171" s="40">
        <v>51</v>
      </c>
      <c r="C171" s="40">
        <v>226</v>
      </c>
      <c r="F171" s="40"/>
      <c r="G171" s="40"/>
      <c r="H171" s="40" t="s">
        <v>2205</v>
      </c>
      <c r="I171" s="40" t="s">
        <v>2206</v>
      </c>
      <c r="J171" s="40" t="s">
        <v>2207</v>
      </c>
      <c r="K171" s="40" t="s">
        <v>2208</v>
      </c>
      <c r="L171" s="190">
        <v>13282</v>
      </c>
      <c r="M171" s="190">
        <v>0</v>
      </c>
      <c r="N171" s="40" t="s">
        <v>2209</v>
      </c>
      <c r="O171" s="41" t="str">
        <f t="shared" si="4"/>
        <v>EBS1_13282_0</v>
      </c>
      <c r="P171" s="41" t="s">
        <v>2210</v>
      </c>
      <c r="R171" s="41">
        <v>170</v>
      </c>
      <c r="T171" s="41" t="str">
        <f t="shared" si="5"/>
        <v>1328200:Var_ui_ErrNo:=170;</v>
      </c>
    </row>
    <row r="172" spans="1:20">
      <c r="A172" s="190">
        <v>171</v>
      </c>
      <c r="B172" s="40">
        <v>52</v>
      </c>
      <c r="C172" s="40">
        <v>0</v>
      </c>
      <c r="F172" s="40"/>
      <c r="G172" s="40"/>
      <c r="H172" s="40" t="s">
        <v>2211</v>
      </c>
      <c r="I172" s="40" t="s">
        <v>2212</v>
      </c>
      <c r="J172" s="40" t="s">
        <v>2213</v>
      </c>
      <c r="K172" s="40" t="s">
        <v>2214</v>
      </c>
      <c r="L172" s="190">
        <v>13312</v>
      </c>
      <c r="M172" s="190">
        <v>0</v>
      </c>
      <c r="N172" s="40" t="s">
        <v>2215</v>
      </c>
      <c r="O172" s="41" t="str">
        <f t="shared" si="4"/>
        <v>EBS1_13312_0</v>
      </c>
      <c r="P172" s="41" t="s">
        <v>2216</v>
      </c>
      <c r="R172" s="41">
        <v>171</v>
      </c>
      <c r="T172" s="41" t="str">
        <f t="shared" si="5"/>
        <v>1331200:Var_ui_ErrNo:=171;</v>
      </c>
    </row>
    <row r="173" spans="1:20">
      <c r="A173" s="190">
        <v>172</v>
      </c>
      <c r="B173" s="40">
        <v>52</v>
      </c>
      <c r="C173" s="40">
        <v>12</v>
      </c>
      <c r="F173" s="40"/>
      <c r="G173" s="40"/>
      <c r="H173" s="40" t="s">
        <v>2217</v>
      </c>
      <c r="I173" s="40" t="s">
        <v>2218</v>
      </c>
      <c r="J173" s="40" t="s">
        <v>2219</v>
      </c>
      <c r="K173" s="40" t="s">
        <v>2220</v>
      </c>
      <c r="L173" s="190">
        <v>13324</v>
      </c>
      <c r="M173" s="190">
        <v>0</v>
      </c>
      <c r="N173" s="40" t="s">
        <v>2221</v>
      </c>
      <c r="O173" s="41" t="str">
        <f t="shared" si="4"/>
        <v>EBS1_13324_0</v>
      </c>
      <c r="P173" s="41" t="s">
        <v>2222</v>
      </c>
      <c r="R173" s="41">
        <v>172</v>
      </c>
      <c r="T173" s="41" t="str">
        <f t="shared" si="5"/>
        <v>1332400:Var_ui_ErrNo:=172;</v>
      </c>
    </row>
    <row r="174" spans="1:20">
      <c r="A174" s="190">
        <v>173</v>
      </c>
      <c r="B174" s="40">
        <v>52</v>
      </c>
      <c r="C174" s="40">
        <v>14</v>
      </c>
      <c r="F174" s="40"/>
      <c r="G174" s="40"/>
      <c r="H174" s="40" t="s">
        <v>2223</v>
      </c>
      <c r="I174" s="40" t="s">
        <v>2218</v>
      </c>
      <c r="J174" s="40" t="s">
        <v>2224</v>
      </c>
      <c r="K174" s="40" t="s">
        <v>2225</v>
      </c>
      <c r="L174" s="190">
        <v>13326</v>
      </c>
      <c r="M174" s="190">
        <v>0</v>
      </c>
      <c r="N174" s="40" t="s">
        <v>2226</v>
      </c>
      <c r="O174" s="41" t="str">
        <f t="shared" si="4"/>
        <v>EBS1_13326_0</v>
      </c>
      <c r="P174" s="41" t="s">
        <v>2227</v>
      </c>
      <c r="R174" s="41">
        <v>173</v>
      </c>
      <c r="T174" s="41" t="str">
        <f t="shared" si="5"/>
        <v>1332600:Var_ui_ErrNo:=173;</v>
      </c>
    </row>
    <row r="175" spans="1:20">
      <c r="A175" s="190">
        <v>174</v>
      </c>
      <c r="B175" s="40">
        <v>52</v>
      </c>
      <c r="C175" s="40">
        <v>24</v>
      </c>
      <c r="F175" s="40"/>
      <c r="G175" s="40"/>
      <c r="H175" s="40" t="s">
        <v>2228</v>
      </c>
      <c r="I175" s="40" t="s">
        <v>2229</v>
      </c>
      <c r="J175" s="40" t="s">
        <v>2230</v>
      </c>
      <c r="K175" s="40" t="s">
        <v>2231</v>
      </c>
      <c r="L175" s="190">
        <v>13336</v>
      </c>
      <c r="M175" s="190">
        <v>0</v>
      </c>
      <c r="N175" s="40" t="s">
        <v>2232</v>
      </c>
      <c r="O175" s="41" t="str">
        <f t="shared" si="4"/>
        <v>EBS1_13336_0</v>
      </c>
      <c r="P175" s="41" t="s">
        <v>2233</v>
      </c>
      <c r="R175" s="41">
        <v>174</v>
      </c>
      <c r="T175" s="41" t="str">
        <f t="shared" si="5"/>
        <v>1333600:Var_ui_ErrNo:=174;</v>
      </c>
    </row>
    <row r="176" spans="1:20">
      <c r="A176" s="190">
        <v>175</v>
      </c>
      <c r="B176" s="40">
        <v>52</v>
      </c>
      <c r="C176" s="40">
        <v>209</v>
      </c>
      <c r="F176" s="40"/>
      <c r="G176" s="40"/>
      <c r="H176" s="40" t="s">
        <v>2234</v>
      </c>
      <c r="I176" s="40" t="s">
        <v>2235</v>
      </c>
      <c r="J176" s="40" t="s">
        <v>2236</v>
      </c>
      <c r="K176" s="40" t="s">
        <v>2237</v>
      </c>
      <c r="L176" s="190">
        <v>13521</v>
      </c>
      <c r="M176" s="190">
        <v>0</v>
      </c>
      <c r="N176" s="40" t="s">
        <v>2238</v>
      </c>
      <c r="O176" s="41" t="str">
        <f t="shared" si="4"/>
        <v>EBS1_13521_0</v>
      </c>
      <c r="P176" s="41" t="s">
        <v>2239</v>
      </c>
      <c r="R176" s="41">
        <v>175</v>
      </c>
      <c r="T176" s="41" t="str">
        <f t="shared" si="5"/>
        <v>1352100:Var_ui_ErrNo:=175;</v>
      </c>
    </row>
    <row r="177" spans="1:20">
      <c r="A177" s="190">
        <v>176</v>
      </c>
      <c r="B177" s="40">
        <v>52</v>
      </c>
      <c r="C177" s="40">
        <v>210</v>
      </c>
      <c r="F177" s="40"/>
      <c r="G177" s="40"/>
      <c r="H177" s="40" t="s">
        <v>2240</v>
      </c>
      <c r="I177" s="40" t="s">
        <v>2241</v>
      </c>
      <c r="J177" s="40" t="s">
        <v>2242</v>
      </c>
      <c r="K177" s="40" t="s">
        <v>2243</v>
      </c>
      <c r="L177" s="190">
        <v>13522</v>
      </c>
      <c r="M177" s="190">
        <v>0</v>
      </c>
      <c r="N177" s="40" t="s">
        <v>2244</v>
      </c>
      <c r="O177" s="41" t="str">
        <f t="shared" si="4"/>
        <v>EBS1_13522_0</v>
      </c>
      <c r="P177" s="41" t="s">
        <v>2245</v>
      </c>
      <c r="R177" s="41">
        <v>176</v>
      </c>
      <c r="T177" s="41" t="str">
        <f t="shared" si="5"/>
        <v>1352200:Var_ui_ErrNo:=176;</v>
      </c>
    </row>
    <row r="178" spans="1:20">
      <c r="A178" s="190">
        <v>177</v>
      </c>
      <c r="B178" s="40">
        <v>52</v>
      </c>
      <c r="C178" s="40">
        <v>213</v>
      </c>
      <c r="F178" s="40"/>
      <c r="G178" s="40"/>
      <c r="H178" s="40" t="s">
        <v>2246</v>
      </c>
      <c r="I178" s="40" t="s">
        <v>2241</v>
      </c>
      <c r="J178" s="40" t="s">
        <v>2247</v>
      </c>
      <c r="K178" s="40" t="s">
        <v>2248</v>
      </c>
      <c r="L178" s="190">
        <v>13525</v>
      </c>
      <c r="M178" s="190">
        <v>0</v>
      </c>
      <c r="N178" s="40" t="s">
        <v>2249</v>
      </c>
      <c r="O178" s="41" t="str">
        <f t="shared" si="4"/>
        <v>EBS1_13525_0</v>
      </c>
      <c r="P178" s="41" t="s">
        <v>2250</v>
      </c>
      <c r="R178" s="41">
        <v>177</v>
      </c>
      <c r="T178" s="41" t="str">
        <f t="shared" si="5"/>
        <v>1352500:Var_ui_ErrNo:=177;</v>
      </c>
    </row>
    <row r="179" spans="1:20">
      <c r="A179" s="190">
        <v>178</v>
      </c>
      <c r="B179" s="40">
        <v>52</v>
      </c>
      <c r="C179" s="40">
        <v>215</v>
      </c>
      <c r="F179" s="40"/>
      <c r="G179" s="40"/>
      <c r="H179" s="40" t="s">
        <v>2251</v>
      </c>
      <c r="I179" s="40" t="s">
        <v>2252</v>
      </c>
      <c r="J179" s="40" t="s">
        <v>2253</v>
      </c>
      <c r="K179" s="40" t="s">
        <v>2254</v>
      </c>
      <c r="L179" s="190">
        <v>13527</v>
      </c>
      <c r="M179" s="190">
        <v>0</v>
      </c>
      <c r="N179" s="40" t="s">
        <v>2255</v>
      </c>
      <c r="O179" s="41" t="str">
        <f t="shared" si="4"/>
        <v>EBS1_13527_0</v>
      </c>
      <c r="P179" s="41" t="s">
        <v>2256</v>
      </c>
      <c r="R179" s="41">
        <v>178</v>
      </c>
      <c r="T179" s="41" t="str">
        <f t="shared" si="5"/>
        <v>1352700:Var_ui_ErrNo:=178;</v>
      </c>
    </row>
    <row r="180" spans="1:20">
      <c r="A180" s="190">
        <v>179</v>
      </c>
      <c r="B180" s="40">
        <v>52</v>
      </c>
      <c r="C180" s="40">
        <v>216</v>
      </c>
      <c r="F180" s="40"/>
      <c r="G180" s="40"/>
      <c r="H180" s="40" t="s">
        <v>2257</v>
      </c>
      <c r="I180" s="40" t="s">
        <v>2252</v>
      </c>
      <c r="J180" s="40" t="s">
        <v>2258</v>
      </c>
      <c r="K180" s="40" t="s">
        <v>2259</v>
      </c>
      <c r="L180" s="190">
        <v>13528</v>
      </c>
      <c r="M180" s="190">
        <v>0</v>
      </c>
      <c r="N180" s="40" t="s">
        <v>2260</v>
      </c>
      <c r="O180" s="41" t="str">
        <f t="shared" si="4"/>
        <v>EBS1_13528_0</v>
      </c>
      <c r="P180" s="41" t="s">
        <v>2261</v>
      </c>
      <c r="R180" s="41">
        <v>179</v>
      </c>
      <c r="T180" s="41" t="str">
        <f t="shared" si="5"/>
        <v>1352800:Var_ui_ErrNo:=179;</v>
      </c>
    </row>
    <row r="181" spans="1:20">
      <c r="A181" s="190">
        <v>180</v>
      </c>
      <c r="B181" s="40">
        <v>52</v>
      </c>
      <c r="C181" s="40">
        <v>217</v>
      </c>
      <c r="F181" s="40"/>
      <c r="G181" s="40"/>
      <c r="H181" s="40" t="s">
        <v>2262</v>
      </c>
      <c r="I181" s="40" t="s">
        <v>2263</v>
      </c>
      <c r="J181" s="40" t="s">
        <v>2264</v>
      </c>
      <c r="K181" s="40" t="s">
        <v>2265</v>
      </c>
      <c r="L181" s="190">
        <v>13529</v>
      </c>
      <c r="M181" s="190">
        <v>0</v>
      </c>
      <c r="N181" s="40" t="s">
        <v>2266</v>
      </c>
      <c r="O181" s="41" t="str">
        <f t="shared" si="4"/>
        <v>EBS1_13529_0</v>
      </c>
      <c r="P181" s="41" t="s">
        <v>2267</v>
      </c>
      <c r="R181" s="41">
        <v>180</v>
      </c>
      <c r="T181" s="41" t="str">
        <f t="shared" si="5"/>
        <v>1352900:Var_ui_ErrNo:=180;</v>
      </c>
    </row>
    <row r="182" spans="1:20">
      <c r="A182" s="190">
        <v>181</v>
      </c>
      <c r="B182" s="40">
        <v>52</v>
      </c>
      <c r="C182" s="40">
        <v>218</v>
      </c>
      <c r="F182" s="40"/>
      <c r="G182" s="40"/>
      <c r="H182" s="40" t="s">
        <v>2268</v>
      </c>
      <c r="I182" s="40" t="s">
        <v>2269</v>
      </c>
      <c r="J182" s="40" t="s">
        <v>2270</v>
      </c>
      <c r="K182" s="40" t="s">
        <v>2271</v>
      </c>
      <c r="L182" s="190">
        <v>13530</v>
      </c>
      <c r="M182" s="190">
        <v>0</v>
      </c>
      <c r="N182" s="40" t="s">
        <v>2272</v>
      </c>
      <c r="O182" s="41" t="str">
        <f t="shared" si="4"/>
        <v>EBS1_13530_0</v>
      </c>
      <c r="P182" s="41" t="s">
        <v>2273</v>
      </c>
      <c r="R182" s="41">
        <v>181</v>
      </c>
      <c r="T182" s="41" t="str">
        <f t="shared" si="5"/>
        <v>1353000:Var_ui_ErrNo:=181;</v>
      </c>
    </row>
    <row r="183" spans="1:20">
      <c r="A183" s="190">
        <v>182</v>
      </c>
      <c r="B183" s="40">
        <v>52</v>
      </c>
      <c r="C183" s="40">
        <v>219</v>
      </c>
      <c r="F183" s="40"/>
      <c r="G183" s="40"/>
      <c r="H183" s="40" t="s">
        <v>2274</v>
      </c>
      <c r="I183" s="40" t="s">
        <v>2275</v>
      </c>
      <c r="J183" s="40" t="s">
        <v>2276</v>
      </c>
      <c r="K183" s="40" t="s">
        <v>2277</v>
      </c>
      <c r="L183" s="190">
        <v>13531</v>
      </c>
      <c r="M183" s="190">
        <v>0</v>
      </c>
      <c r="N183" s="40" t="s">
        <v>2272</v>
      </c>
      <c r="O183" s="41" t="str">
        <f t="shared" si="4"/>
        <v>EBS1_13531_0</v>
      </c>
      <c r="P183" s="41" t="s">
        <v>2278</v>
      </c>
      <c r="R183" s="41">
        <v>182</v>
      </c>
      <c r="T183" s="41" t="str">
        <f t="shared" si="5"/>
        <v>1353100:Var_ui_ErrNo:=182;</v>
      </c>
    </row>
    <row r="184" spans="1:20">
      <c r="A184" s="190">
        <v>183</v>
      </c>
      <c r="B184" s="40">
        <v>52</v>
      </c>
      <c r="C184" s="40">
        <v>220</v>
      </c>
      <c r="F184" s="40"/>
      <c r="G184" s="40"/>
      <c r="H184" s="40" t="s">
        <v>2279</v>
      </c>
      <c r="I184" s="40" t="s">
        <v>2263</v>
      </c>
      <c r="J184" s="40" t="s">
        <v>2280</v>
      </c>
      <c r="K184" s="40" t="s">
        <v>2281</v>
      </c>
      <c r="L184" s="190">
        <v>13532</v>
      </c>
      <c r="M184" s="190">
        <v>0</v>
      </c>
      <c r="N184" s="40" t="s">
        <v>2282</v>
      </c>
      <c r="O184" s="41" t="str">
        <f t="shared" si="4"/>
        <v>EBS1_13532_0</v>
      </c>
      <c r="P184" s="41" t="s">
        <v>2283</v>
      </c>
      <c r="R184" s="41">
        <v>183</v>
      </c>
      <c r="T184" s="41" t="str">
        <f t="shared" si="5"/>
        <v>1353200:Var_ui_ErrNo:=183;</v>
      </c>
    </row>
    <row r="185" spans="1:20">
      <c r="A185" s="190">
        <v>184</v>
      </c>
      <c r="B185" s="40">
        <v>52</v>
      </c>
      <c r="C185" s="40">
        <v>221</v>
      </c>
      <c r="F185" s="40"/>
      <c r="G185" s="40"/>
      <c r="H185" s="40" t="s">
        <v>2284</v>
      </c>
      <c r="I185" s="40" t="s">
        <v>2285</v>
      </c>
      <c r="J185" s="40" t="s">
        <v>2286</v>
      </c>
      <c r="K185" s="40" t="s">
        <v>2287</v>
      </c>
      <c r="L185" s="190">
        <v>13533</v>
      </c>
      <c r="M185" s="190">
        <v>0</v>
      </c>
      <c r="N185" s="40" t="s">
        <v>2288</v>
      </c>
      <c r="O185" s="41" t="str">
        <f t="shared" si="4"/>
        <v>EBS1_13533_0</v>
      </c>
      <c r="P185" s="41" t="s">
        <v>2289</v>
      </c>
      <c r="R185" s="41">
        <v>184</v>
      </c>
      <c r="T185" s="41" t="str">
        <f t="shared" si="5"/>
        <v>1353300:Var_ui_ErrNo:=184;</v>
      </c>
    </row>
    <row r="186" spans="1:20">
      <c r="A186" s="190">
        <v>185</v>
      </c>
      <c r="B186" s="40">
        <v>52</v>
      </c>
      <c r="C186" s="40">
        <v>222</v>
      </c>
      <c r="F186" s="40"/>
      <c r="G186" s="40"/>
      <c r="H186" s="40" t="s">
        <v>2284</v>
      </c>
      <c r="I186" s="40" t="s">
        <v>2269</v>
      </c>
      <c r="J186" s="40" t="s">
        <v>2290</v>
      </c>
      <c r="K186" s="40" t="s">
        <v>2291</v>
      </c>
      <c r="L186" s="190">
        <v>13534</v>
      </c>
      <c r="M186" s="190">
        <v>0</v>
      </c>
      <c r="N186" s="40" t="s">
        <v>2288</v>
      </c>
      <c r="O186" s="41" t="str">
        <f t="shared" si="4"/>
        <v>EBS1_13534_0</v>
      </c>
      <c r="P186" s="41" t="s">
        <v>2292</v>
      </c>
      <c r="R186" s="41">
        <v>185</v>
      </c>
      <c r="T186" s="41" t="str">
        <f t="shared" si="5"/>
        <v>1353400:Var_ui_ErrNo:=185;</v>
      </c>
    </row>
    <row r="187" spans="1:20">
      <c r="A187" s="190">
        <v>186</v>
      </c>
      <c r="B187" s="40">
        <v>52</v>
      </c>
      <c r="C187" s="40">
        <v>223</v>
      </c>
      <c r="F187" s="40"/>
      <c r="G187" s="40"/>
      <c r="H187" s="40" t="s">
        <v>2284</v>
      </c>
      <c r="I187" s="40" t="s">
        <v>2263</v>
      </c>
      <c r="J187" s="40" t="s">
        <v>2293</v>
      </c>
      <c r="K187" s="40" t="s">
        <v>2294</v>
      </c>
      <c r="L187" s="190">
        <v>13535</v>
      </c>
      <c r="M187" s="190">
        <v>0</v>
      </c>
      <c r="N187" s="40" t="s">
        <v>2288</v>
      </c>
      <c r="O187" s="41" t="str">
        <f t="shared" si="4"/>
        <v>EBS1_13535_0</v>
      </c>
      <c r="P187" s="41" t="s">
        <v>2295</v>
      </c>
      <c r="R187" s="41">
        <v>186</v>
      </c>
      <c r="T187" s="41" t="str">
        <f t="shared" si="5"/>
        <v>1353500:Var_ui_ErrNo:=186;</v>
      </c>
    </row>
    <row r="188" spans="1:20">
      <c r="A188" s="190">
        <v>187</v>
      </c>
      <c r="B188" s="40">
        <v>52</v>
      </c>
      <c r="C188" s="40">
        <v>224</v>
      </c>
      <c r="F188" s="40"/>
      <c r="G188" s="40"/>
      <c r="H188" s="40" t="s">
        <v>2284</v>
      </c>
      <c r="I188" s="40" t="s">
        <v>2263</v>
      </c>
      <c r="J188" s="40" t="s">
        <v>2296</v>
      </c>
      <c r="K188" s="40" t="s">
        <v>2297</v>
      </c>
      <c r="L188" s="190">
        <v>13536</v>
      </c>
      <c r="M188" s="190">
        <v>0</v>
      </c>
      <c r="N188" s="40" t="s">
        <v>2288</v>
      </c>
      <c r="O188" s="41" t="str">
        <f t="shared" si="4"/>
        <v>EBS1_13536_0</v>
      </c>
      <c r="P188" s="41" t="s">
        <v>2298</v>
      </c>
      <c r="R188" s="41">
        <v>187</v>
      </c>
      <c r="T188" s="41" t="str">
        <f t="shared" si="5"/>
        <v>1353600:Var_ui_ErrNo:=187;</v>
      </c>
    </row>
    <row r="189" spans="1:20">
      <c r="A189" s="190">
        <v>188</v>
      </c>
      <c r="B189" s="40">
        <v>53</v>
      </c>
      <c r="C189" s="40">
        <v>210</v>
      </c>
      <c r="F189" s="40"/>
      <c r="G189" s="40"/>
      <c r="H189" s="40" t="s">
        <v>2240</v>
      </c>
      <c r="I189" s="40" t="s">
        <v>2263</v>
      </c>
      <c r="J189" s="40" t="s">
        <v>2299</v>
      </c>
      <c r="K189" s="40" t="s">
        <v>2300</v>
      </c>
      <c r="L189" s="190">
        <v>13778</v>
      </c>
      <c r="M189" s="190">
        <v>0</v>
      </c>
      <c r="N189" s="40" t="s">
        <v>2244</v>
      </c>
      <c r="O189" s="41" t="str">
        <f t="shared" si="4"/>
        <v>EBS1_13778_0</v>
      </c>
      <c r="P189" s="41" t="s">
        <v>2301</v>
      </c>
      <c r="R189" s="41">
        <v>188</v>
      </c>
      <c r="T189" s="41" t="str">
        <f t="shared" si="5"/>
        <v>1377800:Var_ui_ErrNo:=188;</v>
      </c>
    </row>
    <row r="190" spans="1:20">
      <c r="A190" s="190">
        <v>189</v>
      </c>
      <c r="B190" s="40">
        <v>53</v>
      </c>
      <c r="C190" s="40">
        <v>214</v>
      </c>
      <c r="F190" s="40"/>
      <c r="G190" s="40"/>
      <c r="H190" s="40" t="s">
        <v>2302</v>
      </c>
      <c r="I190" s="40" t="s">
        <v>2303</v>
      </c>
      <c r="J190" s="40" t="s">
        <v>2304</v>
      </c>
      <c r="K190" s="40" t="s">
        <v>2305</v>
      </c>
      <c r="L190" s="190">
        <v>13782</v>
      </c>
      <c r="M190" s="190">
        <v>0</v>
      </c>
      <c r="N190" s="40" t="s">
        <v>2306</v>
      </c>
      <c r="O190" s="41" t="str">
        <f t="shared" si="4"/>
        <v>EBS1_13782_0</v>
      </c>
      <c r="P190" s="41" t="s">
        <v>2307</v>
      </c>
      <c r="R190" s="41">
        <v>189</v>
      </c>
      <c r="T190" s="41" t="str">
        <f t="shared" si="5"/>
        <v>1378200:Var_ui_ErrNo:=189;</v>
      </c>
    </row>
    <row r="191" spans="1:20">
      <c r="A191" s="190">
        <v>190</v>
      </c>
      <c r="B191" s="40">
        <v>53</v>
      </c>
      <c r="C191" s="40">
        <v>215</v>
      </c>
      <c r="F191" s="40"/>
      <c r="G191" s="40"/>
      <c r="H191" s="40" t="s">
        <v>2308</v>
      </c>
      <c r="I191" s="40" t="s">
        <v>2263</v>
      </c>
      <c r="J191" s="40" t="s">
        <v>2309</v>
      </c>
      <c r="K191" s="40" t="s">
        <v>2310</v>
      </c>
      <c r="L191" s="190">
        <v>13783</v>
      </c>
      <c r="M191" s="190">
        <v>0</v>
      </c>
      <c r="N191" s="40" t="s">
        <v>2311</v>
      </c>
      <c r="O191" s="41" t="str">
        <f t="shared" si="4"/>
        <v>EBS1_13783_0</v>
      </c>
      <c r="P191" s="41" t="s">
        <v>2312</v>
      </c>
      <c r="R191" s="41">
        <v>190</v>
      </c>
      <c r="T191" s="41" t="str">
        <f t="shared" si="5"/>
        <v>1378300:Var_ui_ErrNo:=190;</v>
      </c>
    </row>
    <row r="192" spans="1:20">
      <c r="A192" s="190">
        <v>191</v>
      </c>
      <c r="B192" s="40">
        <v>53</v>
      </c>
      <c r="C192" s="40">
        <v>218</v>
      </c>
      <c r="F192" s="40"/>
      <c r="G192" s="40"/>
      <c r="H192" s="40" t="s">
        <v>2268</v>
      </c>
      <c r="I192" s="40" t="s">
        <v>2313</v>
      </c>
      <c r="J192" s="40" t="s">
        <v>2314</v>
      </c>
      <c r="K192" s="40" t="s">
        <v>2315</v>
      </c>
      <c r="L192" s="190">
        <v>13786</v>
      </c>
      <c r="M192" s="190">
        <v>0</v>
      </c>
      <c r="N192" s="40" t="s">
        <v>2272</v>
      </c>
      <c r="O192" s="41" t="str">
        <f t="shared" si="4"/>
        <v>EBS1_13786_0</v>
      </c>
      <c r="P192" s="41" t="s">
        <v>2316</v>
      </c>
      <c r="R192" s="41">
        <v>191</v>
      </c>
      <c r="T192" s="41" t="str">
        <f t="shared" si="5"/>
        <v>1378600:Var_ui_ErrNo:=191;</v>
      </c>
    </row>
    <row r="193" spans="1:20">
      <c r="A193" s="190">
        <v>192</v>
      </c>
      <c r="B193" s="40">
        <v>53</v>
      </c>
      <c r="C193" s="40">
        <v>219</v>
      </c>
      <c r="F193" s="40"/>
      <c r="G193" s="40"/>
      <c r="H193" s="40" t="s">
        <v>2274</v>
      </c>
      <c r="I193" s="40" t="s">
        <v>2317</v>
      </c>
      <c r="J193" s="40" t="s">
        <v>2318</v>
      </c>
      <c r="K193" s="40" t="s">
        <v>2319</v>
      </c>
      <c r="L193" s="190">
        <v>13787</v>
      </c>
      <c r="M193" s="190">
        <v>0</v>
      </c>
      <c r="N193" s="40" t="s">
        <v>2272</v>
      </c>
      <c r="O193" s="41" t="str">
        <f t="shared" si="4"/>
        <v>EBS1_13787_0</v>
      </c>
      <c r="P193" s="41" t="s">
        <v>2320</v>
      </c>
      <c r="R193" s="41">
        <v>192</v>
      </c>
      <c r="T193" s="41" t="str">
        <f t="shared" si="5"/>
        <v>1378700:Var_ui_ErrNo:=192;</v>
      </c>
    </row>
    <row r="194" spans="1:20">
      <c r="A194" s="190">
        <v>193</v>
      </c>
      <c r="B194" s="40">
        <v>53</v>
      </c>
      <c r="C194" s="40">
        <v>225</v>
      </c>
      <c r="F194" s="40"/>
      <c r="G194" s="40"/>
      <c r="H194" s="40" t="s">
        <v>2321</v>
      </c>
      <c r="I194" s="40" t="s">
        <v>2201</v>
      </c>
      <c r="J194" s="40" t="s">
        <v>2322</v>
      </c>
      <c r="K194" s="40" t="s">
        <v>2323</v>
      </c>
      <c r="L194" s="190">
        <v>13793</v>
      </c>
      <c r="M194" s="190">
        <v>0</v>
      </c>
      <c r="N194" s="40" t="s">
        <v>2324</v>
      </c>
      <c r="O194" s="41" t="str">
        <f t="shared" ref="O194:O257" si="6">"EBS1_"&amp;L194&amp;"_"&amp;M194</f>
        <v>EBS1_13793_0</v>
      </c>
      <c r="P194" s="41" t="s">
        <v>2325</v>
      </c>
      <c r="R194" s="41">
        <v>193</v>
      </c>
      <c r="T194" s="41" t="str">
        <f t="shared" si="5"/>
        <v>1379300:Var_ui_ErrNo:=193;</v>
      </c>
    </row>
    <row r="195" spans="1:20">
      <c r="A195" s="190">
        <v>194</v>
      </c>
      <c r="B195" s="40">
        <v>53</v>
      </c>
      <c r="C195" s="40">
        <v>227</v>
      </c>
      <c r="F195" s="40"/>
      <c r="G195" s="40"/>
      <c r="H195" s="40" t="s">
        <v>2326</v>
      </c>
      <c r="I195" s="40" t="s">
        <v>2327</v>
      </c>
      <c r="J195" s="40" t="s">
        <v>2328</v>
      </c>
      <c r="K195" s="40" t="s">
        <v>2329</v>
      </c>
      <c r="L195" s="190">
        <v>13795</v>
      </c>
      <c r="M195" s="190">
        <v>0</v>
      </c>
      <c r="N195" s="40" t="s">
        <v>2330</v>
      </c>
      <c r="O195" s="41" t="str">
        <f t="shared" si="6"/>
        <v>EBS1_13795_0</v>
      </c>
      <c r="P195" s="41" t="s">
        <v>2331</v>
      </c>
      <c r="R195" s="41">
        <v>194</v>
      </c>
      <c r="T195" s="41" t="str">
        <f t="shared" ref="T195:T258" si="7">P195&amp;$Q$2&amp;R195&amp;$S$2</f>
        <v>1379500:Var_ui_ErrNo:=194;</v>
      </c>
    </row>
    <row r="196" spans="1:20">
      <c r="A196" s="190">
        <v>195</v>
      </c>
      <c r="B196" s="40">
        <v>54</v>
      </c>
      <c r="C196" s="40">
        <v>22</v>
      </c>
      <c r="F196" s="40"/>
      <c r="G196" s="40"/>
      <c r="H196" s="40" t="s">
        <v>2332</v>
      </c>
      <c r="I196" s="40" t="s">
        <v>2333</v>
      </c>
      <c r="J196" s="40" t="s">
        <v>2334</v>
      </c>
      <c r="K196" s="40" t="s">
        <v>2335</v>
      </c>
      <c r="L196" s="190">
        <v>13846</v>
      </c>
      <c r="M196" s="190">
        <v>0</v>
      </c>
      <c r="N196" s="40" t="s">
        <v>2336</v>
      </c>
      <c r="O196" s="41" t="str">
        <f t="shared" si="6"/>
        <v>EBS1_13846_0</v>
      </c>
      <c r="P196" s="41" t="s">
        <v>2337</v>
      </c>
      <c r="R196" s="41">
        <v>195</v>
      </c>
      <c r="T196" s="41" t="str">
        <f t="shared" si="7"/>
        <v>1384600:Var_ui_ErrNo:=195;</v>
      </c>
    </row>
    <row r="197" spans="1:20">
      <c r="A197" s="190">
        <v>196</v>
      </c>
      <c r="B197" s="40">
        <v>54</v>
      </c>
      <c r="C197" s="40">
        <v>23</v>
      </c>
      <c r="F197" s="40"/>
      <c r="G197" s="40"/>
      <c r="H197" s="40" t="s">
        <v>2338</v>
      </c>
      <c r="I197" s="40" t="s">
        <v>2333</v>
      </c>
      <c r="J197" s="40" t="s">
        <v>2339</v>
      </c>
      <c r="K197" s="40" t="s">
        <v>2340</v>
      </c>
      <c r="L197" s="190">
        <v>13847</v>
      </c>
      <c r="M197" s="190">
        <v>0</v>
      </c>
      <c r="N197" s="40" t="s">
        <v>2341</v>
      </c>
      <c r="O197" s="41" t="str">
        <f t="shared" si="6"/>
        <v>EBS1_13847_0</v>
      </c>
      <c r="P197" s="41" t="s">
        <v>2342</v>
      </c>
      <c r="R197" s="41">
        <v>196</v>
      </c>
      <c r="T197" s="41" t="str">
        <f t="shared" si="7"/>
        <v>1384700:Var_ui_ErrNo:=196;</v>
      </c>
    </row>
    <row r="198" spans="1:20">
      <c r="A198" s="190">
        <v>197</v>
      </c>
      <c r="B198" s="40">
        <v>54</v>
      </c>
      <c r="C198" s="40">
        <v>45</v>
      </c>
      <c r="F198" s="40"/>
      <c r="G198" s="40"/>
      <c r="H198" s="40" t="s">
        <v>2343</v>
      </c>
      <c r="I198" s="40" t="s">
        <v>2344</v>
      </c>
      <c r="J198" s="40" t="s">
        <v>2345</v>
      </c>
      <c r="K198" s="40" t="s">
        <v>2346</v>
      </c>
      <c r="L198" s="190">
        <v>13869</v>
      </c>
      <c r="M198" s="190">
        <v>0</v>
      </c>
      <c r="N198" s="40" t="s">
        <v>2347</v>
      </c>
      <c r="O198" s="41" t="str">
        <f t="shared" si="6"/>
        <v>EBS1_13869_0</v>
      </c>
      <c r="P198" s="41" t="s">
        <v>2348</v>
      </c>
      <c r="R198" s="41">
        <v>197</v>
      </c>
      <c r="T198" s="41" t="str">
        <f t="shared" si="7"/>
        <v>1386900:Var_ui_ErrNo:=197;</v>
      </c>
    </row>
    <row r="199" spans="1:20">
      <c r="A199" s="190">
        <v>198</v>
      </c>
      <c r="B199" s="40">
        <v>54</v>
      </c>
      <c r="C199" s="40">
        <v>50</v>
      </c>
      <c r="F199" s="40"/>
      <c r="G199" s="40"/>
      <c r="H199" s="40" t="s">
        <v>2349</v>
      </c>
      <c r="I199" s="40" t="s">
        <v>2350</v>
      </c>
      <c r="J199" s="40" t="s">
        <v>2351</v>
      </c>
      <c r="K199" s="40" t="s">
        <v>2352</v>
      </c>
      <c r="L199" s="190">
        <v>13874</v>
      </c>
      <c r="M199" s="190">
        <v>0</v>
      </c>
      <c r="N199" s="40" t="s">
        <v>2353</v>
      </c>
      <c r="O199" s="41" t="str">
        <f t="shared" si="6"/>
        <v>EBS1_13874_0</v>
      </c>
      <c r="P199" s="41" t="s">
        <v>2354</v>
      </c>
      <c r="R199" s="41">
        <v>198</v>
      </c>
      <c r="T199" s="41" t="str">
        <f t="shared" si="7"/>
        <v>1387400:Var_ui_ErrNo:=198;</v>
      </c>
    </row>
    <row r="200" spans="1:20">
      <c r="A200" s="190">
        <v>199</v>
      </c>
      <c r="B200" s="40">
        <v>55</v>
      </c>
      <c r="C200" s="40">
        <v>41</v>
      </c>
      <c r="F200" s="40"/>
      <c r="G200" s="40"/>
      <c r="H200" s="40" t="s">
        <v>2355</v>
      </c>
      <c r="I200" s="40" t="s">
        <v>2356</v>
      </c>
      <c r="J200" s="40" t="s">
        <v>2357</v>
      </c>
      <c r="K200" s="40" t="s">
        <v>2358</v>
      </c>
      <c r="L200" s="190">
        <v>14121</v>
      </c>
      <c r="M200" s="190">
        <v>0</v>
      </c>
      <c r="N200" s="40" t="s">
        <v>2359</v>
      </c>
      <c r="O200" s="41" t="str">
        <f t="shared" si="6"/>
        <v>EBS1_14121_0</v>
      </c>
      <c r="P200" s="41" t="s">
        <v>2360</v>
      </c>
      <c r="R200" s="41">
        <v>199</v>
      </c>
      <c r="T200" s="41" t="str">
        <f t="shared" si="7"/>
        <v>1412100:Var_ui_ErrNo:=199;</v>
      </c>
    </row>
    <row r="201" spans="1:20">
      <c r="A201" s="190">
        <v>200</v>
      </c>
      <c r="B201" s="40">
        <v>57</v>
      </c>
      <c r="C201" s="40">
        <v>22</v>
      </c>
      <c r="F201" s="40"/>
      <c r="G201" s="40"/>
      <c r="H201" s="40" t="s">
        <v>2361</v>
      </c>
      <c r="I201" s="40" t="s">
        <v>2362</v>
      </c>
      <c r="J201" s="40" t="s">
        <v>2363</v>
      </c>
      <c r="K201" s="40" t="s">
        <v>2364</v>
      </c>
      <c r="L201" s="190">
        <v>14614</v>
      </c>
      <c r="M201" s="190">
        <v>0</v>
      </c>
      <c r="N201" s="40" t="s">
        <v>2365</v>
      </c>
      <c r="O201" s="41" t="str">
        <f t="shared" si="6"/>
        <v>EBS1_14614_0</v>
      </c>
      <c r="P201" s="41" t="s">
        <v>2366</v>
      </c>
      <c r="R201" s="41">
        <v>200</v>
      </c>
      <c r="T201" s="41" t="str">
        <f t="shared" si="7"/>
        <v>1461400:Var_ui_ErrNo:=200;</v>
      </c>
    </row>
    <row r="202" spans="1:20">
      <c r="A202" s="190">
        <v>201</v>
      </c>
      <c r="B202" s="40">
        <v>58</v>
      </c>
      <c r="C202" s="40">
        <v>14</v>
      </c>
      <c r="F202" s="40"/>
      <c r="G202" s="40"/>
      <c r="H202" s="40" t="s">
        <v>2223</v>
      </c>
      <c r="I202" s="40" t="s">
        <v>2367</v>
      </c>
      <c r="J202" s="40" t="s">
        <v>2368</v>
      </c>
      <c r="K202" s="40" t="s">
        <v>2369</v>
      </c>
      <c r="L202" s="190">
        <v>14862</v>
      </c>
      <c r="M202" s="190">
        <v>0</v>
      </c>
      <c r="N202" s="40" t="s">
        <v>2370</v>
      </c>
      <c r="O202" s="41" t="str">
        <f t="shared" si="6"/>
        <v>EBS1_14862_0</v>
      </c>
      <c r="P202" s="41" t="s">
        <v>2371</v>
      </c>
      <c r="R202" s="41">
        <v>201</v>
      </c>
      <c r="T202" s="41" t="str">
        <f t="shared" si="7"/>
        <v>1486200:Var_ui_ErrNo:=201;</v>
      </c>
    </row>
    <row r="203" spans="1:20">
      <c r="A203" s="190">
        <v>202</v>
      </c>
      <c r="B203" s="40">
        <v>58</v>
      </c>
      <c r="C203" s="40">
        <v>204</v>
      </c>
      <c r="F203" s="40"/>
      <c r="G203" s="40"/>
      <c r="H203" s="40" t="s">
        <v>2372</v>
      </c>
      <c r="I203" s="40" t="s">
        <v>2373</v>
      </c>
      <c r="J203" s="40" t="s">
        <v>2374</v>
      </c>
      <c r="K203" s="40" t="s">
        <v>2375</v>
      </c>
      <c r="L203" s="190">
        <v>15052</v>
      </c>
      <c r="M203" s="190">
        <v>0</v>
      </c>
      <c r="N203" s="40" t="s">
        <v>2288</v>
      </c>
      <c r="O203" s="41" t="str">
        <f t="shared" si="6"/>
        <v>EBS1_15052_0</v>
      </c>
      <c r="P203" s="41" t="s">
        <v>2376</v>
      </c>
      <c r="R203" s="41">
        <v>202</v>
      </c>
      <c r="T203" s="41" t="str">
        <f t="shared" si="7"/>
        <v>1505200:Var_ui_ErrNo:=202;</v>
      </c>
    </row>
    <row r="204" spans="1:20">
      <c r="A204" s="190">
        <v>203</v>
      </c>
      <c r="B204" s="40">
        <v>59</v>
      </c>
      <c r="C204" s="40">
        <v>204</v>
      </c>
      <c r="F204" s="40"/>
      <c r="G204" s="40"/>
      <c r="H204" s="40" t="s">
        <v>2372</v>
      </c>
      <c r="I204" s="40" t="s">
        <v>2373</v>
      </c>
      <c r="J204" s="40" t="s">
        <v>2377</v>
      </c>
      <c r="K204" s="40" t="s">
        <v>2378</v>
      </c>
      <c r="L204" s="190">
        <v>15308</v>
      </c>
      <c r="M204" s="190">
        <v>0</v>
      </c>
      <c r="N204" s="40" t="s">
        <v>2288</v>
      </c>
      <c r="O204" s="41" t="str">
        <f t="shared" si="6"/>
        <v>EBS1_15308_0</v>
      </c>
      <c r="P204" s="41" t="s">
        <v>2379</v>
      </c>
      <c r="R204" s="41">
        <v>203</v>
      </c>
      <c r="T204" s="41" t="str">
        <f t="shared" si="7"/>
        <v>1530800:Var_ui_ErrNo:=203;</v>
      </c>
    </row>
    <row r="205" spans="1:20">
      <c r="A205" s="190">
        <v>204</v>
      </c>
      <c r="B205" s="40">
        <v>60</v>
      </c>
      <c r="C205" s="40">
        <v>8</v>
      </c>
      <c r="F205" s="40"/>
      <c r="G205" s="40"/>
      <c r="H205" s="40" t="s">
        <v>2380</v>
      </c>
      <c r="I205" s="40" t="s">
        <v>2381</v>
      </c>
      <c r="J205" s="40" t="s">
        <v>2382</v>
      </c>
      <c r="K205" s="40" t="s">
        <v>2383</v>
      </c>
      <c r="L205" s="190">
        <v>15368</v>
      </c>
      <c r="M205" s="190">
        <v>0</v>
      </c>
      <c r="N205" s="40" t="s">
        <v>2384</v>
      </c>
      <c r="O205" s="41" t="str">
        <f t="shared" si="6"/>
        <v>EBS1_15368_0</v>
      </c>
      <c r="P205" s="41" t="s">
        <v>2385</v>
      </c>
      <c r="R205" s="41">
        <v>204</v>
      </c>
      <c r="T205" s="41" t="str">
        <f t="shared" si="7"/>
        <v>1536800:Var_ui_ErrNo:=204;</v>
      </c>
    </row>
    <row r="206" spans="1:20">
      <c r="A206" s="190">
        <v>205</v>
      </c>
      <c r="B206" s="40">
        <v>60</v>
      </c>
      <c r="C206" s="40">
        <v>26</v>
      </c>
      <c r="F206" s="40"/>
      <c r="G206" s="40"/>
      <c r="H206" s="40" t="s">
        <v>2386</v>
      </c>
      <c r="I206" s="40" t="s">
        <v>2387</v>
      </c>
      <c r="J206" s="40" t="s">
        <v>2388</v>
      </c>
      <c r="K206" s="40" t="s">
        <v>2389</v>
      </c>
      <c r="L206" s="190">
        <v>15386</v>
      </c>
      <c r="M206" s="190">
        <v>0</v>
      </c>
      <c r="N206" s="40" t="s">
        <v>2390</v>
      </c>
      <c r="O206" s="41" t="str">
        <f t="shared" si="6"/>
        <v>EBS1_15386_0</v>
      </c>
      <c r="P206" s="41" t="s">
        <v>2391</v>
      </c>
      <c r="R206" s="41">
        <v>205</v>
      </c>
      <c r="T206" s="41" t="str">
        <f t="shared" si="7"/>
        <v>1538600:Var_ui_ErrNo:=205;</v>
      </c>
    </row>
    <row r="207" spans="1:20">
      <c r="A207" s="190">
        <v>206</v>
      </c>
      <c r="B207" s="40">
        <v>60</v>
      </c>
      <c r="C207" s="40">
        <v>35</v>
      </c>
      <c r="F207" s="40"/>
      <c r="G207" s="40"/>
      <c r="H207" s="40" t="s">
        <v>2392</v>
      </c>
      <c r="I207" s="40" t="s">
        <v>2393</v>
      </c>
      <c r="J207" s="40" t="s">
        <v>2394</v>
      </c>
      <c r="K207" s="40" t="s">
        <v>2395</v>
      </c>
      <c r="L207" s="190">
        <v>15395</v>
      </c>
      <c r="M207" s="190">
        <v>0</v>
      </c>
      <c r="N207" s="40" t="s">
        <v>2396</v>
      </c>
      <c r="O207" s="41" t="str">
        <f t="shared" si="6"/>
        <v>EBS1_15395_0</v>
      </c>
      <c r="P207" s="41" t="s">
        <v>2397</v>
      </c>
      <c r="R207" s="41">
        <v>206</v>
      </c>
      <c r="T207" s="41" t="str">
        <f t="shared" si="7"/>
        <v>1539500:Var_ui_ErrNo:=206;</v>
      </c>
    </row>
    <row r="208" spans="1:20">
      <c r="A208" s="190">
        <v>207</v>
      </c>
      <c r="B208" s="40">
        <v>60</v>
      </c>
      <c r="C208" s="40">
        <v>50</v>
      </c>
      <c r="F208" s="40"/>
      <c r="G208" s="40"/>
      <c r="H208" s="40" t="s">
        <v>2398</v>
      </c>
      <c r="I208" s="40" t="s">
        <v>2399</v>
      </c>
      <c r="J208" s="40" t="s">
        <v>2400</v>
      </c>
      <c r="K208" s="40" t="s">
        <v>2401</v>
      </c>
      <c r="L208" s="190">
        <v>15410</v>
      </c>
      <c r="M208" s="190">
        <v>0</v>
      </c>
      <c r="N208" s="40" t="s">
        <v>2402</v>
      </c>
      <c r="O208" s="41" t="str">
        <f t="shared" si="6"/>
        <v>EBS1_15410_0</v>
      </c>
      <c r="P208" s="41" t="s">
        <v>2403</v>
      </c>
      <c r="R208" s="41">
        <v>207</v>
      </c>
      <c r="T208" s="41" t="str">
        <f t="shared" si="7"/>
        <v>1541000:Var_ui_ErrNo:=207;</v>
      </c>
    </row>
    <row r="209" spans="1:20">
      <c r="A209" s="190">
        <v>208</v>
      </c>
      <c r="B209" s="40">
        <v>61</v>
      </c>
      <c r="C209" s="40">
        <v>22</v>
      </c>
      <c r="F209" s="40"/>
      <c r="G209" s="40"/>
      <c r="H209" s="40" t="s">
        <v>2404</v>
      </c>
      <c r="I209" s="40" t="s">
        <v>2399</v>
      </c>
      <c r="J209" s="40" t="s">
        <v>2405</v>
      </c>
      <c r="K209" s="40" t="s">
        <v>2406</v>
      </c>
      <c r="L209" s="190">
        <v>15638</v>
      </c>
      <c r="M209" s="190">
        <v>0</v>
      </c>
      <c r="N209" s="40" t="s">
        <v>2407</v>
      </c>
      <c r="O209" s="41" t="str">
        <f t="shared" si="6"/>
        <v>EBS1_15638_0</v>
      </c>
      <c r="P209" s="41" t="s">
        <v>2408</v>
      </c>
      <c r="R209" s="41">
        <v>208</v>
      </c>
      <c r="T209" s="41" t="str">
        <f t="shared" si="7"/>
        <v>1563800:Var_ui_ErrNo:=208;</v>
      </c>
    </row>
    <row r="210" spans="1:20">
      <c r="A210" s="190">
        <v>209</v>
      </c>
      <c r="B210" s="40">
        <v>61</v>
      </c>
      <c r="C210" s="40">
        <v>23</v>
      </c>
      <c r="F210" s="40"/>
      <c r="G210" s="40"/>
      <c r="H210" s="40" t="s">
        <v>2409</v>
      </c>
      <c r="I210" s="40" t="s">
        <v>2393</v>
      </c>
      <c r="J210" s="40" t="s">
        <v>2410</v>
      </c>
      <c r="K210" s="40" t="s">
        <v>2411</v>
      </c>
      <c r="L210" s="190">
        <v>15639</v>
      </c>
      <c r="M210" s="190">
        <v>0</v>
      </c>
      <c r="N210" s="40" t="s">
        <v>2412</v>
      </c>
      <c r="O210" s="41" t="str">
        <f t="shared" si="6"/>
        <v>EBS1_15639_0</v>
      </c>
      <c r="P210" s="41" t="s">
        <v>2413</v>
      </c>
      <c r="R210" s="41">
        <v>209</v>
      </c>
      <c r="T210" s="41" t="str">
        <f t="shared" si="7"/>
        <v>1563900:Var_ui_ErrNo:=209;</v>
      </c>
    </row>
    <row r="211" spans="1:20">
      <c r="A211" s="190">
        <v>210</v>
      </c>
      <c r="B211" s="40">
        <v>62</v>
      </c>
      <c r="C211" s="40">
        <v>22</v>
      </c>
      <c r="F211" s="40"/>
      <c r="G211" s="40"/>
      <c r="H211" s="40" t="s">
        <v>2414</v>
      </c>
      <c r="I211" s="40" t="s">
        <v>2393</v>
      </c>
      <c r="J211" s="40" t="s">
        <v>2415</v>
      </c>
      <c r="K211" s="40" t="s">
        <v>2416</v>
      </c>
      <c r="L211" s="190">
        <v>15894</v>
      </c>
      <c r="M211" s="190">
        <v>0</v>
      </c>
      <c r="N211" s="40" t="s">
        <v>2417</v>
      </c>
      <c r="O211" s="41" t="str">
        <f t="shared" si="6"/>
        <v>EBS1_15894_0</v>
      </c>
      <c r="P211" s="41" t="s">
        <v>2418</v>
      </c>
      <c r="R211" s="41">
        <v>210</v>
      </c>
      <c r="T211" s="41" t="str">
        <f t="shared" si="7"/>
        <v>1589400:Var_ui_ErrNo:=210;</v>
      </c>
    </row>
    <row r="212" spans="1:20">
      <c r="A212" s="190">
        <v>211</v>
      </c>
      <c r="B212" s="40">
        <v>62</v>
      </c>
      <c r="C212" s="40">
        <v>23</v>
      </c>
      <c r="F212" s="40"/>
      <c r="G212" s="40"/>
      <c r="H212" s="40" t="s">
        <v>2419</v>
      </c>
      <c r="I212" s="40" t="s">
        <v>2393</v>
      </c>
      <c r="J212" s="40" t="s">
        <v>2420</v>
      </c>
      <c r="K212" s="40" t="s">
        <v>2421</v>
      </c>
      <c r="L212" s="190">
        <v>15895</v>
      </c>
      <c r="M212" s="190">
        <v>0</v>
      </c>
      <c r="N212" s="40" t="s">
        <v>2422</v>
      </c>
      <c r="O212" s="41" t="str">
        <f t="shared" si="6"/>
        <v>EBS1_15895_0</v>
      </c>
      <c r="P212" s="41" t="s">
        <v>2423</v>
      </c>
      <c r="R212" s="41">
        <v>211</v>
      </c>
      <c r="T212" s="41" t="str">
        <f t="shared" si="7"/>
        <v>1589500:Var_ui_ErrNo:=211;</v>
      </c>
    </row>
    <row r="213" spans="1:20">
      <c r="A213" s="190">
        <v>212</v>
      </c>
      <c r="B213" s="40">
        <v>63</v>
      </c>
      <c r="C213" s="40">
        <v>32</v>
      </c>
      <c r="F213" s="40"/>
      <c r="G213" s="40"/>
      <c r="H213" s="40" t="s">
        <v>2424</v>
      </c>
      <c r="I213" s="40" t="s">
        <v>2393</v>
      </c>
      <c r="J213" s="40" t="s">
        <v>2425</v>
      </c>
      <c r="K213" s="40" t="s">
        <v>2426</v>
      </c>
      <c r="L213" s="190">
        <v>16160</v>
      </c>
      <c r="M213" s="190">
        <v>0</v>
      </c>
      <c r="N213" s="40" t="s">
        <v>2427</v>
      </c>
      <c r="O213" s="41" t="str">
        <f t="shared" si="6"/>
        <v>EBS1_16160_0</v>
      </c>
      <c r="P213" s="41" t="s">
        <v>2428</v>
      </c>
      <c r="R213" s="41">
        <v>212</v>
      </c>
      <c r="T213" s="41" t="str">
        <f t="shared" si="7"/>
        <v>1616000:Var_ui_ErrNo:=212;</v>
      </c>
    </row>
    <row r="214" spans="1:20">
      <c r="A214" s="190">
        <v>213</v>
      </c>
      <c r="B214" s="40">
        <v>63</v>
      </c>
      <c r="C214" s="40">
        <v>33</v>
      </c>
      <c r="F214" s="40"/>
      <c r="G214" s="40"/>
      <c r="H214" s="40" t="s">
        <v>2429</v>
      </c>
      <c r="I214" s="40" t="s">
        <v>2393</v>
      </c>
      <c r="J214" s="40" t="s">
        <v>2430</v>
      </c>
      <c r="K214" s="40" t="s">
        <v>2431</v>
      </c>
      <c r="L214" s="190">
        <v>16161</v>
      </c>
      <c r="M214" s="190">
        <v>0</v>
      </c>
      <c r="N214" s="40" t="s">
        <v>2432</v>
      </c>
      <c r="O214" s="41" t="str">
        <f t="shared" si="6"/>
        <v>EBS1_16161_0</v>
      </c>
      <c r="P214" s="41" t="s">
        <v>2433</v>
      </c>
      <c r="R214" s="41">
        <v>213</v>
      </c>
      <c r="T214" s="41" t="str">
        <f t="shared" si="7"/>
        <v>1616100:Var_ui_ErrNo:=213;</v>
      </c>
    </row>
    <row r="215" spans="1:20">
      <c r="A215" s="190">
        <v>214</v>
      </c>
      <c r="B215" s="40">
        <v>63</v>
      </c>
      <c r="C215" s="40">
        <v>42</v>
      </c>
      <c r="F215" s="40"/>
      <c r="G215" s="40"/>
      <c r="H215" s="40" t="s">
        <v>2434</v>
      </c>
      <c r="I215" s="40" t="s">
        <v>2435</v>
      </c>
      <c r="J215" s="40" t="s">
        <v>2436</v>
      </c>
      <c r="K215" s="40" t="s">
        <v>2437</v>
      </c>
      <c r="L215" s="190">
        <v>16170</v>
      </c>
      <c r="M215" s="190">
        <v>0</v>
      </c>
      <c r="N215" s="40" t="s">
        <v>2438</v>
      </c>
      <c r="O215" s="41" t="str">
        <f t="shared" si="6"/>
        <v>EBS1_16170_0</v>
      </c>
      <c r="P215" s="41" t="s">
        <v>2439</v>
      </c>
      <c r="R215" s="41">
        <v>214</v>
      </c>
      <c r="T215" s="41" t="str">
        <f t="shared" si="7"/>
        <v>1617000:Var_ui_ErrNo:=214;</v>
      </c>
    </row>
    <row r="216" spans="1:20">
      <c r="A216" s="190">
        <v>215</v>
      </c>
      <c r="B216" s="40">
        <v>65</v>
      </c>
      <c r="C216" s="40">
        <v>20</v>
      </c>
      <c r="F216" s="40"/>
      <c r="G216" s="40"/>
      <c r="H216" s="40" t="s">
        <v>2440</v>
      </c>
      <c r="I216" s="40" t="s">
        <v>2393</v>
      </c>
      <c r="J216" s="40" t="s">
        <v>2441</v>
      </c>
      <c r="K216" s="40" t="s">
        <v>2442</v>
      </c>
      <c r="L216" s="190">
        <v>16660</v>
      </c>
      <c r="M216" s="190">
        <v>0</v>
      </c>
      <c r="N216" s="40" t="s">
        <v>2443</v>
      </c>
      <c r="O216" s="41" t="str">
        <f t="shared" si="6"/>
        <v>EBS1_16660_0</v>
      </c>
      <c r="P216" s="41" t="s">
        <v>2444</v>
      </c>
      <c r="R216" s="41">
        <v>215</v>
      </c>
      <c r="T216" s="41" t="str">
        <f t="shared" si="7"/>
        <v>1666000:Var_ui_ErrNo:=215;</v>
      </c>
    </row>
    <row r="217" spans="1:20">
      <c r="A217" s="190">
        <v>216</v>
      </c>
      <c r="B217" s="40">
        <v>65</v>
      </c>
      <c r="C217" s="40">
        <v>21</v>
      </c>
      <c r="F217" s="40"/>
      <c r="G217" s="40"/>
      <c r="H217" s="40" t="s">
        <v>2445</v>
      </c>
      <c r="I217" s="40" t="s">
        <v>2393</v>
      </c>
      <c r="J217" s="40" t="s">
        <v>2446</v>
      </c>
      <c r="K217" s="40" t="s">
        <v>2447</v>
      </c>
      <c r="L217" s="190">
        <v>16661</v>
      </c>
      <c r="M217" s="190">
        <v>0</v>
      </c>
      <c r="N217" s="40" t="s">
        <v>2448</v>
      </c>
      <c r="O217" s="41" t="str">
        <f t="shared" si="6"/>
        <v>EBS1_16661_0</v>
      </c>
      <c r="P217" s="41" t="s">
        <v>2449</v>
      </c>
      <c r="R217" s="41">
        <v>216</v>
      </c>
      <c r="T217" s="41" t="str">
        <f t="shared" si="7"/>
        <v>1666100:Var_ui_ErrNo:=216;</v>
      </c>
    </row>
    <row r="218" spans="1:20">
      <c r="A218" s="190">
        <v>217</v>
      </c>
      <c r="B218" s="40">
        <v>67</v>
      </c>
      <c r="C218" s="40">
        <v>1</v>
      </c>
      <c r="F218" s="40"/>
      <c r="G218" s="40"/>
      <c r="H218" s="40" t="s">
        <v>1647</v>
      </c>
      <c r="I218" s="40" t="s">
        <v>2450</v>
      </c>
      <c r="J218" s="40" t="s">
        <v>2451</v>
      </c>
      <c r="K218" s="40" t="s">
        <v>2452</v>
      </c>
      <c r="L218" s="190">
        <v>17153</v>
      </c>
      <c r="M218" s="190">
        <v>0</v>
      </c>
      <c r="N218" s="40" t="s">
        <v>1651</v>
      </c>
      <c r="O218" s="41" t="str">
        <f t="shared" si="6"/>
        <v>EBS1_17153_0</v>
      </c>
      <c r="P218" s="41" t="s">
        <v>2453</v>
      </c>
      <c r="R218" s="41">
        <v>217</v>
      </c>
      <c r="T218" s="41" t="str">
        <f t="shared" si="7"/>
        <v>1715300:Var_ui_ErrNo:=217;</v>
      </c>
    </row>
    <row r="219" spans="1:20">
      <c r="A219" s="190">
        <v>218</v>
      </c>
      <c r="B219" s="40">
        <v>70</v>
      </c>
      <c r="C219" s="40">
        <v>1</v>
      </c>
      <c r="F219" s="40"/>
      <c r="G219" s="40"/>
      <c r="H219" s="40" t="s">
        <v>2454</v>
      </c>
      <c r="I219" s="40" t="s">
        <v>2455</v>
      </c>
      <c r="J219" s="40" t="s">
        <v>2456</v>
      </c>
      <c r="K219" s="40" t="s">
        <v>2457</v>
      </c>
      <c r="L219" s="190">
        <v>17921</v>
      </c>
      <c r="M219" s="190">
        <v>0</v>
      </c>
      <c r="N219" s="40" t="s">
        <v>2458</v>
      </c>
      <c r="O219" s="41" t="str">
        <f t="shared" si="6"/>
        <v>EBS1_17921_0</v>
      </c>
      <c r="P219" s="41" t="s">
        <v>2459</v>
      </c>
      <c r="R219" s="41">
        <v>218</v>
      </c>
      <c r="T219" s="41" t="str">
        <f t="shared" si="7"/>
        <v>1792100:Var_ui_ErrNo:=218;</v>
      </c>
    </row>
    <row r="220" spans="1:20">
      <c r="A220" s="190">
        <v>219</v>
      </c>
      <c r="B220" s="40">
        <v>70</v>
      </c>
      <c r="C220" s="40">
        <v>51</v>
      </c>
      <c r="F220" s="40"/>
      <c r="G220" s="40"/>
      <c r="H220" s="40" t="s">
        <v>2460</v>
      </c>
      <c r="I220" s="40" t="s">
        <v>2461</v>
      </c>
      <c r="J220" s="40" t="s">
        <v>2462</v>
      </c>
      <c r="K220" s="40" t="s">
        <v>2463</v>
      </c>
      <c r="L220" s="190">
        <v>17971</v>
      </c>
      <c r="M220" s="190">
        <v>0</v>
      </c>
      <c r="N220" s="40" t="s">
        <v>2464</v>
      </c>
      <c r="O220" s="41" t="str">
        <f t="shared" si="6"/>
        <v>EBS1_17971_0</v>
      </c>
      <c r="P220" s="41" t="s">
        <v>2465</v>
      </c>
      <c r="R220" s="41">
        <v>219</v>
      </c>
      <c r="T220" s="41" t="str">
        <f t="shared" si="7"/>
        <v>1797100:Var_ui_ErrNo:=219;</v>
      </c>
    </row>
    <row r="221" spans="1:20">
      <c r="A221" s="190">
        <v>220</v>
      </c>
      <c r="B221" s="40">
        <v>70</v>
      </c>
      <c r="C221" s="40">
        <v>52</v>
      </c>
      <c r="F221" s="40"/>
      <c r="G221" s="40"/>
      <c r="H221" s="40" t="s">
        <v>2466</v>
      </c>
      <c r="I221" s="40" t="s">
        <v>2117</v>
      </c>
      <c r="J221" s="40" t="s">
        <v>2467</v>
      </c>
      <c r="K221" s="40" t="s">
        <v>2468</v>
      </c>
      <c r="L221" s="190">
        <v>17972</v>
      </c>
      <c r="M221" s="190">
        <v>0</v>
      </c>
      <c r="N221" s="40" t="s">
        <v>2469</v>
      </c>
      <c r="O221" s="41" t="str">
        <f t="shared" si="6"/>
        <v>EBS1_17972_0</v>
      </c>
      <c r="P221" s="41" t="s">
        <v>2470</v>
      </c>
      <c r="R221" s="41">
        <v>220</v>
      </c>
      <c r="T221" s="41" t="str">
        <f t="shared" si="7"/>
        <v>1797200:Var_ui_ErrNo:=220;</v>
      </c>
    </row>
    <row r="222" spans="1:20">
      <c r="A222" s="190">
        <v>221</v>
      </c>
      <c r="B222" s="40">
        <v>71</v>
      </c>
      <c r="C222" s="40">
        <v>1</v>
      </c>
      <c r="F222" s="40"/>
      <c r="G222" s="40"/>
      <c r="H222" s="40" t="s">
        <v>2471</v>
      </c>
      <c r="I222" s="40" t="s">
        <v>2472</v>
      </c>
      <c r="J222" s="40" t="s">
        <v>2473</v>
      </c>
      <c r="K222" s="40" t="s">
        <v>2474</v>
      </c>
      <c r="L222" s="190">
        <v>18177</v>
      </c>
      <c r="M222" s="190">
        <v>0</v>
      </c>
      <c r="N222" s="40" t="s">
        <v>2475</v>
      </c>
      <c r="O222" s="41" t="str">
        <f t="shared" si="6"/>
        <v>EBS1_18177_0</v>
      </c>
      <c r="P222" s="41" t="s">
        <v>2476</v>
      </c>
      <c r="R222" s="41">
        <v>221</v>
      </c>
      <c r="T222" s="41" t="str">
        <f t="shared" si="7"/>
        <v>1817700:Var_ui_ErrNo:=221;</v>
      </c>
    </row>
    <row r="223" spans="1:20">
      <c r="A223" s="190">
        <v>222</v>
      </c>
      <c r="B223" s="40">
        <v>71</v>
      </c>
      <c r="C223" s="40">
        <v>11</v>
      </c>
      <c r="F223" s="40"/>
      <c r="G223" s="40"/>
      <c r="H223" s="40" t="s">
        <v>2477</v>
      </c>
      <c r="I223" s="40" t="s">
        <v>2478</v>
      </c>
      <c r="J223" s="40" t="s">
        <v>2479</v>
      </c>
      <c r="K223" s="40" t="s">
        <v>2480</v>
      </c>
      <c r="L223" s="190">
        <v>18187</v>
      </c>
      <c r="M223" s="190">
        <v>0</v>
      </c>
      <c r="N223" s="40" t="s">
        <v>2481</v>
      </c>
      <c r="O223" s="41" t="str">
        <f t="shared" si="6"/>
        <v>EBS1_18187_0</v>
      </c>
      <c r="P223" s="41" t="s">
        <v>2482</v>
      </c>
      <c r="R223" s="41">
        <v>222</v>
      </c>
      <c r="T223" s="41" t="str">
        <f t="shared" si="7"/>
        <v>1818700:Var_ui_ErrNo:=222;</v>
      </c>
    </row>
    <row r="224" spans="1:20">
      <c r="A224" s="190">
        <v>223</v>
      </c>
      <c r="B224" s="40">
        <v>71</v>
      </c>
      <c r="C224" s="40">
        <v>252</v>
      </c>
      <c r="F224" s="40"/>
      <c r="G224" s="40"/>
      <c r="H224" s="40" t="s">
        <v>2483</v>
      </c>
      <c r="I224" s="40" t="s">
        <v>2484</v>
      </c>
      <c r="J224" s="40" t="s">
        <v>2485</v>
      </c>
      <c r="K224" s="40" t="s">
        <v>2486</v>
      </c>
      <c r="L224" s="190">
        <v>18428</v>
      </c>
      <c r="M224" s="190">
        <v>0</v>
      </c>
      <c r="N224" s="40" t="s">
        <v>2487</v>
      </c>
      <c r="O224" s="41" t="str">
        <f t="shared" si="6"/>
        <v>EBS1_18428_0</v>
      </c>
      <c r="P224" s="41" t="s">
        <v>2488</v>
      </c>
      <c r="R224" s="41">
        <v>223</v>
      </c>
      <c r="T224" s="41" t="str">
        <f t="shared" si="7"/>
        <v>1842800:Var_ui_ErrNo:=223;</v>
      </c>
    </row>
    <row r="225" spans="1:20">
      <c r="A225" s="190">
        <v>224</v>
      </c>
      <c r="B225" s="40">
        <v>72</v>
      </c>
      <c r="C225" s="40">
        <v>0</v>
      </c>
      <c r="F225" s="40"/>
      <c r="G225" s="40"/>
      <c r="H225" s="40" t="s">
        <v>2489</v>
      </c>
      <c r="I225" s="40" t="s">
        <v>2490</v>
      </c>
      <c r="J225" s="40" t="s">
        <v>2491</v>
      </c>
      <c r="K225" s="40" t="s">
        <v>2492</v>
      </c>
      <c r="L225" s="190">
        <v>18432</v>
      </c>
      <c r="M225" s="190">
        <v>0</v>
      </c>
      <c r="N225" s="40" t="s">
        <v>2493</v>
      </c>
      <c r="O225" s="41" t="str">
        <f t="shared" si="6"/>
        <v>EBS1_18432_0</v>
      </c>
      <c r="P225" s="41" t="s">
        <v>2494</v>
      </c>
      <c r="R225" s="41">
        <v>224</v>
      </c>
      <c r="T225" s="41" t="str">
        <f t="shared" si="7"/>
        <v>1843200:Var_ui_ErrNo:=224;</v>
      </c>
    </row>
    <row r="226" spans="1:20">
      <c r="A226" s="190">
        <v>225</v>
      </c>
      <c r="B226" s="40">
        <v>72</v>
      </c>
      <c r="C226" s="40">
        <v>156</v>
      </c>
      <c r="F226" s="40"/>
      <c r="G226" s="40"/>
      <c r="H226" s="40" t="s">
        <v>2495</v>
      </c>
      <c r="I226" s="40" t="s">
        <v>2496</v>
      </c>
      <c r="J226" s="40" t="s">
        <v>2497</v>
      </c>
      <c r="K226" s="40" t="s">
        <v>2498</v>
      </c>
      <c r="L226" s="190">
        <v>18588</v>
      </c>
      <c r="M226" s="190">
        <v>0</v>
      </c>
      <c r="N226" s="40" t="s">
        <v>2499</v>
      </c>
      <c r="O226" s="41" t="str">
        <f t="shared" si="6"/>
        <v>EBS1_18588_0</v>
      </c>
      <c r="P226" s="41" t="s">
        <v>2500</v>
      </c>
      <c r="R226" s="41">
        <v>225</v>
      </c>
      <c r="T226" s="41" t="str">
        <f t="shared" si="7"/>
        <v>1858800:Var_ui_ErrNo:=225;</v>
      </c>
    </row>
    <row r="227" spans="1:20">
      <c r="A227" s="190">
        <v>226</v>
      </c>
      <c r="B227" s="40">
        <v>72</v>
      </c>
      <c r="C227" s="40">
        <v>157</v>
      </c>
      <c r="F227" s="40"/>
      <c r="G227" s="40"/>
      <c r="H227" s="40" t="s">
        <v>2501</v>
      </c>
      <c r="I227" s="40" t="s">
        <v>2502</v>
      </c>
      <c r="J227" s="40" t="s">
        <v>2503</v>
      </c>
      <c r="K227" s="40" t="s">
        <v>2504</v>
      </c>
      <c r="L227" s="190">
        <v>18589</v>
      </c>
      <c r="M227" s="190">
        <v>0</v>
      </c>
      <c r="N227" s="40" t="s">
        <v>2505</v>
      </c>
      <c r="O227" s="41" t="str">
        <f t="shared" si="6"/>
        <v>EBS1_18589_0</v>
      </c>
      <c r="P227" s="41" t="s">
        <v>2506</v>
      </c>
      <c r="R227" s="41">
        <v>226</v>
      </c>
      <c r="T227" s="41" t="str">
        <f t="shared" si="7"/>
        <v>1858900:Var_ui_ErrNo:=226;</v>
      </c>
    </row>
    <row r="228" spans="1:20">
      <c r="A228" s="190">
        <v>227</v>
      </c>
      <c r="B228" s="40">
        <v>72</v>
      </c>
      <c r="C228" s="40">
        <v>160</v>
      </c>
      <c r="F228" s="40"/>
      <c r="G228" s="40"/>
      <c r="H228" s="40" t="s">
        <v>2501</v>
      </c>
      <c r="I228" s="40" t="s">
        <v>2502</v>
      </c>
      <c r="J228" s="40" t="s">
        <v>2507</v>
      </c>
      <c r="K228" s="40" t="s">
        <v>2508</v>
      </c>
      <c r="L228" s="190">
        <v>18592</v>
      </c>
      <c r="M228" s="190">
        <v>0</v>
      </c>
      <c r="N228" s="40" t="s">
        <v>2505</v>
      </c>
      <c r="O228" s="41" t="str">
        <f t="shared" si="6"/>
        <v>EBS1_18592_0</v>
      </c>
      <c r="P228" s="41" t="s">
        <v>2509</v>
      </c>
      <c r="R228" s="41">
        <v>227</v>
      </c>
      <c r="T228" s="41" t="str">
        <f t="shared" si="7"/>
        <v>1859200:Var_ui_ErrNo:=227;</v>
      </c>
    </row>
    <row r="229" spans="1:20">
      <c r="A229" s="190">
        <v>228</v>
      </c>
      <c r="B229" s="40">
        <v>73</v>
      </c>
      <c r="C229" s="40">
        <v>1</v>
      </c>
      <c r="F229" s="40"/>
      <c r="G229" s="40"/>
      <c r="H229" s="40" t="s">
        <v>2510</v>
      </c>
      <c r="I229" s="40" t="s">
        <v>2511</v>
      </c>
      <c r="J229" s="40" t="s">
        <v>2512</v>
      </c>
      <c r="K229" s="40" t="s">
        <v>2513</v>
      </c>
      <c r="L229" s="190">
        <v>18689</v>
      </c>
      <c r="M229" s="190">
        <v>0</v>
      </c>
      <c r="N229" s="40" t="s">
        <v>2514</v>
      </c>
      <c r="O229" s="41" t="str">
        <f t="shared" si="6"/>
        <v>EBS1_18689_0</v>
      </c>
      <c r="P229" s="41" t="s">
        <v>2515</v>
      </c>
      <c r="R229" s="41">
        <v>228</v>
      </c>
      <c r="T229" s="41" t="str">
        <f t="shared" si="7"/>
        <v>1868900:Var_ui_ErrNo:=228;</v>
      </c>
    </row>
    <row r="230" spans="1:20">
      <c r="A230" s="190">
        <v>229</v>
      </c>
      <c r="B230" s="40">
        <v>73</v>
      </c>
      <c r="C230" s="40">
        <v>50</v>
      </c>
      <c r="F230" s="40"/>
      <c r="G230" s="40"/>
      <c r="H230" s="40" t="s">
        <v>2516</v>
      </c>
      <c r="I230" s="40" t="s">
        <v>1505</v>
      </c>
      <c r="J230" s="40" t="s">
        <v>2517</v>
      </c>
      <c r="K230" s="40" t="s">
        <v>2518</v>
      </c>
      <c r="L230" s="190">
        <v>18738</v>
      </c>
      <c r="M230" s="190">
        <v>0</v>
      </c>
      <c r="N230" s="40" t="s">
        <v>2519</v>
      </c>
      <c r="O230" s="41" t="str">
        <f t="shared" si="6"/>
        <v>EBS1_18738_0</v>
      </c>
      <c r="P230" s="41" t="s">
        <v>2520</v>
      </c>
      <c r="R230" s="41">
        <v>229</v>
      </c>
      <c r="T230" s="41" t="str">
        <f t="shared" si="7"/>
        <v>1873800:Var_ui_ErrNo:=229;</v>
      </c>
    </row>
    <row r="231" spans="1:20">
      <c r="A231" s="190">
        <v>230</v>
      </c>
      <c r="B231" s="40">
        <v>73</v>
      </c>
      <c r="C231" s="40">
        <v>178</v>
      </c>
      <c r="F231" s="40"/>
      <c r="G231" s="40"/>
      <c r="H231" s="40" t="s">
        <v>2521</v>
      </c>
      <c r="I231" s="40" t="s">
        <v>2522</v>
      </c>
      <c r="J231" s="40" t="s">
        <v>2523</v>
      </c>
      <c r="K231" s="40" t="s">
        <v>2524</v>
      </c>
      <c r="L231" s="190">
        <v>18866</v>
      </c>
      <c r="M231" s="190">
        <v>0</v>
      </c>
      <c r="N231" s="40" t="s">
        <v>2525</v>
      </c>
      <c r="O231" s="41" t="str">
        <f t="shared" si="6"/>
        <v>EBS1_18866_0</v>
      </c>
      <c r="P231" s="41" t="s">
        <v>2526</v>
      </c>
      <c r="R231" s="41">
        <v>230</v>
      </c>
      <c r="T231" s="41" t="str">
        <f t="shared" si="7"/>
        <v>1886600:Var_ui_ErrNo:=230;</v>
      </c>
    </row>
    <row r="232" spans="1:20">
      <c r="A232" s="190">
        <v>231</v>
      </c>
      <c r="B232" s="40">
        <v>73</v>
      </c>
      <c r="C232" s="40">
        <v>235</v>
      </c>
      <c r="F232" s="40"/>
      <c r="G232" s="40"/>
      <c r="H232" s="40" t="s">
        <v>2527</v>
      </c>
      <c r="I232" s="40" t="s">
        <v>2528</v>
      </c>
      <c r="J232" s="40" t="s">
        <v>2529</v>
      </c>
      <c r="K232" s="40" t="s">
        <v>2530</v>
      </c>
      <c r="L232" s="190">
        <v>18923</v>
      </c>
      <c r="M232" s="190">
        <v>0</v>
      </c>
      <c r="N232" s="40" t="s">
        <v>2531</v>
      </c>
      <c r="O232" s="41" t="str">
        <f t="shared" si="6"/>
        <v>EBS1_18923_0</v>
      </c>
      <c r="P232" s="41" t="s">
        <v>2532</v>
      </c>
      <c r="R232" s="41">
        <v>231</v>
      </c>
      <c r="T232" s="41" t="str">
        <f t="shared" si="7"/>
        <v>1892300:Var_ui_ErrNo:=231;</v>
      </c>
    </row>
    <row r="233" spans="1:20">
      <c r="A233" s="190">
        <v>232</v>
      </c>
      <c r="B233" s="40">
        <v>73</v>
      </c>
      <c r="C233" s="40">
        <v>238</v>
      </c>
      <c r="F233" s="40"/>
      <c r="G233" s="40"/>
      <c r="H233" s="40" t="s">
        <v>2533</v>
      </c>
      <c r="I233" s="40" t="s">
        <v>2534</v>
      </c>
      <c r="J233" s="40" t="s">
        <v>2535</v>
      </c>
      <c r="K233" s="40" t="s">
        <v>2536</v>
      </c>
      <c r="L233" s="190">
        <v>18926</v>
      </c>
      <c r="M233" s="190">
        <v>0</v>
      </c>
      <c r="N233" s="40" t="s">
        <v>2537</v>
      </c>
      <c r="O233" s="41" t="str">
        <f t="shared" si="6"/>
        <v>EBS1_18926_0</v>
      </c>
      <c r="P233" s="41" t="s">
        <v>2538</v>
      </c>
      <c r="R233" s="41">
        <v>232</v>
      </c>
      <c r="T233" s="41" t="str">
        <f t="shared" si="7"/>
        <v>1892600:Var_ui_ErrNo:=232;</v>
      </c>
    </row>
    <row r="234" spans="1:20">
      <c r="A234" s="190">
        <v>233</v>
      </c>
      <c r="B234" s="40">
        <v>73</v>
      </c>
      <c r="C234" s="40">
        <v>240</v>
      </c>
      <c r="F234" s="40"/>
      <c r="G234" s="40"/>
      <c r="H234" s="40" t="s">
        <v>2539</v>
      </c>
      <c r="I234" s="40" t="s">
        <v>2540</v>
      </c>
      <c r="J234" s="40" t="s">
        <v>2541</v>
      </c>
      <c r="K234" s="40" t="s">
        <v>2542</v>
      </c>
      <c r="L234" s="190">
        <v>18928</v>
      </c>
      <c r="M234" s="190">
        <v>0</v>
      </c>
      <c r="N234" s="40" t="s">
        <v>2543</v>
      </c>
      <c r="O234" s="41" t="str">
        <f t="shared" si="6"/>
        <v>EBS1_18928_0</v>
      </c>
      <c r="P234" s="41" t="s">
        <v>2544</v>
      </c>
      <c r="R234" s="41">
        <v>233</v>
      </c>
      <c r="T234" s="41" t="str">
        <f t="shared" si="7"/>
        <v>1892800:Var_ui_ErrNo:=233;</v>
      </c>
    </row>
    <row r="235" spans="1:20">
      <c r="A235" s="190">
        <v>234</v>
      </c>
      <c r="B235" s="40">
        <v>73</v>
      </c>
      <c r="C235" s="40">
        <v>242</v>
      </c>
      <c r="F235" s="40"/>
      <c r="G235" s="40"/>
      <c r="H235" s="40" t="s">
        <v>2545</v>
      </c>
      <c r="I235" s="40" t="s">
        <v>2546</v>
      </c>
      <c r="J235" s="40" t="s">
        <v>2547</v>
      </c>
      <c r="K235" s="40" t="s">
        <v>2548</v>
      </c>
      <c r="L235" s="190">
        <v>18930</v>
      </c>
      <c r="M235" s="190">
        <v>0</v>
      </c>
      <c r="N235" s="40" t="s">
        <v>2549</v>
      </c>
      <c r="O235" s="41" t="str">
        <f t="shared" si="6"/>
        <v>EBS1_18930_0</v>
      </c>
      <c r="P235" s="41" t="s">
        <v>2550</v>
      </c>
      <c r="R235" s="41">
        <v>234</v>
      </c>
      <c r="T235" s="41" t="str">
        <f t="shared" si="7"/>
        <v>1893000:Var_ui_ErrNo:=234;</v>
      </c>
    </row>
    <row r="236" spans="1:20">
      <c r="A236" s="190">
        <v>235</v>
      </c>
      <c r="B236" s="40">
        <v>76</v>
      </c>
      <c r="C236" s="40">
        <v>88</v>
      </c>
      <c r="F236" s="40"/>
      <c r="G236" s="40"/>
      <c r="H236" s="40" t="s">
        <v>2551</v>
      </c>
      <c r="I236" s="40" t="s">
        <v>2552</v>
      </c>
      <c r="J236" s="40" t="s">
        <v>2553</v>
      </c>
      <c r="K236" s="40" t="s">
        <v>2554</v>
      </c>
      <c r="L236" s="190">
        <v>19544</v>
      </c>
      <c r="M236" s="190">
        <v>0</v>
      </c>
      <c r="N236" s="40" t="s">
        <v>2555</v>
      </c>
      <c r="O236" s="41" t="str">
        <f t="shared" si="6"/>
        <v>EBS1_19544_0</v>
      </c>
      <c r="P236" s="41" t="s">
        <v>2556</v>
      </c>
      <c r="R236" s="41">
        <v>235</v>
      </c>
      <c r="T236" s="41" t="str">
        <f t="shared" si="7"/>
        <v>1954400:Var_ui_ErrNo:=235;</v>
      </c>
    </row>
    <row r="237" spans="1:20">
      <c r="A237" s="190">
        <v>236</v>
      </c>
      <c r="B237" s="40">
        <v>77</v>
      </c>
      <c r="C237" s="40">
        <v>88</v>
      </c>
      <c r="F237" s="40"/>
      <c r="G237" s="40"/>
      <c r="H237" s="40" t="s">
        <v>2557</v>
      </c>
      <c r="I237" s="40" t="s">
        <v>2552</v>
      </c>
      <c r="J237" s="40" t="s">
        <v>2558</v>
      </c>
      <c r="K237" s="40" t="s">
        <v>2559</v>
      </c>
      <c r="L237" s="190">
        <v>19800</v>
      </c>
      <c r="M237" s="190">
        <v>0</v>
      </c>
      <c r="N237" s="40" t="s">
        <v>2560</v>
      </c>
      <c r="O237" s="41" t="str">
        <f t="shared" si="6"/>
        <v>EBS1_19800_0</v>
      </c>
      <c r="P237" s="41" t="s">
        <v>2561</v>
      </c>
      <c r="R237" s="41">
        <v>236</v>
      </c>
      <c r="T237" s="41" t="str">
        <f t="shared" si="7"/>
        <v>1980000:Var_ui_ErrNo:=236;</v>
      </c>
    </row>
    <row r="238" spans="1:20">
      <c r="A238" s="190">
        <v>237</v>
      </c>
      <c r="B238" s="40">
        <v>78</v>
      </c>
      <c r="C238" s="40">
        <v>88</v>
      </c>
      <c r="F238" s="40"/>
      <c r="G238" s="40"/>
      <c r="H238" s="40" t="s">
        <v>2562</v>
      </c>
      <c r="I238" s="40" t="s">
        <v>2552</v>
      </c>
      <c r="J238" s="40" t="s">
        <v>2563</v>
      </c>
      <c r="K238" s="40" t="s">
        <v>2564</v>
      </c>
      <c r="L238" s="190">
        <v>20056</v>
      </c>
      <c r="M238" s="190">
        <v>0</v>
      </c>
      <c r="N238" s="40" t="s">
        <v>2565</v>
      </c>
      <c r="O238" s="41" t="str">
        <f t="shared" si="6"/>
        <v>EBS1_20056_0</v>
      </c>
      <c r="P238" s="41" t="s">
        <v>2566</v>
      </c>
      <c r="R238" s="41">
        <v>237</v>
      </c>
      <c r="T238" s="41" t="str">
        <f t="shared" si="7"/>
        <v>2005600:Var_ui_ErrNo:=237;</v>
      </c>
    </row>
    <row r="239" spans="1:20">
      <c r="A239" s="190">
        <v>238</v>
      </c>
      <c r="B239" s="40">
        <v>79</v>
      </c>
      <c r="C239" s="40">
        <v>20</v>
      </c>
      <c r="F239" s="40"/>
      <c r="G239" s="40"/>
      <c r="H239" s="40" t="s">
        <v>2567</v>
      </c>
      <c r="I239" s="40" t="s">
        <v>2568</v>
      </c>
      <c r="J239" s="40" t="s">
        <v>2569</v>
      </c>
      <c r="K239" s="40" t="s">
        <v>2570</v>
      </c>
      <c r="L239" s="190">
        <v>20244</v>
      </c>
      <c r="M239" s="190">
        <v>0</v>
      </c>
      <c r="N239" s="40" t="s">
        <v>2571</v>
      </c>
      <c r="O239" s="41" t="str">
        <f t="shared" si="6"/>
        <v>EBS1_20244_0</v>
      </c>
      <c r="P239" s="41" t="s">
        <v>2572</v>
      </c>
      <c r="R239" s="41">
        <v>238</v>
      </c>
      <c r="T239" s="41" t="str">
        <f t="shared" si="7"/>
        <v>2024400:Var_ui_ErrNo:=238;</v>
      </c>
    </row>
    <row r="240" spans="1:20">
      <c r="A240" s="190">
        <v>239</v>
      </c>
      <c r="B240" s="40">
        <v>79</v>
      </c>
      <c r="C240" s="40">
        <v>21</v>
      </c>
      <c r="F240" s="40"/>
      <c r="G240" s="40"/>
      <c r="H240" s="40" t="s">
        <v>2573</v>
      </c>
      <c r="I240" s="40" t="s">
        <v>2568</v>
      </c>
      <c r="J240" s="40" t="s">
        <v>2574</v>
      </c>
      <c r="K240" s="40" t="s">
        <v>2575</v>
      </c>
      <c r="L240" s="190">
        <v>20245</v>
      </c>
      <c r="M240" s="190">
        <v>0</v>
      </c>
      <c r="N240" s="40" t="s">
        <v>2576</v>
      </c>
      <c r="O240" s="41" t="str">
        <f t="shared" si="6"/>
        <v>EBS1_20245_0</v>
      </c>
      <c r="P240" s="41" t="s">
        <v>2577</v>
      </c>
      <c r="R240" s="41">
        <v>239</v>
      </c>
      <c r="T240" s="41" t="str">
        <f t="shared" si="7"/>
        <v>2024500:Var_ui_ErrNo:=239;</v>
      </c>
    </row>
    <row r="241" spans="1:20">
      <c r="A241" s="190">
        <v>240</v>
      </c>
      <c r="B241" s="40">
        <v>80</v>
      </c>
      <c r="C241" s="40">
        <v>20</v>
      </c>
      <c r="F241" s="40"/>
      <c r="G241" s="40"/>
      <c r="H241" s="40" t="s">
        <v>2578</v>
      </c>
      <c r="I241" s="40" t="s">
        <v>2568</v>
      </c>
      <c r="J241" s="40" t="s">
        <v>2579</v>
      </c>
      <c r="K241" s="40" t="s">
        <v>2580</v>
      </c>
      <c r="L241" s="190">
        <v>20500</v>
      </c>
      <c r="M241" s="190">
        <v>0</v>
      </c>
      <c r="N241" s="40" t="s">
        <v>2581</v>
      </c>
      <c r="O241" s="41" t="str">
        <f t="shared" si="6"/>
        <v>EBS1_20500_0</v>
      </c>
      <c r="P241" s="41" t="s">
        <v>2582</v>
      </c>
      <c r="R241" s="41">
        <v>240</v>
      </c>
      <c r="T241" s="41" t="str">
        <f t="shared" si="7"/>
        <v>2050000:Var_ui_ErrNo:=240;</v>
      </c>
    </row>
    <row r="242" spans="1:20">
      <c r="A242" s="190">
        <v>241</v>
      </c>
      <c r="B242" s="40">
        <v>80</v>
      </c>
      <c r="C242" s="40">
        <v>21</v>
      </c>
      <c r="F242" s="40"/>
      <c r="G242" s="40"/>
      <c r="H242" s="40" t="s">
        <v>2583</v>
      </c>
      <c r="I242" s="40" t="s">
        <v>1513</v>
      </c>
      <c r="J242" s="40" t="s">
        <v>2584</v>
      </c>
      <c r="K242" s="40" t="s">
        <v>2585</v>
      </c>
      <c r="L242" s="190">
        <v>20501</v>
      </c>
      <c r="M242" s="190">
        <v>0</v>
      </c>
      <c r="N242" s="40" t="s">
        <v>2586</v>
      </c>
      <c r="O242" s="41" t="str">
        <f t="shared" si="6"/>
        <v>EBS1_20501_0</v>
      </c>
      <c r="P242" s="41" t="s">
        <v>2587</v>
      </c>
      <c r="R242" s="41">
        <v>241</v>
      </c>
      <c r="T242" s="41" t="str">
        <f t="shared" si="7"/>
        <v>2050100:Var_ui_ErrNo:=241;</v>
      </c>
    </row>
    <row r="243" spans="1:20">
      <c r="A243" s="190">
        <v>242</v>
      </c>
      <c r="B243" s="40">
        <v>81</v>
      </c>
      <c r="C243" s="40">
        <v>20</v>
      </c>
      <c r="F243" s="40"/>
      <c r="G243" s="40"/>
      <c r="H243" s="40" t="s">
        <v>2578</v>
      </c>
      <c r="I243" s="40" t="s">
        <v>2568</v>
      </c>
      <c r="J243" s="40" t="s">
        <v>2588</v>
      </c>
      <c r="K243" s="40" t="s">
        <v>2589</v>
      </c>
      <c r="L243" s="190">
        <v>20756</v>
      </c>
      <c r="M243" s="190">
        <v>0</v>
      </c>
      <c r="N243" s="40" t="s">
        <v>2581</v>
      </c>
      <c r="O243" s="41" t="str">
        <f t="shared" si="6"/>
        <v>EBS1_20756_0</v>
      </c>
      <c r="P243" s="41" t="s">
        <v>2590</v>
      </c>
      <c r="R243" s="41">
        <v>242</v>
      </c>
      <c r="T243" s="41" t="str">
        <f t="shared" si="7"/>
        <v>2075600:Var_ui_ErrNo:=242;</v>
      </c>
    </row>
    <row r="244" spans="1:20">
      <c r="A244" s="190">
        <v>243</v>
      </c>
      <c r="B244" s="40">
        <v>81</v>
      </c>
      <c r="C244" s="40">
        <v>21</v>
      </c>
      <c r="F244" s="40"/>
      <c r="G244" s="40"/>
      <c r="H244" s="40" t="s">
        <v>2591</v>
      </c>
      <c r="I244" s="40" t="s">
        <v>2592</v>
      </c>
      <c r="J244" s="40" t="s">
        <v>2593</v>
      </c>
      <c r="K244" s="40" t="s">
        <v>2594</v>
      </c>
      <c r="L244" s="190">
        <v>20757</v>
      </c>
      <c r="M244" s="190">
        <v>0</v>
      </c>
      <c r="N244" s="40" t="s">
        <v>2586</v>
      </c>
      <c r="O244" s="41" t="str">
        <f t="shared" si="6"/>
        <v>EBS1_20757_0</v>
      </c>
      <c r="P244" s="41" t="s">
        <v>2595</v>
      </c>
      <c r="R244" s="41">
        <v>243</v>
      </c>
      <c r="T244" s="41" t="str">
        <f t="shared" si="7"/>
        <v>2075700:Var_ui_ErrNo:=243;</v>
      </c>
    </row>
    <row r="245" spans="1:20">
      <c r="A245" s="190">
        <v>244</v>
      </c>
      <c r="B245" s="40">
        <v>82</v>
      </c>
      <c r="C245" s="40">
        <v>20</v>
      </c>
      <c r="F245" s="40"/>
      <c r="G245" s="40"/>
      <c r="H245" s="40" t="s">
        <v>2596</v>
      </c>
      <c r="I245" s="40" t="s">
        <v>2568</v>
      </c>
      <c r="J245" s="40" t="s">
        <v>2597</v>
      </c>
      <c r="K245" s="40" t="s">
        <v>2598</v>
      </c>
      <c r="L245" s="190">
        <v>21012</v>
      </c>
      <c r="M245" s="190">
        <v>0</v>
      </c>
      <c r="N245" s="40" t="s">
        <v>2599</v>
      </c>
      <c r="O245" s="41" t="str">
        <f t="shared" si="6"/>
        <v>EBS1_21012_0</v>
      </c>
      <c r="P245" s="41" t="s">
        <v>2600</v>
      </c>
      <c r="R245" s="41">
        <v>244</v>
      </c>
      <c r="T245" s="41" t="str">
        <f t="shared" si="7"/>
        <v>2101200:Var_ui_ErrNo:=244;</v>
      </c>
    </row>
    <row r="246" spans="1:20">
      <c r="A246" s="190">
        <v>245</v>
      </c>
      <c r="B246" s="40">
        <v>82</v>
      </c>
      <c r="C246" s="40">
        <v>21</v>
      </c>
      <c r="F246" s="40"/>
      <c r="G246" s="40"/>
      <c r="H246" s="40" t="s">
        <v>2601</v>
      </c>
      <c r="I246" s="40" t="s">
        <v>2568</v>
      </c>
      <c r="J246" s="40" t="s">
        <v>2602</v>
      </c>
      <c r="K246" s="40" t="s">
        <v>2603</v>
      </c>
      <c r="L246" s="190">
        <v>21013</v>
      </c>
      <c r="M246" s="190">
        <v>0</v>
      </c>
      <c r="N246" s="40" t="s">
        <v>2604</v>
      </c>
      <c r="O246" s="41" t="str">
        <f t="shared" si="6"/>
        <v>EBS1_21013_0</v>
      </c>
      <c r="P246" s="41" t="s">
        <v>2605</v>
      </c>
      <c r="R246" s="41">
        <v>245</v>
      </c>
      <c r="T246" s="41" t="str">
        <f t="shared" si="7"/>
        <v>2101300:Var_ui_ErrNo:=245;</v>
      </c>
    </row>
    <row r="247" spans="1:20">
      <c r="A247" s="190">
        <v>246</v>
      </c>
      <c r="B247" s="40">
        <v>85</v>
      </c>
      <c r="C247" s="40">
        <v>20</v>
      </c>
      <c r="F247" s="40"/>
      <c r="G247" s="40"/>
      <c r="H247" s="40" t="s">
        <v>2606</v>
      </c>
      <c r="I247" s="40" t="s">
        <v>2592</v>
      </c>
      <c r="J247" s="40" t="s">
        <v>2607</v>
      </c>
      <c r="K247" s="40" t="s">
        <v>2608</v>
      </c>
      <c r="L247" s="190">
        <v>21780</v>
      </c>
      <c r="M247" s="190">
        <v>0</v>
      </c>
      <c r="N247" s="40" t="s">
        <v>2609</v>
      </c>
      <c r="O247" s="41" t="str">
        <f t="shared" si="6"/>
        <v>EBS1_21780_0</v>
      </c>
      <c r="P247" s="41" t="s">
        <v>2610</v>
      </c>
      <c r="R247" s="41">
        <v>246</v>
      </c>
      <c r="T247" s="41" t="str">
        <f t="shared" si="7"/>
        <v>2178000:Var_ui_ErrNo:=246;</v>
      </c>
    </row>
    <row r="248" spans="1:20">
      <c r="A248" s="190">
        <v>247</v>
      </c>
      <c r="B248" s="40">
        <v>85</v>
      </c>
      <c r="C248" s="40">
        <v>21</v>
      </c>
      <c r="F248" s="40"/>
      <c r="G248" s="40"/>
      <c r="H248" s="40" t="s">
        <v>2611</v>
      </c>
      <c r="I248" s="40" t="s">
        <v>2592</v>
      </c>
      <c r="J248" s="40" t="s">
        <v>2612</v>
      </c>
      <c r="K248" s="40" t="s">
        <v>2613</v>
      </c>
      <c r="L248" s="190">
        <v>21781</v>
      </c>
      <c r="M248" s="190">
        <v>0</v>
      </c>
      <c r="N248" s="40" t="s">
        <v>2614</v>
      </c>
      <c r="O248" s="41" t="str">
        <f t="shared" si="6"/>
        <v>EBS1_21781_0</v>
      </c>
      <c r="P248" s="41" t="s">
        <v>2615</v>
      </c>
      <c r="R248" s="41">
        <v>247</v>
      </c>
      <c r="T248" s="41" t="str">
        <f t="shared" si="7"/>
        <v>2178100:Var_ui_ErrNo:=247;</v>
      </c>
    </row>
    <row r="249" spans="1:20">
      <c r="A249" s="190">
        <v>248</v>
      </c>
      <c r="B249" s="40">
        <v>87</v>
      </c>
      <c r="C249" s="40">
        <v>20</v>
      </c>
      <c r="F249" s="40"/>
      <c r="G249" s="40"/>
      <c r="H249" s="40" t="s">
        <v>2616</v>
      </c>
      <c r="I249" s="40" t="s">
        <v>2568</v>
      </c>
      <c r="J249" s="40" t="s">
        <v>2617</v>
      </c>
      <c r="K249" s="40" t="s">
        <v>2618</v>
      </c>
      <c r="L249" s="190">
        <v>22292</v>
      </c>
      <c r="M249" s="190">
        <v>0</v>
      </c>
      <c r="N249" s="40" t="s">
        <v>2619</v>
      </c>
      <c r="O249" s="41" t="str">
        <f t="shared" si="6"/>
        <v>EBS1_22292_0</v>
      </c>
      <c r="P249" s="41" t="s">
        <v>2620</v>
      </c>
      <c r="R249" s="41">
        <v>248</v>
      </c>
      <c r="T249" s="41" t="str">
        <f t="shared" si="7"/>
        <v>2229200:Var_ui_ErrNo:=248;</v>
      </c>
    </row>
    <row r="250" spans="1:20">
      <c r="A250" s="190">
        <v>249</v>
      </c>
      <c r="B250" s="40">
        <v>87</v>
      </c>
      <c r="C250" s="40">
        <v>21</v>
      </c>
      <c r="F250" s="40"/>
      <c r="G250" s="40"/>
      <c r="H250" s="40" t="s">
        <v>2621</v>
      </c>
      <c r="I250" s="40" t="s">
        <v>2568</v>
      </c>
      <c r="J250" s="40" t="s">
        <v>2622</v>
      </c>
      <c r="K250" s="40" t="s">
        <v>2623</v>
      </c>
      <c r="L250" s="190">
        <v>22293</v>
      </c>
      <c r="M250" s="190">
        <v>0</v>
      </c>
      <c r="N250" s="40" t="s">
        <v>2624</v>
      </c>
      <c r="O250" s="41" t="str">
        <f t="shared" si="6"/>
        <v>EBS1_22293_0</v>
      </c>
      <c r="P250" s="41" t="s">
        <v>2625</v>
      </c>
      <c r="R250" s="41">
        <v>249</v>
      </c>
      <c r="T250" s="41" t="str">
        <f t="shared" si="7"/>
        <v>2229300:Var_ui_ErrNo:=249;</v>
      </c>
    </row>
    <row r="251" spans="1:20">
      <c r="A251" s="190">
        <v>250</v>
      </c>
      <c r="B251" s="40">
        <v>88</v>
      </c>
      <c r="C251" s="40">
        <v>20</v>
      </c>
      <c r="F251" s="40"/>
      <c r="G251" s="40"/>
      <c r="H251" s="40" t="s">
        <v>2626</v>
      </c>
      <c r="I251" s="40" t="s">
        <v>2568</v>
      </c>
      <c r="J251" s="40" t="s">
        <v>2627</v>
      </c>
      <c r="K251" s="40" t="s">
        <v>2628</v>
      </c>
      <c r="L251" s="190">
        <v>22548</v>
      </c>
      <c r="M251" s="190">
        <v>0</v>
      </c>
      <c r="N251" s="40" t="s">
        <v>2629</v>
      </c>
      <c r="O251" s="41" t="str">
        <f t="shared" si="6"/>
        <v>EBS1_22548_0</v>
      </c>
      <c r="P251" s="41" t="s">
        <v>2630</v>
      </c>
      <c r="R251" s="41">
        <v>250</v>
      </c>
      <c r="T251" s="41" t="str">
        <f t="shared" si="7"/>
        <v>2254800:Var_ui_ErrNo:=250;</v>
      </c>
    </row>
    <row r="252" spans="1:20">
      <c r="A252" s="190">
        <v>251</v>
      </c>
      <c r="B252" s="40">
        <v>88</v>
      </c>
      <c r="C252" s="40">
        <v>21</v>
      </c>
      <c r="F252" s="40"/>
      <c r="G252" s="40"/>
      <c r="H252" s="40" t="s">
        <v>2631</v>
      </c>
      <c r="I252" s="40" t="s">
        <v>2568</v>
      </c>
      <c r="J252" s="40" t="s">
        <v>2632</v>
      </c>
      <c r="K252" s="40" t="s">
        <v>2633</v>
      </c>
      <c r="L252" s="190">
        <v>22549</v>
      </c>
      <c r="M252" s="190">
        <v>0</v>
      </c>
      <c r="N252" s="40" t="s">
        <v>2634</v>
      </c>
      <c r="O252" s="41" t="str">
        <f t="shared" si="6"/>
        <v>EBS1_22549_0</v>
      </c>
      <c r="P252" s="41" t="s">
        <v>2635</v>
      </c>
      <c r="R252" s="41">
        <v>251</v>
      </c>
      <c r="T252" s="41" t="str">
        <f t="shared" si="7"/>
        <v>2254900:Var_ui_ErrNo:=251;</v>
      </c>
    </row>
    <row r="253" spans="1:20">
      <c r="A253" s="190">
        <v>252</v>
      </c>
      <c r="B253" s="40">
        <v>89</v>
      </c>
      <c r="C253" s="40">
        <v>20</v>
      </c>
      <c r="F253" s="40"/>
      <c r="G253" s="40"/>
      <c r="H253" s="40" t="s">
        <v>2636</v>
      </c>
      <c r="I253" s="40" t="s">
        <v>2568</v>
      </c>
      <c r="J253" s="40" t="s">
        <v>2637</v>
      </c>
      <c r="K253" s="40" t="s">
        <v>2638</v>
      </c>
      <c r="L253" s="190">
        <v>22804</v>
      </c>
      <c r="M253" s="190">
        <v>0</v>
      </c>
      <c r="N253" s="40" t="s">
        <v>2639</v>
      </c>
      <c r="O253" s="41" t="str">
        <f t="shared" si="6"/>
        <v>EBS1_22804_0</v>
      </c>
      <c r="P253" s="41" t="s">
        <v>2640</v>
      </c>
      <c r="R253" s="41">
        <v>252</v>
      </c>
      <c r="T253" s="41" t="str">
        <f t="shared" si="7"/>
        <v>2280400:Var_ui_ErrNo:=252;</v>
      </c>
    </row>
    <row r="254" spans="1:20">
      <c r="A254" s="190">
        <v>253</v>
      </c>
      <c r="B254" s="40">
        <v>89</v>
      </c>
      <c r="C254" s="40">
        <v>21</v>
      </c>
      <c r="F254" s="40"/>
      <c r="G254" s="40"/>
      <c r="H254" s="40" t="s">
        <v>2641</v>
      </c>
      <c r="I254" s="40" t="s">
        <v>2568</v>
      </c>
      <c r="J254" s="40" t="s">
        <v>2642</v>
      </c>
      <c r="K254" s="40" t="s">
        <v>2643</v>
      </c>
      <c r="L254" s="190">
        <v>22805</v>
      </c>
      <c r="M254" s="190">
        <v>0</v>
      </c>
      <c r="N254" s="40" t="s">
        <v>2644</v>
      </c>
      <c r="O254" s="41" t="str">
        <f t="shared" si="6"/>
        <v>EBS1_22805_0</v>
      </c>
      <c r="P254" s="41" t="s">
        <v>2645</v>
      </c>
      <c r="R254" s="41">
        <v>253</v>
      </c>
      <c r="T254" s="41" t="str">
        <f t="shared" si="7"/>
        <v>2280500:Var_ui_ErrNo:=253;</v>
      </c>
    </row>
    <row r="255" spans="1:20">
      <c r="A255" s="190">
        <v>254</v>
      </c>
      <c r="B255" s="40">
        <v>90</v>
      </c>
      <c r="C255" s="40">
        <v>31</v>
      </c>
      <c r="F255" s="40"/>
      <c r="G255" s="40"/>
      <c r="H255" s="40" t="s">
        <v>2646</v>
      </c>
      <c r="I255" s="40" t="s">
        <v>2647</v>
      </c>
      <c r="J255" s="40" t="s">
        <v>2648</v>
      </c>
      <c r="K255" s="40" t="s">
        <v>2649</v>
      </c>
      <c r="L255" s="190">
        <v>23071</v>
      </c>
      <c r="M255" s="190">
        <v>0</v>
      </c>
      <c r="N255" s="40" t="s">
        <v>2650</v>
      </c>
      <c r="O255" s="41" t="str">
        <f t="shared" si="6"/>
        <v>EBS1_23071_0</v>
      </c>
      <c r="P255" s="41" t="s">
        <v>2651</v>
      </c>
      <c r="R255" s="41">
        <v>254</v>
      </c>
      <c r="T255" s="41" t="str">
        <f t="shared" si="7"/>
        <v>2307100:Var_ui_ErrNo:=254;</v>
      </c>
    </row>
    <row r="256" spans="1:20">
      <c r="A256" s="190">
        <v>255</v>
      </c>
      <c r="B256" s="40">
        <v>90</v>
      </c>
      <c r="C256" s="40">
        <v>32</v>
      </c>
      <c r="F256" s="40"/>
      <c r="G256" s="40"/>
      <c r="H256" s="40" t="s">
        <v>2652</v>
      </c>
      <c r="I256" s="40" t="s">
        <v>2647</v>
      </c>
      <c r="J256" s="40" t="s">
        <v>2653</v>
      </c>
      <c r="K256" s="40" t="s">
        <v>2654</v>
      </c>
      <c r="L256" s="190">
        <v>23072</v>
      </c>
      <c r="M256" s="190">
        <v>0</v>
      </c>
      <c r="N256" s="40" t="s">
        <v>2655</v>
      </c>
      <c r="O256" s="41" t="str">
        <f t="shared" si="6"/>
        <v>EBS1_23072_0</v>
      </c>
      <c r="P256" s="41" t="s">
        <v>2656</v>
      </c>
      <c r="R256" s="41">
        <v>255</v>
      </c>
      <c r="T256" s="41" t="str">
        <f t="shared" si="7"/>
        <v>2307200:Var_ui_ErrNo:=255;</v>
      </c>
    </row>
    <row r="257" spans="1:20">
      <c r="A257" s="190">
        <v>256</v>
      </c>
      <c r="B257" s="40">
        <v>90</v>
      </c>
      <c r="C257" s="40">
        <v>36</v>
      </c>
      <c r="F257" s="40"/>
      <c r="G257" s="40"/>
      <c r="H257" s="40" t="s">
        <v>2657</v>
      </c>
      <c r="I257" s="40" t="s">
        <v>2647</v>
      </c>
      <c r="J257" s="40" t="s">
        <v>2658</v>
      </c>
      <c r="K257" s="40" t="s">
        <v>2659</v>
      </c>
      <c r="L257" s="190">
        <v>23076</v>
      </c>
      <c r="M257" s="190">
        <v>0</v>
      </c>
      <c r="N257" s="40" t="s">
        <v>2660</v>
      </c>
      <c r="O257" s="41" t="str">
        <f t="shared" si="6"/>
        <v>EBS1_23076_0</v>
      </c>
      <c r="P257" s="41" t="s">
        <v>2661</v>
      </c>
      <c r="R257" s="41">
        <v>256</v>
      </c>
      <c r="T257" s="41" t="str">
        <f t="shared" si="7"/>
        <v>2307600:Var_ui_ErrNo:=256;</v>
      </c>
    </row>
    <row r="258" spans="1:20">
      <c r="A258" s="190">
        <v>257</v>
      </c>
      <c r="B258" s="40">
        <v>90</v>
      </c>
      <c r="C258" s="40">
        <v>39</v>
      </c>
      <c r="F258" s="40"/>
      <c r="G258" s="40"/>
      <c r="H258" s="40" t="s">
        <v>2662</v>
      </c>
      <c r="I258" s="40" t="s">
        <v>2647</v>
      </c>
      <c r="J258" s="40" t="s">
        <v>2663</v>
      </c>
      <c r="K258" s="40" t="s">
        <v>2664</v>
      </c>
      <c r="L258" s="190">
        <v>23079</v>
      </c>
      <c r="M258" s="190">
        <v>0</v>
      </c>
      <c r="N258" s="40" t="s">
        <v>2665</v>
      </c>
      <c r="O258" s="41" t="str">
        <f t="shared" ref="O258:O321" si="8">"EBS1_"&amp;L258&amp;"_"&amp;M258</f>
        <v>EBS1_23079_0</v>
      </c>
      <c r="P258" s="41" t="s">
        <v>2666</v>
      </c>
      <c r="R258" s="41">
        <v>257</v>
      </c>
      <c r="T258" s="41" t="str">
        <f t="shared" si="7"/>
        <v>2307900:Var_ui_ErrNo:=257;</v>
      </c>
    </row>
    <row r="259" spans="1:20">
      <c r="A259" s="190">
        <v>258</v>
      </c>
      <c r="B259" s="40">
        <v>91</v>
      </c>
      <c r="C259" s="40">
        <v>31</v>
      </c>
      <c r="F259" s="40"/>
      <c r="G259" s="40"/>
      <c r="H259" s="40" t="s">
        <v>2667</v>
      </c>
      <c r="I259" s="40" t="s">
        <v>2647</v>
      </c>
      <c r="J259" s="40" t="s">
        <v>2668</v>
      </c>
      <c r="K259" s="40" t="s">
        <v>2669</v>
      </c>
      <c r="L259" s="190">
        <v>23327</v>
      </c>
      <c r="M259" s="190">
        <v>0</v>
      </c>
      <c r="N259" s="40" t="s">
        <v>2670</v>
      </c>
      <c r="O259" s="41" t="str">
        <f t="shared" si="8"/>
        <v>EBS1_23327_0</v>
      </c>
      <c r="P259" s="41" t="s">
        <v>2671</v>
      </c>
      <c r="R259" s="41">
        <v>258</v>
      </c>
      <c r="T259" s="41" t="str">
        <f t="shared" ref="T259:T322" si="9">P259&amp;$Q$2&amp;R259&amp;$S$2</f>
        <v>2332700:Var_ui_ErrNo:=258;</v>
      </c>
    </row>
    <row r="260" spans="1:20">
      <c r="A260" s="190">
        <v>259</v>
      </c>
      <c r="B260" s="40">
        <v>91</v>
      </c>
      <c r="C260" s="40">
        <v>32</v>
      </c>
      <c r="F260" s="40"/>
      <c r="G260" s="40"/>
      <c r="H260" s="40" t="s">
        <v>2672</v>
      </c>
      <c r="I260" s="40" t="s">
        <v>2673</v>
      </c>
      <c r="J260" s="40" t="s">
        <v>2674</v>
      </c>
      <c r="K260" s="40" t="s">
        <v>2675</v>
      </c>
      <c r="L260" s="190">
        <v>23328</v>
      </c>
      <c r="M260" s="190">
        <v>0</v>
      </c>
      <c r="N260" s="40" t="s">
        <v>2676</v>
      </c>
      <c r="O260" s="41" t="str">
        <f t="shared" si="8"/>
        <v>EBS1_23328_0</v>
      </c>
      <c r="P260" s="41" t="s">
        <v>2677</v>
      </c>
      <c r="R260" s="41">
        <v>259</v>
      </c>
      <c r="T260" s="41" t="str">
        <f t="shared" si="9"/>
        <v>2332800:Var_ui_ErrNo:=259;</v>
      </c>
    </row>
    <row r="261" spans="1:20">
      <c r="A261" s="190">
        <v>260</v>
      </c>
      <c r="B261" s="40">
        <v>91</v>
      </c>
      <c r="C261" s="40">
        <v>36</v>
      </c>
      <c r="F261" s="40"/>
      <c r="G261" s="40"/>
      <c r="H261" s="40" t="s">
        <v>2678</v>
      </c>
      <c r="I261" s="40" t="s">
        <v>2673</v>
      </c>
      <c r="J261" s="40" t="s">
        <v>2679</v>
      </c>
      <c r="K261" s="40" t="s">
        <v>2680</v>
      </c>
      <c r="L261" s="190">
        <v>23332</v>
      </c>
      <c r="M261" s="190">
        <v>0</v>
      </c>
      <c r="N261" s="40" t="s">
        <v>2681</v>
      </c>
      <c r="O261" s="41" t="str">
        <f t="shared" si="8"/>
        <v>EBS1_23332_0</v>
      </c>
      <c r="P261" s="41" t="s">
        <v>2682</v>
      </c>
      <c r="R261" s="41">
        <v>260</v>
      </c>
      <c r="T261" s="41" t="str">
        <f t="shared" si="9"/>
        <v>2333200:Var_ui_ErrNo:=260;</v>
      </c>
    </row>
    <row r="262" spans="1:20">
      <c r="A262" s="190">
        <v>261</v>
      </c>
      <c r="B262" s="40">
        <v>91</v>
      </c>
      <c r="C262" s="40">
        <v>39</v>
      </c>
      <c r="F262" s="40"/>
      <c r="G262" s="40"/>
      <c r="H262" s="40" t="s">
        <v>2683</v>
      </c>
      <c r="I262" s="40" t="s">
        <v>2673</v>
      </c>
      <c r="J262" s="40" t="s">
        <v>2684</v>
      </c>
      <c r="K262" s="40" t="s">
        <v>2685</v>
      </c>
      <c r="L262" s="190">
        <v>23335</v>
      </c>
      <c r="M262" s="190">
        <v>0</v>
      </c>
      <c r="N262" s="40" t="s">
        <v>2686</v>
      </c>
      <c r="O262" s="41" t="str">
        <f t="shared" si="8"/>
        <v>EBS1_23335_0</v>
      </c>
      <c r="P262" s="41" t="s">
        <v>2687</v>
      </c>
      <c r="R262" s="41">
        <v>261</v>
      </c>
      <c r="T262" s="41" t="str">
        <f t="shared" si="9"/>
        <v>2333500:Var_ui_ErrNo:=261;</v>
      </c>
    </row>
    <row r="263" spans="1:20">
      <c r="A263" s="190">
        <v>262</v>
      </c>
      <c r="B263" s="40">
        <v>92</v>
      </c>
      <c r="C263" s="40">
        <v>31</v>
      </c>
      <c r="F263" s="40"/>
      <c r="G263" s="40"/>
      <c r="H263" s="40" t="s">
        <v>2688</v>
      </c>
      <c r="I263" s="40" t="s">
        <v>2673</v>
      </c>
      <c r="J263" s="40" t="s">
        <v>2689</v>
      </c>
      <c r="K263" s="40" t="s">
        <v>2690</v>
      </c>
      <c r="L263" s="190">
        <v>23583</v>
      </c>
      <c r="M263" s="190">
        <v>0</v>
      </c>
      <c r="N263" s="40" t="s">
        <v>2691</v>
      </c>
      <c r="O263" s="41" t="str">
        <f t="shared" si="8"/>
        <v>EBS1_23583_0</v>
      </c>
      <c r="P263" s="41" t="s">
        <v>2692</v>
      </c>
      <c r="R263" s="41">
        <v>262</v>
      </c>
      <c r="T263" s="41" t="str">
        <f t="shared" si="9"/>
        <v>2358300:Var_ui_ErrNo:=262;</v>
      </c>
    </row>
    <row r="264" spans="1:20">
      <c r="A264" s="190">
        <v>263</v>
      </c>
      <c r="B264" s="40">
        <v>92</v>
      </c>
      <c r="C264" s="40">
        <v>32</v>
      </c>
      <c r="F264" s="40"/>
      <c r="G264" s="40"/>
      <c r="H264" s="40" t="s">
        <v>2693</v>
      </c>
      <c r="I264" s="40" t="s">
        <v>2647</v>
      </c>
      <c r="J264" s="40" t="s">
        <v>2694</v>
      </c>
      <c r="K264" s="40" t="s">
        <v>2695</v>
      </c>
      <c r="L264" s="190">
        <v>23584</v>
      </c>
      <c r="M264" s="190">
        <v>0</v>
      </c>
      <c r="N264" s="40" t="s">
        <v>2696</v>
      </c>
      <c r="O264" s="41" t="str">
        <f t="shared" si="8"/>
        <v>EBS1_23584_0</v>
      </c>
      <c r="P264" s="41" t="s">
        <v>2697</v>
      </c>
      <c r="R264" s="41">
        <v>263</v>
      </c>
      <c r="T264" s="41" t="str">
        <f t="shared" si="9"/>
        <v>2358400:Var_ui_ErrNo:=263;</v>
      </c>
    </row>
    <row r="265" spans="1:20">
      <c r="A265" s="190">
        <v>264</v>
      </c>
      <c r="B265" s="40">
        <v>92</v>
      </c>
      <c r="C265" s="40">
        <v>36</v>
      </c>
      <c r="F265" s="40"/>
      <c r="G265" s="40"/>
      <c r="H265" s="40" t="s">
        <v>2698</v>
      </c>
      <c r="I265" s="40" t="s">
        <v>2647</v>
      </c>
      <c r="J265" s="40" t="s">
        <v>2699</v>
      </c>
      <c r="K265" s="40" t="s">
        <v>2700</v>
      </c>
      <c r="L265" s="190">
        <v>23588</v>
      </c>
      <c r="M265" s="190">
        <v>0</v>
      </c>
      <c r="N265" s="40" t="s">
        <v>2701</v>
      </c>
      <c r="O265" s="41" t="str">
        <f t="shared" si="8"/>
        <v>EBS1_23588_0</v>
      </c>
      <c r="P265" s="41" t="s">
        <v>2702</v>
      </c>
      <c r="R265" s="41">
        <v>264</v>
      </c>
      <c r="T265" s="41" t="str">
        <f t="shared" si="9"/>
        <v>2358800:Var_ui_ErrNo:=264;</v>
      </c>
    </row>
    <row r="266" spans="1:20">
      <c r="A266" s="190">
        <v>265</v>
      </c>
      <c r="B266" s="40">
        <v>92</v>
      </c>
      <c r="C266" s="40">
        <v>39</v>
      </c>
      <c r="F266" s="40"/>
      <c r="G266" s="40"/>
      <c r="H266" s="40" t="s">
        <v>2703</v>
      </c>
      <c r="I266" s="40" t="s">
        <v>2647</v>
      </c>
      <c r="J266" s="40" t="s">
        <v>2704</v>
      </c>
      <c r="K266" s="40" t="s">
        <v>2705</v>
      </c>
      <c r="L266" s="190">
        <v>23591</v>
      </c>
      <c r="M266" s="190">
        <v>0</v>
      </c>
      <c r="N266" s="40" t="s">
        <v>2706</v>
      </c>
      <c r="O266" s="41" t="str">
        <f t="shared" si="8"/>
        <v>EBS1_23591_0</v>
      </c>
      <c r="P266" s="41" t="s">
        <v>2707</v>
      </c>
      <c r="R266" s="41">
        <v>265</v>
      </c>
      <c r="T266" s="41" t="str">
        <f t="shared" si="9"/>
        <v>2359100:Var_ui_ErrNo:=265;</v>
      </c>
    </row>
    <row r="267" spans="1:20">
      <c r="A267" s="190">
        <v>266</v>
      </c>
      <c r="B267" s="40">
        <v>93</v>
      </c>
      <c r="C267" s="40">
        <v>22</v>
      </c>
      <c r="F267" s="40"/>
      <c r="G267" s="40"/>
      <c r="H267" s="40" t="s">
        <v>2708</v>
      </c>
      <c r="I267" s="40" t="s">
        <v>2709</v>
      </c>
      <c r="J267" s="40" t="s">
        <v>2710</v>
      </c>
      <c r="K267" s="40" t="s">
        <v>2711</v>
      </c>
      <c r="L267" s="190">
        <v>23830</v>
      </c>
      <c r="M267" s="190">
        <v>0</v>
      </c>
      <c r="N267" s="40" t="s">
        <v>2712</v>
      </c>
      <c r="O267" s="41" t="str">
        <f t="shared" si="8"/>
        <v>EBS1_23830_0</v>
      </c>
      <c r="P267" s="41" t="s">
        <v>2713</v>
      </c>
      <c r="R267" s="41">
        <v>266</v>
      </c>
      <c r="T267" s="41" t="str">
        <f t="shared" si="9"/>
        <v>2383000:Var_ui_ErrNo:=266;</v>
      </c>
    </row>
    <row r="268" spans="1:20">
      <c r="A268" s="190">
        <v>267</v>
      </c>
      <c r="B268" s="40">
        <v>93</v>
      </c>
      <c r="C268" s="40">
        <v>23</v>
      </c>
      <c r="F268" s="40"/>
      <c r="G268" s="40"/>
      <c r="H268" s="40" t="s">
        <v>2714</v>
      </c>
      <c r="I268" s="40" t="s">
        <v>2715</v>
      </c>
      <c r="J268" s="40" t="s">
        <v>2716</v>
      </c>
      <c r="K268" s="40" t="s">
        <v>2717</v>
      </c>
      <c r="L268" s="190">
        <v>23831</v>
      </c>
      <c r="M268" s="190">
        <v>0</v>
      </c>
      <c r="N268" s="40" t="s">
        <v>2718</v>
      </c>
      <c r="O268" s="41" t="str">
        <f t="shared" si="8"/>
        <v>EBS1_23831_0</v>
      </c>
      <c r="P268" s="41" t="s">
        <v>2719</v>
      </c>
      <c r="R268" s="41">
        <v>267</v>
      </c>
      <c r="T268" s="41" t="str">
        <f t="shared" si="9"/>
        <v>2383100:Var_ui_ErrNo:=267;</v>
      </c>
    </row>
    <row r="269" spans="1:20">
      <c r="A269" s="190">
        <v>268</v>
      </c>
      <c r="B269" s="40">
        <v>93</v>
      </c>
      <c r="C269" s="40">
        <v>26</v>
      </c>
      <c r="F269" s="40"/>
      <c r="G269" s="40"/>
      <c r="H269" s="40" t="s">
        <v>2720</v>
      </c>
      <c r="I269" s="40" t="s">
        <v>2715</v>
      </c>
      <c r="J269" s="40" t="s">
        <v>2721</v>
      </c>
      <c r="K269" s="40" t="s">
        <v>2722</v>
      </c>
      <c r="L269" s="190">
        <v>23834</v>
      </c>
      <c r="M269" s="190">
        <v>0</v>
      </c>
      <c r="N269" s="40" t="s">
        <v>2723</v>
      </c>
      <c r="O269" s="41" t="str">
        <f t="shared" si="8"/>
        <v>EBS1_23834_0</v>
      </c>
      <c r="P269" s="41" t="s">
        <v>2724</v>
      </c>
      <c r="R269" s="41">
        <v>268</v>
      </c>
      <c r="T269" s="41" t="str">
        <f t="shared" si="9"/>
        <v>2383400:Var_ui_ErrNo:=268;</v>
      </c>
    </row>
    <row r="270" spans="1:20">
      <c r="A270" s="190">
        <v>269</v>
      </c>
      <c r="B270" s="40">
        <v>94</v>
      </c>
      <c r="C270" s="40">
        <v>64</v>
      </c>
      <c r="F270" s="40"/>
      <c r="G270" s="40"/>
      <c r="H270" s="40" t="s">
        <v>2725</v>
      </c>
      <c r="I270" s="40" t="s">
        <v>2726</v>
      </c>
      <c r="J270" s="40" t="s">
        <v>2727</v>
      </c>
      <c r="K270" s="40" t="s">
        <v>2728</v>
      </c>
      <c r="L270" s="190">
        <v>24128</v>
      </c>
      <c r="M270" s="190">
        <v>0</v>
      </c>
      <c r="N270" s="40" t="s">
        <v>2729</v>
      </c>
      <c r="O270" s="41" t="str">
        <f t="shared" si="8"/>
        <v>EBS1_24128_0</v>
      </c>
      <c r="P270" s="41" t="s">
        <v>2730</v>
      </c>
      <c r="R270" s="41">
        <v>269</v>
      </c>
      <c r="T270" s="41" t="str">
        <f t="shared" si="9"/>
        <v>2412800:Var_ui_ErrNo:=269;</v>
      </c>
    </row>
    <row r="271" spans="1:20">
      <c r="A271" s="190">
        <v>270</v>
      </c>
      <c r="B271" s="40">
        <v>94</v>
      </c>
      <c r="C271" s="40">
        <v>67</v>
      </c>
      <c r="F271" s="40"/>
      <c r="G271" s="40"/>
      <c r="H271" s="40" t="s">
        <v>2731</v>
      </c>
      <c r="I271" s="40" t="s">
        <v>2732</v>
      </c>
      <c r="J271" s="40" t="s">
        <v>2733</v>
      </c>
      <c r="K271" s="40" t="s">
        <v>2734</v>
      </c>
      <c r="L271" s="190">
        <v>24131</v>
      </c>
      <c r="M271" s="190">
        <v>0</v>
      </c>
      <c r="N271" s="40" t="s">
        <v>2735</v>
      </c>
      <c r="O271" s="41" t="str">
        <f t="shared" si="8"/>
        <v>EBS1_24131_0</v>
      </c>
      <c r="P271" s="41" t="s">
        <v>2736</v>
      </c>
      <c r="R271" s="41">
        <v>270</v>
      </c>
      <c r="T271" s="41" t="str">
        <f t="shared" si="9"/>
        <v>2413100:Var_ui_ErrNo:=270;</v>
      </c>
    </row>
    <row r="272" spans="1:20">
      <c r="A272" s="190">
        <v>271</v>
      </c>
      <c r="B272" s="40">
        <v>94</v>
      </c>
      <c r="C272" s="40">
        <v>69</v>
      </c>
      <c r="F272" s="40"/>
      <c r="G272" s="40"/>
      <c r="H272" s="40" t="s">
        <v>2737</v>
      </c>
      <c r="I272" s="40" t="s">
        <v>2738</v>
      </c>
      <c r="J272" s="40" t="s">
        <v>2739</v>
      </c>
      <c r="K272" s="40" t="s">
        <v>2740</v>
      </c>
      <c r="L272" s="190">
        <v>24133</v>
      </c>
      <c r="M272" s="190">
        <v>0</v>
      </c>
      <c r="N272" s="40" t="s">
        <v>2741</v>
      </c>
      <c r="O272" s="41" t="str">
        <f t="shared" si="8"/>
        <v>EBS1_24133_0</v>
      </c>
      <c r="P272" s="41" t="s">
        <v>2742</v>
      </c>
      <c r="R272" s="41">
        <v>271</v>
      </c>
      <c r="T272" s="41" t="str">
        <f t="shared" si="9"/>
        <v>2413300:Var_ui_ErrNo:=271;</v>
      </c>
    </row>
    <row r="273" spans="1:20">
      <c r="A273" s="190">
        <v>272</v>
      </c>
      <c r="B273" s="40">
        <v>94</v>
      </c>
      <c r="C273" s="40">
        <v>71</v>
      </c>
      <c r="F273" s="40"/>
      <c r="G273" s="40"/>
      <c r="H273" s="40" t="s">
        <v>2743</v>
      </c>
      <c r="I273" s="40" t="s">
        <v>2744</v>
      </c>
      <c r="J273" s="40" t="s">
        <v>2745</v>
      </c>
      <c r="K273" s="40" t="s">
        <v>2746</v>
      </c>
      <c r="L273" s="190">
        <v>24135</v>
      </c>
      <c r="M273" s="190">
        <v>0</v>
      </c>
      <c r="N273" s="40" t="s">
        <v>2747</v>
      </c>
      <c r="O273" s="41" t="str">
        <f t="shared" si="8"/>
        <v>EBS1_24135_0</v>
      </c>
      <c r="P273" s="41" t="s">
        <v>2748</v>
      </c>
      <c r="R273" s="41">
        <v>272</v>
      </c>
      <c r="T273" s="41" t="str">
        <f t="shared" si="9"/>
        <v>2413500:Var_ui_ErrNo:=272;</v>
      </c>
    </row>
    <row r="274" spans="1:20">
      <c r="A274" s="190">
        <v>273</v>
      </c>
      <c r="B274" s="40">
        <v>94</v>
      </c>
      <c r="C274" s="40">
        <v>73</v>
      </c>
      <c r="F274" s="40"/>
      <c r="G274" s="40"/>
      <c r="H274" s="40" t="s">
        <v>2749</v>
      </c>
      <c r="I274" s="40" t="s">
        <v>2750</v>
      </c>
      <c r="J274" s="40" t="s">
        <v>2751</v>
      </c>
      <c r="K274" s="40" t="s">
        <v>2752</v>
      </c>
      <c r="L274" s="190">
        <v>24137</v>
      </c>
      <c r="M274" s="190">
        <v>0</v>
      </c>
      <c r="N274" s="40" t="s">
        <v>2753</v>
      </c>
      <c r="O274" s="41" t="str">
        <f t="shared" si="8"/>
        <v>EBS1_24137_0</v>
      </c>
      <c r="P274" s="41" t="s">
        <v>2754</v>
      </c>
      <c r="R274" s="41">
        <v>273</v>
      </c>
      <c r="T274" s="41" t="str">
        <f t="shared" si="9"/>
        <v>2413700:Var_ui_ErrNo:=273;</v>
      </c>
    </row>
    <row r="275" spans="1:20">
      <c r="A275" s="190">
        <v>274</v>
      </c>
      <c r="B275" s="40">
        <v>94</v>
      </c>
      <c r="C275" s="40">
        <v>74</v>
      </c>
      <c r="F275" s="40"/>
      <c r="G275" s="40"/>
      <c r="H275" s="40" t="s">
        <v>2755</v>
      </c>
      <c r="I275" s="40" t="s">
        <v>2756</v>
      </c>
      <c r="J275" s="40" t="s">
        <v>2757</v>
      </c>
      <c r="K275" s="40" t="s">
        <v>2758</v>
      </c>
      <c r="L275" s="190">
        <v>24138</v>
      </c>
      <c r="M275" s="190">
        <v>0</v>
      </c>
      <c r="N275" s="40" t="s">
        <v>2759</v>
      </c>
      <c r="O275" s="41" t="str">
        <f t="shared" si="8"/>
        <v>EBS1_24138_0</v>
      </c>
      <c r="P275" s="41" t="s">
        <v>2760</v>
      </c>
      <c r="R275" s="41">
        <v>274</v>
      </c>
      <c r="T275" s="41" t="str">
        <f t="shared" si="9"/>
        <v>2413800:Var_ui_ErrNo:=274;</v>
      </c>
    </row>
    <row r="276" spans="1:20">
      <c r="A276" s="190">
        <v>275</v>
      </c>
      <c r="B276" s="40">
        <v>94</v>
      </c>
      <c r="C276" s="40">
        <v>75</v>
      </c>
      <c r="F276" s="40"/>
      <c r="G276" s="40"/>
      <c r="H276" s="40" t="s">
        <v>2761</v>
      </c>
      <c r="I276" s="40" t="s">
        <v>2762</v>
      </c>
      <c r="J276" s="40" t="s">
        <v>2763</v>
      </c>
      <c r="K276" s="40" t="s">
        <v>2764</v>
      </c>
      <c r="L276" s="190">
        <v>24139</v>
      </c>
      <c r="M276" s="190">
        <v>0</v>
      </c>
      <c r="N276" s="40" t="s">
        <v>2759</v>
      </c>
      <c r="O276" s="41" t="str">
        <f t="shared" si="8"/>
        <v>EBS1_24139_0</v>
      </c>
      <c r="P276" s="41" t="s">
        <v>2765</v>
      </c>
      <c r="R276" s="41">
        <v>275</v>
      </c>
      <c r="T276" s="41" t="str">
        <f t="shared" si="9"/>
        <v>2413900:Var_ui_ErrNo:=275;</v>
      </c>
    </row>
    <row r="277" spans="1:20">
      <c r="A277" s="190">
        <v>276</v>
      </c>
      <c r="B277" s="40">
        <v>94</v>
      </c>
      <c r="C277" s="40">
        <v>76</v>
      </c>
      <c r="F277" s="40"/>
      <c r="G277" s="40"/>
      <c r="H277" s="40" t="s">
        <v>2761</v>
      </c>
      <c r="I277" s="40" t="s">
        <v>2766</v>
      </c>
      <c r="J277" s="40" t="s">
        <v>2767</v>
      </c>
      <c r="K277" s="40" t="s">
        <v>2768</v>
      </c>
      <c r="L277" s="190">
        <v>24140</v>
      </c>
      <c r="M277" s="190">
        <v>0</v>
      </c>
      <c r="N277" s="40" t="s">
        <v>2759</v>
      </c>
      <c r="O277" s="41" t="str">
        <f t="shared" si="8"/>
        <v>EBS1_24140_0</v>
      </c>
      <c r="P277" s="41" t="s">
        <v>2769</v>
      </c>
      <c r="R277" s="41">
        <v>276</v>
      </c>
      <c r="T277" s="41" t="str">
        <f t="shared" si="9"/>
        <v>2414000:Var_ui_ErrNo:=276;</v>
      </c>
    </row>
    <row r="278" spans="1:20">
      <c r="A278" s="190">
        <v>277</v>
      </c>
      <c r="B278" s="40">
        <v>94</v>
      </c>
      <c r="C278" s="40">
        <v>77</v>
      </c>
      <c r="F278" s="40"/>
      <c r="G278" s="40"/>
      <c r="H278" s="40" t="s">
        <v>2770</v>
      </c>
      <c r="I278" s="40" t="s">
        <v>2771</v>
      </c>
      <c r="J278" s="40" t="s">
        <v>2772</v>
      </c>
      <c r="K278" s="40" t="s">
        <v>2773</v>
      </c>
      <c r="L278" s="190">
        <v>24141</v>
      </c>
      <c r="M278" s="190">
        <v>0</v>
      </c>
      <c r="N278" s="40" t="s">
        <v>2774</v>
      </c>
      <c r="O278" s="41" t="str">
        <f t="shared" si="8"/>
        <v>EBS1_24141_0</v>
      </c>
      <c r="P278" s="41" t="s">
        <v>2775</v>
      </c>
      <c r="R278" s="41">
        <v>277</v>
      </c>
      <c r="T278" s="41" t="str">
        <f t="shared" si="9"/>
        <v>2414100:Var_ui_ErrNo:=277;</v>
      </c>
    </row>
    <row r="279" spans="1:20">
      <c r="A279" s="190">
        <v>278</v>
      </c>
      <c r="B279" s="40">
        <v>94</v>
      </c>
      <c r="C279" s="40">
        <v>78</v>
      </c>
      <c r="F279" s="40"/>
      <c r="G279" s="40"/>
      <c r="H279" s="40" t="s">
        <v>2770</v>
      </c>
      <c r="I279" s="40" t="s">
        <v>2776</v>
      </c>
      <c r="J279" s="40" t="s">
        <v>2777</v>
      </c>
      <c r="K279" s="40" t="s">
        <v>2778</v>
      </c>
      <c r="L279" s="190">
        <v>24142</v>
      </c>
      <c r="M279" s="190">
        <v>0</v>
      </c>
      <c r="N279" s="40" t="s">
        <v>2774</v>
      </c>
      <c r="O279" s="41" t="str">
        <f t="shared" si="8"/>
        <v>EBS1_24142_0</v>
      </c>
      <c r="P279" s="41" t="s">
        <v>2779</v>
      </c>
      <c r="R279" s="41">
        <v>278</v>
      </c>
      <c r="T279" s="41" t="str">
        <f t="shared" si="9"/>
        <v>2414200:Var_ui_ErrNo:=278;</v>
      </c>
    </row>
    <row r="280" spans="1:20">
      <c r="A280" s="190">
        <v>279</v>
      </c>
      <c r="B280" s="40">
        <v>94</v>
      </c>
      <c r="C280" s="40">
        <v>79</v>
      </c>
      <c r="F280" s="40"/>
      <c r="G280" s="40"/>
      <c r="H280" s="40" t="s">
        <v>2780</v>
      </c>
      <c r="I280" s="40" t="s">
        <v>2781</v>
      </c>
      <c r="J280" s="40" t="s">
        <v>2782</v>
      </c>
      <c r="K280" s="40" t="s">
        <v>2783</v>
      </c>
      <c r="L280" s="190">
        <v>24143</v>
      </c>
      <c r="M280" s="190">
        <v>0</v>
      </c>
      <c r="N280" s="40" t="s">
        <v>2784</v>
      </c>
      <c r="O280" s="41" t="str">
        <f t="shared" si="8"/>
        <v>EBS1_24143_0</v>
      </c>
      <c r="P280" s="41" t="s">
        <v>2785</v>
      </c>
      <c r="R280" s="41">
        <v>279</v>
      </c>
      <c r="T280" s="41" t="str">
        <f t="shared" si="9"/>
        <v>2414300:Var_ui_ErrNo:=279;</v>
      </c>
    </row>
    <row r="281" spans="1:20">
      <c r="A281" s="190">
        <v>280</v>
      </c>
      <c r="B281" s="40">
        <v>94</v>
      </c>
      <c r="C281" s="40">
        <v>80</v>
      </c>
      <c r="F281" s="40"/>
      <c r="G281" s="40"/>
      <c r="H281" s="40" t="s">
        <v>2786</v>
      </c>
      <c r="I281" s="40" t="s">
        <v>2766</v>
      </c>
      <c r="J281" s="40" t="s">
        <v>2787</v>
      </c>
      <c r="K281" s="40" t="s">
        <v>2788</v>
      </c>
      <c r="L281" s="190">
        <v>24144</v>
      </c>
      <c r="M281" s="190">
        <v>0</v>
      </c>
      <c r="N281" s="40" t="s">
        <v>2774</v>
      </c>
      <c r="O281" s="41" t="str">
        <f t="shared" si="8"/>
        <v>EBS1_24144_0</v>
      </c>
      <c r="P281" s="41" t="s">
        <v>2789</v>
      </c>
      <c r="R281" s="41">
        <v>280</v>
      </c>
      <c r="T281" s="41" t="str">
        <f t="shared" si="9"/>
        <v>2414400:Var_ui_ErrNo:=280;</v>
      </c>
    </row>
    <row r="282" spans="1:20">
      <c r="A282" s="190">
        <v>281</v>
      </c>
      <c r="B282" s="40">
        <v>94</v>
      </c>
      <c r="C282" s="40">
        <v>81</v>
      </c>
      <c r="F282" s="40"/>
      <c r="G282" s="40"/>
      <c r="H282" s="40" t="s">
        <v>2770</v>
      </c>
      <c r="I282" s="40" t="s">
        <v>2790</v>
      </c>
      <c r="J282" s="40" t="s">
        <v>2791</v>
      </c>
      <c r="K282" s="40" t="s">
        <v>2792</v>
      </c>
      <c r="L282" s="190">
        <v>24145</v>
      </c>
      <c r="M282" s="190">
        <v>0</v>
      </c>
      <c r="N282" s="40" t="s">
        <v>2774</v>
      </c>
      <c r="O282" s="41" t="str">
        <f t="shared" si="8"/>
        <v>EBS1_24145_0</v>
      </c>
      <c r="P282" s="41" t="s">
        <v>2793</v>
      </c>
      <c r="R282" s="41">
        <v>281</v>
      </c>
      <c r="T282" s="41" t="str">
        <f t="shared" si="9"/>
        <v>2414500:Var_ui_ErrNo:=281;</v>
      </c>
    </row>
    <row r="283" spans="1:20">
      <c r="A283" s="190">
        <v>282</v>
      </c>
      <c r="B283" s="40">
        <v>94</v>
      </c>
      <c r="C283" s="40">
        <v>82</v>
      </c>
      <c r="F283" s="40"/>
      <c r="G283" s="40"/>
      <c r="H283" s="40" t="s">
        <v>2794</v>
      </c>
      <c r="I283" s="40" t="s">
        <v>2795</v>
      </c>
      <c r="J283" s="40" t="s">
        <v>2796</v>
      </c>
      <c r="K283" s="40" t="s">
        <v>2797</v>
      </c>
      <c r="L283" s="190">
        <v>24146</v>
      </c>
      <c r="M283" s="190">
        <v>0</v>
      </c>
      <c r="N283" s="40" t="s">
        <v>2798</v>
      </c>
      <c r="O283" s="41" t="str">
        <f t="shared" si="8"/>
        <v>EBS1_24146_0</v>
      </c>
      <c r="P283" s="41" t="s">
        <v>2799</v>
      </c>
      <c r="R283" s="41">
        <v>282</v>
      </c>
      <c r="T283" s="41" t="str">
        <f t="shared" si="9"/>
        <v>2414600:Var_ui_ErrNo:=282;</v>
      </c>
    </row>
    <row r="284" spans="1:20">
      <c r="A284" s="190">
        <v>283</v>
      </c>
      <c r="B284" s="40">
        <v>94</v>
      </c>
      <c r="C284" s="40">
        <v>83</v>
      </c>
      <c r="F284" s="40"/>
      <c r="G284" s="40"/>
      <c r="H284" s="40" t="s">
        <v>2800</v>
      </c>
      <c r="I284" s="40" t="s">
        <v>2801</v>
      </c>
      <c r="J284" s="40" t="s">
        <v>2802</v>
      </c>
      <c r="K284" s="40" t="s">
        <v>2803</v>
      </c>
      <c r="L284" s="190">
        <v>24147</v>
      </c>
      <c r="M284" s="190">
        <v>0</v>
      </c>
      <c r="N284" s="40" t="s">
        <v>2798</v>
      </c>
      <c r="O284" s="41" t="str">
        <f t="shared" si="8"/>
        <v>EBS1_24147_0</v>
      </c>
      <c r="P284" s="41" t="s">
        <v>2804</v>
      </c>
      <c r="R284" s="41">
        <v>283</v>
      </c>
      <c r="T284" s="41" t="str">
        <f t="shared" si="9"/>
        <v>2414700:Var_ui_ErrNo:=283;</v>
      </c>
    </row>
    <row r="285" spans="1:20">
      <c r="A285" s="190">
        <v>284</v>
      </c>
      <c r="B285" s="40">
        <v>94</v>
      </c>
      <c r="C285" s="40">
        <v>84</v>
      </c>
      <c r="F285" s="40"/>
      <c r="G285" s="40"/>
      <c r="H285" s="40" t="s">
        <v>2805</v>
      </c>
      <c r="I285" s="40" t="s">
        <v>2806</v>
      </c>
      <c r="J285" s="40" t="s">
        <v>2807</v>
      </c>
      <c r="K285" s="40" t="s">
        <v>2808</v>
      </c>
      <c r="L285" s="190">
        <v>24148</v>
      </c>
      <c r="M285" s="190">
        <v>0</v>
      </c>
      <c r="N285" s="40" t="s">
        <v>2809</v>
      </c>
      <c r="O285" s="41" t="str">
        <f t="shared" si="8"/>
        <v>EBS1_24148_0</v>
      </c>
      <c r="P285" s="41" t="s">
        <v>2810</v>
      </c>
      <c r="R285" s="41">
        <v>284</v>
      </c>
      <c r="T285" s="41" t="str">
        <f t="shared" si="9"/>
        <v>2414800:Var_ui_ErrNo:=284;</v>
      </c>
    </row>
    <row r="286" spans="1:20">
      <c r="A286" s="190">
        <v>285</v>
      </c>
      <c r="B286" s="40">
        <v>94</v>
      </c>
      <c r="C286" s="40">
        <v>85</v>
      </c>
      <c r="F286" s="40"/>
      <c r="G286" s="40"/>
      <c r="H286" s="40" t="s">
        <v>2811</v>
      </c>
      <c r="I286" s="40" t="s">
        <v>2812</v>
      </c>
      <c r="J286" s="40" t="s">
        <v>2813</v>
      </c>
      <c r="K286" s="40" t="s">
        <v>2814</v>
      </c>
      <c r="L286" s="190">
        <v>24149</v>
      </c>
      <c r="M286" s="190">
        <v>0</v>
      </c>
      <c r="N286" s="40" t="s">
        <v>2815</v>
      </c>
      <c r="O286" s="41" t="str">
        <f t="shared" si="8"/>
        <v>EBS1_24149_0</v>
      </c>
      <c r="P286" s="41" t="s">
        <v>2816</v>
      </c>
      <c r="R286" s="41">
        <v>285</v>
      </c>
      <c r="T286" s="41" t="str">
        <f t="shared" si="9"/>
        <v>2414900:Var_ui_ErrNo:=285;</v>
      </c>
    </row>
    <row r="287" spans="1:20">
      <c r="A287" s="190">
        <v>286</v>
      </c>
      <c r="B287" s="40">
        <v>94</v>
      </c>
      <c r="C287" s="40">
        <v>86</v>
      </c>
      <c r="F287" s="40"/>
      <c r="G287" s="40"/>
      <c r="H287" s="40" t="s">
        <v>2817</v>
      </c>
      <c r="I287" s="40" t="s">
        <v>2818</v>
      </c>
      <c r="J287" s="40" t="s">
        <v>2819</v>
      </c>
      <c r="K287" s="40" t="s">
        <v>2820</v>
      </c>
      <c r="L287" s="190">
        <v>24150</v>
      </c>
      <c r="M287" s="190">
        <v>0</v>
      </c>
      <c r="N287" s="40" t="s">
        <v>2821</v>
      </c>
      <c r="O287" s="41" t="str">
        <f t="shared" si="8"/>
        <v>EBS1_24150_0</v>
      </c>
      <c r="P287" s="41" t="s">
        <v>2822</v>
      </c>
      <c r="R287" s="41">
        <v>286</v>
      </c>
      <c r="T287" s="41" t="str">
        <f t="shared" si="9"/>
        <v>2415000:Var_ui_ErrNo:=286;</v>
      </c>
    </row>
    <row r="288" spans="1:20">
      <c r="A288" s="190">
        <v>287</v>
      </c>
      <c r="B288" s="40">
        <v>95</v>
      </c>
      <c r="C288" s="40">
        <v>20</v>
      </c>
      <c r="F288" s="40"/>
      <c r="G288" s="40"/>
      <c r="H288" s="40" t="s">
        <v>2823</v>
      </c>
      <c r="I288" s="40" t="s">
        <v>2824</v>
      </c>
      <c r="J288" s="40" t="s">
        <v>2825</v>
      </c>
      <c r="K288" s="40" t="s">
        <v>2826</v>
      </c>
      <c r="L288" s="190">
        <v>24340</v>
      </c>
      <c r="M288" s="190">
        <v>0</v>
      </c>
      <c r="N288" s="40" t="s">
        <v>2827</v>
      </c>
      <c r="O288" s="41" t="str">
        <f t="shared" si="8"/>
        <v>EBS1_24340_0</v>
      </c>
      <c r="P288" s="41" t="s">
        <v>2828</v>
      </c>
      <c r="R288" s="41">
        <v>287</v>
      </c>
      <c r="T288" s="41" t="str">
        <f t="shared" si="9"/>
        <v>2434000:Var_ui_ErrNo:=287;</v>
      </c>
    </row>
    <row r="289" spans="1:20">
      <c r="A289" s="190">
        <v>288</v>
      </c>
      <c r="B289" s="40">
        <v>95</v>
      </c>
      <c r="C289" s="40">
        <v>21</v>
      </c>
      <c r="F289" s="40"/>
      <c r="G289" s="40"/>
      <c r="H289" s="40" t="s">
        <v>2829</v>
      </c>
      <c r="I289" s="40" t="s">
        <v>2830</v>
      </c>
      <c r="J289" s="40" t="s">
        <v>2831</v>
      </c>
      <c r="K289" s="40" t="s">
        <v>2832</v>
      </c>
      <c r="L289" s="190">
        <v>24341</v>
      </c>
      <c r="M289" s="190">
        <v>0</v>
      </c>
      <c r="N289" s="40" t="s">
        <v>2833</v>
      </c>
      <c r="O289" s="41" t="str">
        <f t="shared" si="8"/>
        <v>EBS1_24341_0</v>
      </c>
      <c r="P289" s="41" t="s">
        <v>2834</v>
      </c>
      <c r="R289" s="41">
        <v>288</v>
      </c>
      <c r="T289" s="41" t="str">
        <f t="shared" si="9"/>
        <v>2434100:Var_ui_ErrNo:=288;</v>
      </c>
    </row>
    <row r="290" spans="1:20">
      <c r="A290" s="190">
        <v>289</v>
      </c>
      <c r="B290" s="40">
        <v>96</v>
      </c>
      <c r="C290" s="40">
        <v>0</v>
      </c>
      <c r="F290" s="40"/>
      <c r="G290" s="40"/>
      <c r="H290" s="40" t="s">
        <v>2835</v>
      </c>
      <c r="I290" s="40" t="s">
        <v>2836</v>
      </c>
      <c r="J290" s="40" t="s">
        <v>2837</v>
      </c>
      <c r="K290" s="40" t="s">
        <v>2838</v>
      </c>
      <c r="L290" s="190">
        <v>24576</v>
      </c>
      <c r="M290" s="190">
        <v>0</v>
      </c>
      <c r="N290" s="40" t="s">
        <v>2839</v>
      </c>
      <c r="O290" s="41" t="str">
        <f t="shared" si="8"/>
        <v>EBS1_24576_0</v>
      </c>
      <c r="P290" s="41" t="s">
        <v>2840</v>
      </c>
      <c r="R290" s="41">
        <v>289</v>
      </c>
      <c r="T290" s="41" t="str">
        <f t="shared" si="9"/>
        <v>2457600:Var_ui_ErrNo:=289;</v>
      </c>
    </row>
    <row r="291" spans="1:20">
      <c r="A291" s="190">
        <v>290</v>
      </c>
      <c r="B291" s="40">
        <v>96</v>
      </c>
      <c r="C291" s="40">
        <v>1</v>
      </c>
      <c r="F291" s="40"/>
      <c r="G291" s="40"/>
      <c r="H291" s="40" t="s">
        <v>2841</v>
      </c>
      <c r="I291" s="40" t="s">
        <v>2842</v>
      </c>
      <c r="J291" s="40" t="s">
        <v>2843</v>
      </c>
      <c r="K291" s="40" t="s">
        <v>2844</v>
      </c>
      <c r="L291" s="190">
        <v>24577</v>
      </c>
      <c r="M291" s="190">
        <v>0</v>
      </c>
      <c r="N291" s="40" t="s">
        <v>2845</v>
      </c>
      <c r="O291" s="41" t="str">
        <f t="shared" si="8"/>
        <v>EBS1_24577_0</v>
      </c>
      <c r="P291" s="41" t="s">
        <v>2846</v>
      </c>
      <c r="R291" s="41">
        <v>290</v>
      </c>
      <c r="T291" s="41" t="str">
        <f t="shared" si="9"/>
        <v>2457700:Var_ui_ErrNo:=290;</v>
      </c>
    </row>
    <row r="292" spans="1:20">
      <c r="A292" s="190">
        <v>291</v>
      </c>
      <c r="B292" s="40">
        <v>96</v>
      </c>
      <c r="C292" s="40">
        <v>32</v>
      </c>
      <c r="F292" s="40"/>
      <c r="G292" s="40"/>
      <c r="H292" s="40" t="s">
        <v>2847</v>
      </c>
      <c r="I292" s="40" t="s">
        <v>2848</v>
      </c>
      <c r="J292" s="40" t="s">
        <v>2849</v>
      </c>
      <c r="K292" s="40" t="s">
        <v>2850</v>
      </c>
      <c r="L292" s="190">
        <v>24608</v>
      </c>
      <c r="M292" s="190">
        <v>0</v>
      </c>
      <c r="N292" s="40" t="s">
        <v>2851</v>
      </c>
      <c r="O292" s="41" t="str">
        <f t="shared" si="8"/>
        <v>EBS1_24608_0</v>
      </c>
      <c r="P292" s="41" t="s">
        <v>2852</v>
      </c>
      <c r="R292" s="41">
        <v>291</v>
      </c>
      <c r="T292" s="41" t="str">
        <f t="shared" si="9"/>
        <v>2460800:Var_ui_ErrNo:=291;</v>
      </c>
    </row>
    <row r="293" spans="1:20">
      <c r="A293" s="190">
        <v>292</v>
      </c>
      <c r="B293" s="40">
        <v>96</v>
      </c>
      <c r="C293" s="40">
        <v>33</v>
      </c>
      <c r="F293" s="40"/>
      <c r="G293" s="40"/>
      <c r="H293" s="40" t="s">
        <v>2853</v>
      </c>
      <c r="I293" s="40" t="s">
        <v>2854</v>
      </c>
      <c r="J293" s="40" t="s">
        <v>2855</v>
      </c>
      <c r="K293" s="40" t="s">
        <v>2856</v>
      </c>
      <c r="L293" s="190">
        <v>24609</v>
      </c>
      <c r="M293" s="190">
        <v>0</v>
      </c>
      <c r="N293" s="40" t="s">
        <v>2857</v>
      </c>
      <c r="O293" s="41" t="str">
        <f t="shared" si="8"/>
        <v>EBS1_24609_0</v>
      </c>
      <c r="P293" s="41" t="s">
        <v>2858</v>
      </c>
      <c r="R293" s="41">
        <v>292</v>
      </c>
      <c r="T293" s="41" t="str">
        <f t="shared" si="9"/>
        <v>2460900:Var_ui_ErrNo:=292;</v>
      </c>
    </row>
    <row r="294" spans="1:20">
      <c r="A294" s="190">
        <v>293</v>
      </c>
      <c r="B294" s="40">
        <v>96</v>
      </c>
      <c r="C294" s="40">
        <v>39</v>
      </c>
      <c r="F294" s="40"/>
      <c r="G294" s="40"/>
      <c r="H294" s="40" t="s">
        <v>2859</v>
      </c>
      <c r="I294" s="40" t="s">
        <v>2860</v>
      </c>
      <c r="J294" s="40" t="s">
        <v>2861</v>
      </c>
      <c r="K294" s="40" t="s">
        <v>2862</v>
      </c>
      <c r="L294" s="190">
        <v>24615</v>
      </c>
      <c r="M294" s="190">
        <v>0</v>
      </c>
      <c r="N294" s="40" t="s">
        <v>2863</v>
      </c>
      <c r="O294" s="41" t="str">
        <f t="shared" si="8"/>
        <v>EBS1_24615_0</v>
      </c>
      <c r="P294" s="41" t="s">
        <v>2864</v>
      </c>
      <c r="R294" s="41">
        <v>293</v>
      </c>
      <c r="T294" s="41" t="str">
        <f t="shared" si="9"/>
        <v>2461500:Var_ui_ErrNo:=293;</v>
      </c>
    </row>
    <row r="295" spans="1:20">
      <c r="A295" s="190">
        <v>294</v>
      </c>
      <c r="B295" s="40">
        <v>96</v>
      </c>
      <c r="C295" s="40">
        <v>45</v>
      </c>
      <c r="F295" s="40"/>
      <c r="G295" s="40"/>
      <c r="H295" s="40" t="s">
        <v>2865</v>
      </c>
      <c r="I295" s="40" t="s">
        <v>2866</v>
      </c>
      <c r="J295" s="40" t="s">
        <v>2867</v>
      </c>
      <c r="K295" s="40" t="s">
        <v>2868</v>
      </c>
      <c r="L295" s="190">
        <v>24621</v>
      </c>
      <c r="M295" s="190">
        <v>0</v>
      </c>
      <c r="N295" s="40" t="s">
        <v>2869</v>
      </c>
      <c r="O295" s="41" t="str">
        <f t="shared" si="8"/>
        <v>EBS1_24621_0</v>
      </c>
      <c r="P295" s="41" t="s">
        <v>2870</v>
      </c>
      <c r="R295" s="41">
        <v>294</v>
      </c>
      <c r="T295" s="41" t="str">
        <f t="shared" si="9"/>
        <v>2462100:Var_ui_ErrNo:=294;</v>
      </c>
    </row>
    <row r="296" spans="1:20">
      <c r="A296" s="190">
        <v>295</v>
      </c>
      <c r="B296" s="40">
        <v>96</v>
      </c>
      <c r="C296" s="40">
        <v>47</v>
      </c>
      <c r="F296" s="40"/>
      <c r="G296" s="40"/>
      <c r="H296" s="40" t="s">
        <v>2871</v>
      </c>
      <c r="I296" s="40" t="s">
        <v>2872</v>
      </c>
      <c r="J296" s="40" t="s">
        <v>2873</v>
      </c>
      <c r="K296" s="40" t="s">
        <v>2874</v>
      </c>
      <c r="L296" s="190">
        <v>24623</v>
      </c>
      <c r="M296" s="190">
        <v>0</v>
      </c>
      <c r="N296" s="40" t="s">
        <v>2875</v>
      </c>
      <c r="O296" s="41" t="str">
        <f t="shared" si="8"/>
        <v>EBS1_24623_0</v>
      </c>
      <c r="P296" s="41" t="s">
        <v>2876</v>
      </c>
      <c r="R296" s="41">
        <v>295</v>
      </c>
      <c r="T296" s="41" t="str">
        <f t="shared" si="9"/>
        <v>2462300:Var_ui_ErrNo:=295;</v>
      </c>
    </row>
    <row r="297" spans="1:20">
      <c r="A297" s="190">
        <v>296</v>
      </c>
      <c r="B297" s="40">
        <v>96</v>
      </c>
      <c r="C297" s="40">
        <v>48</v>
      </c>
      <c r="F297" s="40"/>
      <c r="G297" s="40"/>
      <c r="H297" s="40" t="s">
        <v>2877</v>
      </c>
      <c r="I297" s="40" t="s">
        <v>2878</v>
      </c>
      <c r="J297" s="40" t="s">
        <v>2879</v>
      </c>
      <c r="K297" s="40" t="s">
        <v>2880</v>
      </c>
      <c r="L297" s="190">
        <v>24624</v>
      </c>
      <c r="M297" s="190">
        <v>0</v>
      </c>
      <c r="N297" s="40" t="s">
        <v>2881</v>
      </c>
      <c r="O297" s="41" t="str">
        <f t="shared" si="8"/>
        <v>EBS1_24624_0</v>
      </c>
      <c r="P297" s="41" t="s">
        <v>2882</v>
      </c>
      <c r="R297" s="41">
        <v>296</v>
      </c>
      <c r="T297" s="41" t="str">
        <f t="shared" si="9"/>
        <v>2462400:Var_ui_ErrNo:=296;</v>
      </c>
    </row>
    <row r="298" spans="1:20">
      <c r="A298" s="190">
        <v>297</v>
      </c>
      <c r="B298" s="40">
        <v>96</v>
      </c>
      <c r="C298" s="40">
        <v>49</v>
      </c>
      <c r="F298" s="40"/>
      <c r="G298" s="40"/>
      <c r="H298" s="40" t="s">
        <v>2883</v>
      </c>
      <c r="I298" s="40" t="s">
        <v>2884</v>
      </c>
      <c r="J298" s="40" t="s">
        <v>2885</v>
      </c>
      <c r="K298" s="40" t="s">
        <v>2886</v>
      </c>
      <c r="L298" s="190">
        <v>24625</v>
      </c>
      <c r="M298" s="190">
        <v>0</v>
      </c>
      <c r="N298" s="40" t="s">
        <v>2887</v>
      </c>
      <c r="O298" s="41" t="str">
        <f t="shared" si="8"/>
        <v>EBS1_24625_0</v>
      </c>
      <c r="P298" s="41" t="s">
        <v>2888</v>
      </c>
      <c r="R298" s="41">
        <v>297</v>
      </c>
      <c r="T298" s="41" t="str">
        <f t="shared" si="9"/>
        <v>2462500:Var_ui_ErrNo:=297;</v>
      </c>
    </row>
    <row r="299" spans="1:20">
      <c r="A299" s="190">
        <v>298</v>
      </c>
      <c r="B299" s="40">
        <v>100</v>
      </c>
      <c r="C299" s="40">
        <v>0</v>
      </c>
      <c r="F299" s="40"/>
      <c r="G299" s="40"/>
      <c r="H299" s="40" t="s">
        <v>2889</v>
      </c>
      <c r="I299" s="40" t="s">
        <v>2890</v>
      </c>
      <c r="J299" s="40" t="s">
        <v>2891</v>
      </c>
      <c r="K299" s="40" t="s">
        <v>2892</v>
      </c>
      <c r="L299" s="190">
        <v>25600</v>
      </c>
      <c r="M299" s="190">
        <v>0</v>
      </c>
      <c r="N299" s="40" t="s">
        <v>2893</v>
      </c>
      <c r="O299" s="41" t="str">
        <f t="shared" si="8"/>
        <v>EBS1_25600_0</v>
      </c>
      <c r="P299" s="41" t="s">
        <v>2894</v>
      </c>
      <c r="R299" s="41">
        <v>298</v>
      </c>
      <c r="T299" s="41" t="str">
        <f t="shared" si="9"/>
        <v>2560000:Var_ui_ErrNo:=298;</v>
      </c>
    </row>
    <row r="300" spans="1:20">
      <c r="A300" s="190">
        <v>299</v>
      </c>
      <c r="B300" s="40">
        <v>101</v>
      </c>
      <c r="C300" s="40">
        <v>0</v>
      </c>
      <c r="F300" s="40"/>
      <c r="G300" s="40"/>
      <c r="H300" s="40" t="s">
        <v>2895</v>
      </c>
      <c r="I300" s="40" t="s">
        <v>2890</v>
      </c>
      <c r="J300" s="40" t="s">
        <v>2896</v>
      </c>
      <c r="K300" s="40" t="s">
        <v>2897</v>
      </c>
      <c r="L300" s="190">
        <v>25856</v>
      </c>
      <c r="M300" s="190">
        <v>0</v>
      </c>
      <c r="N300" s="40" t="s">
        <v>2898</v>
      </c>
      <c r="O300" s="41" t="str">
        <f t="shared" si="8"/>
        <v>EBS1_25856_0</v>
      </c>
      <c r="P300" s="41" t="s">
        <v>2899</v>
      </c>
      <c r="R300" s="41">
        <v>299</v>
      </c>
      <c r="T300" s="41" t="str">
        <f t="shared" si="9"/>
        <v>2585600:Var_ui_ErrNo:=299;</v>
      </c>
    </row>
    <row r="301" spans="1:20">
      <c r="A301" s="190">
        <v>300</v>
      </c>
      <c r="B301" s="40">
        <v>102</v>
      </c>
      <c r="C301" s="40">
        <v>0</v>
      </c>
      <c r="F301" s="40"/>
      <c r="G301" s="40"/>
      <c r="H301" s="40" t="s">
        <v>2900</v>
      </c>
      <c r="I301" s="40" t="s">
        <v>2890</v>
      </c>
      <c r="J301" s="40" t="s">
        <v>2901</v>
      </c>
      <c r="K301" s="40" t="s">
        <v>2902</v>
      </c>
      <c r="L301" s="190">
        <v>26112</v>
      </c>
      <c r="M301" s="190">
        <v>0</v>
      </c>
      <c r="N301" s="40" t="s">
        <v>2903</v>
      </c>
      <c r="O301" s="41" t="str">
        <f t="shared" si="8"/>
        <v>EBS1_26112_0</v>
      </c>
      <c r="P301" s="41" t="s">
        <v>2904</v>
      </c>
      <c r="R301" s="41">
        <v>300</v>
      </c>
      <c r="T301" s="41" t="str">
        <f t="shared" si="9"/>
        <v>2611200:Var_ui_ErrNo:=300;</v>
      </c>
    </row>
    <row r="302" spans="1:20">
      <c r="A302" s="190">
        <v>301</v>
      </c>
      <c r="B302" s="40">
        <v>103</v>
      </c>
      <c r="C302" s="40">
        <v>0</v>
      </c>
      <c r="F302" s="40"/>
      <c r="G302" s="40"/>
      <c r="H302" s="40" t="s">
        <v>2905</v>
      </c>
      <c r="I302" s="40" t="s">
        <v>2890</v>
      </c>
      <c r="J302" s="40" t="s">
        <v>2906</v>
      </c>
      <c r="K302" s="40" t="s">
        <v>2907</v>
      </c>
      <c r="L302" s="190">
        <v>26368</v>
      </c>
      <c r="M302" s="190">
        <v>0</v>
      </c>
      <c r="N302" s="40" t="s">
        <v>2908</v>
      </c>
      <c r="O302" s="41" t="str">
        <f t="shared" si="8"/>
        <v>EBS1_26368_0</v>
      </c>
      <c r="P302" s="41" t="s">
        <v>2909</v>
      </c>
      <c r="R302" s="41">
        <v>301</v>
      </c>
      <c r="T302" s="41" t="str">
        <f t="shared" si="9"/>
        <v>2636800:Var_ui_ErrNo:=301;</v>
      </c>
    </row>
    <row r="303" spans="1:20">
      <c r="A303" s="190">
        <v>302</v>
      </c>
      <c r="B303" s="40">
        <v>104</v>
      </c>
      <c r="C303" s="40">
        <v>0</v>
      </c>
      <c r="F303" s="40"/>
      <c r="G303" s="40"/>
      <c r="H303" s="40" t="s">
        <v>2910</v>
      </c>
      <c r="I303" s="40" t="s">
        <v>2890</v>
      </c>
      <c r="J303" s="40" t="s">
        <v>2911</v>
      </c>
      <c r="K303" s="40" t="s">
        <v>2912</v>
      </c>
      <c r="L303" s="190">
        <v>26624</v>
      </c>
      <c r="M303" s="190">
        <v>0</v>
      </c>
      <c r="N303" s="40" t="s">
        <v>2913</v>
      </c>
      <c r="O303" s="41" t="str">
        <f t="shared" si="8"/>
        <v>EBS1_26624_0</v>
      </c>
      <c r="P303" s="41" t="s">
        <v>2914</v>
      </c>
      <c r="R303" s="41">
        <v>302</v>
      </c>
      <c r="T303" s="41" t="str">
        <f t="shared" si="9"/>
        <v>2662400:Var_ui_ErrNo:=302;</v>
      </c>
    </row>
    <row r="304" spans="1:20">
      <c r="A304" s="190">
        <v>303</v>
      </c>
      <c r="B304" s="40">
        <v>105</v>
      </c>
      <c r="C304" s="40">
        <v>0</v>
      </c>
      <c r="F304" s="40"/>
      <c r="G304" s="40"/>
      <c r="H304" s="40" t="s">
        <v>2915</v>
      </c>
      <c r="I304" s="40" t="s">
        <v>2890</v>
      </c>
      <c r="J304" s="40" t="s">
        <v>2916</v>
      </c>
      <c r="K304" s="40" t="s">
        <v>2917</v>
      </c>
      <c r="L304" s="190">
        <v>26880</v>
      </c>
      <c r="M304" s="190">
        <v>0</v>
      </c>
      <c r="N304" s="40" t="s">
        <v>2918</v>
      </c>
      <c r="O304" s="41" t="str">
        <f t="shared" si="8"/>
        <v>EBS1_26880_0</v>
      </c>
      <c r="P304" s="41" t="s">
        <v>2919</v>
      </c>
      <c r="R304" s="41">
        <v>303</v>
      </c>
      <c r="T304" s="41" t="str">
        <f t="shared" si="9"/>
        <v>2688000:Var_ui_ErrNo:=303;</v>
      </c>
    </row>
    <row r="305" spans="1:20">
      <c r="A305" s="190">
        <v>304</v>
      </c>
      <c r="B305" s="40">
        <v>100</v>
      </c>
      <c r="C305" s="40">
        <v>29</v>
      </c>
      <c r="F305" s="40"/>
      <c r="G305" s="40"/>
      <c r="H305" s="40" t="s">
        <v>2920</v>
      </c>
      <c r="I305" s="40" t="s">
        <v>2921</v>
      </c>
      <c r="J305" s="40" t="s">
        <v>2922</v>
      </c>
      <c r="K305" s="40" t="s">
        <v>2923</v>
      </c>
      <c r="L305" s="190">
        <v>25629</v>
      </c>
      <c r="M305" s="190">
        <v>0</v>
      </c>
      <c r="N305" s="40" t="s">
        <v>2924</v>
      </c>
      <c r="O305" s="41" t="str">
        <f t="shared" si="8"/>
        <v>EBS1_25629_0</v>
      </c>
      <c r="P305" s="41" t="s">
        <v>2925</v>
      </c>
      <c r="R305" s="41">
        <v>304</v>
      </c>
      <c r="T305" s="41" t="str">
        <f t="shared" si="9"/>
        <v>2562900:Var_ui_ErrNo:=304;</v>
      </c>
    </row>
    <row r="306" spans="1:20">
      <c r="A306" s="190">
        <v>305</v>
      </c>
      <c r="B306" s="40">
        <v>101</v>
      </c>
      <c r="C306" s="40">
        <v>29</v>
      </c>
      <c r="F306" s="40"/>
      <c r="G306" s="40"/>
      <c r="H306" s="40" t="s">
        <v>2926</v>
      </c>
      <c r="I306" s="40" t="s">
        <v>2921</v>
      </c>
      <c r="J306" s="40" t="s">
        <v>2927</v>
      </c>
      <c r="K306" s="40" t="s">
        <v>2928</v>
      </c>
      <c r="L306" s="190">
        <v>25885</v>
      </c>
      <c r="M306" s="190">
        <v>0</v>
      </c>
      <c r="N306" s="40" t="s">
        <v>2929</v>
      </c>
      <c r="O306" s="41" t="str">
        <f t="shared" si="8"/>
        <v>EBS1_25885_0</v>
      </c>
      <c r="P306" s="41" t="s">
        <v>2930</v>
      </c>
      <c r="R306" s="41">
        <v>305</v>
      </c>
      <c r="T306" s="41" t="str">
        <f t="shared" si="9"/>
        <v>2588500:Var_ui_ErrNo:=305;</v>
      </c>
    </row>
    <row r="307" spans="1:20">
      <c r="A307" s="190">
        <v>306</v>
      </c>
      <c r="B307" s="40">
        <v>102</v>
      </c>
      <c r="C307" s="40">
        <v>29</v>
      </c>
      <c r="F307" s="40"/>
      <c r="G307" s="40"/>
      <c r="H307" s="40" t="s">
        <v>2931</v>
      </c>
      <c r="I307" s="40" t="s">
        <v>2921</v>
      </c>
      <c r="J307" s="40" t="s">
        <v>2932</v>
      </c>
      <c r="K307" s="40" t="s">
        <v>2933</v>
      </c>
      <c r="L307" s="190">
        <v>26141</v>
      </c>
      <c r="M307" s="190">
        <v>0</v>
      </c>
      <c r="N307" s="40" t="s">
        <v>2934</v>
      </c>
      <c r="O307" s="41" t="str">
        <f t="shared" si="8"/>
        <v>EBS1_26141_0</v>
      </c>
      <c r="P307" s="41" t="s">
        <v>2935</v>
      </c>
      <c r="R307" s="41">
        <v>306</v>
      </c>
      <c r="T307" s="41" t="str">
        <f t="shared" si="9"/>
        <v>2614100:Var_ui_ErrNo:=306;</v>
      </c>
    </row>
    <row r="308" spans="1:20">
      <c r="A308" s="190">
        <v>307</v>
      </c>
      <c r="B308" s="40">
        <v>103</v>
      </c>
      <c r="C308" s="40">
        <v>29</v>
      </c>
      <c r="F308" s="40"/>
      <c r="G308" s="40"/>
      <c r="H308" s="40" t="s">
        <v>2936</v>
      </c>
      <c r="I308" s="40" t="s">
        <v>2921</v>
      </c>
      <c r="J308" s="40" t="s">
        <v>2937</v>
      </c>
      <c r="K308" s="40" t="s">
        <v>2938</v>
      </c>
      <c r="L308" s="190">
        <v>26397</v>
      </c>
      <c r="M308" s="190">
        <v>0</v>
      </c>
      <c r="N308" s="40" t="s">
        <v>2939</v>
      </c>
      <c r="O308" s="41" t="str">
        <f t="shared" si="8"/>
        <v>EBS1_26397_0</v>
      </c>
      <c r="P308" s="41" t="s">
        <v>2940</v>
      </c>
      <c r="R308" s="41">
        <v>307</v>
      </c>
      <c r="T308" s="41" t="str">
        <f t="shared" si="9"/>
        <v>2639700:Var_ui_ErrNo:=307;</v>
      </c>
    </row>
    <row r="309" spans="1:20">
      <c r="A309" s="190">
        <v>308</v>
      </c>
      <c r="B309" s="40">
        <v>104</v>
      </c>
      <c r="C309" s="40">
        <v>29</v>
      </c>
      <c r="F309" s="40"/>
      <c r="G309" s="40"/>
      <c r="H309" s="40" t="s">
        <v>2941</v>
      </c>
      <c r="I309" s="40" t="s">
        <v>2921</v>
      </c>
      <c r="J309" s="40" t="s">
        <v>2942</v>
      </c>
      <c r="K309" s="40" t="s">
        <v>2943</v>
      </c>
      <c r="L309" s="190">
        <v>26653</v>
      </c>
      <c r="M309" s="190">
        <v>0</v>
      </c>
      <c r="N309" s="40" t="s">
        <v>2944</v>
      </c>
      <c r="O309" s="41" t="str">
        <f t="shared" si="8"/>
        <v>EBS1_26653_0</v>
      </c>
      <c r="P309" s="41" t="s">
        <v>2945</v>
      </c>
      <c r="R309" s="41">
        <v>308</v>
      </c>
      <c r="T309" s="41" t="str">
        <f t="shared" si="9"/>
        <v>2665300:Var_ui_ErrNo:=308;</v>
      </c>
    </row>
    <row r="310" spans="1:20">
      <c r="A310" s="190">
        <v>309</v>
      </c>
      <c r="B310" s="40">
        <v>105</v>
      </c>
      <c r="C310" s="40">
        <v>29</v>
      </c>
      <c r="F310" s="40"/>
      <c r="G310" s="40"/>
      <c r="H310" s="40" t="s">
        <v>2946</v>
      </c>
      <c r="I310" s="40" t="s">
        <v>2921</v>
      </c>
      <c r="J310" s="40" t="s">
        <v>2947</v>
      </c>
      <c r="K310" s="40" t="s">
        <v>2948</v>
      </c>
      <c r="L310" s="190">
        <v>26909</v>
      </c>
      <c r="M310" s="190">
        <v>0</v>
      </c>
      <c r="N310" s="40" t="s">
        <v>2949</v>
      </c>
      <c r="O310" s="41" t="str">
        <f t="shared" si="8"/>
        <v>EBS1_26909_0</v>
      </c>
      <c r="P310" s="41" t="s">
        <v>2950</v>
      </c>
      <c r="R310" s="41">
        <v>309</v>
      </c>
      <c r="T310" s="41" t="str">
        <f t="shared" si="9"/>
        <v>2690900:Var_ui_ErrNo:=309;</v>
      </c>
    </row>
    <row r="311" spans="1:20">
      <c r="A311" s="190">
        <v>310</v>
      </c>
      <c r="B311" s="40">
        <v>100</v>
      </c>
      <c r="C311" s="40">
        <v>35</v>
      </c>
      <c r="F311" s="40"/>
      <c r="G311" s="40"/>
      <c r="H311" s="40" t="s">
        <v>2951</v>
      </c>
      <c r="I311" s="40" t="s">
        <v>2952</v>
      </c>
      <c r="J311" s="40" t="s">
        <v>2953</v>
      </c>
      <c r="K311" s="40" t="s">
        <v>2954</v>
      </c>
      <c r="L311" s="190">
        <v>25635</v>
      </c>
      <c r="M311" s="190">
        <v>0</v>
      </c>
      <c r="N311" s="40" t="s">
        <v>2955</v>
      </c>
      <c r="O311" s="41" t="str">
        <f t="shared" si="8"/>
        <v>EBS1_25635_0</v>
      </c>
      <c r="P311" s="41" t="s">
        <v>2956</v>
      </c>
      <c r="R311" s="41">
        <v>310</v>
      </c>
      <c r="T311" s="41" t="str">
        <f t="shared" si="9"/>
        <v>2563500:Var_ui_ErrNo:=310;</v>
      </c>
    </row>
    <row r="312" spans="1:20">
      <c r="A312" s="190">
        <v>311</v>
      </c>
      <c r="B312" s="40">
        <v>101</v>
      </c>
      <c r="C312" s="40">
        <v>35</v>
      </c>
      <c r="F312" s="40"/>
      <c r="G312" s="40"/>
      <c r="H312" s="40" t="s">
        <v>2957</v>
      </c>
      <c r="I312" s="40" t="s">
        <v>2952</v>
      </c>
      <c r="J312" s="40" t="s">
        <v>2958</v>
      </c>
      <c r="K312" s="40" t="s">
        <v>2959</v>
      </c>
      <c r="L312" s="190">
        <v>25891</v>
      </c>
      <c r="M312" s="190">
        <v>0</v>
      </c>
      <c r="N312" s="40" t="s">
        <v>2960</v>
      </c>
      <c r="O312" s="41" t="str">
        <f t="shared" si="8"/>
        <v>EBS1_25891_0</v>
      </c>
      <c r="P312" s="41" t="s">
        <v>2961</v>
      </c>
      <c r="R312" s="41">
        <v>311</v>
      </c>
      <c r="T312" s="41" t="str">
        <f t="shared" si="9"/>
        <v>2589100:Var_ui_ErrNo:=311;</v>
      </c>
    </row>
    <row r="313" spans="1:20">
      <c r="A313" s="190">
        <v>312</v>
      </c>
      <c r="B313" s="40">
        <v>102</v>
      </c>
      <c r="C313" s="40">
        <v>35</v>
      </c>
      <c r="F313" s="40"/>
      <c r="G313" s="40"/>
      <c r="H313" s="40" t="s">
        <v>2962</v>
      </c>
      <c r="I313" s="40" t="s">
        <v>2952</v>
      </c>
      <c r="J313" s="40" t="s">
        <v>2963</v>
      </c>
      <c r="K313" s="40" t="s">
        <v>2964</v>
      </c>
      <c r="L313" s="190">
        <v>26147</v>
      </c>
      <c r="M313" s="190">
        <v>0</v>
      </c>
      <c r="N313" s="40" t="s">
        <v>2965</v>
      </c>
      <c r="O313" s="41" t="str">
        <f t="shared" si="8"/>
        <v>EBS1_26147_0</v>
      </c>
      <c r="P313" s="41" t="s">
        <v>2966</v>
      </c>
      <c r="R313" s="41">
        <v>312</v>
      </c>
      <c r="T313" s="41" t="str">
        <f t="shared" si="9"/>
        <v>2614700:Var_ui_ErrNo:=312;</v>
      </c>
    </row>
    <row r="314" spans="1:20">
      <c r="A314" s="190">
        <v>313</v>
      </c>
      <c r="B314" s="40">
        <v>103</v>
      </c>
      <c r="C314" s="40">
        <v>35</v>
      </c>
      <c r="F314" s="40"/>
      <c r="G314" s="40"/>
      <c r="H314" s="40" t="s">
        <v>2967</v>
      </c>
      <c r="I314" s="40" t="s">
        <v>2952</v>
      </c>
      <c r="J314" s="40" t="s">
        <v>2968</v>
      </c>
      <c r="K314" s="40" t="s">
        <v>2969</v>
      </c>
      <c r="L314" s="190">
        <v>26403</v>
      </c>
      <c r="M314" s="190">
        <v>0</v>
      </c>
      <c r="N314" s="40" t="s">
        <v>2970</v>
      </c>
      <c r="O314" s="41" t="str">
        <f t="shared" si="8"/>
        <v>EBS1_26403_0</v>
      </c>
      <c r="P314" s="41" t="s">
        <v>2971</v>
      </c>
      <c r="R314" s="41">
        <v>313</v>
      </c>
      <c r="T314" s="41" t="str">
        <f t="shared" si="9"/>
        <v>2640300:Var_ui_ErrNo:=313;</v>
      </c>
    </row>
    <row r="315" spans="1:20">
      <c r="A315" s="190">
        <v>314</v>
      </c>
      <c r="B315" s="40">
        <v>104</v>
      </c>
      <c r="C315" s="40">
        <v>35</v>
      </c>
      <c r="F315" s="40"/>
      <c r="G315" s="40"/>
      <c r="H315" s="40" t="s">
        <v>2972</v>
      </c>
      <c r="I315" s="40" t="s">
        <v>2952</v>
      </c>
      <c r="J315" s="40" t="s">
        <v>2973</v>
      </c>
      <c r="K315" s="40" t="s">
        <v>2974</v>
      </c>
      <c r="L315" s="190">
        <v>26659</v>
      </c>
      <c r="M315" s="190">
        <v>0</v>
      </c>
      <c r="N315" s="40" t="s">
        <v>2975</v>
      </c>
      <c r="O315" s="41" t="str">
        <f t="shared" si="8"/>
        <v>EBS1_26659_0</v>
      </c>
      <c r="P315" s="41" t="s">
        <v>2976</v>
      </c>
      <c r="R315" s="41">
        <v>314</v>
      </c>
      <c r="T315" s="41" t="str">
        <f t="shared" si="9"/>
        <v>2665900:Var_ui_ErrNo:=314;</v>
      </c>
    </row>
    <row r="316" spans="1:20">
      <c r="A316" s="190">
        <v>315</v>
      </c>
      <c r="B316" s="40">
        <v>105</v>
      </c>
      <c r="C316" s="40">
        <v>35</v>
      </c>
      <c r="F316" s="40"/>
      <c r="G316" s="40"/>
      <c r="H316" s="40" t="s">
        <v>2977</v>
      </c>
      <c r="I316" s="40" t="s">
        <v>2952</v>
      </c>
      <c r="J316" s="40" t="s">
        <v>2978</v>
      </c>
      <c r="K316" s="40" t="s">
        <v>2979</v>
      </c>
      <c r="L316" s="190">
        <v>26915</v>
      </c>
      <c r="M316" s="190">
        <v>0</v>
      </c>
      <c r="N316" s="40" t="s">
        <v>2980</v>
      </c>
      <c r="O316" s="41" t="str">
        <f t="shared" si="8"/>
        <v>EBS1_26915_0</v>
      </c>
      <c r="P316" s="41" t="s">
        <v>2981</v>
      </c>
      <c r="R316" s="41">
        <v>315</v>
      </c>
      <c r="T316" s="41" t="str">
        <f t="shared" si="9"/>
        <v>2691500:Var_ui_ErrNo:=315;</v>
      </c>
    </row>
    <row r="317" spans="1:20">
      <c r="A317" s="190">
        <v>316</v>
      </c>
      <c r="B317" s="40">
        <v>100</v>
      </c>
      <c r="C317" s="40">
        <v>41</v>
      </c>
      <c r="F317" s="40"/>
      <c r="G317" s="40"/>
      <c r="H317" s="40" t="s">
        <v>2982</v>
      </c>
      <c r="I317" s="40" t="s">
        <v>2983</v>
      </c>
      <c r="J317" s="40" t="s">
        <v>2984</v>
      </c>
      <c r="K317" s="40" t="s">
        <v>2985</v>
      </c>
      <c r="L317" s="190">
        <v>25641</v>
      </c>
      <c r="M317" s="190">
        <v>0</v>
      </c>
      <c r="N317" s="40" t="s">
        <v>2986</v>
      </c>
      <c r="O317" s="41" t="str">
        <f t="shared" si="8"/>
        <v>EBS1_25641_0</v>
      </c>
      <c r="P317" s="41" t="s">
        <v>2987</v>
      </c>
      <c r="R317" s="41">
        <v>316</v>
      </c>
      <c r="T317" s="41" t="str">
        <f t="shared" si="9"/>
        <v>2564100:Var_ui_ErrNo:=316;</v>
      </c>
    </row>
    <row r="318" spans="1:20">
      <c r="A318" s="190">
        <v>317</v>
      </c>
      <c r="B318" s="40">
        <v>101</v>
      </c>
      <c r="C318" s="40">
        <v>41</v>
      </c>
      <c r="F318" s="40"/>
      <c r="G318" s="40"/>
      <c r="H318" s="40" t="s">
        <v>2988</v>
      </c>
      <c r="I318" s="40" t="s">
        <v>2983</v>
      </c>
      <c r="J318" s="40" t="s">
        <v>2989</v>
      </c>
      <c r="K318" s="40" t="s">
        <v>2990</v>
      </c>
      <c r="L318" s="190">
        <v>25897</v>
      </c>
      <c r="M318" s="190">
        <v>0</v>
      </c>
      <c r="N318" s="40" t="s">
        <v>2991</v>
      </c>
      <c r="O318" s="41" t="str">
        <f t="shared" si="8"/>
        <v>EBS1_25897_0</v>
      </c>
      <c r="P318" s="41" t="s">
        <v>2992</v>
      </c>
      <c r="R318" s="41">
        <v>317</v>
      </c>
      <c r="T318" s="41" t="str">
        <f t="shared" si="9"/>
        <v>2589700:Var_ui_ErrNo:=317;</v>
      </c>
    </row>
    <row r="319" spans="1:20">
      <c r="A319" s="190">
        <v>318</v>
      </c>
      <c r="B319" s="40">
        <v>102</v>
      </c>
      <c r="C319" s="40">
        <v>41</v>
      </c>
      <c r="F319" s="40"/>
      <c r="G319" s="40"/>
      <c r="H319" s="40" t="s">
        <v>2993</v>
      </c>
      <c r="I319" s="40" t="s">
        <v>2983</v>
      </c>
      <c r="J319" s="40" t="s">
        <v>2994</v>
      </c>
      <c r="K319" s="40" t="s">
        <v>2995</v>
      </c>
      <c r="L319" s="190">
        <v>26153</v>
      </c>
      <c r="M319" s="190">
        <v>0</v>
      </c>
      <c r="N319" s="40" t="s">
        <v>2996</v>
      </c>
      <c r="O319" s="41" t="str">
        <f t="shared" si="8"/>
        <v>EBS1_26153_0</v>
      </c>
      <c r="P319" s="41" t="s">
        <v>2997</v>
      </c>
      <c r="R319" s="41">
        <v>318</v>
      </c>
      <c r="T319" s="41" t="str">
        <f t="shared" si="9"/>
        <v>2615300:Var_ui_ErrNo:=318;</v>
      </c>
    </row>
    <row r="320" spans="1:20">
      <c r="A320" s="190">
        <v>319</v>
      </c>
      <c r="B320" s="40">
        <v>103</v>
      </c>
      <c r="C320" s="40">
        <v>41</v>
      </c>
      <c r="F320" s="40"/>
      <c r="G320" s="40"/>
      <c r="H320" s="40" t="s">
        <v>2998</v>
      </c>
      <c r="I320" s="40" t="s">
        <v>2983</v>
      </c>
      <c r="J320" s="40" t="s">
        <v>2999</v>
      </c>
      <c r="K320" s="40" t="s">
        <v>3000</v>
      </c>
      <c r="L320" s="190">
        <v>26409</v>
      </c>
      <c r="M320" s="190">
        <v>0</v>
      </c>
      <c r="N320" s="40" t="s">
        <v>3001</v>
      </c>
      <c r="O320" s="41" t="str">
        <f t="shared" si="8"/>
        <v>EBS1_26409_0</v>
      </c>
      <c r="P320" s="41" t="s">
        <v>3002</v>
      </c>
      <c r="R320" s="41">
        <v>319</v>
      </c>
      <c r="T320" s="41" t="str">
        <f t="shared" si="9"/>
        <v>2640900:Var_ui_ErrNo:=319;</v>
      </c>
    </row>
    <row r="321" spans="1:20">
      <c r="A321" s="190">
        <v>320</v>
      </c>
      <c r="B321" s="40">
        <v>104</v>
      </c>
      <c r="C321" s="40">
        <v>41</v>
      </c>
      <c r="F321" s="40"/>
      <c r="G321" s="40"/>
      <c r="H321" s="40" t="s">
        <v>3003</v>
      </c>
      <c r="I321" s="40" t="s">
        <v>2983</v>
      </c>
      <c r="J321" s="40" t="s">
        <v>3004</v>
      </c>
      <c r="K321" s="40" t="s">
        <v>3005</v>
      </c>
      <c r="L321" s="190">
        <v>26665</v>
      </c>
      <c r="M321" s="190">
        <v>0</v>
      </c>
      <c r="N321" s="40" t="s">
        <v>3006</v>
      </c>
      <c r="O321" s="41" t="str">
        <f t="shared" si="8"/>
        <v>EBS1_26665_0</v>
      </c>
      <c r="P321" s="41" t="s">
        <v>3007</v>
      </c>
      <c r="R321" s="41">
        <v>320</v>
      </c>
      <c r="T321" s="41" t="str">
        <f t="shared" si="9"/>
        <v>2666500:Var_ui_ErrNo:=320;</v>
      </c>
    </row>
    <row r="322" spans="1:20">
      <c r="A322" s="190">
        <v>321</v>
      </c>
      <c r="B322" s="40">
        <v>105</v>
      </c>
      <c r="C322" s="40">
        <v>41</v>
      </c>
      <c r="F322" s="40"/>
      <c r="G322" s="40"/>
      <c r="H322" s="40" t="s">
        <v>3008</v>
      </c>
      <c r="I322" s="40" t="s">
        <v>2983</v>
      </c>
      <c r="J322" s="40" t="s">
        <v>3009</v>
      </c>
      <c r="K322" s="40" t="s">
        <v>3010</v>
      </c>
      <c r="L322" s="190">
        <v>26921</v>
      </c>
      <c r="M322" s="190">
        <v>0</v>
      </c>
      <c r="N322" s="40" t="s">
        <v>3011</v>
      </c>
      <c r="O322" s="41" t="str">
        <f t="shared" ref="O322:O385" si="10">"EBS1_"&amp;L322&amp;"_"&amp;M322</f>
        <v>EBS1_26921_0</v>
      </c>
      <c r="P322" s="41" t="s">
        <v>3012</v>
      </c>
      <c r="R322" s="41">
        <v>321</v>
      </c>
      <c r="T322" s="41" t="str">
        <f t="shared" si="9"/>
        <v>2692100:Var_ui_ErrNo:=321;</v>
      </c>
    </row>
    <row r="323" spans="1:20">
      <c r="A323" s="190">
        <v>322</v>
      </c>
      <c r="B323" s="40">
        <v>100</v>
      </c>
      <c r="C323" s="40">
        <v>45</v>
      </c>
      <c r="F323" s="40"/>
      <c r="G323" s="40"/>
      <c r="H323" s="40" t="s">
        <v>3013</v>
      </c>
      <c r="I323" s="40" t="s">
        <v>3014</v>
      </c>
      <c r="J323" s="40" t="s">
        <v>3015</v>
      </c>
      <c r="K323" s="40" t="s">
        <v>3016</v>
      </c>
      <c r="L323" s="190">
        <v>25645</v>
      </c>
      <c r="M323" s="190">
        <v>0</v>
      </c>
      <c r="N323" s="40" t="s">
        <v>3017</v>
      </c>
      <c r="O323" s="41" t="str">
        <f t="shared" si="10"/>
        <v>EBS1_25645_0</v>
      </c>
      <c r="P323" s="41" t="s">
        <v>3018</v>
      </c>
      <c r="R323" s="41">
        <v>322</v>
      </c>
      <c r="T323" s="41" t="str">
        <f t="shared" ref="T323:T386" si="11">P323&amp;$Q$2&amp;R323&amp;$S$2</f>
        <v>2564500:Var_ui_ErrNo:=322;</v>
      </c>
    </row>
    <row r="324" spans="1:20">
      <c r="A324" s="190">
        <v>323</v>
      </c>
      <c r="B324" s="40">
        <v>101</v>
      </c>
      <c r="C324" s="40">
        <v>45</v>
      </c>
      <c r="F324" s="40"/>
      <c r="G324" s="40"/>
      <c r="H324" s="40" t="s">
        <v>3019</v>
      </c>
      <c r="I324" s="40" t="s">
        <v>3014</v>
      </c>
      <c r="J324" s="40" t="s">
        <v>3020</v>
      </c>
      <c r="K324" s="40" t="s">
        <v>3021</v>
      </c>
      <c r="L324" s="190">
        <v>25901</v>
      </c>
      <c r="M324" s="190">
        <v>0</v>
      </c>
      <c r="N324" s="40" t="s">
        <v>3022</v>
      </c>
      <c r="O324" s="41" t="str">
        <f t="shared" si="10"/>
        <v>EBS1_25901_0</v>
      </c>
      <c r="P324" s="41" t="s">
        <v>3023</v>
      </c>
      <c r="R324" s="41">
        <v>323</v>
      </c>
      <c r="T324" s="41" t="str">
        <f t="shared" si="11"/>
        <v>2590100:Var_ui_ErrNo:=323;</v>
      </c>
    </row>
    <row r="325" spans="1:20">
      <c r="A325" s="190">
        <v>324</v>
      </c>
      <c r="B325" s="40">
        <v>102</v>
      </c>
      <c r="C325" s="40">
        <v>45</v>
      </c>
      <c r="F325" s="40"/>
      <c r="G325" s="40"/>
      <c r="H325" s="40" t="s">
        <v>3024</v>
      </c>
      <c r="I325" s="40" t="s">
        <v>3014</v>
      </c>
      <c r="J325" s="40" t="s">
        <v>3025</v>
      </c>
      <c r="K325" s="40" t="s">
        <v>3026</v>
      </c>
      <c r="L325" s="190">
        <v>26157</v>
      </c>
      <c r="M325" s="190">
        <v>0</v>
      </c>
      <c r="N325" s="40" t="s">
        <v>3027</v>
      </c>
      <c r="O325" s="41" t="str">
        <f t="shared" si="10"/>
        <v>EBS1_26157_0</v>
      </c>
      <c r="P325" s="41" t="s">
        <v>3028</v>
      </c>
      <c r="R325" s="41">
        <v>324</v>
      </c>
      <c r="T325" s="41" t="str">
        <f t="shared" si="11"/>
        <v>2615700:Var_ui_ErrNo:=324;</v>
      </c>
    </row>
    <row r="326" spans="1:20">
      <c r="A326" s="190">
        <v>325</v>
      </c>
      <c r="B326" s="40">
        <v>103</v>
      </c>
      <c r="C326" s="40">
        <v>45</v>
      </c>
      <c r="F326" s="40"/>
      <c r="G326" s="40"/>
      <c r="H326" s="40" t="s">
        <v>3029</v>
      </c>
      <c r="I326" s="40" t="s">
        <v>3014</v>
      </c>
      <c r="J326" s="40" t="s">
        <v>3030</v>
      </c>
      <c r="K326" s="40" t="s">
        <v>3031</v>
      </c>
      <c r="L326" s="190">
        <v>26413</v>
      </c>
      <c r="M326" s="190">
        <v>0</v>
      </c>
      <c r="N326" s="40" t="s">
        <v>3032</v>
      </c>
      <c r="O326" s="41" t="str">
        <f t="shared" si="10"/>
        <v>EBS1_26413_0</v>
      </c>
      <c r="P326" s="41" t="s">
        <v>3033</v>
      </c>
      <c r="R326" s="41">
        <v>325</v>
      </c>
      <c r="T326" s="41" t="str">
        <f t="shared" si="11"/>
        <v>2641300:Var_ui_ErrNo:=325;</v>
      </c>
    </row>
    <row r="327" spans="1:20">
      <c r="A327" s="190">
        <v>326</v>
      </c>
      <c r="B327" s="40">
        <v>104</v>
      </c>
      <c r="C327" s="40">
        <v>45</v>
      </c>
      <c r="F327" s="40"/>
      <c r="G327" s="40"/>
      <c r="H327" s="40" t="s">
        <v>3034</v>
      </c>
      <c r="I327" s="40" t="s">
        <v>3014</v>
      </c>
      <c r="J327" s="40" t="s">
        <v>3035</v>
      </c>
      <c r="K327" s="40" t="s">
        <v>3036</v>
      </c>
      <c r="L327" s="190">
        <v>26669</v>
      </c>
      <c r="M327" s="190">
        <v>0</v>
      </c>
      <c r="N327" s="40" t="s">
        <v>3037</v>
      </c>
      <c r="O327" s="41" t="str">
        <f t="shared" si="10"/>
        <v>EBS1_26669_0</v>
      </c>
      <c r="P327" s="41" t="s">
        <v>3038</v>
      </c>
      <c r="R327" s="41">
        <v>326</v>
      </c>
      <c r="T327" s="41" t="str">
        <f t="shared" si="11"/>
        <v>2666900:Var_ui_ErrNo:=326;</v>
      </c>
    </row>
    <row r="328" spans="1:20">
      <c r="A328" s="190">
        <v>327</v>
      </c>
      <c r="B328" s="40">
        <v>105</v>
      </c>
      <c r="C328" s="40">
        <v>45</v>
      </c>
      <c r="F328" s="40"/>
      <c r="G328" s="40"/>
      <c r="H328" s="40" t="s">
        <v>3039</v>
      </c>
      <c r="I328" s="40" t="s">
        <v>3014</v>
      </c>
      <c r="J328" s="40" t="s">
        <v>3040</v>
      </c>
      <c r="K328" s="40" t="s">
        <v>3041</v>
      </c>
      <c r="L328" s="190">
        <v>26925</v>
      </c>
      <c r="M328" s="190">
        <v>0</v>
      </c>
      <c r="N328" s="40" t="s">
        <v>3042</v>
      </c>
      <c r="O328" s="41" t="str">
        <f t="shared" si="10"/>
        <v>EBS1_26925_0</v>
      </c>
      <c r="P328" s="41" t="s">
        <v>3043</v>
      </c>
      <c r="R328" s="41">
        <v>327</v>
      </c>
      <c r="T328" s="41" t="str">
        <f t="shared" si="11"/>
        <v>2692500:Var_ui_ErrNo:=327;</v>
      </c>
    </row>
    <row r="329" spans="1:20">
      <c r="A329" s="190">
        <v>328</v>
      </c>
      <c r="B329" s="40">
        <v>100</v>
      </c>
      <c r="C329" s="40">
        <v>195</v>
      </c>
      <c r="F329" s="40"/>
      <c r="G329" s="40"/>
      <c r="H329" s="40" t="s">
        <v>3044</v>
      </c>
      <c r="I329" s="40" t="s">
        <v>3045</v>
      </c>
      <c r="J329" s="40" t="s">
        <v>3046</v>
      </c>
      <c r="K329" s="40" t="s">
        <v>3047</v>
      </c>
      <c r="L329" s="190">
        <v>25795</v>
      </c>
      <c r="M329" s="190">
        <v>0</v>
      </c>
      <c r="N329" s="40" t="s">
        <v>3048</v>
      </c>
      <c r="O329" s="41" t="str">
        <f t="shared" si="10"/>
        <v>EBS1_25795_0</v>
      </c>
      <c r="P329" s="41" t="s">
        <v>3049</v>
      </c>
      <c r="R329" s="41">
        <v>328</v>
      </c>
      <c r="T329" s="41" t="str">
        <f t="shared" si="11"/>
        <v>2579500:Var_ui_ErrNo:=328;</v>
      </c>
    </row>
    <row r="330" spans="1:20">
      <c r="A330" s="190">
        <v>329</v>
      </c>
      <c r="B330" s="40">
        <v>101</v>
      </c>
      <c r="C330" s="40">
        <v>195</v>
      </c>
      <c r="F330" s="40"/>
      <c r="G330" s="40"/>
      <c r="H330" s="40" t="s">
        <v>3050</v>
      </c>
      <c r="I330" s="40" t="s">
        <v>3045</v>
      </c>
      <c r="J330" s="40" t="s">
        <v>3051</v>
      </c>
      <c r="K330" s="40" t="s">
        <v>3052</v>
      </c>
      <c r="L330" s="190">
        <v>26051</v>
      </c>
      <c r="M330" s="190">
        <v>0</v>
      </c>
      <c r="N330" s="40" t="s">
        <v>3053</v>
      </c>
      <c r="O330" s="41" t="str">
        <f t="shared" si="10"/>
        <v>EBS1_26051_0</v>
      </c>
      <c r="P330" s="41" t="s">
        <v>3054</v>
      </c>
      <c r="R330" s="41">
        <v>329</v>
      </c>
      <c r="T330" s="41" t="str">
        <f t="shared" si="11"/>
        <v>2605100:Var_ui_ErrNo:=329;</v>
      </c>
    </row>
    <row r="331" spans="1:20">
      <c r="A331" s="190">
        <v>330</v>
      </c>
      <c r="B331" s="40">
        <v>102</v>
      </c>
      <c r="C331" s="40">
        <v>195</v>
      </c>
      <c r="F331" s="40"/>
      <c r="G331" s="40"/>
      <c r="H331" s="40" t="s">
        <v>3055</v>
      </c>
      <c r="I331" s="40" t="s">
        <v>3045</v>
      </c>
      <c r="J331" s="40" t="s">
        <v>3056</v>
      </c>
      <c r="K331" s="40" t="s">
        <v>3057</v>
      </c>
      <c r="L331" s="190">
        <v>26307</v>
      </c>
      <c r="M331" s="190">
        <v>0</v>
      </c>
      <c r="N331" s="40" t="s">
        <v>3058</v>
      </c>
      <c r="O331" s="41" t="str">
        <f t="shared" si="10"/>
        <v>EBS1_26307_0</v>
      </c>
      <c r="P331" s="41" t="s">
        <v>3059</v>
      </c>
      <c r="R331" s="41">
        <v>330</v>
      </c>
      <c r="T331" s="41" t="str">
        <f t="shared" si="11"/>
        <v>2630700:Var_ui_ErrNo:=330;</v>
      </c>
    </row>
    <row r="332" spans="1:20">
      <c r="A332" s="190">
        <v>331</v>
      </c>
      <c r="B332" s="40">
        <v>103</v>
      </c>
      <c r="C332" s="40">
        <v>195</v>
      </c>
      <c r="F332" s="40"/>
      <c r="G332" s="40"/>
      <c r="H332" s="40" t="s">
        <v>3060</v>
      </c>
      <c r="I332" s="40" t="s">
        <v>3045</v>
      </c>
      <c r="J332" s="40" t="s">
        <v>3061</v>
      </c>
      <c r="K332" s="40" t="s">
        <v>3062</v>
      </c>
      <c r="L332" s="190">
        <v>26563</v>
      </c>
      <c r="M332" s="190">
        <v>0</v>
      </c>
      <c r="N332" s="40" t="s">
        <v>3063</v>
      </c>
      <c r="O332" s="41" t="str">
        <f t="shared" si="10"/>
        <v>EBS1_26563_0</v>
      </c>
      <c r="P332" s="41" t="s">
        <v>3064</v>
      </c>
      <c r="R332" s="41">
        <v>331</v>
      </c>
      <c r="T332" s="41" t="str">
        <f t="shared" si="11"/>
        <v>2656300:Var_ui_ErrNo:=331;</v>
      </c>
    </row>
    <row r="333" spans="1:20">
      <c r="A333" s="190">
        <v>332</v>
      </c>
      <c r="B333" s="40">
        <v>104</v>
      </c>
      <c r="C333" s="40">
        <v>195</v>
      </c>
      <c r="F333" s="40"/>
      <c r="G333" s="40"/>
      <c r="H333" s="40" t="s">
        <v>3065</v>
      </c>
      <c r="I333" s="40" t="s">
        <v>3045</v>
      </c>
      <c r="J333" s="40" t="s">
        <v>3066</v>
      </c>
      <c r="K333" s="40" t="s">
        <v>3067</v>
      </c>
      <c r="L333" s="190">
        <v>26819</v>
      </c>
      <c r="M333" s="190">
        <v>0</v>
      </c>
      <c r="N333" s="40" t="s">
        <v>3068</v>
      </c>
      <c r="O333" s="41" t="str">
        <f t="shared" si="10"/>
        <v>EBS1_26819_0</v>
      </c>
      <c r="P333" s="41" t="s">
        <v>3069</v>
      </c>
      <c r="R333" s="41">
        <v>332</v>
      </c>
      <c r="T333" s="41" t="str">
        <f t="shared" si="11"/>
        <v>2681900:Var_ui_ErrNo:=332;</v>
      </c>
    </row>
    <row r="334" spans="1:20">
      <c r="A334" s="190">
        <v>333</v>
      </c>
      <c r="B334" s="40">
        <v>105</v>
      </c>
      <c r="C334" s="40">
        <v>195</v>
      </c>
      <c r="F334" s="40"/>
      <c r="G334" s="40"/>
      <c r="H334" s="40" t="s">
        <v>3070</v>
      </c>
      <c r="I334" s="40" t="s">
        <v>3045</v>
      </c>
      <c r="J334" s="40" t="s">
        <v>3071</v>
      </c>
      <c r="K334" s="40" t="s">
        <v>3072</v>
      </c>
      <c r="L334" s="190">
        <v>27075</v>
      </c>
      <c r="M334" s="190">
        <v>0</v>
      </c>
      <c r="N334" s="40" t="s">
        <v>3073</v>
      </c>
      <c r="O334" s="41" t="str">
        <f t="shared" si="10"/>
        <v>EBS1_27075_0</v>
      </c>
      <c r="P334" s="41" t="s">
        <v>3074</v>
      </c>
      <c r="R334" s="41">
        <v>333</v>
      </c>
      <c r="T334" s="41" t="str">
        <f t="shared" si="11"/>
        <v>2707500:Var_ui_ErrNo:=333;</v>
      </c>
    </row>
    <row r="335" spans="1:20">
      <c r="A335" s="190">
        <v>334</v>
      </c>
      <c r="B335" s="40">
        <v>100</v>
      </c>
      <c r="C335" s="40">
        <v>196</v>
      </c>
      <c r="F335" s="40"/>
      <c r="G335" s="40"/>
      <c r="H335" s="40" t="s">
        <v>3075</v>
      </c>
      <c r="I335" s="40" t="s">
        <v>3076</v>
      </c>
      <c r="J335" s="40" t="s">
        <v>3077</v>
      </c>
      <c r="K335" s="40" t="s">
        <v>3078</v>
      </c>
      <c r="L335" s="190">
        <v>25796</v>
      </c>
      <c r="M335" s="190">
        <v>0</v>
      </c>
      <c r="N335" s="40" t="s">
        <v>3079</v>
      </c>
      <c r="O335" s="41" t="str">
        <f t="shared" si="10"/>
        <v>EBS1_25796_0</v>
      </c>
      <c r="P335" s="41" t="s">
        <v>3080</v>
      </c>
      <c r="R335" s="41">
        <v>334</v>
      </c>
      <c r="T335" s="41" t="str">
        <f t="shared" si="11"/>
        <v>2579600:Var_ui_ErrNo:=334;</v>
      </c>
    </row>
    <row r="336" spans="1:20">
      <c r="A336" s="190">
        <v>335</v>
      </c>
      <c r="B336" s="40">
        <v>101</v>
      </c>
      <c r="C336" s="40">
        <v>196</v>
      </c>
      <c r="F336" s="40"/>
      <c r="G336" s="40"/>
      <c r="H336" s="40" t="s">
        <v>3081</v>
      </c>
      <c r="I336" s="40" t="s">
        <v>3076</v>
      </c>
      <c r="J336" s="40" t="s">
        <v>3082</v>
      </c>
      <c r="K336" s="40" t="s">
        <v>3083</v>
      </c>
      <c r="L336" s="190">
        <v>26052</v>
      </c>
      <c r="M336" s="190">
        <v>0</v>
      </c>
      <c r="N336" s="40" t="s">
        <v>3084</v>
      </c>
      <c r="O336" s="41" t="str">
        <f t="shared" si="10"/>
        <v>EBS1_26052_0</v>
      </c>
      <c r="P336" s="41" t="s">
        <v>3085</v>
      </c>
      <c r="R336" s="41">
        <v>335</v>
      </c>
      <c r="T336" s="41" t="str">
        <f t="shared" si="11"/>
        <v>2605200:Var_ui_ErrNo:=335;</v>
      </c>
    </row>
    <row r="337" spans="1:20">
      <c r="A337" s="190">
        <v>336</v>
      </c>
      <c r="B337" s="40">
        <v>102</v>
      </c>
      <c r="C337" s="40">
        <v>196</v>
      </c>
      <c r="F337" s="40"/>
      <c r="G337" s="40"/>
      <c r="H337" s="40" t="s">
        <v>3086</v>
      </c>
      <c r="I337" s="40" t="s">
        <v>3076</v>
      </c>
      <c r="J337" s="40" t="s">
        <v>3087</v>
      </c>
      <c r="K337" s="40" t="s">
        <v>3088</v>
      </c>
      <c r="L337" s="190">
        <v>26308</v>
      </c>
      <c r="M337" s="190">
        <v>0</v>
      </c>
      <c r="N337" s="40" t="s">
        <v>3089</v>
      </c>
      <c r="O337" s="41" t="str">
        <f t="shared" si="10"/>
        <v>EBS1_26308_0</v>
      </c>
      <c r="P337" s="41" t="s">
        <v>3090</v>
      </c>
      <c r="R337" s="41">
        <v>336</v>
      </c>
      <c r="T337" s="41" t="str">
        <f t="shared" si="11"/>
        <v>2630800:Var_ui_ErrNo:=336;</v>
      </c>
    </row>
    <row r="338" spans="1:20">
      <c r="A338" s="190">
        <v>337</v>
      </c>
      <c r="B338" s="40">
        <v>103</v>
      </c>
      <c r="C338" s="40">
        <v>196</v>
      </c>
      <c r="F338" s="40"/>
      <c r="G338" s="40"/>
      <c r="H338" s="40" t="s">
        <v>3091</v>
      </c>
      <c r="I338" s="40" t="s">
        <v>3076</v>
      </c>
      <c r="J338" s="40" t="s">
        <v>3092</v>
      </c>
      <c r="K338" s="40" t="s">
        <v>3093</v>
      </c>
      <c r="L338" s="190">
        <v>26564</v>
      </c>
      <c r="M338" s="190">
        <v>0</v>
      </c>
      <c r="N338" s="40" t="s">
        <v>3094</v>
      </c>
      <c r="O338" s="41" t="str">
        <f t="shared" si="10"/>
        <v>EBS1_26564_0</v>
      </c>
      <c r="P338" s="41" t="s">
        <v>3095</v>
      </c>
      <c r="R338" s="41">
        <v>337</v>
      </c>
      <c r="T338" s="41" t="str">
        <f t="shared" si="11"/>
        <v>2656400:Var_ui_ErrNo:=337;</v>
      </c>
    </row>
    <row r="339" spans="1:20">
      <c r="A339" s="190">
        <v>338</v>
      </c>
      <c r="B339" s="40">
        <v>104</v>
      </c>
      <c r="C339" s="40">
        <v>196</v>
      </c>
      <c r="F339" s="40"/>
      <c r="G339" s="40"/>
      <c r="H339" s="40" t="s">
        <v>3096</v>
      </c>
      <c r="I339" s="40" t="s">
        <v>3076</v>
      </c>
      <c r="J339" s="40" t="s">
        <v>3097</v>
      </c>
      <c r="K339" s="40" t="s">
        <v>3098</v>
      </c>
      <c r="L339" s="190">
        <v>26820</v>
      </c>
      <c r="M339" s="190">
        <v>0</v>
      </c>
      <c r="N339" s="40" t="s">
        <v>3099</v>
      </c>
      <c r="O339" s="41" t="str">
        <f t="shared" si="10"/>
        <v>EBS1_26820_0</v>
      </c>
      <c r="P339" s="41" t="s">
        <v>3100</v>
      </c>
      <c r="R339" s="41">
        <v>338</v>
      </c>
      <c r="T339" s="41" t="str">
        <f t="shared" si="11"/>
        <v>2682000:Var_ui_ErrNo:=338;</v>
      </c>
    </row>
    <row r="340" spans="1:20">
      <c r="A340" s="190">
        <v>339</v>
      </c>
      <c r="B340" s="40">
        <v>105</v>
      </c>
      <c r="C340" s="40">
        <v>196</v>
      </c>
      <c r="F340" s="40"/>
      <c r="G340" s="40"/>
      <c r="H340" s="40" t="s">
        <v>3101</v>
      </c>
      <c r="I340" s="40" t="s">
        <v>3076</v>
      </c>
      <c r="J340" s="40" t="s">
        <v>3102</v>
      </c>
      <c r="K340" s="40" t="s">
        <v>3103</v>
      </c>
      <c r="L340" s="190">
        <v>27076</v>
      </c>
      <c r="M340" s="190">
        <v>0</v>
      </c>
      <c r="N340" s="40" t="s">
        <v>3104</v>
      </c>
      <c r="O340" s="41" t="str">
        <f t="shared" si="10"/>
        <v>EBS1_27076_0</v>
      </c>
      <c r="P340" s="41" t="s">
        <v>3105</v>
      </c>
      <c r="R340" s="41">
        <v>339</v>
      </c>
      <c r="T340" s="41" t="str">
        <f t="shared" si="11"/>
        <v>2707600:Var_ui_ErrNo:=339;</v>
      </c>
    </row>
    <row r="341" spans="1:20">
      <c r="A341" s="190">
        <v>340</v>
      </c>
      <c r="B341" s="40">
        <v>100</v>
      </c>
      <c r="C341" s="40">
        <v>197</v>
      </c>
      <c r="F341" s="40"/>
      <c r="G341" s="40"/>
      <c r="H341" s="40" t="s">
        <v>3106</v>
      </c>
      <c r="I341" s="40" t="s">
        <v>3107</v>
      </c>
      <c r="J341" s="40" t="s">
        <v>3108</v>
      </c>
      <c r="K341" s="40" t="s">
        <v>3109</v>
      </c>
      <c r="L341" s="190">
        <v>25797</v>
      </c>
      <c r="M341" s="190">
        <v>0</v>
      </c>
      <c r="N341" s="40" t="s">
        <v>3110</v>
      </c>
      <c r="O341" s="41" t="str">
        <f t="shared" si="10"/>
        <v>EBS1_25797_0</v>
      </c>
      <c r="P341" s="41" t="s">
        <v>3111</v>
      </c>
      <c r="R341" s="41">
        <v>340</v>
      </c>
      <c r="T341" s="41" t="str">
        <f t="shared" si="11"/>
        <v>2579700:Var_ui_ErrNo:=340;</v>
      </c>
    </row>
    <row r="342" spans="1:20">
      <c r="A342" s="190">
        <v>341</v>
      </c>
      <c r="B342" s="40">
        <v>101</v>
      </c>
      <c r="C342" s="40">
        <v>197</v>
      </c>
      <c r="F342" s="40"/>
      <c r="G342" s="40"/>
      <c r="H342" s="40" t="s">
        <v>3112</v>
      </c>
      <c r="I342" s="40" t="s">
        <v>3107</v>
      </c>
      <c r="J342" s="40" t="s">
        <v>3113</v>
      </c>
      <c r="K342" s="40" t="s">
        <v>3114</v>
      </c>
      <c r="L342" s="190">
        <v>26053</v>
      </c>
      <c r="M342" s="190">
        <v>0</v>
      </c>
      <c r="N342" s="40" t="s">
        <v>3115</v>
      </c>
      <c r="O342" s="41" t="str">
        <f t="shared" si="10"/>
        <v>EBS1_26053_0</v>
      </c>
      <c r="P342" s="41" t="s">
        <v>3116</v>
      </c>
      <c r="R342" s="41">
        <v>341</v>
      </c>
      <c r="T342" s="41" t="str">
        <f t="shared" si="11"/>
        <v>2605300:Var_ui_ErrNo:=341;</v>
      </c>
    </row>
    <row r="343" spans="1:20">
      <c r="A343" s="190">
        <v>342</v>
      </c>
      <c r="B343" s="40">
        <v>102</v>
      </c>
      <c r="C343" s="40">
        <v>197</v>
      </c>
      <c r="F343" s="40"/>
      <c r="G343" s="40"/>
      <c r="H343" s="40" t="s">
        <v>3117</v>
      </c>
      <c r="I343" s="40" t="s">
        <v>3107</v>
      </c>
      <c r="J343" s="40" t="s">
        <v>3118</v>
      </c>
      <c r="K343" s="40" t="s">
        <v>3119</v>
      </c>
      <c r="L343" s="190">
        <v>26309</v>
      </c>
      <c r="M343" s="190">
        <v>0</v>
      </c>
      <c r="N343" s="40" t="s">
        <v>3120</v>
      </c>
      <c r="O343" s="41" t="str">
        <f t="shared" si="10"/>
        <v>EBS1_26309_0</v>
      </c>
      <c r="P343" s="41" t="s">
        <v>3121</v>
      </c>
      <c r="R343" s="41">
        <v>342</v>
      </c>
      <c r="T343" s="41" t="str">
        <f t="shared" si="11"/>
        <v>2630900:Var_ui_ErrNo:=342;</v>
      </c>
    </row>
    <row r="344" spans="1:20">
      <c r="A344" s="190">
        <v>343</v>
      </c>
      <c r="B344" s="40">
        <v>103</v>
      </c>
      <c r="C344" s="40">
        <v>197</v>
      </c>
      <c r="F344" s="40"/>
      <c r="G344" s="40"/>
      <c r="H344" s="40" t="s">
        <v>3122</v>
      </c>
      <c r="I344" s="40" t="s">
        <v>3107</v>
      </c>
      <c r="J344" s="40" t="s">
        <v>3123</v>
      </c>
      <c r="K344" s="40" t="s">
        <v>3124</v>
      </c>
      <c r="L344" s="190">
        <v>26565</v>
      </c>
      <c r="M344" s="190">
        <v>0</v>
      </c>
      <c r="N344" s="40" t="s">
        <v>3125</v>
      </c>
      <c r="O344" s="41" t="str">
        <f t="shared" si="10"/>
        <v>EBS1_26565_0</v>
      </c>
      <c r="P344" s="41" t="s">
        <v>3126</v>
      </c>
      <c r="R344" s="41">
        <v>343</v>
      </c>
      <c r="T344" s="41" t="str">
        <f t="shared" si="11"/>
        <v>2656500:Var_ui_ErrNo:=343;</v>
      </c>
    </row>
    <row r="345" spans="1:20">
      <c r="A345" s="190">
        <v>344</v>
      </c>
      <c r="B345" s="40">
        <v>104</v>
      </c>
      <c r="C345" s="40">
        <v>197</v>
      </c>
      <c r="F345" s="40"/>
      <c r="G345" s="40"/>
      <c r="H345" s="40" t="s">
        <v>3127</v>
      </c>
      <c r="I345" s="40" t="s">
        <v>3107</v>
      </c>
      <c r="J345" s="40" t="s">
        <v>3128</v>
      </c>
      <c r="K345" s="40" t="s">
        <v>3129</v>
      </c>
      <c r="L345" s="190">
        <v>26821</v>
      </c>
      <c r="M345" s="190">
        <v>0</v>
      </c>
      <c r="N345" s="40" t="s">
        <v>3130</v>
      </c>
      <c r="O345" s="41" t="str">
        <f t="shared" si="10"/>
        <v>EBS1_26821_0</v>
      </c>
      <c r="P345" s="41" t="s">
        <v>3131</v>
      </c>
      <c r="R345" s="41">
        <v>344</v>
      </c>
      <c r="T345" s="41" t="str">
        <f t="shared" si="11"/>
        <v>2682100:Var_ui_ErrNo:=344;</v>
      </c>
    </row>
    <row r="346" spans="1:20">
      <c r="A346" s="190">
        <v>345</v>
      </c>
      <c r="B346" s="40">
        <v>105</v>
      </c>
      <c r="C346" s="40">
        <v>197</v>
      </c>
      <c r="F346" s="40"/>
      <c r="G346" s="40"/>
      <c r="H346" s="40" t="s">
        <v>3132</v>
      </c>
      <c r="I346" s="40" t="s">
        <v>3107</v>
      </c>
      <c r="J346" s="40" t="s">
        <v>3133</v>
      </c>
      <c r="K346" s="40" t="s">
        <v>3134</v>
      </c>
      <c r="L346" s="190">
        <v>27077</v>
      </c>
      <c r="M346" s="190">
        <v>0</v>
      </c>
      <c r="N346" s="40" t="s">
        <v>3135</v>
      </c>
      <c r="O346" s="41" t="str">
        <f t="shared" si="10"/>
        <v>EBS1_27077_0</v>
      </c>
      <c r="P346" s="41" t="s">
        <v>3136</v>
      </c>
      <c r="R346" s="41">
        <v>345</v>
      </c>
      <c r="T346" s="41" t="str">
        <f t="shared" si="11"/>
        <v>2707700:Var_ui_ErrNo:=345;</v>
      </c>
    </row>
    <row r="347" spans="1:20">
      <c r="A347" s="190">
        <v>346</v>
      </c>
      <c r="B347" s="40">
        <v>130</v>
      </c>
      <c r="C347" s="40">
        <v>3</v>
      </c>
      <c r="F347" s="40"/>
      <c r="G347" s="40"/>
      <c r="H347" s="40" t="s">
        <v>3137</v>
      </c>
      <c r="I347" s="40" t="s">
        <v>3014</v>
      </c>
      <c r="J347" s="40" t="s">
        <v>3138</v>
      </c>
      <c r="K347" s="40" t="s">
        <v>3139</v>
      </c>
      <c r="L347" s="190">
        <v>33283</v>
      </c>
      <c r="M347" s="190">
        <v>0</v>
      </c>
      <c r="N347" s="40" t="s">
        <v>3140</v>
      </c>
      <c r="O347" s="41" t="str">
        <f t="shared" si="10"/>
        <v>EBS1_33283_0</v>
      </c>
      <c r="P347" s="41" t="s">
        <v>3141</v>
      </c>
      <c r="R347" s="41">
        <v>346</v>
      </c>
      <c r="T347" s="41" t="str">
        <f t="shared" si="11"/>
        <v>3328300:Var_ui_ErrNo:=346;</v>
      </c>
    </row>
    <row r="348" spans="1:20">
      <c r="A348" s="190">
        <v>347</v>
      </c>
      <c r="B348" s="40">
        <v>131</v>
      </c>
      <c r="C348" s="40">
        <v>3</v>
      </c>
      <c r="F348" s="40"/>
      <c r="G348" s="40"/>
      <c r="H348" s="40" t="s">
        <v>3142</v>
      </c>
      <c r="I348" s="40" t="s">
        <v>3014</v>
      </c>
      <c r="J348" s="40" t="s">
        <v>3143</v>
      </c>
      <c r="K348" s="40" t="s">
        <v>3144</v>
      </c>
      <c r="L348" s="190">
        <v>33539</v>
      </c>
      <c r="M348" s="190">
        <v>0</v>
      </c>
      <c r="N348" s="40" t="s">
        <v>3145</v>
      </c>
      <c r="O348" s="41" t="str">
        <f t="shared" si="10"/>
        <v>EBS1_33539_0</v>
      </c>
      <c r="P348" s="41" t="s">
        <v>3146</v>
      </c>
      <c r="R348" s="41">
        <v>347</v>
      </c>
      <c r="T348" s="41" t="str">
        <f t="shared" si="11"/>
        <v>3353900:Var_ui_ErrNo:=347;</v>
      </c>
    </row>
    <row r="349" spans="1:20">
      <c r="A349" s="190">
        <v>348</v>
      </c>
      <c r="B349" s="40">
        <v>132</v>
      </c>
      <c r="C349" s="40">
        <v>3</v>
      </c>
      <c r="F349" s="40"/>
      <c r="G349" s="40"/>
      <c r="H349" s="40" t="s">
        <v>3147</v>
      </c>
      <c r="I349" s="40" t="s">
        <v>3014</v>
      </c>
      <c r="J349" s="40" t="s">
        <v>3148</v>
      </c>
      <c r="K349" s="40" t="s">
        <v>3149</v>
      </c>
      <c r="L349" s="190">
        <v>33795</v>
      </c>
      <c r="M349" s="190">
        <v>0</v>
      </c>
      <c r="N349" s="40" t="s">
        <v>3150</v>
      </c>
      <c r="O349" s="41" t="str">
        <f t="shared" si="10"/>
        <v>EBS1_33795_0</v>
      </c>
      <c r="P349" s="41" t="s">
        <v>3151</v>
      </c>
      <c r="R349" s="41">
        <v>348</v>
      </c>
      <c r="T349" s="41" t="str">
        <f t="shared" si="11"/>
        <v>3379500:Var_ui_ErrNo:=348;</v>
      </c>
    </row>
    <row r="350" spans="1:20">
      <c r="A350" s="190">
        <v>349</v>
      </c>
      <c r="B350" s="40">
        <v>133</v>
      </c>
      <c r="C350" s="40">
        <v>3</v>
      </c>
      <c r="F350" s="40"/>
      <c r="G350" s="40"/>
      <c r="H350" s="40" t="s">
        <v>3152</v>
      </c>
      <c r="I350" s="40" t="s">
        <v>3014</v>
      </c>
      <c r="J350" s="40" t="s">
        <v>3153</v>
      </c>
      <c r="K350" s="40" t="s">
        <v>3154</v>
      </c>
      <c r="L350" s="190">
        <v>34051</v>
      </c>
      <c r="M350" s="190">
        <v>0</v>
      </c>
      <c r="N350" s="40" t="s">
        <v>3155</v>
      </c>
      <c r="O350" s="41" t="str">
        <f t="shared" si="10"/>
        <v>EBS1_34051_0</v>
      </c>
      <c r="P350" s="41" t="s">
        <v>3156</v>
      </c>
      <c r="R350" s="41">
        <v>349</v>
      </c>
      <c r="T350" s="41" t="str">
        <f t="shared" si="11"/>
        <v>3405100:Var_ui_ErrNo:=349;</v>
      </c>
    </row>
    <row r="351" spans="1:20">
      <c r="A351" s="190">
        <v>350</v>
      </c>
      <c r="B351" s="40">
        <v>134</v>
      </c>
      <c r="C351" s="40">
        <v>3</v>
      </c>
      <c r="F351" s="40"/>
      <c r="G351" s="40"/>
      <c r="H351" s="40" t="s">
        <v>3157</v>
      </c>
      <c r="I351" s="40" t="s">
        <v>3014</v>
      </c>
      <c r="J351" s="40" t="s">
        <v>3158</v>
      </c>
      <c r="K351" s="40" t="s">
        <v>3159</v>
      </c>
      <c r="L351" s="190">
        <v>34307</v>
      </c>
      <c r="M351" s="190">
        <v>0</v>
      </c>
      <c r="N351" s="40" t="s">
        <v>3160</v>
      </c>
      <c r="O351" s="41" t="str">
        <f t="shared" si="10"/>
        <v>EBS1_34307_0</v>
      </c>
      <c r="P351" s="41" t="s">
        <v>3161</v>
      </c>
      <c r="R351" s="41">
        <v>350</v>
      </c>
      <c r="T351" s="41" t="str">
        <f t="shared" si="11"/>
        <v>3430700:Var_ui_ErrNo:=350;</v>
      </c>
    </row>
    <row r="352" spans="1:20">
      <c r="A352" s="190">
        <v>351</v>
      </c>
      <c r="B352" s="40">
        <v>135</v>
      </c>
      <c r="C352" s="40">
        <v>3</v>
      </c>
      <c r="F352" s="40"/>
      <c r="G352" s="40"/>
      <c r="H352" s="40" t="s">
        <v>3162</v>
      </c>
      <c r="I352" s="40" t="s">
        <v>3014</v>
      </c>
      <c r="J352" s="40" t="s">
        <v>3163</v>
      </c>
      <c r="K352" s="40" t="s">
        <v>3164</v>
      </c>
      <c r="L352" s="190">
        <v>34563</v>
      </c>
      <c r="M352" s="190">
        <v>0</v>
      </c>
      <c r="N352" s="40" t="s">
        <v>3165</v>
      </c>
      <c r="O352" s="41" t="str">
        <f t="shared" si="10"/>
        <v>EBS1_34563_0</v>
      </c>
      <c r="P352" s="41" t="s">
        <v>3166</v>
      </c>
      <c r="R352" s="41">
        <v>351</v>
      </c>
      <c r="T352" s="41" t="str">
        <f t="shared" si="11"/>
        <v>3456300:Var_ui_ErrNo:=351;</v>
      </c>
    </row>
    <row r="353" spans="1:20">
      <c r="A353" s="190">
        <v>352</v>
      </c>
      <c r="B353" s="40">
        <v>130</v>
      </c>
      <c r="C353" s="40">
        <v>7</v>
      </c>
      <c r="F353" s="40"/>
      <c r="G353" s="40"/>
      <c r="H353" s="40" t="s">
        <v>3167</v>
      </c>
      <c r="I353" s="40" t="s">
        <v>3168</v>
      </c>
      <c r="J353" s="40" t="s">
        <v>3169</v>
      </c>
      <c r="K353" s="40" t="s">
        <v>3170</v>
      </c>
      <c r="L353" s="190">
        <v>33287</v>
      </c>
      <c r="M353" s="190">
        <v>0</v>
      </c>
      <c r="N353" s="40" t="s">
        <v>3171</v>
      </c>
      <c r="O353" s="41" t="str">
        <f t="shared" si="10"/>
        <v>EBS1_33287_0</v>
      </c>
      <c r="P353" s="41" t="s">
        <v>3172</v>
      </c>
      <c r="R353" s="41">
        <v>352</v>
      </c>
      <c r="T353" s="41" t="str">
        <f t="shared" si="11"/>
        <v>3328700:Var_ui_ErrNo:=352;</v>
      </c>
    </row>
    <row r="354" spans="1:20">
      <c r="A354" s="190">
        <v>353</v>
      </c>
      <c r="B354" s="40">
        <v>131</v>
      </c>
      <c r="C354" s="40">
        <v>7</v>
      </c>
      <c r="F354" s="40"/>
      <c r="G354" s="40"/>
      <c r="H354" s="40" t="s">
        <v>3173</v>
      </c>
      <c r="I354" s="40" t="s">
        <v>3168</v>
      </c>
      <c r="J354" s="40" t="s">
        <v>3174</v>
      </c>
      <c r="K354" s="40" t="s">
        <v>3175</v>
      </c>
      <c r="L354" s="190">
        <v>33543</v>
      </c>
      <c r="M354" s="190">
        <v>0</v>
      </c>
      <c r="N354" s="40" t="s">
        <v>3176</v>
      </c>
      <c r="O354" s="41" t="str">
        <f t="shared" si="10"/>
        <v>EBS1_33543_0</v>
      </c>
      <c r="P354" s="41" t="s">
        <v>3177</v>
      </c>
      <c r="R354" s="41">
        <v>353</v>
      </c>
      <c r="T354" s="41" t="str">
        <f t="shared" si="11"/>
        <v>3354300:Var_ui_ErrNo:=353;</v>
      </c>
    </row>
    <row r="355" spans="1:20">
      <c r="A355" s="190">
        <v>354</v>
      </c>
      <c r="B355" s="40">
        <v>132</v>
      </c>
      <c r="C355" s="40">
        <v>7</v>
      </c>
      <c r="F355" s="40"/>
      <c r="G355" s="40"/>
      <c r="H355" s="40" t="s">
        <v>3178</v>
      </c>
      <c r="I355" s="40" t="s">
        <v>3168</v>
      </c>
      <c r="J355" s="40" t="s">
        <v>3179</v>
      </c>
      <c r="K355" s="40" t="s">
        <v>3180</v>
      </c>
      <c r="L355" s="190">
        <v>33799</v>
      </c>
      <c r="M355" s="190">
        <v>0</v>
      </c>
      <c r="N355" s="40" t="s">
        <v>3181</v>
      </c>
      <c r="O355" s="41" t="str">
        <f t="shared" si="10"/>
        <v>EBS1_33799_0</v>
      </c>
      <c r="P355" s="41" t="s">
        <v>3182</v>
      </c>
      <c r="R355" s="41">
        <v>354</v>
      </c>
      <c r="T355" s="41" t="str">
        <f t="shared" si="11"/>
        <v>3379900:Var_ui_ErrNo:=354;</v>
      </c>
    </row>
    <row r="356" spans="1:20">
      <c r="A356" s="190">
        <v>355</v>
      </c>
      <c r="B356" s="40">
        <v>133</v>
      </c>
      <c r="C356" s="40">
        <v>7</v>
      </c>
      <c r="F356" s="40"/>
      <c r="G356" s="40"/>
      <c r="H356" s="40" t="s">
        <v>3183</v>
      </c>
      <c r="I356" s="40" t="s">
        <v>3168</v>
      </c>
      <c r="J356" s="40" t="s">
        <v>3184</v>
      </c>
      <c r="K356" s="40" t="s">
        <v>3185</v>
      </c>
      <c r="L356" s="190">
        <v>34055</v>
      </c>
      <c r="M356" s="190">
        <v>0</v>
      </c>
      <c r="N356" s="40" t="s">
        <v>3186</v>
      </c>
      <c r="O356" s="41" t="str">
        <f t="shared" si="10"/>
        <v>EBS1_34055_0</v>
      </c>
      <c r="P356" s="41" t="s">
        <v>3187</v>
      </c>
      <c r="R356" s="41">
        <v>355</v>
      </c>
      <c r="T356" s="41" t="str">
        <f t="shared" si="11"/>
        <v>3405500:Var_ui_ErrNo:=355;</v>
      </c>
    </row>
    <row r="357" spans="1:20">
      <c r="A357" s="190">
        <v>356</v>
      </c>
      <c r="B357" s="40">
        <v>134</v>
      </c>
      <c r="C357" s="40">
        <v>7</v>
      </c>
      <c r="F357" s="40"/>
      <c r="G357" s="40"/>
      <c r="H357" s="40" t="s">
        <v>3188</v>
      </c>
      <c r="I357" s="40" t="s">
        <v>3168</v>
      </c>
      <c r="J357" s="40" t="s">
        <v>3189</v>
      </c>
      <c r="K357" s="40" t="s">
        <v>3190</v>
      </c>
      <c r="L357" s="190">
        <v>34311</v>
      </c>
      <c r="M357" s="190">
        <v>0</v>
      </c>
      <c r="N357" s="40" t="s">
        <v>3191</v>
      </c>
      <c r="O357" s="41" t="str">
        <f t="shared" si="10"/>
        <v>EBS1_34311_0</v>
      </c>
      <c r="P357" s="41" t="s">
        <v>3192</v>
      </c>
      <c r="R357" s="41">
        <v>356</v>
      </c>
      <c r="T357" s="41" t="str">
        <f t="shared" si="11"/>
        <v>3431100:Var_ui_ErrNo:=356;</v>
      </c>
    </row>
    <row r="358" spans="1:20">
      <c r="A358" s="190">
        <v>357</v>
      </c>
      <c r="B358" s="40">
        <v>135</v>
      </c>
      <c r="C358" s="40">
        <v>7</v>
      </c>
      <c r="F358" s="40"/>
      <c r="G358" s="40"/>
      <c r="H358" s="40" t="s">
        <v>3193</v>
      </c>
      <c r="I358" s="40" t="s">
        <v>3168</v>
      </c>
      <c r="J358" s="40" t="s">
        <v>3194</v>
      </c>
      <c r="K358" s="40" t="s">
        <v>3195</v>
      </c>
      <c r="L358" s="190">
        <v>34567</v>
      </c>
      <c r="M358" s="190">
        <v>0</v>
      </c>
      <c r="N358" s="40" t="s">
        <v>3196</v>
      </c>
      <c r="O358" s="41" t="str">
        <f t="shared" si="10"/>
        <v>EBS1_34567_0</v>
      </c>
      <c r="P358" s="41" t="s">
        <v>3197</v>
      </c>
      <c r="R358" s="41">
        <v>357</v>
      </c>
      <c r="T358" s="41" t="str">
        <f t="shared" si="11"/>
        <v>3456700:Var_ui_ErrNo:=357;</v>
      </c>
    </row>
    <row r="359" spans="1:20">
      <c r="A359" s="190">
        <v>358</v>
      </c>
      <c r="B359" s="40">
        <v>130</v>
      </c>
      <c r="C359" s="40">
        <v>9</v>
      </c>
      <c r="F359" s="40"/>
      <c r="G359" s="40"/>
      <c r="H359" s="40" t="s">
        <v>3198</v>
      </c>
      <c r="I359" s="40" t="s">
        <v>3199</v>
      </c>
      <c r="J359" s="40" t="s">
        <v>3200</v>
      </c>
      <c r="K359" s="40" t="s">
        <v>3201</v>
      </c>
      <c r="L359" s="190">
        <v>33289</v>
      </c>
      <c r="M359" s="190">
        <v>0</v>
      </c>
      <c r="N359" s="40" t="s">
        <v>3202</v>
      </c>
      <c r="O359" s="41" t="str">
        <f t="shared" si="10"/>
        <v>EBS1_33289_0</v>
      </c>
      <c r="P359" s="41" t="s">
        <v>3203</v>
      </c>
      <c r="R359" s="41">
        <v>358</v>
      </c>
      <c r="T359" s="41" t="str">
        <f t="shared" si="11"/>
        <v>3328900:Var_ui_ErrNo:=358;</v>
      </c>
    </row>
    <row r="360" spans="1:20">
      <c r="A360" s="190">
        <v>359</v>
      </c>
      <c r="B360" s="40">
        <v>131</v>
      </c>
      <c r="C360" s="40">
        <v>9</v>
      </c>
      <c r="F360" s="40"/>
      <c r="G360" s="40"/>
      <c r="H360" s="40" t="s">
        <v>3204</v>
      </c>
      <c r="I360" s="40" t="s">
        <v>3199</v>
      </c>
      <c r="J360" s="40" t="s">
        <v>3205</v>
      </c>
      <c r="K360" s="40" t="s">
        <v>3206</v>
      </c>
      <c r="L360" s="190">
        <v>33545</v>
      </c>
      <c r="M360" s="190">
        <v>0</v>
      </c>
      <c r="N360" s="40" t="s">
        <v>3207</v>
      </c>
      <c r="O360" s="41" t="str">
        <f t="shared" si="10"/>
        <v>EBS1_33545_0</v>
      </c>
      <c r="P360" s="41" t="s">
        <v>3208</v>
      </c>
      <c r="R360" s="41">
        <v>359</v>
      </c>
      <c r="T360" s="41" t="str">
        <f t="shared" si="11"/>
        <v>3354500:Var_ui_ErrNo:=359;</v>
      </c>
    </row>
    <row r="361" spans="1:20">
      <c r="A361" s="190">
        <v>360</v>
      </c>
      <c r="B361" s="40">
        <v>132</v>
      </c>
      <c r="C361" s="40">
        <v>9</v>
      </c>
      <c r="F361" s="40"/>
      <c r="G361" s="40"/>
      <c r="H361" s="40" t="s">
        <v>3209</v>
      </c>
      <c r="I361" s="40" t="s">
        <v>3199</v>
      </c>
      <c r="J361" s="40" t="s">
        <v>3210</v>
      </c>
      <c r="K361" s="40" t="s">
        <v>3211</v>
      </c>
      <c r="L361" s="190">
        <v>33801</v>
      </c>
      <c r="M361" s="190">
        <v>0</v>
      </c>
      <c r="N361" s="40" t="s">
        <v>3212</v>
      </c>
      <c r="O361" s="41" t="str">
        <f t="shared" si="10"/>
        <v>EBS1_33801_0</v>
      </c>
      <c r="P361" s="41" t="s">
        <v>3213</v>
      </c>
      <c r="R361" s="41">
        <v>360</v>
      </c>
      <c r="T361" s="41" t="str">
        <f t="shared" si="11"/>
        <v>3380100:Var_ui_ErrNo:=360;</v>
      </c>
    </row>
    <row r="362" spans="1:20">
      <c r="A362" s="190">
        <v>361</v>
      </c>
      <c r="B362" s="40">
        <v>133</v>
      </c>
      <c r="C362" s="40">
        <v>9</v>
      </c>
      <c r="F362" s="40"/>
      <c r="G362" s="40"/>
      <c r="H362" s="40" t="s">
        <v>3214</v>
      </c>
      <c r="I362" s="40" t="s">
        <v>3199</v>
      </c>
      <c r="J362" s="40" t="s">
        <v>3215</v>
      </c>
      <c r="K362" s="40" t="s">
        <v>3216</v>
      </c>
      <c r="L362" s="190">
        <v>34057</v>
      </c>
      <c r="M362" s="190">
        <v>0</v>
      </c>
      <c r="N362" s="40" t="s">
        <v>3217</v>
      </c>
      <c r="O362" s="41" t="str">
        <f t="shared" si="10"/>
        <v>EBS1_34057_0</v>
      </c>
      <c r="P362" s="41" t="s">
        <v>3218</v>
      </c>
      <c r="R362" s="41">
        <v>361</v>
      </c>
      <c r="T362" s="41" t="str">
        <f t="shared" si="11"/>
        <v>3405700:Var_ui_ErrNo:=361;</v>
      </c>
    </row>
    <row r="363" spans="1:20">
      <c r="A363" s="190">
        <v>362</v>
      </c>
      <c r="B363" s="40">
        <v>134</v>
      </c>
      <c r="C363" s="40">
        <v>9</v>
      </c>
      <c r="F363" s="40"/>
      <c r="G363" s="40"/>
      <c r="H363" s="40" t="s">
        <v>3219</v>
      </c>
      <c r="I363" s="40" t="s">
        <v>3199</v>
      </c>
      <c r="J363" s="40" t="s">
        <v>3220</v>
      </c>
      <c r="K363" s="40" t="s">
        <v>3221</v>
      </c>
      <c r="L363" s="190">
        <v>34313</v>
      </c>
      <c r="M363" s="190">
        <v>0</v>
      </c>
      <c r="N363" s="40" t="s">
        <v>3222</v>
      </c>
      <c r="O363" s="41" t="str">
        <f t="shared" si="10"/>
        <v>EBS1_34313_0</v>
      </c>
      <c r="P363" s="41" t="s">
        <v>3223</v>
      </c>
      <c r="R363" s="41">
        <v>362</v>
      </c>
      <c r="T363" s="41" t="str">
        <f t="shared" si="11"/>
        <v>3431300:Var_ui_ErrNo:=362;</v>
      </c>
    </row>
    <row r="364" spans="1:20">
      <c r="A364" s="190">
        <v>363</v>
      </c>
      <c r="B364" s="40">
        <v>135</v>
      </c>
      <c r="C364" s="40">
        <v>9</v>
      </c>
      <c r="F364" s="40"/>
      <c r="G364" s="40"/>
      <c r="H364" s="40" t="s">
        <v>3224</v>
      </c>
      <c r="I364" s="40" t="s">
        <v>3199</v>
      </c>
      <c r="J364" s="40" t="s">
        <v>3225</v>
      </c>
      <c r="K364" s="40" t="s">
        <v>3226</v>
      </c>
      <c r="L364" s="190">
        <v>34569</v>
      </c>
      <c r="M364" s="190">
        <v>0</v>
      </c>
      <c r="N364" s="40" t="s">
        <v>3227</v>
      </c>
      <c r="O364" s="41" t="str">
        <f t="shared" si="10"/>
        <v>EBS1_34569_0</v>
      </c>
      <c r="P364" s="41" t="s">
        <v>3228</v>
      </c>
      <c r="R364" s="41">
        <v>363</v>
      </c>
      <c r="T364" s="41" t="str">
        <f t="shared" si="11"/>
        <v>3456900:Var_ui_ErrNo:=363;</v>
      </c>
    </row>
    <row r="365" spans="1:20">
      <c r="A365" s="190">
        <v>364</v>
      </c>
      <c r="B365" s="40">
        <v>130</v>
      </c>
      <c r="C365" s="40">
        <v>37</v>
      </c>
      <c r="F365" s="40"/>
      <c r="G365" s="40"/>
      <c r="H365" s="40" t="s">
        <v>3229</v>
      </c>
      <c r="I365" s="40" t="s">
        <v>3230</v>
      </c>
      <c r="J365" s="40" t="s">
        <v>3231</v>
      </c>
      <c r="K365" s="40" t="s">
        <v>3232</v>
      </c>
      <c r="L365" s="190">
        <v>33317</v>
      </c>
      <c r="M365" s="190">
        <v>0</v>
      </c>
      <c r="N365" s="40" t="s">
        <v>3233</v>
      </c>
      <c r="O365" s="41" t="str">
        <f t="shared" si="10"/>
        <v>EBS1_33317_0</v>
      </c>
      <c r="P365" s="41" t="s">
        <v>3234</v>
      </c>
      <c r="R365" s="41">
        <v>364</v>
      </c>
      <c r="T365" s="41" t="str">
        <f t="shared" si="11"/>
        <v>3331700:Var_ui_ErrNo:=364;</v>
      </c>
    </row>
    <row r="366" spans="1:20">
      <c r="A366" s="190">
        <v>365</v>
      </c>
      <c r="B366" s="40">
        <v>131</v>
      </c>
      <c r="C366" s="40">
        <v>37</v>
      </c>
      <c r="F366" s="40"/>
      <c r="G366" s="40"/>
      <c r="H366" s="40" t="s">
        <v>3235</v>
      </c>
      <c r="I366" s="40" t="s">
        <v>3230</v>
      </c>
      <c r="J366" s="40" t="s">
        <v>3236</v>
      </c>
      <c r="K366" s="40" t="s">
        <v>3237</v>
      </c>
      <c r="L366" s="190">
        <v>33573</v>
      </c>
      <c r="M366" s="190">
        <v>0</v>
      </c>
      <c r="N366" s="40" t="s">
        <v>3238</v>
      </c>
      <c r="O366" s="41" t="str">
        <f t="shared" si="10"/>
        <v>EBS1_33573_0</v>
      </c>
      <c r="P366" s="41" t="s">
        <v>3239</v>
      </c>
      <c r="R366" s="41">
        <v>365</v>
      </c>
      <c r="T366" s="41" t="str">
        <f t="shared" si="11"/>
        <v>3357300:Var_ui_ErrNo:=365;</v>
      </c>
    </row>
    <row r="367" spans="1:20">
      <c r="A367" s="190">
        <v>366</v>
      </c>
      <c r="B367" s="40">
        <v>132</v>
      </c>
      <c r="C367" s="40">
        <v>37</v>
      </c>
      <c r="F367" s="40"/>
      <c r="G367" s="40"/>
      <c r="H367" s="40" t="s">
        <v>3240</v>
      </c>
      <c r="I367" s="40" t="s">
        <v>3230</v>
      </c>
      <c r="J367" s="40" t="s">
        <v>3241</v>
      </c>
      <c r="K367" s="40" t="s">
        <v>3242</v>
      </c>
      <c r="L367" s="190">
        <v>33829</v>
      </c>
      <c r="M367" s="190">
        <v>0</v>
      </c>
      <c r="N367" s="40" t="s">
        <v>3243</v>
      </c>
      <c r="O367" s="41" t="str">
        <f t="shared" si="10"/>
        <v>EBS1_33829_0</v>
      </c>
      <c r="P367" s="41" t="s">
        <v>3244</v>
      </c>
      <c r="R367" s="41">
        <v>366</v>
      </c>
      <c r="T367" s="41" t="str">
        <f t="shared" si="11"/>
        <v>3382900:Var_ui_ErrNo:=366;</v>
      </c>
    </row>
    <row r="368" spans="1:20">
      <c r="A368" s="190">
        <v>367</v>
      </c>
      <c r="B368" s="40">
        <v>133</v>
      </c>
      <c r="C368" s="40">
        <v>37</v>
      </c>
      <c r="F368" s="40"/>
      <c r="G368" s="40"/>
      <c r="H368" s="40" t="s">
        <v>3245</v>
      </c>
      <c r="I368" s="40" t="s">
        <v>3230</v>
      </c>
      <c r="J368" s="40" t="s">
        <v>3246</v>
      </c>
      <c r="K368" s="40" t="s">
        <v>3247</v>
      </c>
      <c r="L368" s="190">
        <v>34085</v>
      </c>
      <c r="M368" s="190">
        <v>0</v>
      </c>
      <c r="N368" s="40" t="s">
        <v>3248</v>
      </c>
      <c r="O368" s="41" t="str">
        <f t="shared" si="10"/>
        <v>EBS1_34085_0</v>
      </c>
      <c r="P368" s="41" t="s">
        <v>3249</v>
      </c>
      <c r="R368" s="41">
        <v>367</v>
      </c>
      <c r="T368" s="41" t="str">
        <f t="shared" si="11"/>
        <v>3408500:Var_ui_ErrNo:=367;</v>
      </c>
    </row>
    <row r="369" spans="1:20">
      <c r="A369" s="190">
        <v>368</v>
      </c>
      <c r="B369" s="40">
        <v>134</v>
      </c>
      <c r="C369" s="40">
        <v>37</v>
      </c>
      <c r="F369" s="40"/>
      <c r="G369" s="40"/>
      <c r="H369" s="40" t="s">
        <v>3250</v>
      </c>
      <c r="I369" s="40" t="s">
        <v>3230</v>
      </c>
      <c r="J369" s="40" t="s">
        <v>3251</v>
      </c>
      <c r="K369" s="40" t="s">
        <v>3252</v>
      </c>
      <c r="L369" s="190">
        <v>34341</v>
      </c>
      <c r="M369" s="190">
        <v>0</v>
      </c>
      <c r="N369" s="40" t="s">
        <v>3253</v>
      </c>
      <c r="O369" s="41" t="str">
        <f t="shared" si="10"/>
        <v>EBS1_34341_0</v>
      </c>
      <c r="P369" s="41" t="s">
        <v>3254</v>
      </c>
      <c r="R369" s="41">
        <v>368</v>
      </c>
      <c r="T369" s="41" t="str">
        <f t="shared" si="11"/>
        <v>3434100:Var_ui_ErrNo:=368;</v>
      </c>
    </row>
    <row r="370" spans="1:20">
      <c r="A370" s="190">
        <v>369</v>
      </c>
      <c r="B370" s="40">
        <v>135</v>
      </c>
      <c r="C370" s="40">
        <v>37</v>
      </c>
      <c r="F370" s="40"/>
      <c r="G370" s="40"/>
      <c r="H370" s="40" t="s">
        <v>3255</v>
      </c>
      <c r="I370" s="40" t="s">
        <v>3230</v>
      </c>
      <c r="J370" s="40" t="s">
        <v>3256</v>
      </c>
      <c r="K370" s="40" t="s">
        <v>3257</v>
      </c>
      <c r="L370" s="190">
        <v>34597</v>
      </c>
      <c r="M370" s="190">
        <v>0</v>
      </c>
      <c r="N370" s="40" t="s">
        <v>3258</v>
      </c>
      <c r="O370" s="41" t="str">
        <f t="shared" si="10"/>
        <v>EBS1_34597_0</v>
      </c>
      <c r="P370" s="41" t="s">
        <v>3259</v>
      </c>
      <c r="R370" s="41">
        <v>369</v>
      </c>
      <c r="T370" s="41" t="str">
        <f t="shared" si="11"/>
        <v>3459700:Var_ui_ErrNo:=369;</v>
      </c>
    </row>
    <row r="371" spans="1:20">
      <c r="A371" s="190">
        <v>370</v>
      </c>
      <c r="B371" s="40">
        <v>130</v>
      </c>
      <c r="C371" s="40">
        <v>45</v>
      </c>
      <c r="F371" s="40"/>
      <c r="G371" s="40"/>
      <c r="H371" s="40" t="s">
        <v>3137</v>
      </c>
      <c r="I371" s="40" t="s">
        <v>3014</v>
      </c>
      <c r="J371" s="40" t="s">
        <v>3260</v>
      </c>
      <c r="K371" s="40" t="s">
        <v>3261</v>
      </c>
      <c r="L371" s="190">
        <v>33325</v>
      </c>
      <c r="M371" s="190">
        <v>0</v>
      </c>
      <c r="N371" s="40" t="s">
        <v>3262</v>
      </c>
      <c r="O371" s="41" t="str">
        <f t="shared" si="10"/>
        <v>EBS1_33325_0</v>
      </c>
      <c r="P371" s="41" t="s">
        <v>3263</v>
      </c>
      <c r="R371" s="41">
        <v>370</v>
      </c>
      <c r="T371" s="41" t="str">
        <f t="shared" si="11"/>
        <v>3332500:Var_ui_ErrNo:=370;</v>
      </c>
    </row>
    <row r="372" spans="1:20">
      <c r="A372" s="190">
        <v>371</v>
      </c>
      <c r="B372" s="40">
        <v>131</v>
      </c>
      <c r="C372" s="40">
        <v>45</v>
      </c>
      <c r="F372" s="40"/>
      <c r="G372" s="40"/>
      <c r="H372" s="40" t="s">
        <v>3142</v>
      </c>
      <c r="I372" s="40" t="s">
        <v>3014</v>
      </c>
      <c r="J372" s="40" t="s">
        <v>3264</v>
      </c>
      <c r="K372" s="40" t="s">
        <v>3265</v>
      </c>
      <c r="L372" s="190">
        <v>33581</v>
      </c>
      <c r="M372" s="190">
        <v>0</v>
      </c>
      <c r="N372" s="40" t="s">
        <v>3266</v>
      </c>
      <c r="O372" s="41" t="str">
        <f t="shared" si="10"/>
        <v>EBS1_33581_0</v>
      </c>
      <c r="P372" s="41" t="s">
        <v>3267</v>
      </c>
      <c r="R372" s="41">
        <v>371</v>
      </c>
      <c r="T372" s="41" t="str">
        <f t="shared" si="11"/>
        <v>3358100:Var_ui_ErrNo:=371;</v>
      </c>
    </row>
    <row r="373" spans="1:20">
      <c r="A373" s="190">
        <v>372</v>
      </c>
      <c r="B373" s="40">
        <v>132</v>
      </c>
      <c r="C373" s="40">
        <v>45</v>
      </c>
      <c r="F373" s="40"/>
      <c r="G373" s="40"/>
      <c r="H373" s="40" t="s">
        <v>3147</v>
      </c>
      <c r="I373" s="40" t="s">
        <v>3014</v>
      </c>
      <c r="J373" s="40" t="s">
        <v>3268</v>
      </c>
      <c r="K373" s="40" t="s">
        <v>3269</v>
      </c>
      <c r="L373" s="190">
        <v>33837</v>
      </c>
      <c r="M373" s="190">
        <v>0</v>
      </c>
      <c r="N373" s="40" t="s">
        <v>3270</v>
      </c>
      <c r="O373" s="41" t="str">
        <f t="shared" si="10"/>
        <v>EBS1_33837_0</v>
      </c>
      <c r="P373" s="41" t="s">
        <v>3271</v>
      </c>
      <c r="R373" s="41">
        <v>372</v>
      </c>
      <c r="T373" s="41" t="str">
        <f t="shared" si="11"/>
        <v>3383700:Var_ui_ErrNo:=372;</v>
      </c>
    </row>
    <row r="374" spans="1:20">
      <c r="A374" s="190">
        <v>373</v>
      </c>
      <c r="B374" s="40">
        <v>133</v>
      </c>
      <c r="C374" s="40">
        <v>45</v>
      </c>
      <c r="F374" s="40"/>
      <c r="G374" s="40"/>
      <c r="H374" s="40" t="s">
        <v>3152</v>
      </c>
      <c r="I374" s="40" t="s">
        <v>3014</v>
      </c>
      <c r="J374" s="40" t="s">
        <v>3272</v>
      </c>
      <c r="K374" s="40" t="s">
        <v>3273</v>
      </c>
      <c r="L374" s="190">
        <v>34093</v>
      </c>
      <c r="M374" s="190">
        <v>0</v>
      </c>
      <c r="N374" s="40" t="s">
        <v>3274</v>
      </c>
      <c r="O374" s="41" t="str">
        <f t="shared" si="10"/>
        <v>EBS1_34093_0</v>
      </c>
      <c r="P374" s="41" t="s">
        <v>3275</v>
      </c>
      <c r="R374" s="41">
        <v>373</v>
      </c>
      <c r="T374" s="41" t="str">
        <f t="shared" si="11"/>
        <v>3409300:Var_ui_ErrNo:=373;</v>
      </c>
    </row>
    <row r="375" spans="1:20">
      <c r="A375" s="190">
        <v>374</v>
      </c>
      <c r="B375" s="40">
        <v>134</v>
      </c>
      <c r="C375" s="40">
        <v>45</v>
      </c>
      <c r="F375" s="40"/>
      <c r="G375" s="40"/>
      <c r="H375" s="40" t="s">
        <v>3157</v>
      </c>
      <c r="I375" s="40" t="s">
        <v>3014</v>
      </c>
      <c r="J375" s="40" t="s">
        <v>3276</v>
      </c>
      <c r="K375" s="40" t="s">
        <v>3277</v>
      </c>
      <c r="L375" s="190">
        <v>34349</v>
      </c>
      <c r="M375" s="190">
        <v>0</v>
      </c>
      <c r="N375" s="40" t="s">
        <v>3278</v>
      </c>
      <c r="O375" s="41" t="str">
        <f t="shared" si="10"/>
        <v>EBS1_34349_0</v>
      </c>
      <c r="P375" s="41" t="s">
        <v>3279</v>
      </c>
      <c r="R375" s="41">
        <v>374</v>
      </c>
      <c r="T375" s="41" t="str">
        <f t="shared" si="11"/>
        <v>3434900:Var_ui_ErrNo:=374;</v>
      </c>
    </row>
    <row r="376" spans="1:20">
      <c r="A376" s="190">
        <v>375</v>
      </c>
      <c r="B376" s="40">
        <v>135</v>
      </c>
      <c r="C376" s="40">
        <v>45</v>
      </c>
      <c r="F376" s="40"/>
      <c r="G376" s="40"/>
      <c r="H376" s="40" t="s">
        <v>3162</v>
      </c>
      <c r="I376" s="40" t="s">
        <v>3014</v>
      </c>
      <c r="J376" s="40" t="s">
        <v>3280</v>
      </c>
      <c r="K376" s="40" t="s">
        <v>3281</v>
      </c>
      <c r="L376" s="190">
        <v>34605</v>
      </c>
      <c r="M376" s="190">
        <v>0</v>
      </c>
      <c r="N376" s="40" t="s">
        <v>3282</v>
      </c>
      <c r="O376" s="41" t="str">
        <f t="shared" si="10"/>
        <v>EBS1_34605_0</v>
      </c>
      <c r="P376" s="41" t="s">
        <v>3283</v>
      </c>
      <c r="R376" s="41">
        <v>375</v>
      </c>
      <c r="T376" s="41" t="str">
        <f t="shared" si="11"/>
        <v>3460500:Var_ui_ErrNo:=375;</v>
      </c>
    </row>
    <row r="377" spans="1:20">
      <c r="A377" s="190">
        <v>376</v>
      </c>
      <c r="B377" s="40">
        <v>130</v>
      </c>
      <c r="C377" s="40">
        <v>46</v>
      </c>
      <c r="F377" s="40"/>
      <c r="G377" s="40"/>
      <c r="H377" s="40" t="s">
        <v>3284</v>
      </c>
      <c r="I377" s="40" t="s">
        <v>3285</v>
      </c>
      <c r="J377" s="40" t="s">
        <v>3286</v>
      </c>
      <c r="K377" s="40" t="s">
        <v>3287</v>
      </c>
      <c r="L377" s="190">
        <v>33326</v>
      </c>
      <c r="M377" s="190">
        <v>0</v>
      </c>
      <c r="N377" s="40" t="s">
        <v>3288</v>
      </c>
      <c r="O377" s="41" t="str">
        <f t="shared" si="10"/>
        <v>EBS1_33326_0</v>
      </c>
      <c r="P377" s="41" t="s">
        <v>3289</v>
      </c>
      <c r="R377" s="41">
        <v>376</v>
      </c>
      <c r="T377" s="41" t="str">
        <f t="shared" si="11"/>
        <v>3332600:Var_ui_ErrNo:=376;</v>
      </c>
    </row>
    <row r="378" spans="1:20">
      <c r="A378" s="190">
        <v>377</v>
      </c>
      <c r="B378" s="40">
        <v>131</v>
      </c>
      <c r="C378" s="40">
        <v>46</v>
      </c>
      <c r="F378" s="40"/>
      <c r="G378" s="40"/>
      <c r="H378" s="40" t="s">
        <v>3290</v>
      </c>
      <c r="I378" s="40" t="s">
        <v>3285</v>
      </c>
      <c r="J378" s="40" t="s">
        <v>3291</v>
      </c>
      <c r="K378" s="40" t="s">
        <v>3292</v>
      </c>
      <c r="L378" s="190">
        <v>33582</v>
      </c>
      <c r="M378" s="190">
        <v>0</v>
      </c>
      <c r="N378" s="40" t="s">
        <v>3293</v>
      </c>
      <c r="O378" s="41" t="str">
        <f t="shared" si="10"/>
        <v>EBS1_33582_0</v>
      </c>
      <c r="P378" s="41" t="s">
        <v>3294</v>
      </c>
      <c r="R378" s="41">
        <v>377</v>
      </c>
      <c r="T378" s="41" t="str">
        <f t="shared" si="11"/>
        <v>3358200:Var_ui_ErrNo:=377;</v>
      </c>
    </row>
    <row r="379" spans="1:20">
      <c r="A379" s="190">
        <v>378</v>
      </c>
      <c r="B379" s="40">
        <v>132</v>
      </c>
      <c r="C379" s="40">
        <v>46</v>
      </c>
      <c r="F379" s="40"/>
      <c r="G379" s="40"/>
      <c r="H379" s="40" t="s">
        <v>3295</v>
      </c>
      <c r="I379" s="40" t="s">
        <v>3285</v>
      </c>
      <c r="J379" s="40" t="s">
        <v>3296</v>
      </c>
      <c r="K379" s="40" t="s">
        <v>3297</v>
      </c>
      <c r="L379" s="190">
        <v>33838</v>
      </c>
      <c r="M379" s="190">
        <v>0</v>
      </c>
      <c r="N379" s="40" t="s">
        <v>3298</v>
      </c>
      <c r="O379" s="41" t="str">
        <f t="shared" si="10"/>
        <v>EBS1_33838_0</v>
      </c>
      <c r="P379" s="41" t="s">
        <v>3299</v>
      </c>
      <c r="R379" s="41">
        <v>378</v>
      </c>
      <c r="T379" s="41" t="str">
        <f t="shared" si="11"/>
        <v>3383800:Var_ui_ErrNo:=378;</v>
      </c>
    </row>
    <row r="380" spans="1:20">
      <c r="A380" s="190">
        <v>379</v>
      </c>
      <c r="B380" s="40">
        <v>133</v>
      </c>
      <c r="C380" s="40">
        <v>46</v>
      </c>
      <c r="F380" s="40"/>
      <c r="G380" s="40"/>
      <c r="H380" s="40" t="s">
        <v>3300</v>
      </c>
      <c r="I380" s="40" t="s">
        <v>3285</v>
      </c>
      <c r="J380" s="40" t="s">
        <v>3301</v>
      </c>
      <c r="K380" s="40" t="s">
        <v>3302</v>
      </c>
      <c r="L380" s="190">
        <v>34094</v>
      </c>
      <c r="M380" s="190">
        <v>0</v>
      </c>
      <c r="N380" s="40" t="s">
        <v>3303</v>
      </c>
      <c r="O380" s="41" t="str">
        <f t="shared" si="10"/>
        <v>EBS1_34094_0</v>
      </c>
      <c r="P380" s="41" t="s">
        <v>3304</v>
      </c>
      <c r="R380" s="41">
        <v>379</v>
      </c>
      <c r="T380" s="41" t="str">
        <f t="shared" si="11"/>
        <v>3409400:Var_ui_ErrNo:=379;</v>
      </c>
    </row>
    <row r="381" spans="1:20">
      <c r="A381" s="190">
        <v>380</v>
      </c>
      <c r="B381" s="40">
        <v>134</v>
      </c>
      <c r="C381" s="40">
        <v>46</v>
      </c>
      <c r="F381" s="40"/>
      <c r="G381" s="40"/>
      <c r="H381" s="40" t="s">
        <v>3305</v>
      </c>
      <c r="I381" s="40" t="s">
        <v>3285</v>
      </c>
      <c r="J381" s="40" t="s">
        <v>3306</v>
      </c>
      <c r="K381" s="40" t="s">
        <v>3307</v>
      </c>
      <c r="L381" s="190">
        <v>34350</v>
      </c>
      <c r="M381" s="190">
        <v>0</v>
      </c>
      <c r="N381" s="40" t="s">
        <v>3308</v>
      </c>
      <c r="O381" s="41" t="str">
        <f t="shared" si="10"/>
        <v>EBS1_34350_0</v>
      </c>
      <c r="P381" s="41" t="s">
        <v>3309</v>
      </c>
      <c r="R381" s="41">
        <v>380</v>
      </c>
      <c r="T381" s="41" t="str">
        <f t="shared" si="11"/>
        <v>3435000:Var_ui_ErrNo:=380;</v>
      </c>
    </row>
    <row r="382" spans="1:20">
      <c r="A382" s="190">
        <v>381</v>
      </c>
      <c r="B382" s="40">
        <v>135</v>
      </c>
      <c r="C382" s="40">
        <v>46</v>
      </c>
      <c r="F382" s="40"/>
      <c r="G382" s="40"/>
      <c r="H382" s="40" t="s">
        <v>3310</v>
      </c>
      <c r="I382" s="40" t="s">
        <v>3285</v>
      </c>
      <c r="J382" s="40" t="s">
        <v>3311</v>
      </c>
      <c r="K382" s="40" t="s">
        <v>3312</v>
      </c>
      <c r="L382" s="190">
        <v>34606</v>
      </c>
      <c r="M382" s="190">
        <v>0</v>
      </c>
      <c r="N382" s="40" t="s">
        <v>3313</v>
      </c>
      <c r="O382" s="41" t="str">
        <f t="shared" si="10"/>
        <v>EBS1_34606_0</v>
      </c>
      <c r="P382" s="41" t="s">
        <v>3314</v>
      </c>
      <c r="R382" s="41">
        <v>381</v>
      </c>
      <c r="T382" s="41" t="str">
        <f t="shared" si="11"/>
        <v>3460600:Var_ui_ErrNo:=381;</v>
      </c>
    </row>
    <row r="383" spans="1:20">
      <c r="A383" s="190">
        <v>382</v>
      </c>
      <c r="B383" s="40">
        <v>130</v>
      </c>
      <c r="C383" s="40">
        <v>150</v>
      </c>
      <c r="F383" s="40"/>
      <c r="G383" s="40"/>
      <c r="H383" s="40" t="s">
        <v>3315</v>
      </c>
      <c r="I383" s="40" t="s">
        <v>3014</v>
      </c>
      <c r="J383" s="40" t="s">
        <v>3316</v>
      </c>
      <c r="K383" s="40" t="s">
        <v>3317</v>
      </c>
      <c r="L383" s="190">
        <v>33430</v>
      </c>
      <c r="M383" s="190">
        <v>0</v>
      </c>
      <c r="N383" s="40" t="s">
        <v>3318</v>
      </c>
      <c r="O383" s="41" t="str">
        <f t="shared" si="10"/>
        <v>EBS1_33430_0</v>
      </c>
      <c r="P383" s="41" t="s">
        <v>3319</v>
      </c>
      <c r="R383" s="41">
        <v>382</v>
      </c>
      <c r="T383" s="41" t="str">
        <f t="shared" si="11"/>
        <v>3343000:Var_ui_ErrNo:=382;</v>
      </c>
    </row>
    <row r="384" spans="1:20">
      <c r="A384" s="190">
        <v>383</v>
      </c>
      <c r="B384" s="40">
        <v>131</v>
      </c>
      <c r="C384" s="40">
        <v>150</v>
      </c>
      <c r="F384" s="40"/>
      <c r="G384" s="40"/>
      <c r="H384" s="40" t="s">
        <v>3320</v>
      </c>
      <c r="I384" s="40" t="s">
        <v>3014</v>
      </c>
      <c r="J384" s="40" t="s">
        <v>3321</v>
      </c>
      <c r="K384" s="40" t="s">
        <v>3322</v>
      </c>
      <c r="L384" s="190">
        <v>33686</v>
      </c>
      <c r="M384" s="190">
        <v>0</v>
      </c>
      <c r="N384" s="40" t="s">
        <v>3323</v>
      </c>
      <c r="O384" s="41" t="str">
        <f t="shared" si="10"/>
        <v>EBS1_33686_0</v>
      </c>
      <c r="P384" s="41" t="s">
        <v>3324</v>
      </c>
      <c r="R384" s="41">
        <v>383</v>
      </c>
      <c r="T384" s="41" t="str">
        <f t="shared" si="11"/>
        <v>3368600:Var_ui_ErrNo:=383;</v>
      </c>
    </row>
    <row r="385" spans="1:20">
      <c r="A385" s="190">
        <v>384</v>
      </c>
      <c r="B385" s="40">
        <v>132</v>
      </c>
      <c r="C385" s="40">
        <v>150</v>
      </c>
      <c r="F385" s="40"/>
      <c r="G385" s="40"/>
      <c r="H385" s="40" t="s">
        <v>3325</v>
      </c>
      <c r="I385" s="40" t="s">
        <v>3014</v>
      </c>
      <c r="J385" s="40" t="s">
        <v>3326</v>
      </c>
      <c r="K385" s="40" t="s">
        <v>3327</v>
      </c>
      <c r="L385" s="190">
        <v>33942</v>
      </c>
      <c r="M385" s="190">
        <v>0</v>
      </c>
      <c r="N385" s="40" t="s">
        <v>3328</v>
      </c>
      <c r="O385" s="41" t="str">
        <f t="shared" si="10"/>
        <v>EBS1_33942_0</v>
      </c>
      <c r="P385" s="41" t="s">
        <v>3329</v>
      </c>
      <c r="R385" s="41">
        <v>384</v>
      </c>
      <c r="T385" s="41" t="str">
        <f t="shared" si="11"/>
        <v>3394200:Var_ui_ErrNo:=384;</v>
      </c>
    </row>
    <row r="386" spans="1:20">
      <c r="A386" s="190">
        <v>385</v>
      </c>
      <c r="B386" s="40">
        <v>133</v>
      </c>
      <c r="C386" s="40">
        <v>150</v>
      </c>
      <c r="F386" s="40"/>
      <c r="G386" s="40"/>
      <c r="H386" s="40" t="s">
        <v>3330</v>
      </c>
      <c r="I386" s="40" t="s">
        <v>3014</v>
      </c>
      <c r="J386" s="40" t="s">
        <v>3331</v>
      </c>
      <c r="K386" s="40" t="s">
        <v>3332</v>
      </c>
      <c r="L386" s="190">
        <v>34198</v>
      </c>
      <c r="M386" s="190">
        <v>0</v>
      </c>
      <c r="N386" s="40" t="s">
        <v>3333</v>
      </c>
      <c r="O386" s="41" t="str">
        <f t="shared" ref="O386:O449" si="12">"EBS1_"&amp;L386&amp;"_"&amp;M386</f>
        <v>EBS1_34198_0</v>
      </c>
      <c r="P386" s="41" t="s">
        <v>3334</v>
      </c>
      <c r="R386" s="41">
        <v>385</v>
      </c>
      <c r="T386" s="41" t="str">
        <f t="shared" si="11"/>
        <v>3419800:Var_ui_ErrNo:=385;</v>
      </c>
    </row>
    <row r="387" spans="1:20">
      <c r="A387" s="190">
        <v>386</v>
      </c>
      <c r="B387" s="40">
        <v>134</v>
      </c>
      <c r="C387" s="40">
        <v>150</v>
      </c>
      <c r="F387" s="40"/>
      <c r="G387" s="40"/>
      <c r="H387" s="40" t="s">
        <v>3335</v>
      </c>
      <c r="I387" s="40" t="s">
        <v>3014</v>
      </c>
      <c r="J387" s="40" t="s">
        <v>3336</v>
      </c>
      <c r="K387" s="40" t="s">
        <v>3337</v>
      </c>
      <c r="L387" s="190">
        <v>34454</v>
      </c>
      <c r="M387" s="190">
        <v>0</v>
      </c>
      <c r="N387" s="40" t="s">
        <v>3338</v>
      </c>
      <c r="O387" s="41" t="str">
        <f t="shared" si="12"/>
        <v>EBS1_34454_0</v>
      </c>
      <c r="P387" s="41" t="s">
        <v>3339</v>
      </c>
      <c r="R387" s="41">
        <v>386</v>
      </c>
      <c r="T387" s="41" t="str">
        <f t="shared" ref="T387:T450" si="13">P387&amp;$Q$2&amp;R387&amp;$S$2</f>
        <v>3445400:Var_ui_ErrNo:=386;</v>
      </c>
    </row>
    <row r="388" spans="1:20">
      <c r="A388" s="190">
        <v>387</v>
      </c>
      <c r="B388" s="40">
        <v>135</v>
      </c>
      <c r="C388" s="40">
        <v>150</v>
      </c>
      <c r="F388" s="40"/>
      <c r="G388" s="40"/>
      <c r="H388" s="40" t="s">
        <v>3340</v>
      </c>
      <c r="I388" s="40" t="s">
        <v>3014</v>
      </c>
      <c r="J388" s="40" t="s">
        <v>3341</v>
      </c>
      <c r="K388" s="40" t="s">
        <v>3342</v>
      </c>
      <c r="L388" s="190">
        <v>34710</v>
      </c>
      <c r="M388" s="190">
        <v>0</v>
      </c>
      <c r="N388" s="40" t="s">
        <v>3343</v>
      </c>
      <c r="O388" s="41" t="str">
        <f t="shared" si="12"/>
        <v>EBS1_34710_0</v>
      </c>
      <c r="P388" s="41" t="s">
        <v>3344</v>
      </c>
      <c r="R388" s="41">
        <v>387</v>
      </c>
      <c r="T388" s="41" t="str">
        <f t="shared" si="13"/>
        <v>3471000:Var_ui_ErrNo:=387;</v>
      </c>
    </row>
    <row r="389" spans="1:20">
      <c r="A389" s="190">
        <v>388</v>
      </c>
      <c r="B389" s="40">
        <v>130</v>
      </c>
      <c r="C389" s="40">
        <v>151</v>
      </c>
      <c r="F389" s="40"/>
      <c r="G389" s="40"/>
      <c r="H389" s="40" t="s">
        <v>3345</v>
      </c>
      <c r="I389" s="40" t="s">
        <v>3346</v>
      </c>
      <c r="J389" s="40" t="s">
        <v>3347</v>
      </c>
      <c r="K389" s="40" t="s">
        <v>3348</v>
      </c>
      <c r="L389" s="190">
        <v>33431</v>
      </c>
      <c r="M389" s="190">
        <v>0</v>
      </c>
      <c r="N389" s="40" t="s">
        <v>3349</v>
      </c>
      <c r="O389" s="41" t="str">
        <f t="shared" si="12"/>
        <v>EBS1_33431_0</v>
      </c>
      <c r="P389" s="41" t="s">
        <v>3350</v>
      </c>
      <c r="R389" s="41">
        <v>388</v>
      </c>
      <c r="T389" s="41" t="str">
        <f t="shared" si="13"/>
        <v>3343100:Var_ui_ErrNo:=388;</v>
      </c>
    </row>
    <row r="390" spans="1:20">
      <c r="A390" s="190">
        <v>389</v>
      </c>
      <c r="B390" s="40">
        <v>131</v>
      </c>
      <c r="C390" s="40">
        <v>151</v>
      </c>
      <c r="F390" s="40"/>
      <c r="G390" s="40"/>
      <c r="H390" s="40" t="s">
        <v>3351</v>
      </c>
      <c r="I390" s="40" t="s">
        <v>3346</v>
      </c>
      <c r="J390" s="40" t="s">
        <v>3352</v>
      </c>
      <c r="K390" s="40" t="s">
        <v>3353</v>
      </c>
      <c r="L390" s="190">
        <v>33687</v>
      </c>
      <c r="M390" s="190">
        <v>0</v>
      </c>
      <c r="N390" s="40" t="s">
        <v>3354</v>
      </c>
      <c r="O390" s="41" t="str">
        <f t="shared" si="12"/>
        <v>EBS1_33687_0</v>
      </c>
      <c r="P390" s="41" t="s">
        <v>3355</v>
      </c>
      <c r="R390" s="41">
        <v>389</v>
      </c>
      <c r="T390" s="41" t="str">
        <f t="shared" si="13"/>
        <v>3368700:Var_ui_ErrNo:=389;</v>
      </c>
    </row>
    <row r="391" spans="1:20">
      <c r="A391" s="190">
        <v>390</v>
      </c>
      <c r="B391" s="40">
        <v>132</v>
      </c>
      <c r="C391" s="40">
        <v>151</v>
      </c>
      <c r="F391" s="40"/>
      <c r="G391" s="40"/>
      <c r="H391" s="40" t="s">
        <v>3356</v>
      </c>
      <c r="I391" s="40" t="s">
        <v>3346</v>
      </c>
      <c r="J391" s="40" t="s">
        <v>3357</v>
      </c>
      <c r="K391" s="40" t="s">
        <v>3358</v>
      </c>
      <c r="L391" s="190">
        <v>33943</v>
      </c>
      <c r="M391" s="190">
        <v>0</v>
      </c>
      <c r="N391" s="40" t="s">
        <v>3359</v>
      </c>
      <c r="O391" s="41" t="str">
        <f t="shared" si="12"/>
        <v>EBS1_33943_0</v>
      </c>
      <c r="P391" s="41" t="s">
        <v>3360</v>
      </c>
      <c r="R391" s="41">
        <v>390</v>
      </c>
      <c r="T391" s="41" t="str">
        <f t="shared" si="13"/>
        <v>3394300:Var_ui_ErrNo:=390;</v>
      </c>
    </row>
    <row r="392" spans="1:20">
      <c r="A392" s="190">
        <v>391</v>
      </c>
      <c r="B392" s="40">
        <v>133</v>
      </c>
      <c r="C392" s="40">
        <v>151</v>
      </c>
      <c r="F392" s="40"/>
      <c r="G392" s="40"/>
      <c r="H392" s="40" t="s">
        <v>3361</v>
      </c>
      <c r="I392" s="40" t="s">
        <v>3346</v>
      </c>
      <c r="J392" s="40" t="s">
        <v>3362</v>
      </c>
      <c r="K392" s="40" t="s">
        <v>3363</v>
      </c>
      <c r="L392" s="190">
        <v>34199</v>
      </c>
      <c r="M392" s="190">
        <v>0</v>
      </c>
      <c r="N392" s="40" t="s">
        <v>3364</v>
      </c>
      <c r="O392" s="41" t="str">
        <f t="shared" si="12"/>
        <v>EBS1_34199_0</v>
      </c>
      <c r="P392" s="41" t="s">
        <v>3365</v>
      </c>
      <c r="R392" s="41">
        <v>391</v>
      </c>
      <c r="T392" s="41" t="str">
        <f t="shared" si="13"/>
        <v>3419900:Var_ui_ErrNo:=391;</v>
      </c>
    </row>
    <row r="393" spans="1:20">
      <c r="A393" s="190">
        <v>392</v>
      </c>
      <c r="B393" s="40">
        <v>134</v>
      </c>
      <c r="C393" s="40">
        <v>151</v>
      </c>
      <c r="F393" s="40"/>
      <c r="G393" s="40"/>
      <c r="H393" s="40" t="s">
        <v>3366</v>
      </c>
      <c r="I393" s="40" t="s">
        <v>3346</v>
      </c>
      <c r="J393" s="40" t="s">
        <v>3367</v>
      </c>
      <c r="K393" s="40" t="s">
        <v>3368</v>
      </c>
      <c r="L393" s="190">
        <v>34455</v>
      </c>
      <c r="M393" s="190">
        <v>0</v>
      </c>
      <c r="N393" s="40" t="s">
        <v>3369</v>
      </c>
      <c r="O393" s="41" t="str">
        <f t="shared" si="12"/>
        <v>EBS1_34455_0</v>
      </c>
      <c r="P393" s="41" t="s">
        <v>3370</v>
      </c>
      <c r="R393" s="41">
        <v>392</v>
      </c>
      <c r="T393" s="41" t="str">
        <f t="shared" si="13"/>
        <v>3445500:Var_ui_ErrNo:=392;</v>
      </c>
    </row>
    <row r="394" spans="1:20">
      <c r="A394" s="190">
        <v>393</v>
      </c>
      <c r="B394" s="40">
        <v>135</v>
      </c>
      <c r="C394" s="40">
        <v>151</v>
      </c>
      <c r="F394" s="40"/>
      <c r="G394" s="40"/>
      <c r="H394" s="40" t="s">
        <v>3371</v>
      </c>
      <c r="I394" s="40" t="s">
        <v>3346</v>
      </c>
      <c r="J394" s="40" t="s">
        <v>3372</v>
      </c>
      <c r="K394" s="40" t="s">
        <v>3373</v>
      </c>
      <c r="L394" s="190">
        <v>34711</v>
      </c>
      <c r="M394" s="190">
        <v>0</v>
      </c>
      <c r="N394" s="40" t="s">
        <v>3374</v>
      </c>
      <c r="O394" s="41" t="str">
        <f t="shared" si="12"/>
        <v>EBS1_34711_0</v>
      </c>
      <c r="P394" s="41" t="s">
        <v>3375</v>
      </c>
      <c r="R394" s="41">
        <v>393</v>
      </c>
      <c r="T394" s="41" t="str">
        <f t="shared" si="13"/>
        <v>3471100:Var_ui_ErrNo:=393;</v>
      </c>
    </row>
    <row r="395" spans="1:20">
      <c r="A395" s="190">
        <v>394</v>
      </c>
      <c r="B395" s="40">
        <v>130</v>
      </c>
      <c r="C395" s="40">
        <v>153</v>
      </c>
      <c r="F395" s="40"/>
      <c r="G395" s="40"/>
      <c r="H395" s="40" t="s">
        <v>3376</v>
      </c>
      <c r="I395" s="40" t="s">
        <v>3377</v>
      </c>
      <c r="J395" s="40" t="s">
        <v>3378</v>
      </c>
      <c r="K395" s="40" t="s">
        <v>3379</v>
      </c>
      <c r="L395" s="190">
        <v>33433</v>
      </c>
      <c r="M395" s="190">
        <v>0</v>
      </c>
      <c r="N395" s="40" t="s">
        <v>3380</v>
      </c>
      <c r="O395" s="41" t="str">
        <f t="shared" si="12"/>
        <v>EBS1_33433_0</v>
      </c>
      <c r="P395" s="41" t="s">
        <v>3381</v>
      </c>
      <c r="R395" s="41">
        <v>394</v>
      </c>
      <c r="T395" s="41" t="str">
        <f t="shared" si="13"/>
        <v>3343300:Var_ui_ErrNo:=394;</v>
      </c>
    </row>
    <row r="396" spans="1:20">
      <c r="A396" s="190">
        <v>395</v>
      </c>
      <c r="B396" s="40">
        <v>131</v>
      </c>
      <c r="C396" s="40">
        <v>153</v>
      </c>
      <c r="F396" s="40"/>
      <c r="G396" s="40"/>
      <c r="H396" s="40" t="s">
        <v>3382</v>
      </c>
      <c r="I396" s="40" t="s">
        <v>3377</v>
      </c>
      <c r="J396" s="40" t="s">
        <v>3383</v>
      </c>
      <c r="K396" s="40" t="s">
        <v>3384</v>
      </c>
      <c r="L396" s="190">
        <v>33689</v>
      </c>
      <c r="M396" s="190">
        <v>0</v>
      </c>
      <c r="N396" s="40" t="s">
        <v>3385</v>
      </c>
      <c r="O396" s="41" t="str">
        <f t="shared" si="12"/>
        <v>EBS1_33689_0</v>
      </c>
      <c r="P396" s="41" t="s">
        <v>3386</v>
      </c>
      <c r="R396" s="41">
        <v>395</v>
      </c>
      <c r="T396" s="41" t="str">
        <f t="shared" si="13"/>
        <v>3368900:Var_ui_ErrNo:=395;</v>
      </c>
    </row>
    <row r="397" spans="1:20">
      <c r="A397" s="190">
        <v>396</v>
      </c>
      <c r="B397" s="40">
        <v>132</v>
      </c>
      <c r="C397" s="40">
        <v>153</v>
      </c>
      <c r="F397" s="40"/>
      <c r="G397" s="40"/>
      <c r="H397" s="40" t="s">
        <v>3387</v>
      </c>
      <c r="I397" s="40" t="s">
        <v>3377</v>
      </c>
      <c r="J397" s="40" t="s">
        <v>3388</v>
      </c>
      <c r="K397" s="40" t="s">
        <v>3389</v>
      </c>
      <c r="L397" s="190">
        <v>33945</v>
      </c>
      <c r="M397" s="190">
        <v>0</v>
      </c>
      <c r="N397" s="40" t="s">
        <v>3390</v>
      </c>
      <c r="O397" s="41" t="str">
        <f t="shared" si="12"/>
        <v>EBS1_33945_0</v>
      </c>
      <c r="P397" s="41" t="s">
        <v>3391</v>
      </c>
      <c r="R397" s="41">
        <v>396</v>
      </c>
      <c r="T397" s="41" t="str">
        <f t="shared" si="13"/>
        <v>3394500:Var_ui_ErrNo:=396;</v>
      </c>
    </row>
    <row r="398" spans="1:20">
      <c r="A398" s="190">
        <v>397</v>
      </c>
      <c r="B398" s="40">
        <v>133</v>
      </c>
      <c r="C398" s="40">
        <v>153</v>
      </c>
      <c r="F398" s="40"/>
      <c r="G398" s="40"/>
      <c r="H398" s="40" t="s">
        <v>3392</v>
      </c>
      <c r="I398" s="40" t="s">
        <v>3377</v>
      </c>
      <c r="J398" s="40" t="s">
        <v>3393</v>
      </c>
      <c r="K398" s="40" t="s">
        <v>3394</v>
      </c>
      <c r="L398" s="190">
        <v>34201</v>
      </c>
      <c r="M398" s="190">
        <v>0</v>
      </c>
      <c r="N398" s="40" t="s">
        <v>3395</v>
      </c>
      <c r="O398" s="41" t="str">
        <f t="shared" si="12"/>
        <v>EBS1_34201_0</v>
      </c>
      <c r="P398" s="41" t="s">
        <v>3396</v>
      </c>
      <c r="R398" s="41">
        <v>397</v>
      </c>
      <c r="T398" s="41" t="str">
        <f t="shared" si="13"/>
        <v>3420100:Var_ui_ErrNo:=397;</v>
      </c>
    </row>
    <row r="399" spans="1:20">
      <c r="A399" s="190">
        <v>398</v>
      </c>
      <c r="B399" s="40">
        <v>134</v>
      </c>
      <c r="C399" s="40">
        <v>153</v>
      </c>
      <c r="F399" s="40"/>
      <c r="G399" s="40"/>
      <c r="H399" s="40" t="s">
        <v>3397</v>
      </c>
      <c r="I399" s="40" t="s">
        <v>3377</v>
      </c>
      <c r="J399" s="40" t="s">
        <v>3398</v>
      </c>
      <c r="K399" s="40" t="s">
        <v>3399</v>
      </c>
      <c r="L399" s="190">
        <v>34457</v>
      </c>
      <c r="M399" s="190">
        <v>0</v>
      </c>
      <c r="N399" s="40" t="s">
        <v>3400</v>
      </c>
      <c r="O399" s="41" t="str">
        <f t="shared" si="12"/>
        <v>EBS1_34457_0</v>
      </c>
      <c r="P399" s="41" t="s">
        <v>3401</v>
      </c>
      <c r="R399" s="41">
        <v>398</v>
      </c>
      <c r="T399" s="41" t="str">
        <f t="shared" si="13"/>
        <v>3445700:Var_ui_ErrNo:=398;</v>
      </c>
    </row>
    <row r="400" spans="1:20">
      <c r="A400" s="190">
        <v>399</v>
      </c>
      <c r="B400" s="40">
        <v>135</v>
      </c>
      <c r="C400" s="40">
        <v>153</v>
      </c>
      <c r="F400" s="40"/>
      <c r="G400" s="40"/>
      <c r="H400" s="40" t="s">
        <v>3402</v>
      </c>
      <c r="I400" s="40" t="s">
        <v>3377</v>
      </c>
      <c r="J400" s="40" t="s">
        <v>3403</v>
      </c>
      <c r="K400" s="40" t="s">
        <v>3404</v>
      </c>
      <c r="L400" s="190">
        <v>34713</v>
      </c>
      <c r="M400" s="190">
        <v>0</v>
      </c>
      <c r="N400" s="40" t="s">
        <v>3405</v>
      </c>
      <c r="O400" s="41" t="str">
        <f t="shared" si="12"/>
        <v>EBS1_34713_0</v>
      </c>
      <c r="P400" s="41" t="s">
        <v>3406</v>
      </c>
      <c r="R400" s="41">
        <v>399</v>
      </c>
      <c r="T400" s="41" t="str">
        <f t="shared" si="13"/>
        <v>3471300:Var_ui_ErrNo:=399;</v>
      </c>
    </row>
    <row r="401" spans="1:20">
      <c r="A401" s="190">
        <v>400</v>
      </c>
      <c r="B401" s="40">
        <v>130</v>
      </c>
      <c r="C401" s="40">
        <v>156</v>
      </c>
      <c r="F401" s="40"/>
      <c r="G401" s="40"/>
      <c r="H401" s="40" t="s">
        <v>3407</v>
      </c>
      <c r="I401" s="40" t="s">
        <v>3346</v>
      </c>
      <c r="J401" s="40" t="s">
        <v>3408</v>
      </c>
      <c r="K401" s="40" t="s">
        <v>3409</v>
      </c>
      <c r="L401" s="190">
        <v>33436</v>
      </c>
      <c r="M401" s="190">
        <v>0</v>
      </c>
      <c r="N401" s="40" t="s">
        <v>3410</v>
      </c>
      <c r="O401" s="41" t="str">
        <f t="shared" si="12"/>
        <v>EBS1_33436_0</v>
      </c>
      <c r="P401" s="41" t="s">
        <v>3411</v>
      </c>
      <c r="R401" s="41">
        <v>400</v>
      </c>
      <c r="T401" s="41" t="str">
        <f t="shared" si="13"/>
        <v>3343600:Var_ui_ErrNo:=400;</v>
      </c>
    </row>
    <row r="402" spans="1:20">
      <c r="A402" s="190">
        <v>401</v>
      </c>
      <c r="B402" s="40">
        <v>131</v>
      </c>
      <c r="C402" s="40">
        <v>156</v>
      </c>
      <c r="F402" s="40"/>
      <c r="G402" s="40"/>
      <c r="H402" s="40" t="s">
        <v>3412</v>
      </c>
      <c r="I402" s="40" t="s">
        <v>3346</v>
      </c>
      <c r="J402" s="40" t="s">
        <v>3413</v>
      </c>
      <c r="K402" s="40" t="s">
        <v>3414</v>
      </c>
      <c r="L402" s="190">
        <v>33692</v>
      </c>
      <c r="M402" s="190">
        <v>0</v>
      </c>
      <c r="N402" s="40" t="s">
        <v>3415</v>
      </c>
      <c r="O402" s="41" t="str">
        <f t="shared" si="12"/>
        <v>EBS1_33692_0</v>
      </c>
      <c r="P402" s="41" t="s">
        <v>3416</v>
      </c>
      <c r="R402" s="41">
        <v>401</v>
      </c>
      <c r="T402" s="41" t="str">
        <f t="shared" si="13"/>
        <v>3369200:Var_ui_ErrNo:=401;</v>
      </c>
    </row>
    <row r="403" spans="1:20">
      <c r="A403" s="190">
        <v>402</v>
      </c>
      <c r="B403" s="40">
        <v>132</v>
      </c>
      <c r="C403" s="40">
        <v>156</v>
      </c>
      <c r="F403" s="40"/>
      <c r="G403" s="40"/>
      <c r="H403" s="40" t="s">
        <v>3417</v>
      </c>
      <c r="I403" s="40" t="s">
        <v>3346</v>
      </c>
      <c r="J403" s="40" t="s">
        <v>3418</v>
      </c>
      <c r="K403" s="40" t="s">
        <v>3419</v>
      </c>
      <c r="L403" s="190">
        <v>33948</v>
      </c>
      <c r="M403" s="190">
        <v>0</v>
      </c>
      <c r="N403" s="40" t="s">
        <v>3420</v>
      </c>
      <c r="O403" s="41" t="str">
        <f t="shared" si="12"/>
        <v>EBS1_33948_0</v>
      </c>
      <c r="P403" s="41" t="s">
        <v>3421</v>
      </c>
      <c r="R403" s="41">
        <v>402</v>
      </c>
      <c r="T403" s="41" t="str">
        <f t="shared" si="13"/>
        <v>3394800:Var_ui_ErrNo:=402;</v>
      </c>
    </row>
    <row r="404" spans="1:20">
      <c r="A404" s="190">
        <v>403</v>
      </c>
      <c r="B404" s="40">
        <v>133</v>
      </c>
      <c r="C404" s="40">
        <v>156</v>
      </c>
      <c r="F404" s="40"/>
      <c r="G404" s="40"/>
      <c r="H404" s="40" t="s">
        <v>3422</v>
      </c>
      <c r="I404" s="40" t="s">
        <v>3346</v>
      </c>
      <c r="J404" s="40" t="s">
        <v>3423</v>
      </c>
      <c r="K404" s="40" t="s">
        <v>3424</v>
      </c>
      <c r="L404" s="190">
        <v>34204</v>
      </c>
      <c r="M404" s="190">
        <v>0</v>
      </c>
      <c r="N404" s="40" t="s">
        <v>3425</v>
      </c>
      <c r="O404" s="41" t="str">
        <f t="shared" si="12"/>
        <v>EBS1_34204_0</v>
      </c>
      <c r="P404" s="41" t="s">
        <v>3426</v>
      </c>
      <c r="R404" s="41">
        <v>403</v>
      </c>
      <c r="T404" s="41" t="str">
        <f t="shared" si="13"/>
        <v>3420400:Var_ui_ErrNo:=403;</v>
      </c>
    </row>
    <row r="405" spans="1:20">
      <c r="A405" s="190">
        <v>404</v>
      </c>
      <c r="B405" s="40">
        <v>134</v>
      </c>
      <c r="C405" s="40">
        <v>156</v>
      </c>
      <c r="F405" s="40"/>
      <c r="G405" s="40"/>
      <c r="H405" s="40" t="s">
        <v>3427</v>
      </c>
      <c r="I405" s="40" t="s">
        <v>3346</v>
      </c>
      <c r="J405" s="40" t="s">
        <v>3428</v>
      </c>
      <c r="K405" s="40" t="s">
        <v>3429</v>
      </c>
      <c r="L405" s="190">
        <v>34460</v>
      </c>
      <c r="M405" s="190">
        <v>0</v>
      </c>
      <c r="N405" s="40" t="s">
        <v>3430</v>
      </c>
      <c r="O405" s="41" t="str">
        <f t="shared" si="12"/>
        <v>EBS1_34460_0</v>
      </c>
      <c r="P405" s="41" t="s">
        <v>3431</v>
      </c>
      <c r="R405" s="41">
        <v>404</v>
      </c>
      <c r="T405" s="41" t="str">
        <f t="shared" si="13"/>
        <v>3446000:Var_ui_ErrNo:=404;</v>
      </c>
    </row>
    <row r="406" spans="1:20">
      <c r="A406" s="190">
        <v>405</v>
      </c>
      <c r="B406" s="40">
        <v>135</v>
      </c>
      <c r="C406" s="40">
        <v>156</v>
      </c>
      <c r="F406" s="40"/>
      <c r="G406" s="40"/>
      <c r="H406" s="40" t="s">
        <v>3432</v>
      </c>
      <c r="I406" s="40" t="s">
        <v>3346</v>
      </c>
      <c r="J406" s="40" t="s">
        <v>3433</v>
      </c>
      <c r="K406" s="40" t="s">
        <v>3434</v>
      </c>
      <c r="L406" s="190">
        <v>34716</v>
      </c>
      <c r="M406" s="190">
        <v>0</v>
      </c>
      <c r="N406" s="40" t="s">
        <v>3435</v>
      </c>
      <c r="O406" s="41" t="str">
        <f t="shared" si="12"/>
        <v>EBS1_34716_0</v>
      </c>
      <c r="P406" s="41" t="s">
        <v>3436</v>
      </c>
      <c r="R406" s="41">
        <v>405</v>
      </c>
      <c r="T406" s="41" t="str">
        <f t="shared" si="13"/>
        <v>3471600:Var_ui_ErrNo:=405;</v>
      </c>
    </row>
    <row r="407" spans="1:20">
      <c r="A407" s="190">
        <v>406</v>
      </c>
      <c r="B407" s="40">
        <v>130</v>
      </c>
      <c r="C407" s="40">
        <v>157</v>
      </c>
      <c r="F407" s="40"/>
      <c r="G407" s="40"/>
      <c r="H407" s="40" t="s">
        <v>3437</v>
      </c>
      <c r="I407" s="40" t="s">
        <v>3346</v>
      </c>
      <c r="J407" s="40" t="s">
        <v>3438</v>
      </c>
      <c r="K407" s="40" t="s">
        <v>3439</v>
      </c>
      <c r="L407" s="190">
        <v>33437</v>
      </c>
      <c r="M407" s="190">
        <v>0</v>
      </c>
      <c r="N407" s="40" t="s">
        <v>3171</v>
      </c>
      <c r="O407" s="41" t="str">
        <f t="shared" si="12"/>
        <v>EBS1_33437_0</v>
      </c>
      <c r="P407" s="41" t="s">
        <v>3440</v>
      </c>
      <c r="R407" s="41">
        <v>406</v>
      </c>
      <c r="T407" s="41" t="str">
        <f t="shared" si="13"/>
        <v>3343700:Var_ui_ErrNo:=406;</v>
      </c>
    </row>
    <row r="408" spans="1:20">
      <c r="A408" s="190">
        <v>407</v>
      </c>
      <c r="B408" s="40">
        <v>131</v>
      </c>
      <c r="C408" s="40">
        <v>157</v>
      </c>
      <c r="F408" s="40"/>
      <c r="G408" s="40"/>
      <c r="H408" s="40" t="s">
        <v>3441</v>
      </c>
      <c r="I408" s="40" t="s">
        <v>3346</v>
      </c>
      <c r="J408" s="40" t="s">
        <v>3442</v>
      </c>
      <c r="K408" s="40" t="s">
        <v>3443</v>
      </c>
      <c r="L408" s="190">
        <v>33693</v>
      </c>
      <c r="M408" s="190">
        <v>0</v>
      </c>
      <c r="N408" s="40" t="s">
        <v>3176</v>
      </c>
      <c r="O408" s="41" t="str">
        <f t="shared" si="12"/>
        <v>EBS1_33693_0</v>
      </c>
      <c r="P408" s="41" t="s">
        <v>3444</v>
      </c>
      <c r="R408" s="41">
        <v>407</v>
      </c>
      <c r="T408" s="41" t="str">
        <f t="shared" si="13"/>
        <v>3369300:Var_ui_ErrNo:=407;</v>
      </c>
    </row>
    <row r="409" spans="1:20">
      <c r="A409" s="190">
        <v>408</v>
      </c>
      <c r="B409" s="40">
        <v>132</v>
      </c>
      <c r="C409" s="40">
        <v>157</v>
      </c>
      <c r="F409" s="40"/>
      <c r="G409" s="40"/>
      <c r="H409" s="40" t="s">
        <v>3445</v>
      </c>
      <c r="I409" s="40" t="s">
        <v>3346</v>
      </c>
      <c r="J409" s="40" t="s">
        <v>3446</v>
      </c>
      <c r="K409" s="40" t="s">
        <v>3447</v>
      </c>
      <c r="L409" s="190">
        <v>33949</v>
      </c>
      <c r="M409" s="190">
        <v>0</v>
      </c>
      <c r="N409" s="40" t="s">
        <v>3181</v>
      </c>
      <c r="O409" s="41" t="str">
        <f t="shared" si="12"/>
        <v>EBS1_33949_0</v>
      </c>
      <c r="P409" s="41" t="s">
        <v>3448</v>
      </c>
      <c r="R409" s="41">
        <v>408</v>
      </c>
      <c r="T409" s="41" t="str">
        <f t="shared" si="13"/>
        <v>3394900:Var_ui_ErrNo:=408;</v>
      </c>
    </row>
    <row r="410" spans="1:20">
      <c r="A410" s="190">
        <v>409</v>
      </c>
      <c r="B410" s="40">
        <v>133</v>
      </c>
      <c r="C410" s="40">
        <v>157</v>
      </c>
      <c r="F410" s="40"/>
      <c r="G410" s="40"/>
      <c r="H410" s="40" t="s">
        <v>3449</v>
      </c>
      <c r="I410" s="40" t="s">
        <v>3346</v>
      </c>
      <c r="J410" s="40" t="s">
        <v>3450</v>
      </c>
      <c r="K410" s="40" t="s">
        <v>3451</v>
      </c>
      <c r="L410" s="190">
        <v>34205</v>
      </c>
      <c r="M410" s="190">
        <v>0</v>
      </c>
      <c r="N410" s="40" t="s">
        <v>3186</v>
      </c>
      <c r="O410" s="41" t="str">
        <f t="shared" si="12"/>
        <v>EBS1_34205_0</v>
      </c>
      <c r="P410" s="41" t="s">
        <v>3452</v>
      </c>
      <c r="R410" s="41">
        <v>409</v>
      </c>
      <c r="T410" s="41" t="str">
        <f t="shared" si="13"/>
        <v>3420500:Var_ui_ErrNo:=409;</v>
      </c>
    </row>
    <row r="411" spans="1:20">
      <c r="A411" s="190">
        <v>410</v>
      </c>
      <c r="B411" s="40">
        <v>134</v>
      </c>
      <c r="C411" s="40">
        <v>157</v>
      </c>
      <c r="F411" s="40"/>
      <c r="G411" s="40"/>
      <c r="H411" s="40" t="s">
        <v>3453</v>
      </c>
      <c r="I411" s="40" t="s">
        <v>3346</v>
      </c>
      <c r="J411" s="40" t="s">
        <v>3454</v>
      </c>
      <c r="K411" s="40" t="s">
        <v>3455</v>
      </c>
      <c r="L411" s="190">
        <v>34461</v>
      </c>
      <c r="M411" s="190">
        <v>0</v>
      </c>
      <c r="N411" s="40" t="s">
        <v>3191</v>
      </c>
      <c r="O411" s="41" t="str">
        <f t="shared" si="12"/>
        <v>EBS1_34461_0</v>
      </c>
      <c r="P411" s="41" t="s">
        <v>3456</v>
      </c>
      <c r="R411" s="41">
        <v>410</v>
      </c>
      <c r="T411" s="41" t="str">
        <f t="shared" si="13"/>
        <v>3446100:Var_ui_ErrNo:=410;</v>
      </c>
    </row>
    <row r="412" spans="1:20">
      <c r="A412" s="190">
        <v>411</v>
      </c>
      <c r="B412" s="40">
        <v>135</v>
      </c>
      <c r="C412" s="40">
        <v>157</v>
      </c>
      <c r="F412" s="40"/>
      <c r="G412" s="40"/>
      <c r="H412" s="40" t="s">
        <v>3457</v>
      </c>
      <c r="I412" s="40" t="s">
        <v>3346</v>
      </c>
      <c r="J412" s="40" t="s">
        <v>3458</v>
      </c>
      <c r="K412" s="40" t="s">
        <v>3459</v>
      </c>
      <c r="L412" s="190">
        <v>34717</v>
      </c>
      <c r="M412" s="190">
        <v>0</v>
      </c>
      <c r="N412" s="40" t="s">
        <v>3196</v>
      </c>
      <c r="O412" s="41" t="str">
        <f t="shared" si="12"/>
        <v>EBS1_34717_0</v>
      </c>
      <c r="P412" s="41" t="s">
        <v>3460</v>
      </c>
      <c r="R412" s="41">
        <v>411</v>
      </c>
      <c r="T412" s="41" t="str">
        <f t="shared" si="13"/>
        <v>3471700:Var_ui_ErrNo:=411;</v>
      </c>
    </row>
    <row r="413" spans="1:20">
      <c r="A413" s="190">
        <v>412</v>
      </c>
      <c r="B413" s="40">
        <v>130</v>
      </c>
      <c r="C413" s="40">
        <v>160</v>
      </c>
      <c r="F413" s="40"/>
      <c r="G413" s="40"/>
      <c r="H413" s="40" t="s">
        <v>3437</v>
      </c>
      <c r="I413" s="40" t="s">
        <v>3377</v>
      </c>
      <c r="J413" s="40" t="s">
        <v>3461</v>
      </c>
      <c r="K413" s="40" t="s">
        <v>3462</v>
      </c>
      <c r="L413" s="190">
        <v>33440</v>
      </c>
      <c r="M413" s="190">
        <v>0</v>
      </c>
      <c r="N413" s="40" t="s">
        <v>3171</v>
      </c>
      <c r="O413" s="41" t="str">
        <f t="shared" si="12"/>
        <v>EBS1_33440_0</v>
      </c>
      <c r="P413" s="41" t="s">
        <v>3463</v>
      </c>
      <c r="R413" s="41">
        <v>412</v>
      </c>
      <c r="T413" s="41" t="str">
        <f t="shared" si="13"/>
        <v>3344000:Var_ui_ErrNo:=412;</v>
      </c>
    </row>
    <row r="414" spans="1:20">
      <c r="A414" s="190">
        <v>413</v>
      </c>
      <c r="B414" s="40">
        <v>131</v>
      </c>
      <c r="C414" s="40">
        <v>160</v>
      </c>
      <c r="F414" s="40"/>
      <c r="G414" s="40"/>
      <c r="H414" s="40" t="s">
        <v>3441</v>
      </c>
      <c r="I414" s="40" t="s">
        <v>3377</v>
      </c>
      <c r="J414" s="40" t="s">
        <v>3464</v>
      </c>
      <c r="K414" s="40" t="s">
        <v>3465</v>
      </c>
      <c r="L414" s="190">
        <v>33696</v>
      </c>
      <c r="M414" s="190">
        <v>0</v>
      </c>
      <c r="N414" s="40" t="s">
        <v>3176</v>
      </c>
      <c r="O414" s="41" t="str">
        <f t="shared" si="12"/>
        <v>EBS1_33696_0</v>
      </c>
      <c r="P414" s="41" t="s">
        <v>3466</v>
      </c>
      <c r="R414" s="41">
        <v>413</v>
      </c>
      <c r="T414" s="41" t="str">
        <f t="shared" si="13"/>
        <v>3369600:Var_ui_ErrNo:=413;</v>
      </c>
    </row>
    <row r="415" spans="1:20">
      <c r="A415" s="190">
        <v>414</v>
      </c>
      <c r="B415" s="40">
        <v>132</v>
      </c>
      <c r="C415" s="40">
        <v>160</v>
      </c>
      <c r="F415" s="40"/>
      <c r="G415" s="40"/>
      <c r="H415" s="40" t="s">
        <v>3445</v>
      </c>
      <c r="I415" s="40" t="s">
        <v>3377</v>
      </c>
      <c r="J415" s="40" t="s">
        <v>3467</v>
      </c>
      <c r="K415" s="40" t="s">
        <v>3468</v>
      </c>
      <c r="L415" s="190">
        <v>33952</v>
      </c>
      <c r="M415" s="190">
        <v>0</v>
      </c>
      <c r="N415" s="40" t="s">
        <v>3181</v>
      </c>
      <c r="O415" s="41" t="str">
        <f t="shared" si="12"/>
        <v>EBS1_33952_0</v>
      </c>
      <c r="P415" s="41" t="s">
        <v>3469</v>
      </c>
      <c r="R415" s="41">
        <v>414</v>
      </c>
      <c r="T415" s="41" t="str">
        <f t="shared" si="13"/>
        <v>3395200:Var_ui_ErrNo:=414;</v>
      </c>
    </row>
    <row r="416" spans="1:20">
      <c r="A416" s="190">
        <v>415</v>
      </c>
      <c r="B416" s="40">
        <v>133</v>
      </c>
      <c r="C416" s="40">
        <v>160</v>
      </c>
      <c r="F416" s="40"/>
      <c r="G416" s="40"/>
      <c r="H416" s="40" t="s">
        <v>3449</v>
      </c>
      <c r="I416" s="40" t="s">
        <v>3377</v>
      </c>
      <c r="J416" s="40" t="s">
        <v>3470</v>
      </c>
      <c r="K416" s="40" t="s">
        <v>3471</v>
      </c>
      <c r="L416" s="190">
        <v>34208</v>
      </c>
      <c r="M416" s="190">
        <v>0</v>
      </c>
      <c r="N416" s="40" t="s">
        <v>3186</v>
      </c>
      <c r="O416" s="41" t="str">
        <f t="shared" si="12"/>
        <v>EBS1_34208_0</v>
      </c>
      <c r="P416" s="41" t="s">
        <v>3472</v>
      </c>
      <c r="R416" s="41">
        <v>415</v>
      </c>
      <c r="T416" s="41" t="str">
        <f t="shared" si="13"/>
        <v>3420800:Var_ui_ErrNo:=415;</v>
      </c>
    </row>
    <row r="417" spans="1:20">
      <c r="A417" s="190">
        <v>416</v>
      </c>
      <c r="B417" s="40">
        <v>134</v>
      </c>
      <c r="C417" s="40">
        <v>160</v>
      </c>
      <c r="F417" s="40"/>
      <c r="G417" s="40"/>
      <c r="H417" s="40" t="s">
        <v>3453</v>
      </c>
      <c r="I417" s="40" t="s">
        <v>3377</v>
      </c>
      <c r="J417" s="40" t="s">
        <v>3473</v>
      </c>
      <c r="K417" s="40" t="s">
        <v>3474</v>
      </c>
      <c r="L417" s="190">
        <v>34464</v>
      </c>
      <c r="M417" s="190">
        <v>0</v>
      </c>
      <c r="N417" s="40" t="s">
        <v>3191</v>
      </c>
      <c r="O417" s="41" t="str">
        <f t="shared" si="12"/>
        <v>EBS1_34464_0</v>
      </c>
      <c r="P417" s="41" t="s">
        <v>3475</v>
      </c>
      <c r="R417" s="41">
        <v>416</v>
      </c>
      <c r="T417" s="41" t="str">
        <f t="shared" si="13"/>
        <v>3446400:Var_ui_ErrNo:=416;</v>
      </c>
    </row>
    <row r="418" spans="1:20">
      <c r="A418" s="190">
        <v>417</v>
      </c>
      <c r="B418" s="40">
        <v>135</v>
      </c>
      <c r="C418" s="40">
        <v>160</v>
      </c>
      <c r="F418" s="40"/>
      <c r="G418" s="40"/>
      <c r="H418" s="40" t="s">
        <v>3457</v>
      </c>
      <c r="I418" s="40" t="s">
        <v>3377</v>
      </c>
      <c r="J418" s="40" t="s">
        <v>3476</v>
      </c>
      <c r="K418" s="40" t="s">
        <v>3477</v>
      </c>
      <c r="L418" s="190">
        <v>34720</v>
      </c>
      <c r="M418" s="190">
        <v>0</v>
      </c>
      <c r="N418" s="40" t="s">
        <v>3196</v>
      </c>
      <c r="O418" s="41" t="str">
        <f t="shared" si="12"/>
        <v>EBS1_34720_0</v>
      </c>
      <c r="P418" s="41" t="s">
        <v>3478</v>
      </c>
      <c r="R418" s="41">
        <v>417</v>
      </c>
      <c r="T418" s="41" t="str">
        <f t="shared" si="13"/>
        <v>3472000:Var_ui_ErrNo:=417;</v>
      </c>
    </row>
    <row r="419" spans="1:20">
      <c r="A419" s="190">
        <v>418</v>
      </c>
      <c r="B419" s="40">
        <v>130</v>
      </c>
      <c r="C419" s="40">
        <v>162</v>
      </c>
      <c r="F419" s="40"/>
      <c r="G419" s="40"/>
      <c r="H419" s="40" t="s">
        <v>3479</v>
      </c>
      <c r="I419" s="40" t="s">
        <v>3480</v>
      </c>
      <c r="J419" s="40" t="s">
        <v>3481</v>
      </c>
      <c r="K419" s="40" t="s">
        <v>3482</v>
      </c>
      <c r="L419" s="190">
        <v>33442</v>
      </c>
      <c r="M419" s="190">
        <v>0</v>
      </c>
      <c r="N419" s="40" t="s">
        <v>3483</v>
      </c>
      <c r="O419" s="41" t="str">
        <f t="shared" si="12"/>
        <v>EBS1_33442_0</v>
      </c>
      <c r="P419" s="41" t="s">
        <v>3484</v>
      </c>
      <c r="R419" s="41">
        <v>418</v>
      </c>
      <c r="T419" s="41" t="str">
        <f t="shared" si="13"/>
        <v>3344200:Var_ui_ErrNo:=418;</v>
      </c>
    </row>
    <row r="420" spans="1:20">
      <c r="A420" s="190">
        <v>419</v>
      </c>
      <c r="B420" s="40">
        <v>131</v>
      </c>
      <c r="C420" s="40">
        <v>162</v>
      </c>
      <c r="F420" s="40"/>
      <c r="G420" s="40"/>
      <c r="H420" s="40" t="s">
        <v>3485</v>
      </c>
      <c r="I420" s="40" t="s">
        <v>3480</v>
      </c>
      <c r="J420" s="40" t="s">
        <v>3486</v>
      </c>
      <c r="K420" s="40" t="s">
        <v>3487</v>
      </c>
      <c r="L420" s="190">
        <v>33698</v>
      </c>
      <c r="M420" s="190">
        <v>0</v>
      </c>
      <c r="N420" s="40" t="s">
        <v>3488</v>
      </c>
      <c r="O420" s="41" t="str">
        <f t="shared" si="12"/>
        <v>EBS1_33698_0</v>
      </c>
      <c r="P420" s="41" t="s">
        <v>3489</v>
      </c>
      <c r="R420" s="41">
        <v>419</v>
      </c>
      <c r="T420" s="41" t="str">
        <f t="shared" si="13"/>
        <v>3369800:Var_ui_ErrNo:=419;</v>
      </c>
    </row>
    <row r="421" spans="1:20">
      <c r="A421" s="190">
        <v>420</v>
      </c>
      <c r="B421" s="40">
        <v>132</v>
      </c>
      <c r="C421" s="40">
        <v>162</v>
      </c>
      <c r="F421" s="40"/>
      <c r="G421" s="40"/>
      <c r="H421" s="40" t="s">
        <v>3490</v>
      </c>
      <c r="I421" s="40" t="s">
        <v>3480</v>
      </c>
      <c r="J421" s="40" t="s">
        <v>3491</v>
      </c>
      <c r="K421" s="40" t="s">
        <v>3492</v>
      </c>
      <c r="L421" s="190">
        <v>33954</v>
      </c>
      <c r="M421" s="190">
        <v>0</v>
      </c>
      <c r="N421" s="40" t="s">
        <v>3493</v>
      </c>
      <c r="O421" s="41" t="str">
        <f t="shared" si="12"/>
        <v>EBS1_33954_0</v>
      </c>
      <c r="P421" s="41" t="s">
        <v>3494</v>
      </c>
      <c r="R421" s="41">
        <v>420</v>
      </c>
      <c r="T421" s="41" t="str">
        <f t="shared" si="13"/>
        <v>3395400:Var_ui_ErrNo:=420;</v>
      </c>
    </row>
    <row r="422" spans="1:20">
      <c r="A422" s="190">
        <v>421</v>
      </c>
      <c r="B422" s="40">
        <v>133</v>
      </c>
      <c r="C422" s="40">
        <v>162</v>
      </c>
      <c r="F422" s="40"/>
      <c r="G422" s="40"/>
      <c r="H422" s="40" t="s">
        <v>3495</v>
      </c>
      <c r="I422" s="40" t="s">
        <v>3480</v>
      </c>
      <c r="J422" s="40" t="s">
        <v>3496</v>
      </c>
      <c r="K422" s="40" t="s">
        <v>3497</v>
      </c>
      <c r="L422" s="190">
        <v>34210</v>
      </c>
      <c r="M422" s="190">
        <v>0</v>
      </c>
      <c r="N422" s="40" t="s">
        <v>3498</v>
      </c>
      <c r="O422" s="41" t="str">
        <f t="shared" si="12"/>
        <v>EBS1_34210_0</v>
      </c>
      <c r="P422" s="41" t="s">
        <v>3499</v>
      </c>
      <c r="R422" s="41">
        <v>421</v>
      </c>
      <c r="T422" s="41" t="str">
        <f t="shared" si="13"/>
        <v>3421000:Var_ui_ErrNo:=421;</v>
      </c>
    </row>
    <row r="423" spans="1:20">
      <c r="A423" s="190">
        <v>422</v>
      </c>
      <c r="B423" s="40">
        <v>134</v>
      </c>
      <c r="C423" s="40">
        <v>162</v>
      </c>
      <c r="F423" s="40"/>
      <c r="G423" s="40"/>
      <c r="H423" s="40" t="s">
        <v>3500</v>
      </c>
      <c r="I423" s="40" t="s">
        <v>3480</v>
      </c>
      <c r="J423" s="40" t="s">
        <v>3501</v>
      </c>
      <c r="K423" s="40" t="s">
        <v>3502</v>
      </c>
      <c r="L423" s="190">
        <v>34466</v>
      </c>
      <c r="M423" s="190">
        <v>0</v>
      </c>
      <c r="N423" s="40" t="s">
        <v>3503</v>
      </c>
      <c r="O423" s="41" t="str">
        <f t="shared" si="12"/>
        <v>EBS1_34466_0</v>
      </c>
      <c r="P423" s="41" t="s">
        <v>3504</v>
      </c>
      <c r="R423" s="41">
        <v>422</v>
      </c>
      <c r="T423" s="41" t="str">
        <f t="shared" si="13"/>
        <v>3446600:Var_ui_ErrNo:=422;</v>
      </c>
    </row>
    <row r="424" spans="1:20">
      <c r="A424" s="190">
        <v>423</v>
      </c>
      <c r="B424" s="40">
        <v>135</v>
      </c>
      <c r="C424" s="40">
        <v>162</v>
      </c>
      <c r="F424" s="40"/>
      <c r="G424" s="40"/>
      <c r="H424" s="40" t="s">
        <v>3505</v>
      </c>
      <c r="I424" s="40" t="s">
        <v>3480</v>
      </c>
      <c r="J424" s="40" t="s">
        <v>3506</v>
      </c>
      <c r="K424" s="40" t="s">
        <v>3507</v>
      </c>
      <c r="L424" s="190">
        <v>34722</v>
      </c>
      <c r="M424" s="190">
        <v>0</v>
      </c>
      <c r="N424" s="40" t="s">
        <v>3508</v>
      </c>
      <c r="O424" s="41" t="str">
        <f t="shared" si="12"/>
        <v>EBS1_34722_0</v>
      </c>
      <c r="P424" s="41" t="s">
        <v>3509</v>
      </c>
      <c r="R424" s="41">
        <v>423</v>
      </c>
      <c r="T424" s="41" t="str">
        <f t="shared" si="13"/>
        <v>3472200:Var_ui_ErrNo:=423;</v>
      </c>
    </row>
    <row r="425" spans="1:20">
      <c r="A425" s="190">
        <v>424</v>
      </c>
      <c r="B425" s="40">
        <v>140</v>
      </c>
      <c r="C425" s="40">
        <v>32</v>
      </c>
      <c r="F425" s="40"/>
      <c r="G425" s="40"/>
      <c r="H425" s="40" t="s">
        <v>3510</v>
      </c>
      <c r="I425" s="40" t="s">
        <v>3511</v>
      </c>
      <c r="J425" s="40" t="s">
        <v>3512</v>
      </c>
      <c r="K425" s="40" t="s">
        <v>3513</v>
      </c>
      <c r="L425" s="190">
        <v>35872</v>
      </c>
      <c r="M425" s="190">
        <v>0</v>
      </c>
      <c r="N425" s="40" t="s">
        <v>3514</v>
      </c>
      <c r="O425" s="41" t="str">
        <f t="shared" si="12"/>
        <v>EBS1_35872_0</v>
      </c>
      <c r="P425" s="41" t="s">
        <v>3515</v>
      </c>
      <c r="R425" s="41">
        <v>424</v>
      </c>
      <c r="T425" s="41" t="str">
        <f t="shared" si="13"/>
        <v>3587200:Var_ui_ErrNo:=424;</v>
      </c>
    </row>
    <row r="426" spans="1:20">
      <c r="A426" s="190">
        <v>425</v>
      </c>
      <c r="B426" s="40">
        <v>141</v>
      </c>
      <c r="C426" s="40">
        <v>32</v>
      </c>
      <c r="F426" s="40"/>
      <c r="G426" s="40"/>
      <c r="H426" s="40" t="s">
        <v>3516</v>
      </c>
      <c r="I426" s="40" t="s">
        <v>3511</v>
      </c>
      <c r="J426" s="40" t="s">
        <v>3517</v>
      </c>
      <c r="K426" s="40" t="s">
        <v>3518</v>
      </c>
      <c r="L426" s="190">
        <v>36128</v>
      </c>
      <c r="M426" s="190">
        <v>0</v>
      </c>
      <c r="N426" s="40" t="s">
        <v>3519</v>
      </c>
      <c r="O426" s="41" t="str">
        <f t="shared" si="12"/>
        <v>EBS1_36128_0</v>
      </c>
      <c r="P426" s="41" t="s">
        <v>3520</v>
      </c>
      <c r="R426" s="41">
        <v>425</v>
      </c>
      <c r="T426" s="41" t="str">
        <f t="shared" si="13"/>
        <v>3612800:Var_ui_ErrNo:=425;</v>
      </c>
    </row>
    <row r="427" spans="1:20">
      <c r="A427" s="190">
        <v>426</v>
      </c>
      <c r="B427" s="40">
        <v>142</v>
      </c>
      <c r="C427" s="40">
        <v>32</v>
      </c>
      <c r="F427" s="40"/>
      <c r="G427" s="40"/>
      <c r="H427" s="40" t="s">
        <v>3521</v>
      </c>
      <c r="I427" s="40" t="s">
        <v>3511</v>
      </c>
      <c r="J427" s="40" t="s">
        <v>3522</v>
      </c>
      <c r="K427" s="40" t="s">
        <v>3523</v>
      </c>
      <c r="L427" s="190">
        <v>36384</v>
      </c>
      <c r="M427" s="190">
        <v>0</v>
      </c>
      <c r="N427" s="40" t="s">
        <v>3524</v>
      </c>
      <c r="O427" s="41" t="str">
        <f t="shared" si="12"/>
        <v>EBS1_36384_0</v>
      </c>
      <c r="P427" s="41" t="s">
        <v>3525</v>
      </c>
      <c r="R427" s="41">
        <v>426</v>
      </c>
      <c r="T427" s="41" t="str">
        <f t="shared" si="13"/>
        <v>3638400:Var_ui_ErrNo:=426;</v>
      </c>
    </row>
    <row r="428" spans="1:20">
      <c r="A428" s="190">
        <v>427</v>
      </c>
      <c r="B428" s="40">
        <v>143</v>
      </c>
      <c r="C428" s="40">
        <v>32</v>
      </c>
      <c r="F428" s="40"/>
      <c r="G428" s="40"/>
      <c r="H428" s="40" t="s">
        <v>3526</v>
      </c>
      <c r="I428" s="40" t="s">
        <v>3511</v>
      </c>
      <c r="J428" s="40" t="s">
        <v>3527</v>
      </c>
      <c r="K428" s="40" t="s">
        <v>3528</v>
      </c>
      <c r="L428" s="190">
        <v>36640</v>
      </c>
      <c r="M428" s="190">
        <v>0</v>
      </c>
      <c r="N428" s="40" t="s">
        <v>3529</v>
      </c>
      <c r="O428" s="41" t="str">
        <f t="shared" si="12"/>
        <v>EBS1_36640_0</v>
      </c>
      <c r="P428" s="41" t="s">
        <v>3530</v>
      </c>
      <c r="R428" s="41">
        <v>427</v>
      </c>
      <c r="T428" s="41" t="str">
        <f t="shared" si="13"/>
        <v>3664000:Var_ui_ErrNo:=427;</v>
      </c>
    </row>
    <row r="429" spans="1:20">
      <c r="A429" s="190">
        <v>428</v>
      </c>
      <c r="B429" s="40">
        <v>144</v>
      </c>
      <c r="C429" s="40">
        <v>32</v>
      </c>
      <c r="F429" s="40"/>
      <c r="G429" s="40"/>
      <c r="H429" s="40" t="s">
        <v>3531</v>
      </c>
      <c r="I429" s="40" t="s">
        <v>3511</v>
      </c>
      <c r="J429" s="40" t="s">
        <v>3532</v>
      </c>
      <c r="K429" s="40" t="s">
        <v>3533</v>
      </c>
      <c r="L429" s="190">
        <v>36896</v>
      </c>
      <c r="M429" s="190">
        <v>0</v>
      </c>
      <c r="N429" s="40" t="s">
        <v>3534</v>
      </c>
      <c r="O429" s="41" t="str">
        <f t="shared" si="12"/>
        <v>EBS1_36896_0</v>
      </c>
      <c r="P429" s="41" t="s">
        <v>3535</v>
      </c>
      <c r="R429" s="41">
        <v>428</v>
      </c>
      <c r="T429" s="41" t="str">
        <f t="shared" si="13"/>
        <v>3689600:Var_ui_ErrNo:=428;</v>
      </c>
    </row>
    <row r="430" spans="1:20">
      <c r="A430" s="190">
        <v>429</v>
      </c>
      <c r="B430" s="40">
        <v>145</v>
      </c>
      <c r="C430" s="40">
        <v>32</v>
      </c>
      <c r="F430" s="40"/>
      <c r="G430" s="40"/>
      <c r="H430" s="40" t="s">
        <v>3536</v>
      </c>
      <c r="I430" s="40" t="s">
        <v>3511</v>
      </c>
      <c r="J430" s="40" t="s">
        <v>3537</v>
      </c>
      <c r="K430" s="40" t="s">
        <v>3538</v>
      </c>
      <c r="L430" s="190">
        <v>37152</v>
      </c>
      <c r="M430" s="190">
        <v>0</v>
      </c>
      <c r="N430" s="40" t="s">
        <v>3539</v>
      </c>
      <c r="O430" s="41" t="str">
        <f t="shared" si="12"/>
        <v>EBS1_37152_0</v>
      </c>
      <c r="P430" s="41" t="s">
        <v>3540</v>
      </c>
      <c r="R430" s="41">
        <v>429</v>
      </c>
      <c r="T430" s="41" t="str">
        <f t="shared" si="13"/>
        <v>3715200:Var_ui_ErrNo:=429;</v>
      </c>
    </row>
    <row r="431" spans="1:20">
      <c r="A431" s="190">
        <v>430</v>
      </c>
      <c r="B431" s="40">
        <v>140</v>
      </c>
      <c r="C431" s="40">
        <v>33</v>
      </c>
      <c r="F431" s="40"/>
      <c r="G431" s="40"/>
      <c r="H431" s="40" t="s">
        <v>3541</v>
      </c>
      <c r="I431" s="40" t="s">
        <v>3542</v>
      </c>
      <c r="J431" s="40" t="s">
        <v>3543</v>
      </c>
      <c r="K431" s="40" t="s">
        <v>3544</v>
      </c>
      <c r="L431" s="190">
        <v>35873</v>
      </c>
      <c r="M431" s="190">
        <v>0</v>
      </c>
      <c r="N431" s="40" t="s">
        <v>3545</v>
      </c>
      <c r="O431" s="41" t="str">
        <f t="shared" si="12"/>
        <v>EBS1_35873_0</v>
      </c>
      <c r="P431" s="41" t="s">
        <v>3546</v>
      </c>
      <c r="R431" s="41">
        <v>430</v>
      </c>
      <c r="T431" s="41" t="str">
        <f t="shared" si="13"/>
        <v>3587300:Var_ui_ErrNo:=430;</v>
      </c>
    </row>
    <row r="432" spans="1:20">
      <c r="A432" s="190">
        <v>431</v>
      </c>
      <c r="B432" s="40">
        <v>141</v>
      </c>
      <c r="C432" s="40">
        <v>33</v>
      </c>
      <c r="F432" s="40"/>
      <c r="G432" s="40"/>
      <c r="H432" s="40" t="s">
        <v>3547</v>
      </c>
      <c r="I432" s="40" t="s">
        <v>3542</v>
      </c>
      <c r="J432" s="40" t="s">
        <v>3548</v>
      </c>
      <c r="K432" s="40" t="s">
        <v>3549</v>
      </c>
      <c r="L432" s="190">
        <v>36129</v>
      </c>
      <c r="M432" s="190">
        <v>0</v>
      </c>
      <c r="N432" s="40" t="s">
        <v>3550</v>
      </c>
      <c r="O432" s="41" t="str">
        <f t="shared" si="12"/>
        <v>EBS1_36129_0</v>
      </c>
      <c r="P432" s="41" t="s">
        <v>3551</v>
      </c>
      <c r="R432" s="41">
        <v>431</v>
      </c>
      <c r="T432" s="41" t="str">
        <f t="shared" si="13"/>
        <v>3612900:Var_ui_ErrNo:=431;</v>
      </c>
    </row>
    <row r="433" spans="1:20">
      <c r="A433" s="190">
        <v>432</v>
      </c>
      <c r="B433" s="40">
        <v>142</v>
      </c>
      <c r="C433" s="40">
        <v>33</v>
      </c>
      <c r="F433" s="40"/>
      <c r="G433" s="40"/>
      <c r="H433" s="40" t="s">
        <v>3552</v>
      </c>
      <c r="I433" s="40" t="s">
        <v>3542</v>
      </c>
      <c r="J433" s="40" t="s">
        <v>3553</v>
      </c>
      <c r="K433" s="40" t="s">
        <v>3554</v>
      </c>
      <c r="L433" s="190">
        <v>36385</v>
      </c>
      <c r="M433" s="190">
        <v>0</v>
      </c>
      <c r="N433" s="40" t="s">
        <v>3555</v>
      </c>
      <c r="O433" s="41" t="str">
        <f t="shared" si="12"/>
        <v>EBS1_36385_0</v>
      </c>
      <c r="P433" s="41" t="s">
        <v>3556</v>
      </c>
      <c r="R433" s="41">
        <v>432</v>
      </c>
      <c r="T433" s="41" t="str">
        <f t="shared" si="13"/>
        <v>3638500:Var_ui_ErrNo:=432;</v>
      </c>
    </row>
    <row r="434" spans="1:20">
      <c r="A434" s="190">
        <v>433</v>
      </c>
      <c r="B434" s="40">
        <v>143</v>
      </c>
      <c r="C434" s="40">
        <v>33</v>
      </c>
      <c r="F434" s="40"/>
      <c r="G434" s="40"/>
      <c r="H434" s="40" t="s">
        <v>3557</v>
      </c>
      <c r="I434" s="40" t="s">
        <v>3542</v>
      </c>
      <c r="J434" s="40" t="s">
        <v>3558</v>
      </c>
      <c r="K434" s="40" t="s">
        <v>3559</v>
      </c>
      <c r="L434" s="190">
        <v>36641</v>
      </c>
      <c r="M434" s="190">
        <v>0</v>
      </c>
      <c r="N434" s="40" t="s">
        <v>3560</v>
      </c>
      <c r="O434" s="41" t="str">
        <f t="shared" si="12"/>
        <v>EBS1_36641_0</v>
      </c>
      <c r="P434" s="41" t="s">
        <v>3561</v>
      </c>
      <c r="R434" s="41">
        <v>433</v>
      </c>
      <c r="T434" s="41" t="str">
        <f t="shared" si="13"/>
        <v>3664100:Var_ui_ErrNo:=433;</v>
      </c>
    </row>
    <row r="435" spans="1:20">
      <c r="A435" s="190">
        <v>434</v>
      </c>
      <c r="B435" s="40">
        <v>144</v>
      </c>
      <c r="C435" s="40">
        <v>33</v>
      </c>
      <c r="F435" s="40"/>
      <c r="G435" s="40"/>
      <c r="H435" s="40" t="s">
        <v>3562</v>
      </c>
      <c r="I435" s="40" t="s">
        <v>3542</v>
      </c>
      <c r="J435" s="40" t="s">
        <v>3563</v>
      </c>
      <c r="K435" s="40" t="s">
        <v>3564</v>
      </c>
      <c r="L435" s="190">
        <v>36897</v>
      </c>
      <c r="M435" s="190">
        <v>0</v>
      </c>
      <c r="N435" s="40" t="s">
        <v>3565</v>
      </c>
      <c r="O435" s="41" t="str">
        <f t="shared" si="12"/>
        <v>EBS1_36897_0</v>
      </c>
      <c r="P435" s="41" t="s">
        <v>3566</v>
      </c>
      <c r="R435" s="41">
        <v>434</v>
      </c>
      <c r="T435" s="41" t="str">
        <f t="shared" si="13"/>
        <v>3689700:Var_ui_ErrNo:=434;</v>
      </c>
    </row>
    <row r="436" spans="1:20">
      <c r="A436" s="190">
        <v>435</v>
      </c>
      <c r="B436" s="40">
        <v>145</v>
      </c>
      <c r="C436" s="40">
        <v>33</v>
      </c>
      <c r="F436" s="40"/>
      <c r="G436" s="40"/>
      <c r="H436" s="40" t="s">
        <v>3567</v>
      </c>
      <c r="I436" s="40" t="s">
        <v>3542</v>
      </c>
      <c r="J436" s="40" t="s">
        <v>3568</v>
      </c>
      <c r="K436" s="40" t="s">
        <v>3569</v>
      </c>
      <c r="L436" s="190">
        <v>37153</v>
      </c>
      <c r="M436" s="190">
        <v>0</v>
      </c>
      <c r="N436" s="40" t="s">
        <v>3570</v>
      </c>
      <c r="O436" s="41" t="str">
        <f t="shared" si="12"/>
        <v>EBS1_37153_0</v>
      </c>
      <c r="P436" s="41" t="s">
        <v>3571</v>
      </c>
      <c r="R436" s="41">
        <v>435</v>
      </c>
      <c r="T436" s="41" t="str">
        <f t="shared" si="13"/>
        <v>3715300:Var_ui_ErrNo:=435;</v>
      </c>
    </row>
    <row r="437" spans="1:20">
      <c r="A437" s="190">
        <v>436</v>
      </c>
      <c r="B437" s="40">
        <v>140</v>
      </c>
      <c r="C437" s="40">
        <v>34</v>
      </c>
      <c r="F437" s="40"/>
      <c r="G437" s="40"/>
      <c r="H437" s="40" t="s">
        <v>3572</v>
      </c>
      <c r="I437" s="40" t="s">
        <v>3573</v>
      </c>
      <c r="J437" s="40" t="s">
        <v>3574</v>
      </c>
      <c r="K437" s="40" t="s">
        <v>3575</v>
      </c>
      <c r="L437" s="190">
        <v>35874</v>
      </c>
      <c r="M437" s="190">
        <v>0</v>
      </c>
      <c r="N437" s="40" t="s">
        <v>3576</v>
      </c>
      <c r="O437" s="41" t="str">
        <f t="shared" si="12"/>
        <v>EBS1_35874_0</v>
      </c>
      <c r="P437" s="41" t="s">
        <v>3577</v>
      </c>
      <c r="R437" s="41">
        <v>436</v>
      </c>
      <c r="T437" s="41" t="str">
        <f t="shared" si="13"/>
        <v>3587400:Var_ui_ErrNo:=436;</v>
      </c>
    </row>
    <row r="438" spans="1:20">
      <c r="A438" s="190">
        <v>437</v>
      </c>
      <c r="B438" s="40">
        <v>141</v>
      </c>
      <c r="C438" s="40">
        <v>34</v>
      </c>
      <c r="F438" s="40"/>
      <c r="G438" s="40"/>
      <c r="H438" s="40" t="s">
        <v>3578</v>
      </c>
      <c r="I438" s="40" t="s">
        <v>3579</v>
      </c>
      <c r="J438" s="40" t="s">
        <v>3580</v>
      </c>
      <c r="K438" s="40" t="s">
        <v>3581</v>
      </c>
      <c r="L438" s="190">
        <v>36130</v>
      </c>
      <c r="M438" s="190">
        <v>0</v>
      </c>
      <c r="N438" s="40" t="s">
        <v>3582</v>
      </c>
      <c r="O438" s="41" t="str">
        <f t="shared" si="12"/>
        <v>EBS1_36130_0</v>
      </c>
      <c r="P438" s="41" t="s">
        <v>3583</v>
      </c>
      <c r="R438" s="41">
        <v>437</v>
      </c>
      <c r="T438" s="41" t="str">
        <f t="shared" si="13"/>
        <v>3613000:Var_ui_ErrNo:=437;</v>
      </c>
    </row>
    <row r="439" spans="1:20">
      <c r="A439" s="190">
        <v>438</v>
      </c>
      <c r="B439" s="40">
        <v>142</v>
      </c>
      <c r="C439" s="40">
        <v>34</v>
      </c>
      <c r="F439" s="40"/>
      <c r="G439" s="40"/>
      <c r="H439" s="40" t="s">
        <v>3584</v>
      </c>
      <c r="I439" s="40" t="s">
        <v>3585</v>
      </c>
      <c r="J439" s="40" t="s">
        <v>3586</v>
      </c>
      <c r="K439" s="40" t="s">
        <v>3587</v>
      </c>
      <c r="L439" s="190">
        <v>36386</v>
      </c>
      <c r="M439" s="190">
        <v>0</v>
      </c>
      <c r="N439" s="40" t="s">
        <v>3588</v>
      </c>
      <c r="O439" s="41" t="str">
        <f t="shared" si="12"/>
        <v>EBS1_36386_0</v>
      </c>
      <c r="P439" s="41" t="s">
        <v>3589</v>
      </c>
      <c r="R439" s="41">
        <v>438</v>
      </c>
      <c r="T439" s="41" t="str">
        <f t="shared" si="13"/>
        <v>3638600:Var_ui_ErrNo:=438;</v>
      </c>
    </row>
    <row r="440" spans="1:20">
      <c r="A440" s="190">
        <v>439</v>
      </c>
      <c r="B440" s="40">
        <v>143</v>
      </c>
      <c r="C440" s="40">
        <v>34</v>
      </c>
      <c r="F440" s="40"/>
      <c r="G440" s="40"/>
      <c r="H440" s="40" t="s">
        <v>3590</v>
      </c>
      <c r="I440" s="40" t="s">
        <v>3591</v>
      </c>
      <c r="J440" s="40" t="s">
        <v>3592</v>
      </c>
      <c r="K440" s="40" t="s">
        <v>3593</v>
      </c>
      <c r="L440" s="190">
        <v>36642</v>
      </c>
      <c r="M440" s="190">
        <v>0</v>
      </c>
      <c r="N440" s="40" t="s">
        <v>3594</v>
      </c>
      <c r="O440" s="41" t="str">
        <f t="shared" si="12"/>
        <v>EBS1_36642_0</v>
      </c>
      <c r="P440" s="41" t="s">
        <v>3595</v>
      </c>
      <c r="R440" s="41">
        <v>439</v>
      </c>
      <c r="T440" s="41" t="str">
        <f t="shared" si="13"/>
        <v>3664200:Var_ui_ErrNo:=439;</v>
      </c>
    </row>
    <row r="441" spans="1:20">
      <c r="A441" s="190">
        <v>440</v>
      </c>
      <c r="B441" s="40">
        <v>144</v>
      </c>
      <c r="C441" s="40">
        <v>34</v>
      </c>
      <c r="F441" s="40"/>
      <c r="G441" s="40"/>
      <c r="H441" s="40" t="s">
        <v>3596</v>
      </c>
      <c r="I441" s="40" t="s">
        <v>3597</v>
      </c>
      <c r="J441" s="40" t="s">
        <v>3598</v>
      </c>
      <c r="K441" s="40" t="s">
        <v>3599</v>
      </c>
      <c r="L441" s="190">
        <v>36898</v>
      </c>
      <c r="M441" s="190">
        <v>0</v>
      </c>
      <c r="N441" s="40" t="s">
        <v>3600</v>
      </c>
      <c r="O441" s="41" t="str">
        <f t="shared" si="12"/>
        <v>EBS1_36898_0</v>
      </c>
      <c r="P441" s="41" t="s">
        <v>3601</v>
      </c>
      <c r="R441" s="41">
        <v>440</v>
      </c>
      <c r="T441" s="41" t="str">
        <f t="shared" si="13"/>
        <v>3689800:Var_ui_ErrNo:=440;</v>
      </c>
    </row>
    <row r="442" spans="1:20">
      <c r="A442" s="190">
        <v>441</v>
      </c>
      <c r="B442" s="40">
        <v>145</v>
      </c>
      <c r="C442" s="40">
        <v>34</v>
      </c>
      <c r="F442" s="40"/>
      <c r="G442" s="40"/>
      <c r="H442" s="40" t="s">
        <v>3602</v>
      </c>
      <c r="I442" s="40" t="s">
        <v>3603</v>
      </c>
      <c r="J442" s="40" t="s">
        <v>3604</v>
      </c>
      <c r="K442" s="40" t="s">
        <v>3605</v>
      </c>
      <c r="L442" s="190">
        <v>37154</v>
      </c>
      <c r="M442" s="190">
        <v>0</v>
      </c>
      <c r="N442" s="40" t="s">
        <v>3606</v>
      </c>
      <c r="O442" s="41" t="str">
        <f t="shared" si="12"/>
        <v>EBS1_37154_0</v>
      </c>
      <c r="P442" s="41" t="s">
        <v>3607</v>
      </c>
      <c r="R442" s="41">
        <v>441</v>
      </c>
      <c r="T442" s="41" t="str">
        <f t="shared" si="13"/>
        <v>3715400:Var_ui_ErrNo:=441;</v>
      </c>
    </row>
    <row r="443" spans="1:20">
      <c r="A443" s="190">
        <v>442</v>
      </c>
      <c r="B443" s="40">
        <v>140</v>
      </c>
      <c r="C443" s="40">
        <v>35</v>
      </c>
      <c r="F443" s="40"/>
      <c r="G443" s="40"/>
      <c r="H443" s="40" t="s">
        <v>3608</v>
      </c>
      <c r="I443" s="40" t="s">
        <v>3609</v>
      </c>
      <c r="J443" s="40" t="s">
        <v>3610</v>
      </c>
      <c r="K443" s="40" t="s">
        <v>3611</v>
      </c>
      <c r="L443" s="190">
        <v>35875</v>
      </c>
      <c r="M443" s="190">
        <v>0</v>
      </c>
      <c r="N443" s="40" t="s">
        <v>3612</v>
      </c>
      <c r="O443" s="41" t="str">
        <f t="shared" si="12"/>
        <v>EBS1_35875_0</v>
      </c>
      <c r="P443" s="41" t="s">
        <v>3613</v>
      </c>
      <c r="R443" s="41">
        <v>442</v>
      </c>
      <c r="T443" s="41" t="str">
        <f t="shared" si="13"/>
        <v>3587500:Var_ui_ErrNo:=442;</v>
      </c>
    </row>
    <row r="444" spans="1:20">
      <c r="A444" s="190">
        <v>443</v>
      </c>
      <c r="B444" s="40">
        <v>141</v>
      </c>
      <c r="C444" s="40">
        <v>35</v>
      </c>
      <c r="F444" s="40"/>
      <c r="G444" s="40"/>
      <c r="H444" s="40" t="s">
        <v>3614</v>
      </c>
      <c r="I444" s="40" t="s">
        <v>3609</v>
      </c>
      <c r="J444" s="40" t="s">
        <v>3615</v>
      </c>
      <c r="K444" s="40" t="s">
        <v>3616</v>
      </c>
      <c r="L444" s="190">
        <v>36131</v>
      </c>
      <c r="M444" s="190">
        <v>0</v>
      </c>
      <c r="N444" s="40" t="s">
        <v>3617</v>
      </c>
      <c r="O444" s="41" t="str">
        <f t="shared" si="12"/>
        <v>EBS1_36131_0</v>
      </c>
      <c r="P444" s="41" t="s">
        <v>3618</v>
      </c>
      <c r="R444" s="41">
        <v>443</v>
      </c>
      <c r="T444" s="41" t="str">
        <f t="shared" si="13"/>
        <v>3613100:Var_ui_ErrNo:=443;</v>
      </c>
    </row>
    <row r="445" spans="1:20">
      <c r="A445" s="190">
        <v>444</v>
      </c>
      <c r="B445" s="40">
        <v>142</v>
      </c>
      <c r="C445" s="40">
        <v>35</v>
      </c>
      <c r="F445" s="40"/>
      <c r="G445" s="40"/>
      <c r="H445" s="40" t="s">
        <v>3619</v>
      </c>
      <c r="I445" s="40" t="s">
        <v>3609</v>
      </c>
      <c r="J445" s="40" t="s">
        <v>3620</v>
      </c>
      <c r="K445" s="40" t="s">
        <v>3621</v>
      </c>
      <c r="L445" s="190">
        <v>36387</v>
      </c>
      <c r="M445" s="190">
        <v>0</v>
      </c>
      <c r="N445" s="40" t="s">
        <v>3622</v>
      </c>
      <c r="O445" s="41" t="str">
        <f t="shared" si="12"/>
        <v>EBS1_36387_0</v>
      </c>
      <c r="P445" s="41" t="s">
        <v>3623</v>
      </c>
      <c r="R445" s="41">
        <v>444</v>
      </c>
      <c r="T445" s="41" t="str">
        <f t="shared" si="13"/>
        <v>3638700:Var_ui_ErrNo:=444;</v>
      </c>
    </row>
    <row r="446" spans="1:20">
      <c r="A446" s="190">
        <v>445</v>
      </c>
      <c r="B446" s="40">
        <v>143</v>
      </c>
      <c r="C446" s="40">
        <v>35</v>
      </c>
      <c r="F446" s="40"/>
      <c r="G446" s="40"/>
      <c r="H446" s="40" t="s">
        <v>3624</v>
      </c>
      <c r="I446" s="40" t="s">
        <v>3609</v>
      </c>
      <c r="J446" s="40" t="s">
        <v>3625</v>
      </c>
      <c r="K446" s="40" t="s">
        <v>3626</v>
      </c>
      <c r="L446" s="190">
        <v>36643</v>
      </c>
      <c r="M446" s="190">
        <v>0</v>
      </c>
      <c r="N446" s="40" t="s">
        <v>3627</v>
      </c>
      <c r="O446" s="41" t="str">
        <f t="shared" si="12"/>
        <v>EBS1_36643_0</v>
      </c>
      <c r="P446" s="41" t="s">
        <v>3628</v>
      </c>
      <c r="R446" s="41">
        <v>445</v>
      </c>
      <c r="T446" s="41" t="str">
        <f t="shared" si="13"/>
        <v>3664300:Var_ui_ErrNo:=445;</v>
      </c>
    </row>
    <row r="447" spans="1:20">
      <c r="A447" s="190">
        <v>446</v>
      </c>
      <c r="B447" s="40">
        <v>144</v>
      </c>
      <c r="C447" s="40">
        <v>35</v>
      </c>
      <c r="F447" s="40"/>
      <c r="G447" s="40"/>
      <c r="H447" s="40" t="s">
        <v>3629</v>
      </c>
      <c r="I447" s="40" t="s">
        <v>3609</v>
      </c>
      <c r="J447" s="40" t="s">
        <v>3630</v>
      </c>
      <c r="K447" s="40" t="s">
        <v>3631</v>
      </c>
      <c r="L447" s="190">
        <v>36899</v>
      </c>
      <c r="M447" s="190">
        <v>0</v>
      </c>
      <c r="N447" s="40" t="s">
        <v>3632</v>
      </c>
      <c r="O447" s="41" t="str">
        <f t="shared" si="12"/>
        <v>EBS1_36899_0</v>
      </c>
      <c r="P447" s="41" t="s">
        <v>3633</v>
      </c>
      <c r="R447" s="41">
        <v>446</v>
      </c>
      <c r="T447" s="41" t="str">
        <f t="shared" si="13"/>
        <v>3689900:Var_ui_ErrNo:=446;</v>
      </c>
    </row>
    <row r="448" spans="1:20">
      <c r="A448" s="190">
        <v>447</v>
      </c>
      <c r="B448" s="40">
        <v>145</v>
      </c>
      <c r="C448" s="40">
        <v>35</v>
      </c>
      <c r="F448" s="40"/>
      <c r="G448" s="40"/>
      <c r="H448" s="40" t="s">
        <v>3634</v>
      </c>
      <c r="I448" s="40" t="s">
        <v>3609</v>
      </c>
      <c r="J448" s="40" t="s">
        <v>3635</v>
      </c>
      <c r="K448" s="40" t="s">
        <v>3636</v>
      </c>
      <c r="L448" s="190">
        <v>37155</v>
      </c>
      <c r="M448" s="190">
        <v>0</v>
      </c>
      <c r="N448" s="40" t="s">
        <v>3637</v>
      </c>
      <c r="O448" s="41" t="str">
        <f t="shared" si="12"/>
        <v>EBS1_37155_0</v>
      </c>
      <c r="P448" s="41" t="s">
        <v>3638</v>
      </c>
      <c r="R448" s="41">
        <v>447</v>
      </c>
      <c r="T448" s="41" t="str">
        <f t="shared" si="13"/>
        <v>3715500:Var_ui_ErrNo:=447;</v>
      </c>
    </row>
    <row r="449" spans="1:20">
      <c r="A449" s="190">
        <v>448</v>
      </c>
      <c r="B449" s="40">
        <v>140</v>
      </c>
      <c r="C449" s="40">
        <v>45</v>
      </c>
      <c r="F449" s="40"/>
      <c r="G449" s="40"/>
      <c r="H449" s="40" t="s">
        <v>3639</v>
      </c>
      <c r="I449" s="40" t="s">
        <v>3640</v>
      </c>
      <c r="J449" s="40" t="s">
        <v>3641</v>
      </c>
      <c r="K449" s="40" t="s">
        <v>3642</v>
      </c>
      <c r="L449" s="190">
        <v>35885</v>
      </c>
      <c r="M449" s="190">
        <v>0</v>
      </c>
      <c r="N449" s="40" t="s">
        <v>3643</v>
      </c>
      <c r="O449" s="41" t="str">
        <f t="shared" si="12"/>
        <v>EBS1_35885_0</v>
      </c>
      <c r="P449" s="41" t="s">
        <v>3644</v>
      </c>
      <c r="R449" s="41">
        <v>448</v>
      </c>
      <c r="T449" s="41" t="str">
        <f t="shared" si="13"/>
        <v>3588500:Var_ui_ErrNo:=448;</v>
      </c>
    </row>
    <row r="450" spans="1:20">
      <c r="A450" s="190">
        <v>449</v>
      </c>
      <c r="B450" s="40">
        <v>141</v>
      </c>
      <c r="C450" s="40">
        <v>45</v>
      </c>
      <c r="F450" s="40"/>
      <c r="G450" s="40"/>
      <c r="H450" s="40" t="s">
        <v>3645</v>
      </c>
      <c r="I450" s="40" t="s">
        <v>3640</v>
      </c>
      <c r="J450" s="40" t="s">
        <v>3646</v>
      </c>
      <c r="K450" s="40" t="s">
        <v>3647</v>
      </c>
      <c r="L450" s="190">
        <v>36141</v>
      </c>
      <c r="M450" s="190">
        <v>0</v>
      </c>
      <c r="N450" s="40" t="s">
        <v>3648</v>
      </c>
      <c r="O450" s="41" t="str">
        <f t="shared" ref="O450:O513" si="14">"EBS1_"&amp;L450&amp;"_"&amp;M450</f>
        <v>EBS1_36141_0</v>
      </c>
      <c r="P450" s="41" t="s">
        <v>3649</v>
      </c>
      <c r="R450" s="41">
        <v>449</v>
      </c>
      <c r="T450" s="41" t="str">
        <f t="shared" si="13"/>
        <v>3614100:Var_ui_ErrNo:=449;</v>
      </c>
    </row>
    <row r="451" spans="1:20">
      <c r="A451" s="190">
        <v>450</v>
      </c>
      <c r="B451" s="40">
        <v>142</v>
      </c>
      <c r="C451" s="40">
        <v>45</v>
      </c>
      <c r="F451" s="40"/>
      <c r="G451" s="40"/>
      <c r="H451" s="40" t="s">
        <v>3650</v>
      </c>
      <c r="I451" s="40" t="s">
        <v>3640</v>
      </c>
      <c r="J451" s="40" t="s">
        <v>3651</v>
      </c>
      <c r="K451" s="40" t="s">
        <v>3652</v>
      </c>
      <c r="L451" s="190">
        <v>36397</v>
      </c>
      <c r="M451" s="190">
        <v>0</v>
      </c>
      <c r="N451" s="40" t="s">
        <v>3653</v>
      </c>
      <c r="O451" s="41" t="str">
        <f t="shared" si="14"/>
        <v>EBS1_36397_0</v>
      </c>
      <c r="P451" s="41" t="s">
        <v>3654</v>
      </c>
      <c r="R451" s="41">
        <v>450</v>
      </c>
      <c r="T451" s="41" t="str">
        <f t="shared" ref="T451:T514" si="15">P451&amp;$Q$2&amp;R451&amp;$S$2</f>
        <v>3639700:Var_ui_ErrNo:=450;</v>
      </c>
    </row>
    <row r="452" spans="1:20">
      <c r="A452" s="190">
        <v>451</v>
      </c>
      <c r="B452" s="40">
        <v>143</v>
      </c>
      <c r="C452" s="40">
        <v>45</v>
      </c>
      <c r="F452" s="40"/>
      <c r="G452" s="40"/>
      <c r="H452" s="40" t="s">
        <v>3655</v>
      </c>
      <c r="I452" s="40" t="s">
        <v>3640</v>
      </c>
      <c r="J452" s="40" t="s">
        <v>3656</v>
      </c>
      <c r="K452" s="40" t="s">
        <v>3657</v>
      </c>
      <c r="L452" s="190">
        <v>36653</v>
      </c>
      <c r="M452" s="190">
        <v>0</v>
      </c>
      <c r="N452" s="40" t="s">
        <v>3658</v>
      </c>
      <c r="O452" s="41" t="str">
        <f t="shared" si="14"/>
        <v>EBS1_36653_0</v>
      </c>
      <c r="P452" s="41" t="s">
        <v>3659</v>
      </c>
      <c r="R452" s="41">
        <v>451</v>
      </c>
      <c r="T452" s="41" t="str">
        <f t="shared" si="15"/>
        <v>3665300:Var_ui_ErrNo:=451;</v>
      </c>
    </row>
    <row r="453" spans="1:20">
      <c r="A453" s="190">
        <v>452</v>
      </c>
      <c r="B453" s="40">
        <v>144</v>
      </c>
      <c r="C453" s="40">
        <v>45</v>
      </c>
      <c r="F453" s="40"/>
      <c r="G453" s="40"/>
      <c r="H453" s="40" t="s">
        <v>3660</v>
      </c>
      <c r="I453" s="40" t="s">
        <v>3640</v>
      </c>
      <c r="J453" s="40" t="s">
        <v>3661</v>
      </c>
      <c r="K453" s="40" t="s">
        <v>3662</v>
      </c>
      <c r="L453" s="190">
        <v>36909</v>
      </c>
      <c r="M453" s="190">
        <v>0</v>
      </c>
      <c r="N453" s="40" t="s">
        <v>3663</v>
      </c>
      <c r="O453" s="41" t="str">
        <f t="shared" si="14"/>
        <v>EBS1_36909_0</v>
      </c>
      <c r="P453" s="41" t="s">
        <v>3664</v>
      </c>
      <c r="R453" s="41">
        <v>452</v>
      </c>
      <c r="T453" s="41" t="str">
        <f t="shared" si="15"/>
        <v>3690900:Var_ui_ErrNo:=452;</v>
      </c>
    </row>
    <row r="454" spans="1:20">
      <c r="A454" s="190">
        <v>453</v>
      </c>
      <c r="B454" s="40">
        <v>145</v>
      </c>
      <c r="C454" s="40">
        <v>45</v>
      </c>
      <c r="F454" s="40"/>
      <c r="G454" s="40"/>
      <c r="H454" s="40" t="s">
        <v>3665</v>
      </c>
      <c r="I454" s="40" t="s">
        <v>3640</v>
      </c>
      <c r="J454" s="40" t="s">
        <v>3666</v>
      </c>
      <c r="K454" s="40" t="s">
        <v>3667</v>
      </c>
      <c r="L454" s="190">
        <v>37165</v>
      </c>
      <c r="M454" s="190">
        <v>0</v>
      </c>
      <c r="N454" s="40" t="s">
        <v>3668</v>
      </c>
      <c r="O454" s="41" t="str">
        <f t="shared" si="14"/>
        <v>EBS1_37165_0</v>
      </c>
      <c r="P454" s="41" t="s">
        <v>3669</v>
      </c>
      <c r="R454" s="41">
        <v>453</v>
      </c>
      <c r="T454" s="41" t="str">
        <f t="shared" si="15"/>
        <v>3716500:Var_ui_ErrNo:=453;</v>
      </c>
    </row>
    <row r="455" spans="1:20">
      <c r="A455" s="190">
        <v>454</v>
      </c>
      <c r="B455" s="40">
        <v>140</v>
      </c>
      <c r="C455" s="40">
        <v>206</v>
      </c>
      <c r="F455" s="40"/>
      <c r="G455" s="40"/>
      <c r="H455" s="40" t="s">
        <v>3670</v>
      </c>
      <c r="I455" s="40" t="s">
        <v>3671</v>
      </c>
      <c r="J455" s="40" t="s">
        <v>3672</v>
      </c>
      <c r="K455" s="40" t="s">
        <v>3673</v>
      </c>
      <c r="L455" s="190">
        <v>36046</v>
      </c>
      <c r="M455" s="190">
        <v>0</v>
      </c>
      <c r="N455" s="40" t="s">
        <v>3674</v>
      </c>
      <c r="O455" s="41" t="str">
        <f t="shared" si="14"/>
        <v>EBS1_36046_0</v>
      </c>
      <c r="P455" s="41" t="s">
        <v>3675</v>
      </c>
      <c r="R455" s="41">
        <v>454</v>
      </c>
      <c r="T455" s="41" t="str">
        <f t="shared" si="15"/>
        <v>3604600:Var_ui_ErrNo:=454;</v>
      </c>
    </row>
    <row r="456" spans="1:20">
      <c r="A456" s="190">
        <v>455</v>
      </c>
      <c r="B456" s="40">
        <v>141</v>
      </c>
      <c r="C456" s="40">
        <v>206</v>
      </c>
      <c r="F456" s="40"/>
      <c r="G456" s="40"/>
      <c r="H456" s="40" t="s">
        <v>3676</v>
      </c>
      <c r="I456" s="40" t="s">
        <v>3671</v>
      </c>
      <c r="J456" s="40" t="s">
        <v>3677</v>
      </c>
      <c r="K456" s="40" t="s">
        <v>3678</v>
      </c>
      <c r="L456" s="190">
        <v>36302</v>
      </c>
      <c r="M456" s="190">
        <v>0</v>
      </c>
      <c r="N456" s="40" t="s">
        <v>3679</v>
      </c>
      <c r="O456" s="41" t="str">
        <f t="shared" si="14"/>
        <v>EBS1_36302_0</v>
      </c>
      <c r="P456" s="41" t="s">
        <v>3680</v>
      </c>
      <c r="R456" s="41">
        <v>455</v>
      </c>
      <c r="T456" s="41" t="str">
        <f t="shared" si="15"/>
        <v>3630200:Var_ui_ErrNo:=455;</v>
      </c>
    </row>
    <row r="457" spans="1:20">
      <c r="A457" s="190">
        <v>456</v>
      </c>
      <c r="B457" s="40">
        <v>142</v>
      </c>
      <c r="C457" s="40">
        <v>206</v>
      </c>
      <c r="F457" s="40"/>
      <c r="G457" s="40"/>
      <c r="H457" s="40" t="s">
        <v>3681</v>
      </c>
      <c r="I457" s="40" t="s">
        <v>3671</v>
      </c>
      <c r="J457" s="40" t="s">
        <v>3682</v>
      </c>
      <c r="K457" s="40" t="s">
        <v>3683</v>
      </c>
      <c r="L457" s="190">
        <v>36558</v>
      </c>
      <c r="M457" s="190">
        <v>0</v>
      </c>
      <c r="N457" s="40" t="s">
        <v>3684</v>
      </c>
      <c r="O457" s="41" t="str">
        <f t="shared" si="14"/>
        <v>EBS1_36558_0</v>
      </c>
      <c r="P457" s="41" t="s">
        <v>3685</v>
      </c>
      <c r="R457" s="41">
        <v>456</v>
      </c>
      <c r="T457" s="41" t="str">
        <f t="shared" si="15"/>
        <v>3655800:Var_ui_ErrNo:=456;</v>
      </c>
    </row>
    <row r="458" spans="1:20">
      <c r="A458" s="190">
        <v>457</v>
      </c>
      <c r="B458" s="40">
        <v>143</v>
      </c>
      <c r="C458" s="40">
        <v>206</v>
      </c>
      <c r="F458" s="40"/>
      <c r="G458" s="40"/>
      <c r="H458" s="40" t="s">
        <v>3686</v>
      </c>
      <c r="I458" s="40" t="s">
        <v>3671</v>
      </c>
      <c r="J458" s="40" t="s">
        <v>3687</v>
      </c>
      <c r="K458" s="40" t="s">
        <v>3688</v>
      </c>
      <c r="L458" s="190">
        <v>36814</v>
      </c>
      <c r="M458" s="190">
        <v>0</v>
      </c>
      <c r="N458" s="40" t="s">
        <v>3689</v>
      </c>
      <c r="O458" s="41" t="str">
        <f t="shared" si="14"/>
        <v>EBS1_36814_0</v>
      </c>
      <c r="P458" s="41" t="s">
        <v>3690</v>
      </c>
      <c r="R458" s="41">
        <v>457</v>
      </c>
      <c r="T458" s="41" t="str">
        <f t="shared" si="15"/>
        <v>3681400:Var_ui_ErrNo:=457;</v>
      </c>
    </row>
    <row r="459" spans="1:20">
      <c r="A459" s="190">
        <v>458</v>
      </c>
      <c r="B459" s="40">
        <v>144</v>
      </c>
      <c r="C459" s="40">
        <v>206</v>
      </c>
      <c r="F459" s="40"/>
      <c r="G459" s="40"/>
      <c r="H459" s="40" t="s">
        <v>3691</v>
      </c>
      <c r="I459" s="40" t="s">
        <v>3671</v>
      </c>
      <c r="J459" s="40" t="s">
        <v>3692</v>
      </c>
      <c r="K459" s="40" t="s">
        <v>3693</v>
      </c>
      <c r="L459" s="190">
        <v>37070</v>
      </c>
      <c r="M459" s="190">
        <v>0</v>
      </c>
      <c r="N459" s="40" t="s">
        <v>3694</v>
      </c>
      <c r="O459" s="41" t="str">
        <f t="shared" si="14"/>
        <v>EBS1_37070_0</v>
      </c>
      <c r="P459" s="41" t="s">
        <v>3695</v>
      </c>
      <c r="R459" s="41">
        <v>458</v>
      </c>
      <c r="T459" s="41" t="str">
        <f t="shared" si="15"/>
        <v>3707000:Var_ui_ErrNo:=458;</v>
      </c>
    </row>
    <row r="460" spans="1:20">
      <c r="A460" s="190">
        <v>459</v>
      </c>
      <c r="B460" s="40">
        <v>145</v>
      </c>
      <c r="C460" s="40">
        <v>206</v>
      </c>
      <c r="F460" s="40"/>
      <c r="G460" s="40"/>
      <c r="H460" s="40" t="s">
        <v>3696</v>
      </c>
      <c r="I460" s="40" t="s">
        <v>3671</v>
      </c>
      <c r="J460" s="40" t="s">
        <v>3697</v>
      </c>
      <c r="K460" s="40" t="s">
        <v>3698</v>
      </c>
      <c r="L460" s="190">
        <v>37326</v>
      </c>
      <c r="M460" s="190">
        <v>0</v>
      </c>
      <c r="N460" s="40" t="s">
        <v>3699</v>
      </c>
      <c r="O460" s="41" t="str">
        <f t="shared" si="14"/>
        <v>EBS1_37326_0</v>
      </c>
      <c r="P460" s="41" t="s">
        <v>3700</v>
      </c>
      <c r="R460" s="41">
        <v>459</v>
      </c>
      <c r="T460" s="41" t="str">
        <f t="shared" si="15"/>
        <v>3732600:Var_ui_ErrNo:=459;</v>
      </c>
    </row>
    <row r="461" spans="1:20">
      <c r="A461" s="190">
        <v>460</v>
      </c>
      <c r="B461" s="40">
        <v>150</v>
      </c>
      <c r="C461" s="40">
        <v>10</v>
      </c>
      <c r="F461" s="40"/>
      <c r="G461" s="40"/>
      <c r="H461" s="40" t="s">
        <v>3701</v>
      </c>
      <c r="I461" s="40" t="s">
        <v>3702</v>
      </c>
      <c r="J461" s="40" t="s">
        <v>3703</v>
      </c>
      <c r="K461" s="40" t="s">
        <v>3704</v>
      </c>
      <c r="L461" s="190">
        <v>38410</v>
      </c>
      <c r="M461" s="190">
        <v>0</v>
      </c>
      <c r="N461" s="40" t="s">
        <v>3705</v>
      </c>
      <c r="O461" s="41" t="str">
        <f t="shared" si="14"/>
        <v>EBS1_38410_0</v>
      </c>
      <c r="P461" s="41" t="s">
        <v>3706</v>
      </c>
      <c r="R461" s="41">
        <v>460</v>
      </c>
      <c r="T461" s="41" t="str">
        <f t="shared" si="15"/>
        <v>3841000:Var_ui_ErrNo:=460;</v>
      </c>
    </row>
    <row r="462" spans="1:20">
      <c r="A462" s="190">
        <v>461</v>
      </c>
      <c r="B462" s="40">
        <v>151</v>
      </c>
      <c r="C462" s="40">
        <v>10</v>
      </c>
      <c r="F462" s="40"/>
      <c r="G462" s="40"/>
      <c r="H462" s="40" t="s">
        <v>3707</v>
      </c>
      <c r="I462" s="40" t="s">
        <v>3702</v>
      </c>
      <c r="J462" s="40" t="s">
        <v>3708</v>
      </c>
      <c r="K462" s="40" t="s">
        <v>3709</v>
      </c>
      <c r="L462" s="190">
        <v>38666</v>
      </c>
      <c r="M462" s="190">
        <v>0</v>
      </c>
      <c r="N462" s="40" t="s">
        <v>3710</v>
      </c>
      <c r="O462" s="41" t="str">
        <f t="shared" si="14"/>
        <v>EBS1_38666_0</v>
      </c>
      <c r="P462" s="41" t="s">
        <v>3711</v>
      </c>
      <c r="R462" s="41">
        <v>461</v>
      </c>
      <c r="T462" s="41" t="str">
        <f t="shared" si="15"/>
        <v>3866600:Var_ui_ErrNo:=461;</v>
      </c>
    </row>
    <row r="463" spans="1:20">
      <c r="A463" s="190">
        <v>462</v>
      </c>
      <c r="B463" s="40">
        <v>152</v>
      </c>
      <c r="C463" s="40">
        <v>10</v>
      </c>
      <c r="F463" s="40"/>
      <c r="G463" s="40"/>
      <c r="H463" s="40" t="s">
        <v>3712</v>
      </c>
      <c r="I463" s="40" t="s">
        <v>3702</v>
      </c>
      <c r="J463" s="40" t="s">
        <v>3713</v>
      </c>
      <c r="K463" s="40" t="s">
        <v>3714</v>
      </c>
      <c r="L463" s="190">
        <v>38922</v>
      </c>
      <c r="M463" s="190">
        <v>0</v>
      </c>
      <c r="N463" s="40" t="s">
        <v>3715</v>
      </c>
      <c r="O463" s="41" t="str">
        <f t="shared" si="14"/>
        <v>EBS1_38922_0</v>
      </c>
      <c r="P463" s="41" t="s">
        <v>3716</v>
      </c>
      <c r="R463" s="41">
        <v>462</v>
      </c>
      <c r="T463" s="41" t="str">
        <f t="shared" si="15"/>
        <v>3892200:Var_ui_ErrNo:=462;</v>
      </c>
    </row>
    <row r="464" spans="1:20">
      <c r="A464" s="190">
        <v>463</v>
      </c>
      <c r="B464" s="40">
        <v>153</v>
      </c>
      <c r="C464" s="40">
        <v>10</v>
      </c>
      <c r="F464" s="40"/>
      <c r="G464" s="40"/>
      <c r="H464" s="40" t="s">
        <v>3717</v>
      </c>
      <c r="I464" s="40" t="s">
        <v>3702</v>
      </c>
      <c r="J464" s="40" t="s">
        <v>3718</v>
      </c>
      <c r="K464" s="40" t="s">
        <v>3719</v>
      </c>
      <c r="L464" s="190">
        <v>39178</v>
      </c>
      <c r="M464" s="190">
        <v>0</v>
      </c>
      <c r="N464" s="40" t="s">
        <v>3720</v>
      </c>
      <c r="O464" s="41" t="str">
        <f t="shared" si="14"/>
        <v>EBS1_39178_0</v>
      </c>
      <c r="P464" s="41" t="s">
        <v>3721</v>
      </c>
      <c r="R464" s="41">
        <v>463</v>
      </c>
      <c r="T464" s="41" t="str">
        <f t="shared" si="15"/>
        <v>3917800:Var_ui_ErrNo:=463;</v>
      </c>
    </row>
    <row r="465" spans="1:20">
      <c r="A465" s="190">
        <v>464</v>
      </c>
      <c r="B465" s="40">
        <v>154</v>
      </c>
      <c r="C465" s="40">
        <v>10</v>
      </c>
      <c r="F465" s="40"/>
      <c r="G465" s="40"/>
      <c r="H465" s="40" t="s">
        <v>3722</v>
      </c>
      <c r="I465" s="40" t="s">
        <v>3702</v>
      </c>
      <c r="J465" s="40" t="s">
        <v>3723</v>
      </c>
      <c r="K465" s="40" t="s">
        <v>3724</v>
      </c>
      <c r="L465" s="190">
        <v>39434</v>
      </c>
      <c r="M465" s="190">
        <v>0</v>
      </c>
      <c r="N465" s="40" t="s">
        <v>3725</v>
      </c>
      <c r="O465" s="41" t="str">
        <f t="shared" si="14"/>
        <v>EBS1_39434_0</v>
      </c>
      <c r="P465" s="41" t="s">
        <v>3726</v>
      </c>
      <c r="R465" s="41">
        <v>464</v>
      </c>
      <c r="T465" s="41" t="str">
        <f t="shared" si="15"/>
        <v>3943400:Var_ui_ErrNo:=464;</v>
      </c>
    </row>
    <row r="466" spans="1:20">
      <c r="A466" s="190">
        <v>465</v>
      </c>
      <c r="B466" s="40">
        <v>155</v>
      </c>
      <c r="C466" s="40">
        <v>10</v>
      </c>
      <c r="F466" s="40"/>
      <c r="G466" s="40"/>
      <c r="H466" s="40" t="s">
        <v>3727</v>
      </c>
      <c r="I466" s="40" t="s">
        <v>3702</v>
      </c>
      <c r="J466" s="40" t="s">
        <v>3728</v>
      </c>
      <c r="K466" s="40" t="s">
        <v>3729</v>
      </c>
      <c r="L466" s="190">
        <v>39690</v>
      </c>
      <c r="M466" s="190">
        <v>0</v>
      </c>
      <c r="N466" s="40" t="s">
        <v>3730</v>
      </c>
      <c r="O466" s="41" t="str">
        <f t="shared" si="14"/>
        <v>EBS1_39690_0</v>
      </c>
      <c r="P466" s="41" t="s">
        <v>3731</v>
      </c>
      <c r="R466" s="41">
        <v>465</v>
      </c>
      <c r="T466" s="41" t="str">
        <f t="shared" si="15"/>
        <v>3969000:Var_ui_ErrNo:=465;</v>
      </c>
    </row>
    <row r="467" spans="1:20">
      <c r="A467" s="190">
        <v>466</v>
      </c>
      <c r="B467" s="40">
        <v>150</v>
      </c>
      <c r="C467" s="40">
        <v>11</v>
      </c>
      <c r="F467" s="40"/>
      <c r="G467" s="40"/>
      <c r="H467" s="40" t="s">
        <v>3732</v>
      </c>
      <c r="I467" s="40" t="s">
        <v>3733</v>
      </c>
      <c r="J467" s="40" t="s">
        <v>3734</v>
      </c>
      <c r="K467" s="40" t="s">
        <v>3735</v>
      </c>
      <c r="L467" s="190">
        <v>38411</v>
      </c>
      <c r="M467" s="190">
        <v>0</v>
      </c>
      <c r="N467" s="40" t="s">
        <v>3736</v>
      </c>
      <c r="O467" s="41" t="str">
        <f t="shared" si="14"/>
        <v>EBS1_38411_0</v>
      </c>
      <c r="P467" s="41" t="s">
        <v>3737</v>
      </c>
      <c r="R467" s="41">
        <v>466</v>
      </c>
      <c r="T467" s="41" t="str">
        <f t="shared" si="15"/>
        <v>3841100:Var_ui_ErrNo:=466;</v>
      </c>
    </row>
    <row r="468" spans="1:20">
      <c r="A468" s="190">
        <v>467</v>
      </c>
      <c r="B468" s="40">
        <v>151</v>
      </c>
      <c r="C468" s="40">
        <v>11</v>
      </c>
      <c r="F468" s="40"/>
      <c r="G468" s="40"/>
      <c r="H468" s="40" t="s">
        <v>3738</v>
      </c>
      <c r="I468" s="40" t="s">
        <v>3733</v>
      </c>
      <c r="J468" s="40" t="s">
        <v>3739</v>
      </c>
      <c r="K468" s="40" t="s">
        <v>3740</v>
      </c>
      <c r="L468" s="190">
        <v>38667</v>
      </c>
      <c r="M468" s="190">
        <v>0</v>
      </c>
      <c r="N468" s="40" t="s">
        <v>3741</v>
      </c>
      <c r="O468" s="41" t="str">
        <f t="shared" si="14"/>
        <v>EBS1_38667_0</v>
      </c>
      <c r="P468" s="41" t="s">
        <v>3742</v>
      </c>
      <c r="R468" s="41">
        <v>467</v>
      </c>
      <c r="T468" s="41" t="str">
        <f t="shared" si="15"/>
        <v>3866700:Var_ui_ErrNo:=467;</v>
      </c>
    </row>
    <row r="469" spans="1:20">
      <c r="A469" s="190">
        <v>468</v>
      </c>
      <c r="B469" s="40">
        <v>152</v>
      </c>
      <c r="C469" s="40">
        <v>11</v>
      </c>
      <c r="F469" s="40"/>
      <c r="G469" s="40"/>
      <c r="H469" s="40" t="s">
        <v>3743</v>
      </c>
      <c r="I469" s="40" t="s">
        <v>3733</v>
      </c>
      <c r="J469" s="40" t="s">
        <v>3744</v>
      </c>
      <c r="K469" s="40" t="s">
        <v>3745</v>
      </c>
      <c r="L469" s="190">
        <v>38923</v>
      </c>
      <c r="M469" s="190">
        <v>0</v>
      </c>
      <c r="N469" s="40" t="s">
        <v>3746</v>
      </c>
      <c r="O469" s="41" t="str">
        <f t="shared" si="14"/>
        <v>EBS1_38923_0</v>
      </c>
      <c r="P469" s="41" t="s">
        <v>3747</v>
      </c>
      <c r="R469" s="41">
        <v>468</v>
      </c>
      <c r="T469" s="41" t="str">
        <f t="shared" si="15"/>
        <v>3892300:Var_ui_ErrNo:=468;</v>
      </c>
    </row>
    <row r="470" spans="1:20">
      <c r="A470" s="190">
        <v>469</v>
      </c>
      <c r="B470" s="40">
        <v>153</v>
      </c>
      <c r="C470" s="40">
        <v>11</v>
      </c>
      <c r="F470" s="40"/>
      <c r="G470" s="40"/>
      <c r="H470" s="40" t="s">
        <v>3748</v>
      </c>
      <c r="I470" s="40" t="s">
        <v>3733</v>
      </c>
      <c r="J470" s="40" t="s">
        <v>3749</v>
      </c>
      <c r="K470" s="40" t="s">
        <v>3750</v>
      </c>
      <c r="L470" s="190">
        <v>39179</v>
      </c>
      <c r="M470" s="190">
        <v>0</v>
      </c>
      <c r="N470" s="40" t="s">
        <v>3751</v>
      </c>
      <c r="O470" s="41" t="str">
        <f t="shared" si="14"/>
        <v>EBS1_39179_0</v>
      </c>
      <c r="P470" s="41" t="s">
        <v>3752</v>
      </c>
      <c r="R470" s="41">
        <v>469</v>
      </c>
      <c r="T470" s="41" t="str">
        <f t="shared" si="15"/>
        <v>3917900:Var_ui_ErrNo:=469;</v>
      </c>
    </row>
    <row r="471" spans="1:20">
      <c r="A471" s="190">
        <v>470</v>
      </c>
      <c r="B471" s="40">
        <v>154</v>
      </c>
      <c r="C471" s="40">
        <v>11</v>
      </c>
      <c r="F471" s="40"/>
      <c r="G471" s="40"/>
      <c r="H471" s="40" t="s">
        <v>3753</v>
      </c>
      <c r="I471" s="40" t="s">
        <v>3733</v>
      </c>
      <c r="J471" s="40" t="s">
        <v>3754</v>
      </c>
      <c r="K471" s="40" t="s">
        <v>3755</v>
      </c>
      <c r="L471" s="190">
        <v>39435</v>
      </c>
      <c r="M471" s="190">
        <v>0</v>
      </c>
      <c r="N471" s="40" t="s">
        <v>3756</v>
      </c>
      <c r="O471" s="41" t="str">
        <f t="shared" si="14"/>
        <v>EBS1_39435_0</v>
      </c>
      <c r="P471" s="41" t="s">
        <v>3757</v>
      </c>
      <c r="R471" s="41">
        <v>470</v>
      </c>
      <c r="T471" s="41" t="str">
        <f t="shared" si="15"/>
        <v>3943500:Var_ui_ErrNo:=470;</v>
      </c>
    </row>
    <row r="472" spans="1:20">
      <c r="A472" s="190">
        <v>471</v>
      </c>
      <c r="B472" s="40">
        <v>155</v>
      </c>
      <c r="C472" s="40">
        <v>11</v>
      </c>
      <c r="F472" s="40"/>
      <c r="G472" s="40"/>
      <c r="H472" s="40" t="s">
        <v>3758</v>
      </c>
      <c r="I472" s="40" t="s">
        <v>3733</v>
      </c>
      <c r="J472" s="40" t="s">
        <v>3759</v>
      </c>
      <c r="K472" s="40" t="s">
        <v>3760</v>
      </c>
      <c r="L472" s="190">
        <v>39691</v>
      </c>
      <c r="M472" s="190">
        <v>0</v>
      </c>
      <c r="N472" s="40" t="s">
        <v>3761</v>
      </c>
      <c r="O472" s="41" t="str">
        <f t="shared" si="14"/>
        <v>EBS1_39691_0</v>
      </c>
      <c r="P472" s="41" t="s">
        <v>3762</v>
      </c>
      <c r="R472" s="41">
        <v>471</v>
      </c>
      <c r="T472" s="41" t="str">
        <f t="shared" si="15"/>
        <v>3969100:Var_ui_ErrNo:=471;</v>
      </c>
    </row>
    <row r="473" spans="1:20">
      <c r="A473" s="190">
        <v>472</v>
      </c>
      <c r="B473" s="40">
        <v>150</v>
      </c>
      <c r="C473" s="40">
        <v>13</v>
      </c>
      <c r="F473" s="40"/>
      <c r="G473" s="40"/>
      <c r="H473" s="40" t="s">
        <v>3763</v>
      </c>
      <c r="I473" s="40" t="s">
        <v>3764</v>
      </c>
      <c r="J473" s="40" t="s">
        <v>3765</v>
      </c>
      <c r="K473" s="40" t="s">
        <v>3766</v>
      </c>
      <c r="L473" s="190">
        <v>38413</v>
      </c>
      <c r="M473" s="190">
        <v>0</v>
      </c>
      <c r="N473" s="40" t="s">
        <v>3767</v>
      </c>
      <c r="O473" s="41" t="str">
        <f t="shared" si="14"/>
        <v>EBS1_38413_0</v>
      </c>
      <c r="P473" s="41" t="s">
        <v>3768</v>
      </c>
      <c r="R473" s="41">
        <v>472</v>
      </c>
      <c r="T473" s="41" t="str">
        <f t="shared" si="15"/>
        <v>3841300:Var_ui_ErrNo:=472;</v>
      </c>
    </row>
    <row r="474" spans="1:20">
      <c r="A474" s="190">
        <v>473</v>
      </c>
      <c r="B474" s="40">
        <v>151</v>
      </c>
      <c r="C474" s="40">
        <v>13</v>
      </c>
      <c r="F474" s="40"/>
      <c r="G474" s="40"/>
      <c r="H474" s="40" t="s">
        <v>3769</v>
      </c>
      <c r="I474" s="40" t="s">
        <v>3764</v>
      </c>
      <c r="J474" s="40" t="s">
        <v>3770</v>
      </c>
      <c r="K474" s="40" t="s">
        <v>3771</v>
      </c>
      <c r="L474" s="190">
        <v>38669</v>
      </c>
      <c r="M474" s="190">
        <v>0</v>
      </c>
      <c r="N474" s="40" t="s">
        <v>3772</v>
      </c>
      <c r="O474" s="41" t="str">
        <f t="shared" si="14"/>
        <v>EBS1_38669_0</v>
      </c>
      <c r="P474" s="41" t="s">
        <v>3773</v>
      </c>
      <c r="R474" s="41">
        <v>473</v>
      </c>
      <c r="T474" s="41" t="str">
        <f t="shared" si="15"/>
        <v>3866900:Var_ui_ErrNo:=473;</v>
      </c>
    </row>
    <row r="475" spans="1:20">
      <c r="A475" s="190">
        <v>474</v>
      </c>
      <c r="B475" s="40">
        <v>152</v>
      </c>
      <c r="C475" s="40">
        <v>13</v>
      </c>
      <c r="F475" s="40"/>
      <c r="G475" s="40"/>
      <c r="H475" s="40" t="s">
        <v>3774</v>
      </c>
      <c r="I475" s="40" t="s">
        <v>3764</v>
      </c>
      <c r="J475" s="40" t="s">
        <v>3775</v>
      </c>
      <c r="K475" s="40" t="s">
        <v>3776</v>
      </c>
      <c r="L475" s="190">
        <v>38925</v>
      </c>
      <c r="M475" s="190">
        <v>0</v>
      </c>
      <c r="N475" s="40" t="s">
        <v>3777</v>
      </c>
      <c r="O475" s="41" t="str">
        <f t="shared" si="14"/>
        <v>EBS1_38925_0</v>
      </c>
      <c r="P475" s="41" t="s">
        <v>3778</v>
      </c>
      <c r="R475" s="41">
        <v>474</v>
      </c>
      <c r="T475" s="41" t="str">
        <f t="shared" si="15"/>
        <v>3892500:Var_ui_ErrNo:=474;</v>
      </c>
    </row>
    <row r="476" spans="1:20">
      <c r="A476" s="190">
        <v>475</v>
      </c>
      <c r="B476" s="40">
        <v>153</v>
      </c>
      <c r="C476" s="40">
        <v>13</v>
      </c>
      <c r="F476" s="40"/>
      <c r="G476" s="40"/>
      <c r="H476" s="40" t="s">
        <v>3779</v>
      </c>
      <c r="I476" s="40" t="s">
        <v>3764</v>
      </c>
      <c r="J476" s="40" t="s">
        <v>3780</v>
      </c>
      <c r="K476" s="40" t="s">
        <v>3781</v>
      </c>
      <c r="L476" s="190">
        <v>39181</v>
      </c>
      <c r="M476" s="190">
        <v>0</v>
      </c>
      <c r="N476" s="40" t="s">
        <v>3782</v>
      </c>
      <c r="O476" s="41" t="str">
        <f t="shared" si="14"/>
        <v>EBS1_39181_0</v>
      </c>
      <c r="P476" s="41" t="s">
        <v>3783</v>
      </c>
      <c r="R476" s="41">
        <v>475</v>
      </c>
      <c r="T476" s="41" t="str">
        <f t="shared" si="15"/>
        <v>3918100:Var_ui_ErrNo:=475;</v>
      </c>
    </row>
    <row r="477" spans="1:20">
      <c r="A477" s="190">
        <v>476</v>
      </c>
      <c r="B477" s="40">
        <v>154</v>
      </c>
      <c r="C477" s="40">
        <v>13</v>
      </c>
      <c r="F477" s="40"/>
      <c r="G477" s="40"/>
      <c r="H477" s="40" t="s">
        <v>3784</v>
      </c>
      <c r="I477" s="40" t="s">
        <v>3764</v>
      </c>
      <c r="J477" s="40" t="s">
        <v>3785</v>
      </c>
      <c r="K477" s="40" t="s">
        <v>3786</v>
      </c>
      <c r="L477" s="190">
        <v>39437</v>
      </c>
      <c r="M477" s="190">
        <v>0</v>
      </c>
      <c r="N477" s="40" t="s">
        <v>3787</v>
      </c>
      <c r="O477" s="41" t="str">
        <f t="shared" si="14"/>
        <v>EBS1_39437_0</v>
      </c>
      <c r="P477" s="41" t="s">
        <v>3788</v>
      </c>
      <c r="R477" s="41">
        <v>476</v>
      </c>
      <c r="T477" s="41" t="str">
        <f t="shared" si="15"/>
        <v>3943700:Var_ui_ErrNo:=476;</v>
      </c>
    </row>
    <row r="478" spans="1:20">
      <c r="A478" s="190">
        <v>477</v>
      </c>
      <c r="B478" s="40">
        <v>155</v>
      </c>
      <c r="C478" s="40">
        <v>13</v>
      </c>
      <c r="F478" s="40"/>
      <c r="G478" s="40"/>
      <c r="H478" s="40" t="s">
        <v>3789</v>
      </c>
      <c r="I478" s="40" t="s">
        <v>3764</v>
      </c>
      <c r="J478" s="40" t="s">
        <v>3790</v>
      </c>
      <c r="K478" s="40" t="s">
        <v>3791</v>
      </c>
      <c r="L478" s="190">
        <v>39693</v>
      </c>
      <c r="M478" s="190">
        <v>0</v>
      </c>
      <c r="N478" s="40" t="s">
        <v>3792</v>
      </c>
      <c r="O478" s="41" t="str">
        <f t="shared" si="14"/>
        <v>EBS1_39693_0</v>
      </c>
      <c r="P478" s="41" t="s">
        <v>3793</v>
      </c>
      <c r="R478" s="41">
        <v>477</v>
      </c>
      <c r="T478" s="41" t="str">
        <f t="shared" si="15"/>
        <v>3969300:Var_ui_ErrNo:=477;</v>
      </c>
    </row>
    <row r="479" spans="1:20">
      <c r="A479" s="190">
        <v>478</v>
      </c>
      <c r="B479" s="40">
        <v>150</v>
      </c>
      <c r="C479" s="40">
        <v>14</v>
      </c>
      <c r="F479" s="40"/>
      <c r="G479" s="40"/>
      <c r="H479" s="40" t="s">
        <v>3794</v>
      </c>
      <c r="I479" s="40" t="s">
        <v>3795</v>
      </c>
      <c r="J479" s="40" t="s">
        <v>3796</v>
      </c>
      <c r="K479" s="40" t="s">
        <v>3797</v>
      </c>
      <c r="L479" s="190">
        <v>38414</v>
      </c>
      <c r="M479" s="190">
        <v>0</v>
      </c>
      <c r="N479" s="40" t="s">
        <v>3798</v>
      </c>
      <c r="O479" s="41" t="str">
        <f t="shared" si="14"/>
        <v>EBS1_38414_0</v>
      </c>
      <c r="P479" s="41" t="s">
        <v>3799</v>
      </c>
      <c r="R479" s="41">
        <v>478</v>
      </c>
      <c r="T479" s="41" t="str">
        <f t="shared" si="15"/>
        <v>3841400:Var_ui_ErrNo:=478;</v>
      </c>
    </row>
    <row r="480" spans="1:20">
      <c r="A480" s="190">
        <v>479</v>
      </c>
      <c r="B480" s="40">
        <v>151</v>
      </c>
      <c r="C480" s="40">
        <v>14</v>
      </c>
      <c r="F480" s="40"/>
      <c r="G480" s="40"/>
      <c r="H480" s="40" t="s">
        <v>3800</v>
      </c>
      <c r="I480" s="40" t="s">
        <v>3795</v>
      </c>
      <c r="J480" s="40" t="s">
        <v>3801</v>
      </c>
      <c r="K480" s="40" t="s">
        <v>3802</v>
      </c>
      <c r="L480" s="190">
        <v>38670</v>
      </c>
      <c r="M480" s="190">
        <v>0</v>
      </c>
      <c r="N480" s="40" t="s">
        <v>3803</v>
      </c>
      <c r="O480" s="41" t="str">
        <f t="shared" si="14"/>
        <v>EBS1_38670_0</v>
      </c>
      <c r="P480" s="41" t="s">
        <v>3804</v>
      </c>
      <c r="R480" s="41">
        <v>479</v>
      </c>
      <c r="T480" s="41" t="str">
        <f t="shared" si="15"/>
        <v>3867000:Var_ui_ErrNo:=479;</v>
      </c>
    </row>
    <row r="481" spans="1:20">
      <c r="A481" s="190">
        <v>480</v>
      </c>
      <c r="B481" s="40">
        <v>152</v>
      </c>
      <c r="C481" s="40">
        <v>14</v>
      </c>
      <c r="F481" s="40"/>
      <c r="G481" s="40"/>
      <c r="H481" s="40" t="s">
        <v>3805</v>
      </c>
      <c r="I481" s="40" t="s">
        <v>3795</v>
      </c>
      <c r="J481" s="40" t="s">
        <v>3806</v>
      </c>
      <c r="K481" s="40" t="s">
        <v>3807</v>
      </c>
      <c r="L481" s="190">
        <v>38926</v>
      </c>
      <c r="M481" s="190">
        <v>0</v>
      </c>
      <c r="N481" s="40" t="s">
        <v>3808</v>
      </c>
      <c r="O481" s="41" t="str">
        <f t="shared" si="14"/>
        <v>EBS1_38926_0</v>
      </c>
      <c r="P481" s="41" t="s">
        <v>3809</v>
      </c>
      <c r="R481" s="41">
        <v>480</v>
      </c>
      <c r="T481" s="41" t="str">
        <f t="shared" si="15"/>
        <v>3892600:Var_ui_ErrNo:=480;</v>
      </c>
    </row>
    <row r="482" spans="1:20">
      <c r="A482" s="190">
        <v>481</v>
      </c>
      <c r="B482" s="40">
        <v>153</v>
      </c>
      <c r="C482" s="40">
        <v>14</v>
      </c>
      <c r="F482" s="40"/>
      <c r="G482" s="40"/>
      <c r="H482" s="40" t="s">
        <v>3810</v>
      </c>
      <c r="I482" s="40" t="s">
        <v>3795</v>
      </c>
      <c r="J482" s="40" t="s">
        <v>3811</v>
      </c>
      <c r="K482" s="40" t="s">
        <v>3812</v>
      </c>
      <c r="L482" s="190">
        <v>39182</v>
      </c>
      <c r="M482" s="190">
        <v>0</v>
      </c>
      <c r="N482" s="40" t="s">
        <v>3813</v>
      </c>
      <c r="O482" s="41" t="str">
        <f t="shared" si="14"/>
        <v>EBS1_39182_0</v>
      </c>
      <c r="P482" s="41" t="s">
        <v>3814</v>
      </c>
      <c r="R482" s="41">
        <v>481</v>
      </c>
      <c r="T482" s="41" t="str">
        <f t="shared" si="15"/>
        <v>3918200:Var_ui_ErrNo:=481;</v>
      </c>
    </row>
    <row r="483" spans="1:20">
      <c r="A483" s="190">
        <v>482</v>
      </c>
      <c r="B483" s="40">
        <v>154</v>
      </c>
      <c r="C483" s="40">
        <v>14</v>
      </c>
      <c r="F483" s="40"/>
      <c r="G483" s="40"/>
      <c r="H483" s="40" t="s">
        <v>3815</v>
      </c>
      <c r="I483" s="40" t="s">
        <v>3795</v>
      </c>
      <c r="J483" s="40" t="s">
        <v>3816</v>
      </c>
      <c r="K483" s="40" t="s">
        <v>3817</v>
      </c>
      <c r="L483" s="190">
        <v>39438</v>
      </c>
      <c r="M483" s="190">
        <v>0</v>
      </c>
      <c r="N483" s="40" t="s">
        <v>3818</v>
      </c>
      <c r="O483" s="41" t="str">
        <f t="shared" si="14"/>
        <v>EBS1_39438_0</v>
      </c>
      <c r="P483" s="41" t="s">
        <v>3819</v>
      </c>
      <c r="R483" s="41">
        <v>482</v>
      </c>
      <c r="T483" s="41" t="str">
        <f t="shared" si="15"/>
        <v>3943800:Var_ui_ErrNo:=482;</v>
      </c>
    </row>
    <row r="484" spans="1:20">
      <c r="A484" s="190">
        <v>483</v>
      </c>
      <c r="B484" s="40">
        <v>155</v>
      </c>
      <c r="C484" s="40">
        <v>14</v>
      </c>
      <c r="F484" s="40"/>
      <c r="G484" s="40"/>
      <c r="H484" s="40" t="s">
        <v>3820</v>
      </c>
      <c r="I484" s="40" t="s">
        <v>3795</v>
      </c>
      <c r="J484" s="40" t="s">
        <v>3821</v>
      </c>
      <c r="K484" s="40" t="s">
        <v>3822</v>
      </c>
      <c r="L484" s="190">
        <v>39694</v>
      </c>
      <c r="M484" s="190">
        <v>0</v>
      </c>
      <c r="N484" s="40" t="s">
        <v>3823</v>
      </c>
      <c r="O484" s="41" t="str">
        <f t="shared" si="14"/>
        <v>EBS1_39694_0</v>
      </c>
      <c r="P484" s="41" t="s">
        <v>3824</v>
      </c>
      <c r="R484" s="41">
        <v>483</v>
      </c>
      <c r="T484" s="41" t="str">
        <f t="shared" si="15"/>
        <v>3969400:Var_ui_ErrNo:=483;</v>
      </c>
    </row>
    <row r="485" spans="1:20">
      <c r="A485" s="190">
        <v>484</v>
      </c>
      <c r="B485" s="40">
        <v>150</v>
      </c>
      <c r="C485" s="40">
        <v>170</v>
      </c>
      <c r="F485" s="40"/>
      <c r="G485" s="40"/>
      <c r="H485" s="40" t="s">
        <v>3825</v>
      </c>
      <c r="I485" s="40" t="s">
        <v>3826</v>
      </c>
      <c r="J485" s="40" t="s">
        <v>3827</v>
      </c>
      <c r="K485" s="40" t="s">
        <v>3828</v>
      </c>
      <c r="L485" s="190">
        <v>38570</v>
      </c>
      <c r="M485" s="190">
        <v>0</v>
      </c>
      <c r="N485" s="40" t="s">
        <v>3829</v>
      </c>
      <c r="O485" s="41" t="str">
        <f t="shared" si="14"/>
        <v>EBS1_38570_0</v>
      </c>
      <c r="P485" s="41" t="s">
        <v>3830</v>
      </c>
      <c r="R485" s="41">
        <v>484</v>
      </c>
      <c r="T485" s="41" t="str">
        <f t="shared" si="15"/>
        <v>3857000:Var_ui_ErrNo:=484;</v>
      </c>
    </row>
    <row r="486" spans="1:20">
      <c r="A486" s="190">
        <v>485</v>
      </c>
      <c r="B486" s="40">
        <v>150</v>
      </c>
      <c r="C486" s="40">
        <v>171</v>
      </c>
      <c r="F486" s="40"/>
      <c r="G486" s="40"/>
      <c r="H486" s="40" t="s">
        <v>3825</v>
      </c>
      <c r="I486" s="40" t="s">
        <v>3826</v>
      </c>
      <c r="J486" s="40" t="s">
        <v>3831</v>
      </c>
      <c r="K486" s="40" t="s">
        <v>3832</v>
      </c>
      <c r="L486" s="190">
        <v>38571</v>
      </c>
      <c r="M486" s="190">
        <v>0</v>
      </c>
      <c r="N486" s="40" t="s">
        <v>3829</v>
      </c>
      <c r="O486" s="41" t="str">
        <f t="shared" si="14"/>
        <v>EBS1_38571_0</v>
      </c>
      <c r="P486" s="41" t="s">
        <v>3833</v>
      </c>
      <c r="R486" s="41">
        <v>485</v>
      </c>
      <c r="T486" s="41" t="str">
        <f t="shared" si="15"/>
        <v>3857100:Var_ui_ErrNo:=485;</v>
      </c>
    </row>
    <row r="487" spans="1:20">
      <c r="A487" s="190">
        <v>486</v>
      </c>
      <c r="B487" s="40">
        <v>150</v>
      </c>
      <c r="C487" s="40">
        <v>172</v>
      </c>
      <c r="F487" s="40"/>
      <c r="G487" s="40"/>
      <c r="H487" s="40" t="s">
        <v>3825</v>
      </c>
      <c r="I487" s="40" t="s">
        <v>3826</v>
      </c>
      <c r="J487" s="40" t="s">
        <v>3834</v>
      </c>
      <c r="K487" s="40" t="s">
        <v>3835</v>
      </c>
      <c r="L487" s="190">
        <v>38572</v>
      </c>
      <c r="M487" s="190">
        <v>0</v>
      </c>
      <c r="N487" s="40" t="s">
        <v>3829</v>
      </c>
      <c r="O487" s="41" t="str">
        <f t="shared" si="14"/>
        <v>EBS1_38572_0</v>
      </c>
      <c r="P487" s="41" t="s">
        <v>3836</v>
      </c>
      <c r="R487" s="41">
        <v>486</v>
      </c>
      <c r="T487" s="41" t="str">
        <f t="shared" si="15"/>
        <v>3857200:Var_ui_ErrNo:=486;</v>
      </c>
    </row>
    <row r="488" spans="1:20">
      <c r="A488" s="190">
        <v>487</v>
      </c>
      <c r="B488" s="40">
        <v>150</v>
      </c>
      <c r="C488" s="40">
        <v>173</v>
      </c>
      <c r="F488" s="40"/>
      <c r="G488" s="40"/>
      <c r="H488" s="40" t="s">
        <v>3825</v>
      </c>
      <c r="I488" s="40" t="s">
        <v>3826</v>
      </c>
      <c r="J488" s="40" t="s">
        <v>3837</v>
      </c>
      <c r="K488" s="40" t="s">
        <v>3838</v>
      </c>
      <c r="L488" s="190">
        <v>38573</v>
      </c>
      <c r="M488" s="190">
        <v>0</v>
      </c>
      <c r="N488" s="40" t="s">
        <v>3829</v>
      </c>
      <c r="O488" s="41" t="str">
        <f t="shared" si="14"/>
        <v>EBS1_38573_0</v>
      </c>
      <c r="P488" s="41" t="s">
        <v>3839</v>
      </c>
      <c r="R488" s="41">
        <v>487</v>
      </c>
      <c r="T488" s="41" t="str">
        <f t="shared" si="15"/>
        <v>3857300:Var_ui_ErrNo:=487;</v>
      </c>
    </row>
    <row r="489" spans="1:20">
      <c r="A489" s="190">
        <v>488</v>
      </c>
      <c r="B489" s="40">
        <v>150</v>
      </c>
      <c r="C489" s="40">
        <v>174</v>
      </c>
      <c r="F489" s="40"/>
      <c r="G489" s="40"/>
      <c r="H489" s="40" t="s">
        <v>3825</v>
      </c>
      <c r="I489" s="40" t="s">
        <v>3826</v>
      </c>
      <c r="J489" s="40" t="s">
        <v>3840</v>
      </c>
      <c r="K489" s="40" t="s">
        <v>3841</v>
      </c>
      <c r="L489" s="190">
        <v>38574</v>
      </c>
      <c r="M489" s="190">
        <v>0</v>
      </c>
      <c r="N489" s="40" t="s">
        <v>3829</v>
      </c>
      <c r="O489" s="41" t="str">
        <f t="shared" si="14"/>
        <v>EBS1_38574_0</v>
      </c>
      <c r="P489" s="41" t="s">
        <v>3842</v>
      </c>
      <c r="R489" s="41">
        <v>488</v>
      </c>
      <c r="T489" s="41" t="str">
        <f t="shared" si="15"/>
        <v>3857400:Var_ui_ErrNo:=488;</v>
      </c>
    </row>
    <row r="490" spans="1:20">
      <c r="A490" s="190">
        <v>489</v>
      </c>
      <c r="B490" s="40">
        <v>150</v>
      </c>
      <c r="C490" s="40">
        <v>175</v>
      </c>
      <c r="F490" s="40"/>
      <c r="G490" s="40"/>
      <c r="H490" s="40" t="s">
        <v>3825</v>
      </c>
      <c r="I490" s="40" t="s">
        <v>3826</v>
      </c>
      <c r="J490" s="40" t="s">
        <v>3843</v>
      </c>
      <c r="K490" s="40" t="s">
        <v>3844</v>
      </c>
      <c r="L490" s="190">
        <v>38575</v>
      </c>
      <c r="M490" s="190">
        <v>0</v>
      </c>
      <c r="N490" s="40" t="s">
        <v>3829</v>
      </c>
      <c r="O490" s="41" t="str">
        <f t="shared" si="14"/>
        <v>EBS1_38575_0</v>
      </c>
      <c r="P490" s="41" t="s">
        <v>3845</v>
      </c>
      <c r="R490" s="41">
        <v>489</v>
      </c>
      <c r="T490" s="41" t="str">
        <f t="shared" si="15"/>
        <v>3857500:Var_ui_ErrNo:=489;</v>
      </c>
    </row>
    <row r="491" spans="1:20">
      <c r="A491" s="190">
        <v>490</v>
      </c>
      <c r="B491" s="40">
        <v>150</v>
      </c>
      <c r="C491" s="40">
        <v>176</v>
      </c>
      <c r="F491" s="40"/>
      <c r="G491" s="40"/>
      <c r="H491" s="40" t="s">
        <v>3825</v>
      </c>
      <c r="I491" s="40" t="s">
        <v>3826</v>
      </c>
      <c r="J491" s="40" t="s">
        <v>3846</v>
      </c>
      <c r="K491" s="40" t="s">
        <v>3847</v>
      </c>
      <c r="L491" s="190">
        <v>38576</v>
      </c>
      <c r="M491" s="190">
        <v>0</v>
      </c>
      <c r="N491" s="40" t="s">
        <v>3829</v>
      </c>
      <c r="O491" s="41" t="str">
        <f t="shared" si="14"/>
        <v>EBS1_38576_0</v>
      </c>
      <c r="P491" s="41" t="s">
        <v>3848</v>
      </c>
      <c r="R491" s="41">
        <v>490</v>
      </c>
      <c r="T491" s="41" t="str">
        <f t="shared" si="15"/>
        <v>3857600:Var_ui_ErrNo:=490;</v>
      </c>
    </row>
    <row r="492" spans="1:20">
      <c r="A492" s="190">
        <v>491</v>
      </c>
      <c r="B492" s="40">
        <v>150</v>
      </c>
      <c r="C492" s="40">
        <v>177</v>
      </c>
      <c r="F492" s="40"/>
      <c r="G492" s="40"/>
      <c r="H492" s="40" t="s">
        <v>3825</v>
      </c>
      <c r="I492" s="40" t="s">
        <v>3826</v>
      </c>
      <c r="J492" s="40" t="s">
        <v>3849</v>
      </c>
      <c r="K492" s="40" t="s">
        <v>3850</v>
      </c>
      <c r="L492" s="190">
        <v>38577</v>
      </c>
      <c r="M492" s="190">
        <v>0</v>
      </c>
      <c r="N492" s="40" t="s">
        <v>3829</v>
      </c>
      <c r="O492" s="41" t="str">
        <f t="shared" si="14"/>
        <v>EBS1_38577_0</v>
      </c>
      <c r="P492" s="41" t="s">
        <v>3851</v>
      </c>
      <c r="R492" s="41">
        <v>491</v>
      </c>
      <c r="T492" s="41" t="str">
        <f t="shared" si="15"/>
        <v>3857700:Var_ui_ErrNo:=491;</v>
      </c>
    </row>
    <row r="493" spans="1:20">
      <c r="A493" s="190">
        <v>492</v>
      </c>
      <c r="B493" s="40">
        <v>151</v>
      </c>
      <c r="C493" s="40">
        <v>170</v>
      </c>
      <c r="F493" s="40"/>
      <c r="G493" s="40"/>
      <c r="H493" s="40" t="s">
        <v>3852</v>
      </c>
      <c r="I493" s="40" t="s">
        <v>3826</v>
      </c>
      <c r="J493" s="40" t="s">
        <v>3853</v>
      </c>
      <c r="K493" s="40" t="s">
        <v>3854</v>
      </c>
      <c r="L493" s="190">
        <v>38826</v>
      </c>
      <c r="M493" s="190">
        <v>0</v>
      </c>
      <c r="N493" s="40" t="s">
        <v>3855</v>
      </c>
      <c r="O493" s="41" t="str">
        <f t="shared" si="14"/>
        <v>EBS1_38826_0</v>
      </c>
      <c r="P493" s="41" t="s">
        <v>3856</v>
      </c>
      <c r="R493" s="41">
        <v>492</v>
      </c>
      <c r="T493" s="41" t="str">
        <f t="shared" si="15"/>
        <v>3882600:Var_ui_ErrNo:=492;</v>
      </c>
    </row>
    <row r="494" spans="1:20">
      <c r="A494" s="190">
        <v>493</v>
      </c>
      <c r="B494" s="40">
        <v>151</v>
      </c>
      <c r="C494" s="40">
        <v>171</v>
      </c>
      <c r="F494" s="40"/>
      <c r="G494" s="40"/>
      <c r="H494" s="40" t="s">
        <v>3852</v>
      </c>
      <c r="I494" s="40" t="s">
        <v>3826</v>
      </c>
      <c r="J494" s="40" t="s">
        <v>3857</v>
      </c>
      <c r="K494" s="40" t="s">
        <v>3858</v>
      </c>
      <c r="L494" s="190">
        <v>38827</v>
      </c>
      <c r="M494" s="190">
        <v>0</v>
      </c>
      <c r="N494" s="40" t="s">
        <v>3855</v>
      </c>
      <c r="O494" s="41" t="str">
        <f t="shared" si="14"/>
        <v>EBS1_38827_0</v>
      </c>
      <c r="P494" s="41" t="s">
        <v>3859</v>
      </c>
      <c r="R494" s="41">
        <v>493</v>
      </c>
      <c r="T494" s="41" t="str">
        <f t="shared" si="15"/>
        <v>3882700:Var_ui_ErrNo:=493;</v>
      </c>
    </row>
    <row r="495" spans="1:20">
      <c r="A495" s="190">
        <v>494</v>
      </c>
      <c r="B495" s="40">
        <v>151</v>
      </c>
      <c r="C495" s="40">
        <v>172</v>
      </c>
      <c r="F495" s="40"/>
      <c r="G495" s="40"/>
      <c r="H495" s="40" t="s">
        <v>3852</v>
      </c>
      <c r="I495" s="40" t="s">
        <v>3826</v>
      </c>
      <c r="J495" s="40" t="s">
        <v>3860</v>
      </c>
      <c r="K495" s="40" t="s">
        <v>3861</v>
      </c>
      <c r="L495" s="190">
        <v>38828</v>
      </c>
      <c r="M495" s="190">
        <v>0</v>
      </c>
      <c r="N495" s="40" t="s">
        <v>3855</v>
      </c>
      <c r="O495" s="41" t="str">
        <f t="shared" si="14"/>
        <v>EBS1_38828_0</v>
      </c>
      <c r="P495" s="41" t="s">
        <v>3862</v>
      </c>
      <c r="R495" s="41">
        <v>494</v>
      </c>
      <c r="T495" s="41" t="str">
        <f t="shared" si="15"/>
        <v>3882800:Var_ui_ErrNo:=494;</v>
      </c>
    </row>
    <row r="496" spans="1:20">
      <c r="A496" s="190">
        <v>495</v>
      </c>
      <c r="B496" s="40">
        <v>151</v>
      </c>
      <c r="C496" s="40">
        <v>173</v>
      </c>
      <c r="F496" s="40"/>
      <c r="G496" s="40"/>
      <c r="H496" s="40" t="s">
        <v>3852</v>
      </c>
      <c r="I496" s="40" t="s">
        <v>3826</v>
      </c>
      <c r="J496" s="40" t="s">
        <v>3863</v>
      </c>
      <c r="K496" s="40" t="s">
        <v>3864</v>
      </c>
      <c r="L496" s="190">
        <v>38829</v>
      </c>
      <c r="M496" s="190">
        <v>0</v>
      </c>
      <c r="N496" s="40" t="s">
        <v>3855</v>
      </c>
      <c r="O496" s="41" t="str">
        <f t="shared" si="14"/>
        <v>EBS1_38829_0</v>
      </c>
      <c r="P496" s="41" t="s">
        <v>3865</v>
      </c>
      <c r="R496" s="41">
        <v>495</v>
      </c>
      <c r="T496" s="41" t="str">
        <f t="shared" si="15"/>
        <v>3882900:Var_ui_ErrNo:=495;</v>
      </c>
    </row>
    <row r="497" spans="1:20">
      <c r="A497" s="190">
        <v>496</v>
      </c>
      <c r="B497" s="40">
        <v>151</v>
      </c>
      <c r="C497" s="40">
        <v>174</v>
      </c>
      <c r="F497" s="40"/>
      <c r="G497" s="40"/>
      <c r="H497" s="40" t="s">
        <v>3852</v>
      </c>
      <c r="I497" s="40" t="s">
        <v>3826</v>
      </c>
      <c r="J497" s="40" t="s">
        <v>3866</v>
      </c>
      <c r="K497" s="40" t="s">
        <v>3867</v>
      </c>
      <c r="L497" s="190">
        <v>38830</v>
      </c>
      <c r="M497" s="190">
        <v>0</v>
      </c>
      <c r="N497" s="40" t="s">
        <v>3855</v>
      </c>
      <c r="O497" s="41" t="str">
        <f t="shared" si="14"/>
        <v>EBS1_38830_0</v>
      </c>
      <c r="P497" s="41" t="s">
        <v>3868</v>
      </c>
      <c r="R497" s="41">
        <v>496</v>
      </c>
      <c r="T497" s="41" t="str">
        <f t="shared" si="15"/>
        <v>3883000:Var_ui_ErrNo:=496;</v>
      </c>
    </row>
    <row r="498" spans="1:20">
      <c r="A498" s="190">
        <v>497</v>
      </c>
      <c r="B498" s="40">
        <v>151</v>
      </c>
      <c r="C498" s="40">
        <v>175</v>
      </c>
      <c r="F498" s="40"/>
      <c r="G498" s="40"/>
      <c r="H498" s="40" t="s">
        <v>3852</v>
      </c>
      <c r="I498" s="40" t="s">
        <v>3826</v>
      </c>
      <c r="J498" s="40" t="s">
        <v>3869</v>
      </c>
      <c r="K498" s="40" t="s">
        <v>3870</v>
      </c>
      <c r="L498" s="190">
        <v>38831</v>
      </c>
      <c r="M498" s="190">
        <v>0</v>
      </c>
      <c r="N498" s="40" t="s">
        <v>3855</v>
      </c>
      <c r="O498" s="41" t="str">
        <f t="shared" si="14"/>
        <v>EBS1_38831_0</v>
      </c>
      <c r="P498" s="41" t="s">
        <v>3871</v>
      </c>
      <c r="R498" s="41">
        <v>497</v>
      </c>
      <c r="T498" s="41" t="str">
        <f t="shared" si="15"/>
        <v>3883100:Var_ui_ErrNo:=497;</v>
      </c>
    </row>
    <row r="499" spans="1:20">
      <c r="A499" s="190">
        <v>498</v>
      </c>
      <c r="B499" s="40">
        <v>151</v>
      </c>
      <c r="C499" s="40">
        <v>176</v>
      </c>
      <c r="F499" s="40"/>
      <c r="G499" s="40"/>
      <c r="H499" s="40" t="s">
        <v>3852</v>
      </c>
      <c r="I499" s="40" t="s">
        <v>3826</v>
      </c>
      <c r="J499" s="40" t="s">
        <v>3872</v>
      </c>
      <c r="K499" s="40" t="s">
        <v>3873</v>
      </c>
      <c r="L499" s="190">
        <v>38832</v>
      </c>
      <c r="M499" s="190">
        <v>0</v>
      </c>
      <c r="N499" s="40" t="s">
        <v>3855</v>
      </c>
      <c r="O499" s="41" t="str">
        <f t="shared" si="14"/>
        <v>EBS1_38832_0</v>
      </c>
      <c r="P499" s="41" t="s">
        <v>3874</v>
      </c>
      <c r="R499" s="41">
        <v>498</v>
      </c>
      <c r="T499" s="41" t="str">
        <f t="shared" si="15"/>
        <v>3883200:Var_ui_ErrNo:=498;</v>
      </c>
    </row>
    <row r="500" spans="1:20">
      <c r="A500" s="190">
        <v>499</v>
      </c>
      <c r="B500" s="40">
        <v>151</v>
      </c>
      <c r="C500" s="40">
        <v>177</v>
      </c>
      <c r="F500" s="40"/>
      <c r="G500" s="40"/>
      <c r="H500" s="40" t="s">
        <v>3852</v>
      </c>
      <c r="I500" s="40" t="s">
        <v>3826</v>
      </c>
      <c r="J500" s="40" t="s">
        <v>3875</v>
      </c>
      <c r="K500" s="40" t="s">
        <v>3876</v>
      </c>
      <c r="L500" s="190">
        <v>38833</v>
      </c>
      <c r="M500" s="190">
        <v>0</v>
      </c>
      <c r="N500" s="40" t="s">
        <v>3855</v>
      </c>
      <c r="O500" s="41" t="str">
        <f t="shared" si="14"/>
        <v>EBS1_38833_0</v>
      </c>
      <c r="P500" s="41" t="s">
        <v>3877</v>
      </c>
      <c r="R500" s="41">
        <v>499</v>
      </c>
      <c r="T500" s="41" t="str">
        <f t="shared" si="15"/>
        <v>3883300:Var_ui_ErrNo:=499;</v>
      </c>
    </row>
    <row r="501" spans="1:20">
      <c r="A501" s="190">
        <v>500</v>
      </c>
      <c r="B501" s="40">
        <v>152</v>
      </c>
      <c r="C501" s="40">
        <v>170</v>
      </c>
      <c r="F501" s="40"/>
      <c r="G501" s="40"/>
      <c r="H501" s="40" t="s">
        <v>3878</v>
      </c>
      <c r="I501" s="40" t="s">
        <v>3826</v>
      </c>
      <c r="J501" s="40" t="s">
        <v>3879</v>
      </c>
      <c r="K501" s="40" t="s">
        <v>3880</v>
      </c>
      <c r="L501" s="190">
        <v>39082</v>
      </c>
      <c r="M501" s="190">
        <v>0</v>
      </c>
      <c r="N501" s="40" t="s">
        <v>3881</v>
      </c>
      <c r="O501" s="41" t="str">
        <f t="shared" si="14"/>
        <v>EBS1_39082_0</v>
      </c>
      <c r="P501" s="41" t="s">
        <v>3882</v>
      </c>
      <c r="R501" s="41">
        <v>500</v>
      </c>
      <c r="T501" s="41" t="str">
        <f t="shared" si="15"/>
        <v>3908200:Var_ui_ErrNo:=500;</v>
      </c>
    </row>
    <row r="502" spans="1:20">
      <c r="A502" s="190">
        <v>501</v>
      </c>
      <c r="B502" s="40">
        <v>152</v>
      </c>
      <c r="C502" s="40">
        <v>171</v>
      </c>
      <c r="F502" s="40"/>
      <c r="G502" s="40"/>
      <c r="H502" s="40" t="s">
        <v>3878</v>
      </c>
      <c r="I502" s="40" t="s">
        <v>3826</v>
      </c>
      <c r="J502" s="40" t="s">
        <v>3883</v>
      </c>
      <c r="K502" s="40" t="s">
        <v>3884</v>
      </c>
      <c r="L502" s="190">
        <v>39083</v>
      </c>
      <c r="M502" s="190">
        <v>0</v>
      </c>
      <c r="N502" s="40" t="s">
        <v>3881</v>
      </c>
      <c r="O502" s="41" t="str">
        <f t="shared" si="14"/>
        <v>EBS1_39083_0</v>
      </c>
      <c r="P502" s="41" t="s">
        <v>3885</v>
      </c>
      <c r="R502" s="41">
        <v>501</v>
      </c>
      <c r="T502" s="41" t="str">
        <f t="shared" si="15"/>
        <v>3908300:Var_ui_ErrNo:=501;</v>
      </c>
    </row>
    <row r="503" spans="1:20">
      <c r="A503" s="190">
        <v>502</v>
      </c>
      <c r="B503" s="40">
        <v>152</v>
      </c>
      <c r="C503" s="40">
        <v>172</v>
      </c>
      <c r="F503" s="40"/>
      <c r="G503" s="40"/>
      <c r="H503" s="40" t="s">
        <v>3878</v>
      </c>
      <c r="I503" s="40" t="s">
        <v>3826</v>
      </c>
      <c r="J503" s="40" t="s">
        <v>3886</v>
      </c>
      <c r="K503" s="40" t="s">
        <v>3887</v>
      </c>
      <c r="L503" s="190">
        <v>39084</v>
      </c>
      <c r="M503" s="190">
        <v>0</v>
      </c>
      <c r="N503" s="40" t="s">
        <v>3881</v>
      </c>
      <c r="O503" s="41" t="str">
        <f t="shared" si="14"/>
        <v>EBS1_39084_0</v>
      </c>
      <c r="P503" s="41" t="s">
        <v>3888</v>
      </c>
      <c r="R503" s="41">
        <v>502</v>
      </c>
      <c r="T503" s="41" t="str">
        <f t="shared" si="15"/>
        <v>3908400:Var_ui_ErrNo:=502;</v>
      </c>
    </row>
    <row r="504" spans="1:20">
      <c r="A504" s="190">
        <v>503</v>
      </c>
      <c r="B504" s="40">
        <v>152</v>
      </c>
      <c r="C504" s="40">
        <v>173</v>
      </c>
      <c r="F504" s="40"/>
      <c r="G504" s="40"/>
      <c r="H504" s="40" t="s">
        <v>3878</v>
      </c>
      <c r="I504" s="40" t="s">
        <v>3826</v>
      </c>
      <c r="J504" s="40" t="s">
        <v>3889</v>
      </c>
      <c r="K504" s="40" t="s">
        <v>3890</v>
      </c>
      <c r="L504" s="190">
        <v>39085</v>
      </c>
      <c r="M504" s="190">
        <v>0</v>
      </c>
      <c r="N504" s="40" t="s">
        <v>3881</v>
      </c>
      <c r="O504" s="41" t="str">
        <f t="shared" si="14"/>
        <v>EBS1_39085_0</v>
      </c>
      <c r="P504" s="41" t="s">
        <v>3891</v>
      </c>
      <c r="R504" s="41">
        <v>503</v>
      </c>
      <c r="T504" s="41" t="str">
        <f t="shared" si="15"/>
        <v>3908500:Var_ui_ErrNo:=503;</v>
      </c>
    </row>
    <row r="505" spans="1:20">
      <c r="A505" s="190">
        <v>504</v>
      </c>
      <c r="B505" s="40">
        <v>152</v>
      </c>
      <c r="C505" s="40">
        <v>174</v>
      </c>
      <c r="F505" s="40"/>
      <c r="G505" s="40"/>
      <c r="H505" s="40" t="s">
        <v>3878</v>
      </c>
      <c r="I505" s="40" t="s">
        <v>3826</v>
      </c>
      <c r="J505" s="40" t="s">
        <v>3892</v>
      </c>
      <c r="K505" s="40" t="s">
        <v>3893</v>
      </c>
      <c r="L505" s="190">
        <v>39086</v>
      </c>
      <c r="M505" s="190">
        <v>0</v>
      </c>
      <c r="N505" s="40" t="s">
        <v>3881</v>
      </c>
      <c r="O505" s="41" t="str">
        <f t="shared" si="14"/>
        <v>EBS1_39086_0</v>
      </c>
      <c r="P505" s="41" t="s">
        <v>3894</v>
      </c>
      <c r="R505" s="41">
        <v>504</v>
      </c>
      <c r="T505" s="41" t="str">
        <f t="shared" si="15"/>
        <v>3908600:Var_ui_ErrNo:=504;</v>
      </c>
    </row>
    <row r="506" spans="1:20">
      <c r="A506" s="190">
        <v>505</v>
      </c>
      <c r="B506" s="40">
        <v>152</v>
      </c>
      <c r="C506" s="40">
        <v>175</v>
      </c>
      <c r="F506" s="40"/>
      <c r="G506" s="40"/>
      <c r="H506" s="40" t="s">
        <v>3878</v>
      </c>
      <c r="I506" s="40" t="s">
        <v>3826</v>
      </c>
      <c r="J506" s="40" t="s">
        <v>3895</v>
      </c>
      <c r="K506" s="40" t="s">
        <v>3896</v>
      </c>
      <c r="L506" s="190">
        <v>39087</v>
      </c>
      <c r="M506" s="190">
        <v>0</v>
      </c>
      <c r="N506" s="40" t="s">
        <v>3881</v>
      </c>
      <c r="O506" s="41" t="str">
        <f t="shared" si="14"/>
        <v>EBS1_39087_0</v>
      </c>
      <c r="P506" s="41" t="s">
        <v>3897</v>
      </c>
      <c r="R506" s="41">
        <v>505</v>
      </c>
      <c r="T506" s="41" t="str">
        <f t="shared" si="15"/>
        <v>3908700:Var_ui_ErrNo:=505;</v>
      </c>
    </row>
    <row r="507" spans="1:20">
      <c r="A507" s="190">
        <v>506</v>
      </c>
      <c r="B507" s="40">
        <v>152</v>
      </c>
      <c r="C507" s="40">
        <v>176</v>
      </c>
      <c r="F507" s="40"/>
      <c r="G507" s="40"/>
      <c r="H507" s="40" t="s">
        <v>3878</v>
      </c>
      <c r="I507" s="40" t="s">
        <v>3826</v>
      </c>
      <c r="J507" s="40" t="s">
        <v>3898</v>
      </c>
      <c r="K507" s="40" t="s">
        <v>3899</v>
      </c>
      <c r="L507" s="190">
        <v>39088</v>
      </c>
      <c r="M507" s="190">
        <v>0</v>
      </c>
      <c r="N507" s="40" t="s">
        <v>3881</v>
      </c>
      <c r="O507" s="41" t="str">
        <f t="shared" si="14"/>
        <v>EBS1_39088_0</v>
      </c>
      <c r="P507" s="41" t="s">
        <v>3900</v>
      </c>
      <c r="R507" s="41">
        <v>506</v>
      </c>
      <c r="T507" s="41" t="str">
        <f t="shared" si="15"/>
        <v>3908800:Var_ui_ErrNo:=506;</v>
      </c>
    </row>
    <row r="508" spans="1:20">
      <c r="A508" s="190">
        <v>507</v>
      </c>
      <c r="B508" s="40">
        <v>152</v>
      </c>
      <c r="C508" s="40">
        <v>177</v>
      </c>
      <c r="F508" s="40"/>
      <c r="G508" s="40"/>
      <c r="H508" s="40" t="s">
        <v>3878</v>
      </c>
      <c r="I508" s="40" t="s">
        <v>3826</v>
      </c>
      <c r="J508" s="40" t="s">
        <v>3901</v>
      </c>
      <c r="K508" s="40" t="s">
        <v>3902</v>
      </c>
      <c r="L508" s="190">
        <v>39089</v>
      </c>
      <c r="M508" s="190">
        <v>0</v>
      </c>
      <c r="N508" s="40" t="s">
        <v>3881</v>
      </c>
      <c r="O508" s="41" t="str">
        <f t="shared" si="14"/>
        <v>EBS1_39089_0</v>
      </c>
      <c r="P508" s="41" t="s">
        <v>3903</v>
      </c>
      <c r="R508" s="41">
        <v>507</v>
      </c>
      <c r="T508" s="41" t="str">
        <f t="shared" si="15"/>
        <v>3908900:Var_ui_ErrNo:=507;</v>
      </c>
    </row>
    <row r="509" spans="1:20">
      <c r="A509" s="190">
        <v>508</v>
      </c>
      <c r="B509" s="40">
        <v>153</v>
      </c>
      <c r="C509" s="40">
        <v>170</v>
      </c>
      <c r="F509" s="40"/>
      <c r="G509" s="40"/>
      <c r="H509" s="40" t="s">
        <v>3904</v>
      </c>
      <c r="I509" s="40" t="s">
        <v>3826</v>
      </c>
      <c r="J509" s="40" t="s">
        <v>3905</v>
      </c>
      <c r="K509" s="40" t="s">
        <v>3906</v>
      </c>
      <c r="L509" s="190">
        <v>39338</v>
      </c>
      <c r="M509" s="190">
        <v>0</v>
      </c>
      <c r="N509" s="40" t="s">
        <v>3907</v>
      </c>
      <c r="O509" s="41" t="str">
        <f t="shared" si="14"/>
        <v>EBS1_39338_0</v>
      </c>
      <c r="P509" s="41" t="s">
        <v>3908</v>
      </c>
      <c r="R509" s="41">
        <v>508</v>
      </c>
      <c r="T509" s="41" t="str">
        <f t="shared" si="15"/>
        <v>3933800:Var_ui_ErrNo:=508;</v>
      </c>
    </row>
    <row r="510" spans="1:20">
      <c r="A510" s="190">
        <v>509</v>
      </c>
      <c r="B510" s="40">
        <v>153</v>
      </c>
      <c r="C510" s="40">
        <v>171</v>
      </c>
      <c r="F510" s="40"/>
      <c r="G510" s="40"/>
      <c r="H510" s="40" t="s">
        <v>3904</v>
      </c>
      <c r="I510" s="40" t="s">
        <v>3826</v>
      </c>
      <c r="J510" s="40" t="s">
        <v>3909</v>
      </c>
      <c r="K510" s="40" t="s">
        <v>3910</v>
      </c>
      <c r="L510" s="190">
        <v>39339</v>
      </c>
      <c r="M510" s="190">
        <v>0</v>
      </c>
      <c r="N510" s="40" t="s">
        <v>3907</v>
      </c>
      <c r="O510" s="41" t="str">
        <f t="shared" si="14"/>
        <v>EBS1_39339_0</v>
      </c>
      <c r="P510" s="41" t="s">
        <v>3911</v>
      </c>
      <c r="R510" s="41">
        <v>509</v>
      </c>
      <c r="T510" s="41" t="str">
        <f t="shared" si="15"/>
        <v>3933900:Var_ui_ErrNo:=509;</v>
      </c>
    </row>
    <row r="511" spans="1:20">
      <c r="A511" s="190">
        <v>510</v>
      </c>
      <c r="B511" s="40">
        <v>153</v>
      </c>
      <c r="C511" s="40">
        <v>172</v>
      </c>
      <c r="F511" s="40"/>
      <c r="G511" s="40"/>
      <c r="H511" s="40" t="s">
        <v>3904</v>
      </c>
      <c r="I511" s="40" t="s">
        <v>3826</v>
      </c>
      <c r="J511" s="40" t="s">
        <v>3912</v>
      </c>
      <c r="K511" s="40" t="s">
        <v>3913</v>
      </c>
      <c r="L511" s="190">
        <v>39340</v>
      </c>
      <c r="M511" s="190">
        <v>0</v>
      </c>
      <c r="N511" s="40" t="s">
        <v>3907</v>
      </c>
      <c r="O511" s="41" t="str">
        <f t="shared" si="14"/>
        <v>EBS1_39340_0</v>
      </c>
      <c r="P511" s="41" t="s">
        <v>3914</v>
      </c>
      <c r="R511" s="41">
        <v>510</v>
      </c>
      <c r="T511" s="41" t="str">
        <f t="shared" si="15"/>
        <v>3934000:Var_ui_ErrNo:=510;</v>
      </c>
    </row>
    <row r="512" spans="1:20">
      <c r="A512" s="190">
        <v>511</v>
      </c>
      <c r="B512" s="40">
        <v>153</v>
      </c>
      <c r="C512" s="40">
        <v>173</v>
      </c>
      <c r="F512" s="40"/>
      <c r="G512" s="40"/>
      <c r="H512" s="40" t="s">
        <v>3904</v>
      </c>
      <c r="I512" s="40" t="s">
        <v>3826</v>
      </c>
      <c r="J512" s="40" t="s">
        <v>3915</v>
      </c>
      <c r="K512" s="40" t="s">
        <v>3916</v>
      </c>
      <c r="L512" s="190">
        <v>39341</v>
      </c>
      <c r="M512" s="190">
        <v>0</v>
      </c>
      <c r="N512" s="40" t="s">
        <v>3907</v>
      </c>
      <c r="O512" s="41" t="str">
        <f t="shared" si="14"/>
        <v>EBS1_39341_0</v>
      </c>
      <c r="P512" s="41" t="s">
        <v>3917</v>
      </c>
      <c r="R512" s="41">
        <v>511</v>
      </c>
      <c r="T512" s="41" t="str">
        <f t="shared" si="15"/>
        <v>3934100:Var_ui_ErrNo:=511;</v>
      </c>
    </row>
    <row r="513" spans="1:20">
      <c r="A513" s="190">
        <v>512</v>
      </c>
      <c r="B513" s="40">
        <v>153</v>
      </c>
      <c r="C513" s="40">
        <v>174</v>
      </c>
      <c r="F513" s="40"/>
      <c r="G513" s="40"/>
      <c r="H513" s="40" t="s">
        <v>3904</v>
      </c>
      <c r="I513" s="40" t="s">
        <v>3826</v>
      </c>
      <c r="J513" s="40" t="s">
        <v>3918</v>
      </c>
      <c r="K513" s="40" t="s">
        <v>3919</v>
      </c>
      <c r="L513" s="190">
        <v>39342</v>
      </c>
      <c r="M513" s="190">
        <v>0</v>
      </c>
      <c r="N513" s="40" t="s">
        <v>3907</v>
      </c>
      <c r="O513" s="41" t="str">
        <f t="shared" si="14"/>
        <v>EBS1_39342_0</v>
      </c>
      <c r="P513" s="41" t="s">
        <v>3920</v>
      </c>
      <c r="R513" s="41">
        <v>512</v>
      </c>
      <c r="T513" s="41" t="str">
        <f t="shared" si="15"/>
        <v>3934200:Var_ui_ErrNo:=512;</v>
      </c>
    </row>
    <row r="514" spans="1:20">
      <c r="A514" s="190">
        <v>513</v>
      </c>
      <c r="B514" s="40">
        <v>153</v>
      </c>
      <c r="C514" s="40">
        <v>175</v>
      </c>
      <c r="F514" s="40"/>
      <c r="G514" s="40"/>
      <c r="H514" s="40" t="s">
        <v>3904</v>
      </c>
      <c r="I514" s="40" t="s">
        <v>3826</v>
      </c>
      <c r="J514" s="40" t="s">
        <v>3921</v>
      </c>
      <c r="K514" s="40" t="s">
        <v>3922</v>
      </c>
      <c r="L514" s="190">
        <v>39343</v>
      </c>
      <c r="M514" s="190">
        <v>0</v>
      </c>
      <c r="N514" s="40" t="s">
        <v>3907</v>
      </c>
      <c r="O514" s="41" t="str">
        <f t="shared" ref="O514:O577" si="16">"EBS1_"&amp;L514&amp;"_"&amp;M514</f>
        <v>EBS1_39343_0</v>
      </c>
      <c r="P514" s="41" t="s">
        <v>3923</v>
      </c>
      <c r="R514" s="41">
        <v>513</v>
      </c>
      <c r="T514" s="41" t="str">
        <f t="shared" si="15"/>
        <v>3934300:Var_ui_ErrNo:=513;</v>
      </c>
    </row>
    <row r="515" spans="1:20">
      <c r="A515" s="190">
        <v>514</v>
      </c>
      <c r="B515" s="40">
        <v>153</v>
      </c>
      <c r="C515" s="40">
        <v>176</v>
      </c>
      <c r="F515" s="40"/>
      <c r="G515" s="40"/>
      <c r="H515" s="40" t="s">
        <v>3904</v>
      </c>
      <c r="I515" s="40" t="s">
        <v>3826</v>
      </c>
      <c r="J515" s="40" t="s">
        <v>3924</v>
      </c>
      <c r="K515" s="40" t="s">
        <v>3925</v>
      </c>
      <c r="L515" s="190">
        <v>39344</v>
      </c>
      <c r="M515" s="190">
        <v>0</v>
      </c>
      <c r="N515" s="40" t="s">
        <v>3907</v>
      </c>
      <c r="O515" s="41" t="str">
        <f t="shared" si="16"/>
        <v>EBS1_39344_0</v>
      </c>
      <c r="P515" s="41" t="s">
        <v>3926</v>
      </c>
      <c r="R515" s="41">
        <v>514</v>
      </c>
      <c r="T515" s="41" t="str">
        <f t="shared" ref="T515:T578" si="17">P515&amp;$Q$2&amp;R515&amp;$S$2</f>
        <v>3934400:Var_ui_ErrNo:=514;</v>
      </c>
    </row>
    <row r="516" spans="1:20">
      <c r="A516" s="190">
        <v>515</v>
      </c>
      <c r="B516" s="40">
        <v>153</v>
      </c>
      <c r="C516" s="40">
        <v>177</v>
      </c>
      <c r="F516" s="40"/>
      <c r="G516" s="40"/>
      <c r="H516" s="40" t="s">
        <v>3904</v>
      </c>
      <c r="I516" s="40" t="s">
        <v>3826</v>
      </c>
      <c r="J516" s="40" t="s">
        <v>3927</v>
      </c>
      <c r="K516" s="40" t="s">
        <v>3928</v>
      </c>
      <c r="L516" s="190">
        <v>39345</v>
      </c>
      <c r="M516" s="190">
        <v>0</v>
      </c>
      <c r="N516" s="40" t="s">
        <v>3907</v>
      </c>
      <c r="O516" s="41" t="str">
        <f t="shared" si="16"/>
        <v>EBS1_39345_0</v>
      </c>
      <c r="P516" s="41" t="s">
        <v>3929</v>
      </c>
      <c r="R516" s="41">
        <v>515</v>
      </c>
      <c r="T516" s="41" t="str">
        <f t="shared" si="17"/>
        <v>3934500:Var_ui_ErrNo:=515;</v>
      </c>
    </row>
    <row r="517" spans="1:20">
      <c r="A517" s="190">
        <v>516</v>
      </c>
      <c r="B517" s="40">
        <v>154</v>
      </c>
      <c r="C517" s="40">
        <v>170</v>
      </c>
      <c r="F517" s="40"/>
      <c r="G517" s="40"/>
      <c r="H517" s="40" t="s">
        <v>3930</v>
      </c>
      <c r="I517" s="40" t="s">
        <v>3826</v>
      </c>
      <c r="J517" s="40" t="s">
        <v>3931</v>
      </c>
      <c r="K517" s="40" t="s">
        <v>3932</v>
      </c>
      <c r="L517" s="190">
        <v>39594</v>
      </c>
      <c r="M517" s="190">
        <v>0</v>
      </c>
      <c r="N517" s="40" t="s">
        <v>3933</v>
      </c>
      <c r="O517" s="41" t="str">
        <f t="shared" si="16"/>
        <v>EBS1_39594_0</v>
      </c>
      <c r="P517" s="41" t="s">
        <v>3934</v>
      </c>
      <c r="R517" s="41">
        <v>516</v>
      </c>
      <c r="T517" s="41" t="str">
        <f t="shared" si="17"/>
        <v>3959400:Var_ui_ErrNo:=516;</v>
      </c>
    </row>
    <row r="518" spans="1:20">
      <c r="A518" s="190">
        <v>517</v>
      </c>
      <c r="B518" s="40">
        <v>154</v>
      </c>
      <c r="C518" s="40">
        <v>171</v>
      </c>
      <c r="F518" s="40"/>
      <c r="G518" s="40"/>
      <c r="H518" s="40" t="s">
        <v>3930</v>
      </c>
      <c r="I518" s="40" t="s">
        <v>3826</v>
      </c>
      <c r="J518" s="40" t="s">
        <v>3935</v>
      </c>
      <c r="K518" s="40" t="s">
        <v>3936</v>
      </c>
      <c r="L518" s="190">
        <v>39595</v>
      </c>
      <c r="M518" s="190">
        <v>0</v>
      </c>
      <c r="N518" s="40" t="s">
        <v>3933</v>
      </c>
      <c r="O518" s="41" t="str">
        <f t="shared" si="16"/>
        <v>EBS1_39595_0</v>
      </c>
      <c r="P518" s="41" t="s">
        <v>3937</v>
      </c>
      <c r="R518" s="41">
        <v>517</v>
      </c>
      <c r="T518" s="41" t="str">
        <f t="shared" si="17"/>
        <v>3959500:Var_ui_ErrNo:=517;</v>
      </c>
    </row>
    <row r="519" spans="1:20">
      <c r="A519" s="190">
        <v>518</v>
      </c>
      <c r="B519" s="40">
        <v>154</v>
      </c>
      <c r="C519" s="40">
        <v>172</v>
      </c>
      <c r="F519" s="40"/>
      <c r="G519" s="40"/>
      <c r="H519" s="40" t="s">
        <v>3930</v>
      </c>
      <c r="I519" s="40" t="s">
        <v>3826</v>
      </c>
      <c r="J519" s="40" t="s">
        <v>3938</v>
      </c>
      <c r="K519" s="40" t="s">
        <v>3939</v>
      </c>
      <c r="L519" s="190">
        <v>39596</v>
      </c>
      <c r="M519" s="190">
        <v>0</v>
      </c>
      <c r="N519" s="40" t="s">
        <v>3933</v>
      </c>
      <c r="O519" s="41" t="str">
        <f t="shared" si="16"/>
        <v>EBS1_39596_0</v>
      </c>
      <c r="P519" s="41" t="s">
        <v>3940</v>
      </c>
      <c r="R519" s="41">
        <v>518</v>
      </c>
      <c r="T519" s="41" t="str">
        <f t="shared" si="17"/>
        <v>3959600:Var_ui_ErrNo:=518;</v>
      </c>
    </row>
    <row r="520" spans="1:20">
      <c r="A520" s="190">
        <v>519</v>
      </c>
      <c r="B520" s="40">
        <v>154</v>
      </c>
      <c r="C520" s="40">
        <v>173</v>
      </c>
      <c r="F520" s="40"/>
      <c r="G520" s="40"/>
      <c r="H520" s="40" t="s">
        <v>3930</v>
      </c>
      <c r="I520" s="40" t="s">
        <v>3826</v>
      </c>
      <c r="J520" s="40" t="s">
        <v>3941</v>
      </c>
      <c r="K520" s="40" t="s">
        <v>3942</v>
      </c>
      <c r="L520" s="190">
        <v>39597</v>
      </c>
      <c r="M520" s="190">
        <v>0</v>
      </c>
      <c r="N520" s="40" t="s">
        <v>3933</v>
      </c>
      <c r="O520" s="41" t="str">
        <f t="shared" si="16"/>
        <v>EBS1_39597_0</v>
      </c>
      <c r="P520" s="41" t="s">
        <v>3943</v>
      </c>
      <c r="R520" s="41">
        <v>519</v>
      </c>
      <c r="T520" s="41" t="str">
        <f t="shared" si="17"/>
        <v>3959700:Var_ui_ErrNo:=519;</v>
      </c>
    </row>
    <row r="521" spans="1:20">
      <c r="A521" s="190">
        <v>520</v>
      </c>
      <c r="B521" s="40">
        <v>154</v>
      </c>
      <c r="C521" s="40">
        <v>174</v>
      </c>
      <c r="F521" s="40"/>
      <c r="G521" s="40"/>
      <c r="H521" s="40" t="s">
        <v>3930</v>
      </c>
      <c r="I521" s="40" t="s">
        <v>3826</v>
      </c>
      <c r="J521" s="40" t="s">
        <v>3944</v>
      </c>
      <c r="K521" s="40" t="s">
        <v>3945</v>
      </c>
      <c r="L521" s="190">
        <v>39598</v>
      </c>
      <c r="M521" s="190">
        <v>0</v>
      </c>
      <c r="N521" s="40" t="s">
        <v>3933</v>
      </c>
      <c r="O521" s="41" t="str">
        <f t="shared" si="16"/>
        <v>EBS1_39598_0</v>
      </c>
      <c r="P521" s="41" t="s">
        <v>3946</v>
      </c>
      <c r="R521" s="41">
        <v>520</v>
      </c>
      <c r="T521" s="41" t="str">
        <f t="shared" si="17"/>
        <v>3959800:Var_ui_ErrNo:=520;</v>
      </c>
    </row>
    <row r="522" spans="1:20">
      <c r="A522" s="190">
        <v>521</v>
      </c>
      <c r="B522" s="40">
        <v>154</v>
      </c>
      <c r="C522" s="40">
        <v>175</v>
      </c>
      <c r="F522" s="40"/>
      <c r="G522" s="40"/>
      <c r="H522" s="40" t="s">
        <v>3930</v>
      </c>
      <c r="I522" s="40" t="s">
        <v>3826</v>
      </c>
      <c r="J522" s="40" t="s">
        <v>3947</v>
      </c>
      <c r="K522" s="40" t="s">
        <v>3948</v>
      </c>
      <c r="L522" s="190">
        <v>39599</v>
      </c>
      <c r="M522" s="190">
        <v>0</v>
      </c>
      <c r="N522" s="40" t="s">
        <v>3933</v>
      </c>
      <c r="O522" s="41" t="str">
        <f t="shared" si="16"/>
        <v>EBS1_39599_0</v>
      </c>
      <c r="P522" s="41" t="s">
        <v>3949</v>
      </c>
      <c r="R522" s="41">
        <v>521</v>
      </c>
      <c r="T522" s="41" t="str">
        <f t="shared" si="17"/>
        <v>3959900:Var_ui_ErrNo:=521;</v>
      </c>
    </row>
    <row r="523" spans="1:20">
      <c r="A523" s="190">
        <v>522</v>
      </c>
      <c r="B523" s="40">
        <v>154</v>
      </c>
      <c r="C523" s="40">
        <v>176</v>
      </c>
      <c r="F523" s="40"/>
      <c r="G523" s="40"/>
      <c r="H523" s="40" t="s">
        <v>3930</v>
      </c>
      <c r="I523" s="40" t="s">
        <v>3826</v>
      </c>
      <c r="J523" s="40" t="s">
        <v>3950</v>
      </c>
      <c r="K523" s="40" t="s">
        <v>3951</v>
      </c>
      <c r="L523" s="190">
        <v>39600</v>
      </c>
      <c r="M523" s="190">
        <v>0</v>
      </c>
      <c r="N523" s="40" t="s">
        <v>3933</v>
      </c>
      <c r="O523" s="41" t="str">
        <f t="shared" si="16"/>
        <v>EBS1_39600_0</v>
      </c>
      <c r="P523" s="41" t="s">
        <v>3952</v>
      </c>
      <c r="R523" s="41">
        <v>522</v>
      </c>
      <c r="T523" s="41" t="str">
        <f t="shared" si="17"/>
        <v>3960000:Var_ui_ErrNo:=522;</v>
      </c>
    </row>
    <row r="524" spans="1:20">
      <c r="A524" s="190">
        <v>523</v>
      </c>
      <c r="B524" s="40">
        <v>154</v>
      </c>
      <c r="C524" s="40">
        <v>177</v>
      </c>
      <c r="F524" s="40"/>
      <c r="G524" s="40"/>
      <c r="H524" s="40" t="s">
        <v>3930</v>
      </c>
      <c r="I524" s="40" t="s">
        <v>3826</v>
      </c>
      <c r="J524" s="40" t="s">
        <v>3953</v>
      </c>
      <c r="K524" s="40" t="s">
        <v>3954</v>
      </c>
      <c r="L524" s="190">
        <v>39601</v>
      </c>
      <c r="M524" s="190">
        <v>0</v>
      </c>
      <c r="N524" s="40" t="s">
        <v>3933</v>
      </c>
      <c r="O524" s="41" t="str">
        <f t="shared" si="16"/>
        <v>EBS1_39601_0</v>
      </c>
      <c r="P524" s="41" t="s">
        <v>3955</v>
      </c>
      <c r="R524" s="41">
        <v>523</v>
      </c>
      <c r="T524" s="41" t="str">
        <f t="shared" si="17"/>
        <v>3960100:Var_ui_ErrNo:=523;</v>
      </c>
    </row>
    <row r="525" spans="1:20">
      <c r="A525" s="190">
        <v>524</v>
      </c>
      <c r="B525" s="40">
        <v>155</v>
      </c>
      <c r="C525" s="40">
        <v>170</v>
      </c>
      <c r="F525" s="40"/>
      <c r="G525" s="40"/>
      <c r="H525" s="40" t="s">
        <v>3956</v>
      </c>
      <c r="I525" s="40" t="s">
        <v>3826</v>
      </c>
      <c r="J525" s="40" t="s">
        <v>3957</v>
      </c>
      <c r="K525" s="40" t="s">
        <v>3958</v>
      </c>
      <c r="L525" s="190">
        <v>39850</v>
      </c>
      <c r="M525" s="190">
        <v>0</v>
      </c>
      <c r="N525" s="40" t="s">
        <v>3959</v>
      </c>
      <c r="O525" s="41" t="str">
        <f t="shared" si="16"/>
        <v>EBS1_39850_0</v>
      </c>
      <c r="P525" s="41" t="s">
        <v>3960</v>
      </c>
      <c r="R525" s="41">
        <v>524</v>
      </c>
      <c r="T525" s="41" t="str">
        <f t="shared" si="17"/>
        <v>3985000:Var_ui_ErrNo:=524;</v>
      </c>
    </row>
    <row r="526" spans="1:20">
      <c r="A526" s="190">
        <v>525</v>
      </c>
      <c r="B526" s="40">
        <v>155</v>
      </c>
      <c r="C526" s="40">
        <v>171</v>
      </c>
      <c r="F526" s="40"/>
      <c r="G526" s="40"/>
      <c r="H526" s="40" t="s">
        <v>3956</v>
      </c>
      <c r="I526" s="40" t="s">
        <v>3826</v>
      </c>
      <c r="J526" s="40" t="s">
        <v>3961</v>
      </c>
      <c r="K526" s="40" t="s">
        <v>3962</v>
      </c>
      <c r="L526" s="190">
        <v>39851</v>
      </c>
      <c r="M526" s="190">
        <v>0</v>
      </c>
      <c r="N526" s="40" t="s">
        <v>3959</v>
      </c>
      <c r="O526" s="41" t="str">
        <f t="shared" si="16"/>
        <v>EBS1_39851_0</v>
      </c>
      <c r="P526" s="41" t="s">
        <v>3963</v>
      </c>
      <c r="R526" s="41">
        <v>525</v>
      </c>
      <c r="T526" s="41" t="str">
        <f t="shared" si="17"/>
        <v>3985100:Var_ui_ErrNo:=525;</v>
      </c>
    </row>
    <row r="527" spans="1:20">
      <c r="A527" s="190">
        <v>526</v>
      </c>
      <c r="B527" s="40">
        <v>155</v>
      </c>
      <c r="C527" s="40">
        <v>172</v>
      </c>
      <c r="F527" s="40"/>
      <c r="G527" s="40"/>
      <c r="H527" s="40" t="s">
        <v>3956</v>
      </c>
      <c r="I527" s="40" t="s">
        <v>3826</v>
      </c>
      <c r="J527" s="40" t="s">
        <v>3964</v>
      </c>
      <c r="K527" s="40" t="s">
        <v>3965</v>
      </c>
      <c r="L527" s="190">
        <v>39852</v>
      </c>
      <c r="M527" s="190">
        <v>0</v>
      </c>
      <c r="N527" s="40" t="s">
        <v>3959</v>
      </c>
      <c r="O527" s="41" t="str">
        <f t="shared" si="16"/>
        <v>EBS1_39852_0</v>
      </c>
      <c r="P527" s="41" t="s">
        <v>3966</v>
      </c>
      <c r="R527" s="41">
        <v>526</v>
      </c>
      <c r="T527" s="41" t="str">
        <f t="shared" si="17"/>
        <v>3985200:Var_ui_ErrNo:=526;</v>
      </c>
    </row>
    <row r="528" spans="1:20">
      <c r="A528" s="190">
        <v>527</v>
      </c>
      <c r="B528" s="40">
        <v>155</v>
      </c>
      <c r="C528" s="40">
        <v>173</v>
      </c>
      <c r="F528" s="40"/>
      <c r="G528" s="40"/>
      <c r="H528" s="40" t="s">
        <v>3956</v>
      </c>
      <c r="I528" s="40" t="s">
        <v>3826</v>
      </c>
      <c r="J528" s="40" t="s">
        <v>3967</v>
      </c>
      <c r="K528" s="40" t="s">
        <v>3968</v>
      </c>
      <c r="L528" s="190">
        <v>39853</v>
      </c>
      <c r="M528" s="190">
        <v>0</v>
      </c>
      <c r="N528" s="40" t="s">
        <v>3959</v>
      </c>
      <c r="O528" s="41" t="str">
        <f t="shared" si="16"/>
        <v>EBS1_39853_0</v>
      </c>
      <c r="P528" s="41" t="s">
        <v>3969</v>
      </c>
      <c r="R528" s="41">
        <v>527</v>
      </c>
      <c r="T528" s="41" t="str">
        <f t="shared" si="17"/>
        <v>3985300:Var_ui_ErrNo:=527;</v>
      </c>
    </row>
    <row r="529" spans="1:20">
      <c r="A529" s="190">
        <v>528</v>
      </c>
      <c r="B529" s="40">
        <v>155</v>
      </c>
      <c r="C529" s="40">
        <v>174</v>
      </c>
      <c r="F529" s="40"/>
      <c r="G529" s="40"/>
      <c r="H529" s="40" t="s">
        <v>3956</v>
      </c>
      <c r="I529" s="40" t="s">
        <v>3826</v>
      </c>
      <c r="J529" s="40" t="s">
        <v>3970</v>
      </c>
      <c r="K529" s="40" t="s">
        <v>3971</v>
      </c>
      <c r="L529" s="190">
        <v>39854</v>
      </c>
      <c r="M529" s="190">
        <v>0</v>
      </c>
      <c r="N529" s="40" t="s">
        <v>3959</v>
      </c>
      <c r="O529" s="41" t="str">
        <f t="shared" si="16"/>
        <v>EBS1_39854_0</v>
      </c>
      <c r="P529" s="41" t="s">
        <v>3972</v>
      </c>
      <c r="R529" s="41">
        <v>528</v>
      </c>
      <c r="T529" s="41" t="str">
        <f t="shared" si="17"/>
        <v>3985400:Var_ui_ErrNo:=528;</v>
      </c>
    </row>
    <row r="530" spans="1:20">
      <c r="A530" s="190">
        <v>529</v>
      </c>
      <c r="B530" s="40">
        <v>155</v>
      </c>
      <c r="C530" s="40">
        <v>175</v>
      </c>
      <c r="F530" s="40"/>
      <c r="G530" s="40"/>
      <c r="H530" s="40" t="s">
        <v>3956</v>
      </c>
      <c r="I530" s="40" t="s">
        <v>3826</v>
      </c>
      <c r="J530" s="40" t="s">
        <v>3973</v>
      </c>
      <c r="K530" s="40" t="s">
        <v>3974</v>
      </c>
      <c r="L530" s="190">
        <v>39855</v>
      </c>
      <c r="M530" s="190">
        <v>0</v>
      </c>
      <c r="N530" s="40" t="s">
        <v>3959</v>
      </c>
      <c r="O530" s="41" t="str">
        <f t="shared" si="16"/>
        <v>EBS1_39855_0</v>
      </c>
      <c r="P530" s="41" t="s">
        <v>3975</v>
      </c>
      <c r="R530" s="41">
        <v>529</v>
      </c>
      <c r="T530" s="41" t="str">
        <f t="shared" si="17"/>
        <v>3985500:Var_ui_ErrNo:=529;</v>
      </c>
    </row>
    <row r="531" spans="1:20">
      <c r="A531" s="190">
        <v>530</v>
      </c>
      <c r="B531" s="40">
        <v>155</v>
      </c>
      <c r="C531" s="40">
        <v>176</v>
      </c>
      <c r="F531" s="40"/>
      <c r="G531" s="40"/>
      <c r="H531" s="40" t="s">
        <v>3956</v>
      </c>
      <c r="I531" s="40" t="s">
        <v>3826</v>
      </c>
      <c r="J531" s="40" t="s">
        <v>3976</v>
      </c>
      <c r="K531" s="40" t="s">
        <v>3977</v>
      </c>
      <c r="L531" s="190">
        <v>39856</v>
      </c>
      <c r="M531" s="190">
        <v>0</v>
      </c>
      <c r="N531" s="40" t="s">
        <v>3959</v>
      </c>
      <c r="O531" s="41" t="str">
        <f t="shared" si="16"/>
        <v>EBS1_39856_0</v>
      </c>
      <c r="P531" s="41" t="s">
        <v>3978</v>
      </c>
      <c r="R531" s="41">
        <v>530</v>
      </c>
      <c r="T531" s="41" t="str">
        <f t="shared" si="17"/>
        <v>3985600:Var_ui_ErrNo:=530;</v>
      </c>
    </row>
    <row r="532" spans="1:20">
      <c r="A532" s="190">
        <v>531</v>
      </c>
      <c r="B532" s="40">
        <v>155</v>
      </c>
      <c r="C532" s="40">
        <v>177</v>
      </c>
      <c r="F532" s="40"/>
      <c r="G532" s="40"/>
      <c r="H532" s="40" t="s">
        <v>3956</v>
      </c>
      <c r="I532" s="40" t="s">
        <v>3826</v>
      </c>
      <c r="J532" s="40" t="s">
        <v>3979</v>
      </c>
      <c r="K532" s="40" t="s">
        <v>3980</v>
      </c>
      <c r="L532" s="190">
        <v>39857</v>
      </c>
      <c r="M532" s="190">
        <v>0</v>
      </c>
      <c r="N532" s="40" t="s">
        <v>3959</v>
      </c>
      <c r="O532" s="41" t="str">
        <f t="shared" si="16"/>
        <v>EBS1_39857_0</v>
      </c>
      <c r="P532" s="41" t="s">
        <v>3981</v>
      </c>
      <c r="R532" s="41">
        <v>531</v>
      </c>
      <c r="T532" s="41" t="str">
        <f t="shared" si="17"/>
        <v>3985700:Var_ui_ErrNo:=531;</v>
      </c>
    </row>
    <row r="533" spans="1:20">
      <c r="A533" s="190">
        <v>532</v>
      </c>
      <c r="B533" s="40">
        <v>160</v>
      </c>
      <c r="C533" s="40">
        <v>22</v>
      </c>
      <c r="F533" s="40"/>
      <c r="G533" s="40"/>
      <c r="H533" s="40" t="s">
        <v>3982</v>
      </c>
      <c r="I533" s="40" t="s">
        <v>3014</v>
      </c>
      <c r="J533" s="40" t="s">
        <v>3983</v>
      </c>
      <c r="K533" s="40" t="s">
        <v>3984</v>
      </c>
      <c r="L533" s="190">
        <v>40982</v>
      </c>
      <c r="M533" s="190">
        <v>0</v>
      </c>
      <c r="N533" s="40" t="s">
        <v>3985</v>
      </c>
      <c r="O533" s="41" t="str">
        <f t="shared" si="16"/>
        <v>EBS1_40982_0</v>
      </c>
      <c r="P533" s="41" t="s">
        <v>3986</v>
      </c>
      <c r="R533" s="41">
        <v>532</v>
      </c>
      <c r="T533" s="41" t="str">
        <f t="shared" si="17"/>
        <v>4098200:Var_ui_ErrNo:=532;</v>
      </c>
    </row>
    <row r="534" spans="1:20">
      <c r="A534" s="190">
        <v>533</v>
      </c>
      <c r="B534" s="40">
        <v>161</v>
      </c>
      <c r="C534" s="40">
        <v>22</v>
      </c>
      <c r="F534" s="40"/>
      <c r="G534" s="40"/>
      <c r="H534" s="40" t="s">
        <v>3987</v>
      </c>
      <c r="I534" s="40" t="s">
        <v>3014</v>
      </c>
      <c r="J534" s="40" t="s">
        <v>3988</v>
      </c>
      <c r="K534" s="40" t="s">
        <v>3989</v>
      </c>
      <c r="L534" s="190">
        <v>41238</v>
      </c>
      <c r="M534" s="190">
        <v>0</v>
      </c>
      <c r="N534" s="40" t="s">
        <v>3990</v>
      </c>
      <c r="O534" s="41" t="str">
        <f t="shared" si="16"/>
        <v>EBS1_41238_0</v>
      </c>
      <c r="P534" s="41" t="s">
        <v>3991</v>
      </c>
      <c r="R534" s="41">
        <v>533</v>
      </c>
      <c r="T534" s="41" t="str">
        <f t="shared" si="17"/>
        <v>4123800:Var_ui_ErrNo:=533;</v>
      </c>
    </row>
    <row r="535" spans="1:20">
      <c r="A535" s="190">
        <v>534</v>
      </c>
      <c r="B535" s="40">
        <v>162</v>
      </c>
      <c r="C535" s="40">
        <v>22</v>
      </c>
      <c r="F535" s="40"/>
      <c r="G535" s="40"/>
      <c r="H535" s="40" t="s">
        <v>3992</v>
      </c>
      <c r="I535" s="40" t="s">
        <v>3014</v>
      </c>
      <c r="J535" s="40" t="s">
        <v>3993</v>
      </c>
      <c r="K535" s="40" t="s">
        <v>3994</v>
      </c>
      <c r="L535" s="190">
        <v>41494</v>
      </c>
      <c r="M535" s="190">
        <v>0</v>
      </c>
      <c r="N535" s="40" t="s">
        <v>3995</v>
      </c>
      <c r="O535" s="41" t="str">
        <f t="shared" si="16"/>
        <v>EBS1_41494_0</v>
      </c>
      <c r="P535" s="41" t="s">
        <v>3996</v>
      </c>
      <c r="R535" s="41">
        <v>534</v>
      </c>
      <c r="T535" s="41" t="str">
        <f t="shared" si="17"/>
        <v>4149400:Var_ui_ErrNo:=534;</v>
      </c>
    </row>
    <row r="536" spans="1:20">
      <c r="A536" s="190">
        <v>535</v>
      </c>
      <c r="B536" s="40">
        <v>163</v>
      </c>
      <c r="C536" s="40">
        <v>22</v>
      </c>
      <c r="F536" s="40"/>
      <c r="G536" s="40"/>
      <c r="H536" s="40" t="s">
        <v>3997</v>
      </c>
      <c r="I536" s="40" t="s">
        <v>3014</v>
      </c>
      <c r="J536" s="40" t="s">
        <v>3998</v>
      </c>
      <c r="K536" s="40" t="s">
        <v>3999</v>
      </c>
      <c r="L536" s="190">
        <v>41750</v>
      </c>
      <c r="M536" s="190">
        <v>0</v>
      </c>
      <c r="N536" s="40" t="s">
        <v>4000</v>
      </c>
      <c r="O536" s="41" t="str">
        <f t="shared" si="16"/>
        <v>EBS1_41750_0</v>
      </c>
      <c r="P536" s="41" t="s">
        <v>4001</v>
      </c>
      <c r="R536" s="41">
        <v>535</v>
      </c>
      <c r="T536" s="41" t="str">
        <f t="shared" si="17"/>
        <v>4175000:Var_ui_ErrNo:=535;</v>
      </c>
    </row>
    <row r="537" spans="1:20">
      <c r="A537" s="190">
        <v>536</v>
      </c>
      <c r="B537" s="40">
        <v>164</v>
      </c>
      <c r="C537" s="40">
        <v>22</v>
      </c>
      <c r="F537" s="40"/>
      <c r="G537" s="40"/>
      <c r="H537" s="40" t="s">
        <v>4002</v>
      </c>
      <c r="I537" s="40" t="s">
        <v>3014</v>
      </c>
      <c r="J537" s="40" t="s">
        <v>4003</v>
      </c>
      <c r="K537" s="40" t="s">
        <v>4004</v>
      </c>
      <c r="L537" s="190">
        <v>42006</v>
      </c>
      <c r="M537" s="190">
        <v>0</v>
      </c>
      <c r="N537" s="40" t="s">
        <v>4005</v>
      </c>
      <c r="O537" s="41" t="str">
        <f t="shared" si="16"/>
        <v>EBS1_42006_0</v>
      </c>
      <c r="P537" s="41" t="s">
        <v>4006</v>
      </c>
      <c r="R537" s="41">
        <v>536</v>
      </c>
      <c r="T537" s="41" t="str">
        <f t="shared" si="17"/>
        <v>4200600:Var_ui_ErrNo:=536;</v>
      </c>
    </row>
    <row r="538" spans="1:20">
      <c r="A538" s="190">
        <v>537</v>
      </c>
      <c r="B538" s="40">
        <v>165</v>
      </c>
      <c r="C538" s="40">
        <v>22</v>
      </c>
      <c r="F538" s="40"/>
      <c r="G538" s="40"/>
      <c r="H538" s="40" t="s">
        <v>4007</v>
      </c>
      <c r="I538" s="40" t="s">
        <v>3014</v>
      </c>
      <c r="J538" s="40" t="s">
        <v>4008</v>
      </c>
      <c r="K538" s="40" t="s">
        <v>4009</v>
      </c>
      <c r="L538" s="190">
        <v>42262</v>
      </c>
      <c r="M538" s="190">
        <v>0</v>
      </c>
      <c r="N538" s="40" t="s">
        <v>4010</v>
      </c>
      <c r="O538" s="41" t="str">
        <f t="shared" si="16"/>
        <v>EBS1_42262_0</v>
      </c>
      <c r="P538" s="41" t="s">
        <v>4011</v>
      </c>
      <c r="R538" s="41">
        <v>537</v>
      </c>
      <c r="T538" s="41" t="str">
        <f t="shared" si="17"/>
        <v>4226200:Var_ui_ErrNo:=537;</v>
      </c>
    </row>
    <row r="539" spans="1:20">
      <c r="A539" s="190">
        <v>538</v>
      </c>
      <c r="B539" s="40">
        <v>160</v>
      </c>
      <c r="C539" s="40">
        <v>30</v>
      </c>
      <c r="F539" s="40"/>
      <c r="G539" s="40"/>
      <c r="H539" s="40" t="s">
        <v>4012</v>
      </c>
      <c r="I539" s="40" t="s">
        <v>3014</v>
      </c>
      <c r="J539" s="40" t="s">
        <v>4013</v>
      </c>
      <c r="K539" s="40" t="s">
        <v>4014</v>
      </c>
      <c r="L539" s="190">
        <v>40990</v>
      </c>
      <c r="M539" s="190">
        <v>0</v>
      </c>
      <c r="N539" s="40" t="s">
        <v>4015</v>
      </c>
      <c r="O539" s="41" t="str">
        <f t="shared" si="16"/>
        <v>EBS1_40990_0</v>
      </c>
      <c r="P539" s="41" t="s">
        <v>4016</v>
      </c>
      <c r="R539" s="41">
        <v>538</v>
      </c>
      <c r="T539" s="41" t="str">
        <f t="shared" si="17"/>
        <v>4099000:Var_ui_ErrNo:=538;</v>
      </c>
    </row>
    <row r="540" spans="1:20">
      <c r="A540" s="190">
        <v>539</v>
      </c>
      <c r="B540" s="40">
        <v>161</v>
      </c>
      <c r="C540" s="40">
        <v>30</v>
      </c>
      <c r="F540" s="40"/>
      <c r="G540" s="40"/>
      <c r="H540" s="40" t="s">
        <v>4017</v>
      </c>
      <c r="I540" s="40" t="s">
        <v>3014</v>
      </c>
      <c r="J540" s="40" t="s">
        <v>4018</v>
      </c>
      <c r="K540" s="40" t="s">
        <v>4019</v>
      </c>
      <c r="L540" s="190">
        <v>41246</v>
      </c>
      <c r="M540" s="190">
        <v>0</v>
      </c>
      <c r="N540" s="40" t="s">
        <v>4020</v>
      </c>
      <c r="O540" s="41" t="str">
        <f t="shared" si="16"/>
        <v>EBS1_41246_0</v>
      </c>
      <c r="P540" s="41" t="s">
        <v>4021</v>
      </c>
      <c r="R540" s="41">
        <v>539</v>
      </c>
      <c r="T540" s="41" t="str">
        <f t="shared" si="17"/>
        <v>4124600:Var_ui_ErrNo:=539;</v>
      </c>
    </row>
    <row r="541" spans="1:20">
      <c r="A541" s="190">
        <v>540</v>
      </c>
      <c r="B541" s="40">
        <v>162</v>
      </c>
      <c r="C541" s="40">
        <v>30</v>
      </c>
      <c r="F541" s="40"/>
      <c r="G541" s="40"/>
      <c r="H541" s="40" t="s">
        <v>4022</v>
      </c>
      <c r="I541" s="40" t="s">
        <v>3014</v>
      </c>
      <c r="J541" s="40" t="s">
        <v>4023</v>
      </c>
      <c r="K541" s="40" t="s">
        <v>4024</v>
      </c>
      <c r="L541" s="190">
        <v>41502</v>
      </c>
      <c r="M541" s="190">
        <v>0</v>
      </c>
      <c r="N541" s="40" t="s">
        <v>4025</v>
      </c>
      <c r="O541" s="41" t="str">
        <f t="shared" si="16"/>
        <v>EBS1_41502_0</v>
      </c>
      <c r="P541" s="41" t="s">
        <v>4026</v>
      </c>
      <c r="R541" s="41">
        <v>540</v>
      </c>
      <c r="T541" s="41" t="str">
        <f t="shared" si="17"/>
        <v>4150200:Var_ui_ErrNo:=540;</v>
      </c>
    </row>
    <row r="542" spans="1:20">
      <c r="A542" s="190">
        <v>541</v>
      </c>
      <c r="B542" s="40">
        <v>163</v>
      </c>
      <c r="C542" s="40">
        <v>30</v>
      </c>
      <c r="F542" s="40"/>
      <c r="G542" s="40"/>
      <c r="H542" s="40" t="s">
        <v>4027</v>
      </c>
      <c r="I542" s="40" t="s">
        <v>3014</v>
      </c>
      <c r="J542" s="40" t="s">
        <v>4028</v>
      </c>
      <c r="K542" s="40" t="s">
        <v>4029</v>
      </c>
      <c r="L542" s="190">
        <v>41758</v>
      </c>
      <c r="M542" s="190">
        <v>0</v>
      </c>
      <c r="N542" s="40" t="s">
        <v>4030</v>
      </c>
      <c r="O542" s="41" t="str">
        <f t="shared" si="16"/>
        <v>EBS1_41758_0</v>
      </c>
      <c r="P542" s="41" t="s">
        <v>4031</v>
      </c>
      <c r="R542" s="41">
        <v>541</v>
      </c>
      <c r="T542" s="41" t="str">
        <f t="shared" si="17"/>
        <v>4175800:Var_ui_ErrNo:=541;</v>
      </c>
    </row>
    <row r="543" spans="1:20">
      <c r="A543" s="190">
        <v>542</v>
      </c>
      <c r="B543" s="40">
        <v>164</v>
      </c>
      <c r="C543" s="40">
        <v>30</v>
      </c>
      <c r="F543" s="40"/>
      <c r="G543" s="40"/>
      <c r="H543" s="40" t="s">
        <v>4032</v>
      </c>
      <c r="I543" s="40" t="s">
        <v>3014</v>
      </c>
      <c r="J543" s="40" t="s">
        <v>4033</v>
      </c>
      <c r="K543" s="40" t="s">
        <v>4034</v>
      </c>
      <c r="L543" s="190">
        <v>42014</v>
      </c>
      <c r="M543" s="190">
        <v>0</v>
      </c>
      <c r="N543" s="40" t="s">
        <v>4035</v>
      </c>
      <c r="O543" s="41" t="str">
        <f t="shared" si="16"/>
        <v>EBS1_42014_0</v>
      </c>
      <c r="P543" s="41" t="s">
        <v>4036</v>
      </c>
      <c r="R543" s="41">
        <v>542</v>
      </c>
      <c r="T543" s="41" t="str">
        <f t="shared" si="17"/>
        <v>4201400:Var_ui_ErrNo:=542;</v>
      </c>
    </row>
    <row r="544" spans="1:20">
      <c r="A544" s="190">
        <v>543</v>
      </c>
      <c r="B544" s="40">
        <v>165</v>
      </c>
      <c r="C544" s="40">
        <v>30</v>
      </c>
      <c r="F544" s="40"/>
      <c r="G544" s="40"/>
      <c r="H544" s="40" t="s">
        <v>4037</v>
      </c>
      <c r="I544" s="40" t="s">
        <v>3014</v>
      </c>
      <c r="J544" s="40" t="s">
        <v>4038</v>
      </c>
      <c r="K544" s="40" t="s">
        <v>4039</v>
      </c>
      <c r="L544" s="190">
        <v>42270</v>
      </c>
      <c r="M544" s="190">
        <v>0</v>
      </c>
      <c r="N544" s="40" t="s">
        <v>4040</v>
      </c>
      <c r="O544" s="41" t="str">
        <f t="shared" si="16"/>
        <v>EBS1_42270_0</v>
      </c>
      <c r="P544" s="41" t="s">
        <v>4041</v>
      </c>
      <c r="R544" s="41">
        <v>543</v>
      </c>
      <c r="T544" s="41" t="str">
        <f t="shared" si="17"/>
        <v>4227000:Var_ui_ErrNo:=543;</v>
      </c>
    </row>
    <row r="545" spans="1:20">
      <c r="A545" s="190">
        <v>544</v>
      </c>
      <c r="B545" s="40">
        <v>160</v>
      </c>
      <c r="C545" s="40">
        <v>32</v>
      </c>
      <c r="F545" s="40"/>
      <c r="G545" s="40"/>
      <c r="H545" s="40" t="s">
        <v>4042</v>
      </c>
      <c r="I545" s="40" t="s">
        <v>3014</v>
      </c>
      <c r="J545" s="40" t="s">
        <v>4043</v>
      </c>
      <c r="K545" s="40" t="s">
        <v>4044</v>
      </c>
      <c r="L545" s="190">
        <v>40992</v>
      </c>
      <c r="M545" s="190">
        <v>0</v>
      </c>
      <c r="N545" s="40" t="s">
        <v>4045</v>
      </c>
      <c r="O545" s="41" t="str">
        <f t="shared" si="16"/>
        <v>EBS1_40992_0</v>
      </c>
      <c r="P545" s="41" t="s">
        <v>4046</v>
      </c>
      <c r="R545" s="41">
        <v>544</v>
      </c>
      <c r="T545" s="41" t="str">
        <f t="shared" si="17"/>
        <v>4099200:Var_ui_ErrNo:=544;</v>
      </c>
    </row>
    <row r="546" spans="1:20">
      <c r="A546" s="190">
        <v>545</v>
      </c>
      <c r="B546" s="40">
        <v>161</v>
      </c>
      <c r="C546" s="40">
        <v>32</v>
      </c>
      <c r="F546" s="40"/>
      <c r="G546" s="40"/>
      <c r="H546" s="40" t="s">
        <v>4047</v>
      </c>
      <c r="I546" s="40" t="s">
        <v>3014</v>
      </c>
      <c r="J546" s="40" t="s">
        <v>4048</v>
      </c>
      <c r="K546" s="40" t="s">
        <v>4049</v>
      </c>
      <c r="L546" s="190">
        <v>41248</v>
      </c>
      <c r="M546" s="190">
        <v>0</v>
      </c>
      <c r="N546" s="40" t="s">
        <v>4050</v>
      </c>
      <c r="O546" s="41" t="str">
        <f t="shared" si="16"/>
        <v>EBS1_41248_0</v>
      </c>
      <c r="P546" s="41" t="s">
        <v>4051</v>
      </c>
      <c r="R546" s="41">
        <v>545</v>
      </c>
      <c r="T546" s="41" t="str">
        <f t="shared" si="17"/>
        <v>4124800:Var_ui_ErrNo:=545;</v>
      </c>
    </row>
    <row r="547" spans="1:20">
      <c r="A547" s="190">
        <v>546</v>
      </c>
      <c r="B547" s="40">
        <v>162</v>
      </c>
      <c r="C547" s="40">
        <v>32</v>
      </c>
      <c r="F547" s="40"/>
      <c r="G547" s="40"/>
      <c r="H547" s="40" t="s">
        <v>4052</v>
      </c>
      <c r="I547" s="40" t="s">
        <v>3014</v>
      </c>
      <c r="J547" s="40" t="s">
        <v>4053</v>
      </c>
      <c r="K547" s="40" t="s">
        <v>4054</v>
      </c>
      <c r="L547" s="190">
        <v>41504</v>
      </c>
      <c r="M547" s="190">
        <v>0</v>
      </c>
      <c r="N547" s="40" t="s">
        <v>4055</v>
      </c>
      <c r="O547" s="41" t="str">
        <f t="shared" si="16"/>
        <v>EBS1_41504_0</v>
      </c>
      <c r="P547" s="41" t="s">
        <v>4056</v>
      </c>
      <c r="R547" s="41">
        <v>546</v>
      </c>
      <c r="T547" s="41" t="str">
        <f t="shared" si="17"/>
        <v>4150400:Var_ui_ErrNo:=546;</v>
      </c>
    </row>
    <row r="548" spans="1:20">
      <c r="A548" s="190">
        <v>547</v>
      </c>
      <c r="B548" s="40">
        <v>163</v>
      </c>
      <c r="C548" s="40">
        <v>32</v>
      </c>
      <c r="F548" s="40"/>
      <c r="G548" s="40"/>
      <c r="H548" s="40" t="s">
        <v>4057</v>
      </c>
      <c r="I548" s="40" t="s">
        <v>3014</v>
      </c>
      <c r="J548" s="40" t="s">
        <v>4058</v>
      </c>
      <c r="K548" s="40" t="s">
        <v>4059</v>
      </c>
      <c r="L548" s="190">
        <v>41760</v>
      </c>
      <c r="M548" s="190">
        <v>0</v>
      </c>
      <c r="N548" s="40" t="s">
        <v>4060</v>
      </c>
      <c r="O548" s="41" t="str">
        <f t="shared" si="16"/>
        <v>EBS1_41760_0</v>
      </c>
      <c r="P548" s="41" t="s">
        <v>4061</v>
      </c>
      <c r="R548" s="41">
        <v>547</v>
      </c>
      <c r="T548" s="41" t="str">
        <f t="shared" si="17"/>
        <v>4176000:Var_ui_ErrNo:=547;</v>
      </c>
    </row>
    <row r="549" spans="1:20">
      <c r="A549" s="190">
        <v>548</v>
      </c>
      <c r="B549" s="40">
        <v>164</v>
      </c>
      <c r="C549" s="40">
        <v>32</v>
      </c>
      <c r="F549" s="40"/>
      <c r="G549" s="40"/>
      <c r="H549" s="40" t="s">
        <v>4062</v>
      </c>
      <c r="I549" s="40" t="s">
        <v>3014</v>
      </c>
      <c r="J549" s="40" t="s">
        <v>4063</v>
      </c>
      <c r="K549" s="40" t="s">
        <v>4064</v>
      </c>
      <c r="L549" s="190">
        <v>42016</v>
      </c>
      <c r="M549" s="190">
        <v>0</v>
      </c>
      <c r="N549" s="40" t="s">
        <v>4065</v>
      </c>
      <c r="O549" s="41" t="str">
        <f t="shared" si="16"/>
        <v>EBS1_42016_0</v>
      </c>
      <c r="P549" s="41" t="s">
        <v>4066</v>
      </c>
      <c r="R549" s="41">
        <v>548</v>
      </c>
      <c r="T549" s="41" t="str">
        <f t="shared" si="17"/>
        <v>4201600:Var_ui_ErrNo:=548;</v>
      </c>
    </row>
    <row r="550" spans="1:20">
      <c r="A550" s="190">
        <v>549</v>
      </c>
      <c r="B550" s="40">
        <v>165</v>
      </c>
      <c r="C550" s="40">
        <v>32</v>
      </c>
      <c r="F550" s="40"/>
      <c r="G550" s="40"/>
      <c r="H550" s="40" t="s">
        <v>4067</v>
      </c>
      <c r="I550" s="40" t="s">
        <v>3014</v>
      </c>
      <c r="J550" s="40" t="s">
        <v>4068</v>
      </c>
      <c r="K550" s="40" t="s">
        <v>4069</v>
      </c>
      <c r="L550" s="190">
        <v>42272</v>
      </c>
      <c r="M550" s="190">
        <v>0</v>
      </c>
      <c r="N550" s="40" t="s">
        <v>4070</v>
      </c>
      <c r="O550" s="41" t="str">
        <f t="shared" si="16"/>
        <v>EBS1_42272_0</v>
      </c>
      <c r="P550" s="41" t="s">
        <v>4071</v>
      </c>
      <c r="R550" s="41">
        <v>549</v>
      </c>
      <c r="T550" s="41" t="str">
        <f t="shared" si="17"/>
        <v>4227200:Var_ui_ErrNo:=549;</v>
      </c>
    </row>
    <row r="551" spans="1:20">
      <c r="A551" s="190">
        <v>550</v>
      </c>
      <c r="B551" s="40">
        <v>160</v>
      </c>
      <c r="C551" s="40">
        <v>33</v>
      </c>
      <c r="F551" s="40"/>
      <c r="G551" s="40"/>
      <c r="H551" s="40" t="s">
        <v>4072</v>
      </c>
      <c r="I551" s="40" t="s">
        <v>3014</v>
      </c>
      <c r="J551" s="40" t="s">
        <v>4073</v>
      </c>
      <c r="K551" s="40" t="s">
        <v>4074</v>
      </c>
      <c r="L551" s="190">
        <v>40993</v>
      </c>
      <c r="M551" s="190">
        <v>0</v>
      </c>
      <c r="N551" s="40" t="s">
        <v>4075</v>
      </c>
      <c r="O551" s="41" t="str">
        <f t="shared" si="16"/>
        <v>EBS1_40993_0</v>
      </c>
      <c r="P551" s="41" t="s">
        <v>4076</v>
      </c>
      <c r="R551" s="41">
        <v>550</v>
      </c>
      <c r="T551" s="41" t="str">
        <f t="shared" si="17"/>
        <v>4099300:Var_ui_ErrNo:=550;</v>
      </c>
    </row>
    <row r="552" spans="1:20">
      <c r="A552" s="190">
        <v>551</v>
      </c>
      <c r="B552" s="40">
        <v>161</v>
      </c>
      <c r="C552" s="40">
        <v>33</v>
      </c>
      <c r="F552" s="40"/>
      <c r="G552" s="40"/>
      <c r="H552" s="40" t="s">
        <v>4077</v>
      </c>
      <c r="I552" s="40" t="s">
        <v>3014</v>
      </c>
      <c r="J552" s="40" t="s">
        <v>4078</v>
      </c>
      <c r="K552" s="40" t="s">
        <v>4079</v>
      </c>
      <c r="L552" s="190">
        <v>41249</v>
      </c>
      <c r="M552" s="190">
        <v>0</v>
      </c>
      <c r="N552" s="40" t="s">
        <v>4080</v>
      </c>
      <c r="O552" s="41" t="str">
        <f t="shared" si="16"/>
        <v>EBS1_41249_0</v>
      </c>
      <c r="P552" s="41" t="s">
        <v>4081</v>
      </c>
      <c r="R552" s="41">
        <v>551</v>
      </c>
      <c r="T552" s="41" t="str">
        <f t="shared" si="17"/>
        <v>4124900:Var_ui_ErrNo:=551;</v>
      </c>
    </row>
    <row r="553" spans="1:20">
      <c r="A553" s="190">
        <v>552</v>
      </c>
      <c r="B553" s="40">
        <v>162</v>
      </c>
      <c r="C553" s="40">
        <v>33</v>
      </c>
      <c r="F553" s="40"/>
      <c r="G553" s="40"/>
      <c r="H553" s="40" t="s">
        <v>4082</v>
      </c>
      <c r="I553" s="40" t="s">
        <v>3014</v>
      </c>
      <c r="J553" s="40" t="s">
        <v>4083</v>
      </c>
      <c r="K553" s="40" t="s">
        <v>4084</v>
      </c>
      <c r="L553" s="190">
        <v>41505</v>
      </c>
      <c r="M553" s="190">
        <v>0</v>
      </c>
      <c r="N553" s="40" t="s">
        <v>4085</v>
      </c>
      <c r="O553" s="41" t="str">
        <f t="shared" si="16"/>
        <v>EBS1_41505_0</v>
      </c>
      <c r="P553" s="41" t="s">
        <v>4086</v>
      </c>
      <c r="R553" s="41">
        <v>552</v>
      </c>
      <c r="T553" s="41" t="str">
        <f t="shared" si="17"/>
        <v>4150500:Var_ui_ErrNo:=552;</v>
      </c>
    </row>
    <row r="554" spans="1:20">
      <c r="A554" s="190">
        <v>553</v>
      </c>
      <c r="B554" s="40">
        <v>163</v>
      </c>
      <c r="C554" s="40">
        <v>33</v>
      </c>
      <c r="F554" s="40"/>
      <c r="G554" s="40"/>
      <c r="H554" s="40" t="s">
        <v>4087</v>
      </c>
      <c r="I554" s="40" t="s">
        <v>3014</v>
      </c>
      <c r="J554" s="40" t="s">
        <v>4088</v>
      </c>
      <c r="K554" s="40" t="s">
        <v>4089</v>
      </c>
      <c r="L554" s="190">
        <v>41761</v>
      </c>
      <c r="M554" s="190">
        <v>0</v>
      </c>
      <c r="N554" s="40" t="s">
        <v>4090</v>
      </c>
      <c r="O554" s="41" t="str">
        <f t="shared" si="16"/>
        <v>EBS1_41761_0</v>
      </c>
      <c r="P554" s="41" t="s">
        <v>4091</v>
      </c>
      <c r="R554" s="41">
        <v>553</v>
      </c>
      <c r="T554" s="41" t="str">
        <f t="shared" si="17"/>
        <v>4176100:Var_ui_ErrNo:=553;</v>
      </c>
    </row>
    <row r="555" spans="1:20">
      <c r="A555" s="190">
        <v>554</v>
      </c>
      <c r="B555" s="40">
        <v>164</v>
      </c>
      <c r="C555" s="40">
        <v>33</v>
      </c>
      <c r="F555" s="40"/>
      <c r="G555" s="40"/>
      <c r="H555" s="40" t="s">
        <v>4092</v>
      </c>
      <c r="I555" s="40" t="s">
        <v>3014</v>
      </c>
      <c r="J555" s="40" t="s">
        <v>4093</v>
      </c>
      <c r="K555" s="40" t="s">
        <v>4094</v>
      </c>
      <c r="L555" s="190">
        <v>42017</v>
      </c>
      <c r="M555" s="190">
        <v>0</v>
      </c>
      <c r="N555" s="40" t="s">
        <v>4095</v>
      </c>
      <c r="O555" s="41" t="str">
        <f t="shared" si="16"/>
        <v>EBS1_42017_0</v>
      </c>
      <c r="P555" s="41" t="s">
        <v>4096</v>
      </c>
      <c r="R555" s="41">
        <v>554</v>
      </c>
      <c r="T555" s="41" t="str">
        <f t="shared" si="17"/>
        <v>4201700:Var_ui_ErrNo:=554;</v>
      </c>
    </row>
    <row r="556" spans="1:20">
      <c r="A556" s="190">
        <v>555</v>
      </c>
      <c r="B556" s="40">
        <v>165</v>
      </c>
      <c r="C556" s="40">
        <v>33</v>
      </c>
      <c r="F556" s="40"/>
      <c r="G556" s="40"/>
      <c r="H556" s="40" t="s">
        <v>4097</v>
      </c>
      <c r="I556" s="40" t="s">
        <v>3014</v>
      </c>
      <c r="J556" s="40" t="s">
        <v>4098</v>
      </c>
      <c r="K556" s="40" t="s">
        <v>4099</v>
      </c>
      <c r="L556" s="190">
        <v>42273</v>
      </c>
      <c r="M556" s="190">
        <v>0</v>
      </c>
      <c r="N556" s="40" t="s">
        <v>4100</v>
      </c>
      <c r="O556" s="41" t="str">
        <f t="shared" si="16"/>
        <v>EBS1_42273_0</v>
      </c>
      <c r="P556" s="41" t="s">
        <v>4101</v>
      </c>
      <c r="R556" s="41">
        <v>555</v>
      </c>
      <c r="T556" s="41" t="str">
        <f t="shared" si="17"/>
        <v>4227300:Var_ui_ErrNo:=555;</v>
      </c>
    </row>
    <row r="557" spans="1:20">
      <c r="A557" s="190">
        <v>556</v>
      </c>
      <c r="B557" s="40">
        <v>160</v>
      </c>
      <c r="C557" s="40">
        <v>43</v>
      </c>
      <c r="F557" s="40"/>
      <c r="G557" s="40"/>
      <c r="H557" s="40" t="s">
        <v>4102</v>
      </c>
      <c r="I557" s="40" t="s">
        <v>3014</v>
      </c>
      <c r="J557" s="40" t="s">
        <v>4103</v>
      </c>
      <c r="K557" s="40" t="s">
        <v>4104</v>
      </c>
      <c r="L557" s="190">
        <v>41003</v>
      </c>
      <c r="M557" s="190">
        <v>0</v>
      </c>
      <c r="N557" s="40" t="s">
        <v>4105</v>
      </c>
      <c r="O557" s="41" t="str">
        <f t="shared" si="16"/>
        <v>EBS1_41003_0</v>
      </c>
      <c r="P557" s="41" t="s">
        <v>4106</v>
      </c>
      <c r="R557" s="41">
        <v>556</v>
      </c>
      <c r="T557" s="41" t="str">
        <f t="shared" si="17"/>
        <v>4100300:Var_ui_ErrNo:=556;</v>
      </c>
    </row>
    <row r="558" spans="1:20">
      <c r="A558" s="190">
        <v>557</v>
      </c>
      <c r="B558" s="40">
        <v>161</v>
      </c>
      <c r="C558" s="40">
        <v>43</v>
      </c>
      <c r="F558" s="40"/>
      <c r="G558" s="40"/>
      <c r="H558" s="40" t="s">
        <v>4107</v>
      </c>
      <c r="I558" s="40" t="s">
        <v>3014</v>
      </c>
      <c r="J558" s="40" t="s">
        <v>4108</v>
      </c>
      <c r="K558" s="40" t="s">
        <v>4109</v>
      </c>
      <c r="L558" s="190">
        <v>41259</v>
      </c>
      <c r="M558" s="190">
        <v>0</v>
      </c>
      <c r="N558" s="40" t="s">
        <v>4110</v>
      </c>
      <c r="O558" s="41" t="str">
        <f t="shared" si="16"/>
        <v>EBS1_41259_0</v>
      </c>
      <c r="P558" s="41" t="s">
        <v>4111</v>
      </c>
      <c r="R558" s="41">
        <v>557</v>
      </c>
      <c r="T558" s="41" t="str">
        <f t="shared" si="17"/>
        <v>4125900:Var_ui_ErrNo:=557;</v>
      </c>
    </row>
    <row r="559" spans="1:20">
      <c r="A559" s="190">
        <v>558</v>
      </c>
      <c r="B559" s="40">
        <v>162</v>
      </c>
      <c r="C559" s="40">
        <v>43</v>
      </c>
      <c r="F559" s="40"/>
      <c r="G559" s="40"/>
      <c r="H559" s="40" t="s">
        <v>4112</v>
      </c>
      <c r="I559" s="40" t="s">
        <v>3014</v>
      </c>
      <c r="J559" s="40" t="s">
        <v>4113</v>
      </c>
      <c r="K559" s="40" t="s">
        <v>4114</v>
      </c>
      <c r="L559" s="190">
        <v>41515</v>
      </c>
      <c r="M559" s="190">
        <v>0</v>
      </c>
      <c r="N559" s="40" t="s">
        <v>4115</v>
      </c>
      <c r="O559" s="41" t="str">
        <f t="shared" si="16"/>
        <v>EBS1_41515_0</v>
      </c>
      <c r="P559" s="41" t="s">
        <v>4116</v>
      </c>
      <c r="R559" s="41">
        <v>558</v>
      </c>
      <c r="T559" s="41" t="str">
        <f t="shared" si="17"/>
        <v>4151500:Var_ui_ErrNo:=558;</v>
      </c>
    </row>
    <row r="560" spans="1:20">
      <c r="A560" s="190">
        <v>559</v>
      </c>
      <c r="B560" s="40">
        <v>163</v>
      </c>
      <c r="C560" s="40">
        <v>43</v>
      </c>
      <c r="F560" s="40"/>
      <c r="G560" s="40"/>
      <c r="H560" s="40" t="s">
        <v>4117</v>
      </c>
      <c r="I560" s="40" t="s">
        <v>3014</v>
      </c>
      <c r="J560" s="40" t="s">
        <v>4118</v>
      </c>
      <c r="K560" s="40" t="s">
        <v>4119</v>
      </c>
      <c r="L560" s="190">
        <v>41771</v>
      </c>
      <c r="M560" s="190">
        <v>0</v>
      </c>
      <c r="N560" s="40" t="s">
        <v>4120</v>
      </c>
      <c r="O560" s="41" t="str">
        <f t="shared" si="16"/>
        <v>EBS1_41771_0</v>
      </c>
      <c r="P560" s="41" t="s">
        <v>4121</v>
      </c>
      <c r="R560" s="41">
        <v>559</v>
      </c>
      <c r="T560" s="41" t="str">
        <f t="shared" si="17"/>
        <v>4177100:Var_ui_ErrNo:=559;</v>
      </c>
    </row>
    <row r="561" spans="1:20">
      <c r="A561" s="190">
        <v>560</v>
      </c>
      <c r="B561" s="40">
        <v>164</v>
      </c>
      <c r="C561" s="40">
        <v>43</v>
      </c>
      <c r="F561" s="40"/>
      <c r="G561" s="40"/>
      <c r="H561" s="40" t="s">
        <v>4122</v>
      </c>
      <c r="I561" s="40" t="s">
        <v>3014</v>
      </c>
      <c r="J561" s="40" t="s">
        <v>4123</v>
      </c>
      <c r="K561" s="40" t="s">
        <v>4124</v>
      </c>
      <c r="L561" s="190">
        <v>42027</v>
      </c>
      <c r="M561" s="190">
        <v>0</v>
      </c>
      <c r="N561" s="40" t="s">
        <v>4125</v>
      </c>
      <c r="O561" s="41" t="str">
        <f t="shared" si="16"/>
        <v>EBS1_42027_0</v>
      </c>
      <c r="P561" s="41" t="s">
        <v>4126</v>
      </c>
      <c r="R561" s="41">
        <v>560</v>
      </c>
      <c r="T561" s="41" t="str">
        <f t="shared" si="17"/>
        <v>4202700:Var_ui_ErrNo:=560;</v>
      </c>
    </row>
    <row r="562" spans="1:20">
      <c r="A562" s="190">
        <v>561</v>
      </c>
      <c r="B562" s="40">
        <v>165</v>
      </c>
      <c r="C562" s="40">
        <v>43</v>
      </c>
      <c r="F562" s="40"/>
      <c r="G562" s="40"/>
      <c r="H562" s="40" t="s">
        <v>4127</v>
      </c>
      <c r="I562" s="40" t="s">
        <v>3014</v>
      </c>
      <c r="J562" s="40" t="s">
        <v>4128</v>
      </c>
      <c r="K562" s="40" t="s">
        <v>4129</v>
      </c>
      <c r="L562" s="190">
        <v>42283</v>
      </c>
      <c r="M562" s="190">
        <v>0</v>
      </c>
      <c r="N562" s="40" t="s">
        <v>4130</v>
      </c>
      <c r="O562" s="41" t="str">
        <f t="shared" si="16"/>
        <v>EBS1_42283_0</v>
      </c>
      <c r="P562" s="41" t="s">
        <v>4131</v>
      </c>
      <c r="R562" s="41">
        <v>561</v>
      </c>
      <c r="T562" s="41" t="str">
        <f t="shared" si="17"/>
        <v>4228300:Var_ui_ErrNo:=561;</v>
      </c>
    </row>
    <row r="563" spans="1:20">
      <c r="A563" s="190">
        <v>562</v>
      </c>
      <c r="B563" s="40">
        <v>160</v>
      </c>
      <c r="C563" s="40">
        <v>44</v>
      </c>
      <c r="F563" s="40"/>
      <c r="G563" s="40"/>
      <c r="H563" s="40" t="s">
        <v>4132</v>
      </c>
      <c r="I563" s="40" t="s">
        <v>3014</v>
      </c>
      <c r="J563" s="40" t="s">
        <v>4133</v>
      </c>
      <c r="K563" s="40" t="s">
        <v>4134</v>
      </c>
      <c r="L563" s="190">
        <v>41004</v>
      </c>
      <c r="M563" s="190">
        <v>0</v>
      </c>
      <c r="N563" s="40" t="s">
        <v>4105</v>
      </c>
      <c r="O563" s="41" t="str">
        <f t="shared" si="16"/>
        <v>EBS1_41004_0</v>
      </c>
      <c r="P563" s="41" t="s">
        <v>4135</v>
      </c>
      <c r="R563" s="41">
        <v>562</v>
      </c>
      <c r="T563" s="41" t="str">
        <f t="shared" si="17"/>
        <v>4100400:Var_ui_ErrNo:=562;</v>
      </c>
    </row>
    <row r="564" spans="1:20">
      <c r="A564" s="190">
        <v>563</v>
      </c>
      <c r="B564" s="40">
        <v>161</v>
      </c>
      <c r="C564" s="40">
        <v>44</v>
      </c>
      <c r="F564" s="40"/>
      <c r="G564" s="40"/>
      <c r="H564" s="40" t="s">
        <v>4136</v>
      </c>
      <c r="I564" s="40" t="s">
        <v>3014</v>
      </c>
      <c r="J564" s="40" t="s">
        <v>4137</v>
      </c>
      <c r="K564" s="40" t="s">
        <v>4138</v>
      </c>
      <c r="L564" s="190">
        <v>41260</v>
      </c>
      <c r="M564" s="190">
        <v>0</v>
      </c>
      <c r="N564" s="40" t="s">
        <v>4110</v>
      </c>
      <c r="O564" s="41" t="str">
        <f t="shared" si="16"/>
        <v>EBS1_41260_0</v>
      </c>
      <c r="P564" s="41" t="s">
        <v>4139</v>
      </c>
      <c r="R564" s="41">
        <v>563</v>
      </c>
      <c r="T564" s="41" t="str">
        <f t="shared" si="17"/>
        <v>4126000:Var_ui_ErrNo:=563;</v>
      </c>
    </row>
    <row r="565" spans="1:20">
      <c r="A565" s="190">
        <v>564</v>
      </c>
      <c r="B565" s="40">
        <v>162</v>
      </c>
      <c r="C565" s="40">
        <v>44</v>
      </c>
      <c r="F565" s="40"/>
      <c r="G565" s="40"/>
      <c r="H565" s="40" t="s">
        <v>4140</v>
      </c>
      <c r="I565" s="40" t="s">
        <v>3014</v>
      </c>
      <c r="J565" s="40" t="s">
        <v>4141</v>
      </c>
      <c r="K565" s="40" t="s">
        <v>4142</v>
      </c>
      <c r="L565" s="190">
        <v>41516</v>
      </c>
      <c r="M565" s="190">
        <v>0</v>
      </c>
      <c r="N565" s="40" t="s">
        <v>4115</v>
      </c>
      <c r="O565" s="41" t="str">
        <f t="shared" si="16"/>
        <v>EBS1_41516_0</v>
      </c>
      <c r="P565" s="41" t="s">
        <v>4143</v>
      </c>
      <c r="R565" s="41">
        <v>564</v>
      </c>
      <c r="T565" s="41" t="str">
        <f t="shared" si="17"/>
        <v>4151600:Var_ui_ErrNo:=564;</v>
      </c>
    </row>
    <row r="566" spans="1:20">
      <c r="A566" s="190">
        <v>565</v>
      </c>
      <c r="B566" s="40">
        <v>163</v>
      </c>
      <c r="C566" s="40">
        <v>44</v>
      </c>
      <c r="F566" s="40"/>
      <c r="G566" s="40"/>
      <c r="H566" s="40" t="s">
        <v>4144</v>
      </c>
      <c r="I566" s="40" t="s">
        <v>3014</v>
      </c>
      <c r="J566" s="40" t="s">
        <v>4145</v>
      </c>
      <c r="K566" s="40" t="s">
        <v>4146</v>
      </c>
      <c r="L566" s="190">
        <v>41772</v>
      </c>
      <c r="M566" s="190">
        <v>0</v>
      </c>
      <c r="N566" s="40" t="s">
        <v>4120</v>
      </c>
      <c r="O566" s="41" t="str">
        <f t="shared" si="16"/>
        <v>EBS1_41772_0</v>
      </c>
      <c r="P566" s="41" t="s">
        <v>4147</v>
      </c>
      <c r="R566" s="41">
        <v>565</v>
      </c>
      <c r="T566" s="41" t="str">
        <f t="shared" si="17"/>
        <v>4177200:Var_ui_ErrNo:=565;</v>
      </c>
    </row>
    <row r="567" spans="1:20">
      <c r="A567" s="190">
        <v>566</v>
      </c>
      <c r="B567" s="40">
        <v>164</v>
      </c>
      <c r="C567" s="40">
        <v>44</v>
      </c>
      <c r="F567" s="40"/>
      <c r="G567" s="40"/>
      <c r="H567" s="40" t="s">
        <v>4148</v>
      </c>
      <c r="I567" s="40" t="s">
        <v>3014</v>
      </c>
      <c r="J567" s="40" t="s">
        <v>4149</v>
      </c>
      <c r="K567" s="40" t="s">
        <v>4150</v>
      </c>
      <c r="L567" s="190">
        <v>42028</v>
      </c>
      <c r="M567" s="190">
        <v>0</v>
      </c>
      <c r="N567" s="40" t="s">
        <v>4125</v>
      </c>
      <c r="O567" s="41" t="str">
        <f t="shared" si="16"/>
        <v>EBS1_42028_0</v>
      </c>
      <c r="P567" s="41" t="s">
        <v>4151</v>
      </c>
      <c r="R567" s="41">
        <v>566</v>
      </c>
      <c r="T567" s="41" t="str">
        <f t="shared" si="17"/>
        <v>4202800:Var_ui_ErrNo:=566;</v>
      </c>
    </row>
    <row r="568" spans="1:20">
      <c r="A568" s="190">
        <v>567</v>
      </c>
      <c r="B568" s="40">
        <v>165</v>
      </c>
      <c r="C568" s="40">
        <v>44</v>
      </c>
      <c r="F568" s="40"/>
      <c r="G568" s="40"/>
      <c r="H568" s="40" t="s">
        <v>4152</v>
      </c>
      <c r="I568" s="40" t="s">
        <v>3014</v>
      </c>
      <c r="J568" s="40" t="s">
        <v>4153</v>
      </c>
      <c r="K568" s="40" t="s">
        <v>4154</v>
      </c>
      <c r="L568" s="190">
        <v>42284</v>
      </c>
      <c r="M568" s="190">
        <v>0</v>
      </c>
      <c r="N568" s="40" t="s">
        <v>4130</v>
      </c>
      <c r="O568" s="41" t="str">
        <f t="shared" si="16"/>
        <v>EBS1_42284_0</v>
      </c>
      <c r="P568" s="41" t="s">
        <v>4155</v>
      </c>
      <c r="R568" s="41">
        <v>567</v>
      </c>
      <c r="T568" s="41" t="str">
        <f t="shared" si="17"/>
        <v>4228400:Var_ui_ErrNo:=567;</v>
      </c>
    </row>
    <row r="569" spans="1:20">
      <c r="A569" s="190">
        <v>568</v>
      </c>
      <c r="B569" s="40">
        <v>170</v>
      </c>
      <c r="C569" s="40">
        <v>22</v>
      </c>
      <c r="F569" s="40"/>
      <c r="G569" s="40"/>
      <c r="H569" s="40" t="s">
        <v>4156</v>
      </c>
      <c r="I569" s="40" t="s">
        <v>4157</v>
      </c>
      <c r="J569" s="40" t="s">
        <v>4158</v>
      </c>
      <c r="K569" s="40" t="s">
        <v>4159</v>
      </c>
      <c r="L569" s="190">
        <v>43542</v>
      </c>
      <c r="M569" s="190">
        <v>0</v>
      </c>
      <c r="N569" s="40" t="s">
        <v>4160</v>
      </c>
      <c r="O569" s="41" t="str">
        <f t="shared" si="16"/>
        <v>EBS1_43542_0</v>
      </c>
      <c r="P569" s="41" t="s">
        <v>4161</v>
      </c>
      <c r="R569" s="41">
        <v>568</v>
      </c>
      <c r="T569" s="41" t="str">
        <f t="shared" si="17"/>
        <v>4354200:Var_ui_ErrNo:=568;</v>
      </c>
    </row>
    <row r="570" spans="1:20">
      <c r="A570" s="190">
        <v>569</v>
      </c>
      <c r="B570" s="40">
        <v>171</v>
      </c>
      <c r="C570" s="40">
        <v>22</v>
      </c>
      <c r="F570" s="40"/>
      <c r="G570" s="40"/>
      <c r="H570" s="40" t="s">
        <v>4162</v>
      </c>
      <c r="I570" s="40" t="s">
        <v>4157</v>
      </c>
      <c r="J570" s="40" t="s">
        <v>4163</v>
      </c>
      <c r="K570" s="40" t="s">
        <v>4164</v>
      </c>
      <c r="L570" s="190">
        <v>43798</v>
      </c>
      <c r="M570" s="190">
        <v>0</v>
      </c>
      <c r="N570" s="40" t="s">
        <v>4165</v>
      </c>
      <c r="O570" s="41" t="str">
        <f t="shared" si="16"/>
        <v>EBS1_43798_0</v>
      </c>
      <c r="P570" s="41" t="s">
        <v>4166</v>
      </c>
      <c r="R570" s="41">
        <v>569</v>
      </c>
      <c r="T570" s="41" t="str">
        <f t="shared" si="17"/>
        <v>4379800:Var_ui_ErrNo:=569;</v>
      </c>
    </row>
    <row r="571" spans="1:20">
      <c r="A571" s="190">
        <v>570</v>
      </c>
      <c r="B571" s="40">
        <v>172</v>
      </c>
      <c r="C571" s="40">
        <v>22</v>
      </c>
      <c r="F571" s="40"/>
      <c r="G571" s="40"/>
      <c r="H571" s="40" t="s">
        <v>4167</v>
      </c>
      <c r="I571" s="40" t="s">
        <v>4157</v>
      </c>
      <c r="J571" s="40" t="s">
        <v>4168</v>
      </c>
      <c r="K571" s="40" t="s">
        <v>4169</v>
      </c>
      <c r="L571" s="190">
        <v>44054</v>
      </c>
      <c r="M571" s="190">
        <v>0</v>
      </c>
      <c r="N571" s="40" t="s">
        <v>4170</v>
      </c>
      <c r="O571" s="41" t="str">
        <f t="shared" si="16"/>
        <v>EBS1_44054_0</v>
      </c>
      <c r="P571" s="41" t="s">
        <v>4171</v>
      </c>
      <c r="R571" s="41">
        <v>570</v>
      </c>
      <c r="T571" s="41" t="str">
        <f t="shared" si="17"/>
        <v>4405400:Var_ui_ErrNo:=570;</v>
      </c>
    </row>
    <row r="572" spans="1:20">
      <c r="A572" s="190">
        <v>571</v>
      </c>
      <c r="B572" s="40">
        <v>173</v>
      </c>
      <c r="C572" s="40">
        <v>22</v>
      </c>
      <c r="F572" s="40"/>
      <c r="G572" s="40"/>
      <c r="H572" s="40" t="s">
        <v>4172</v>
      </c>
      <c r="I572" s="40" t="s">
        <v>4157</v>
      </c>
      <c r="J572" s="40" t="s">
        <v>4173</v>
      </c>
      <c r="K572" s="40" t="s">
        <v>4174</v>
      </c>
      <c r="L572" s="190">
        <v>44310</v>
      </c>
      <c r="M572" s="190">
        <v>0</v>
      </c>
      <c r="N572" s="40" t="s">
        <v>4175</v>
      </c>
      <c r="O572" s="41" t="str">
        <f t="shared" si="16"/>
        <v>EBS1_44310_0</v>
      </c>
      <c r="P572" s="41" t="s">
        <v>4176</v>
      </c>
      <c r="R572" s="41">
        <v>571</v>
      </c>
      <c r="T572" s="41" t="str">
        <f t="shared" si="17"/>
        <v>4431000:Var_ui_ErrNo:=571;</v>
      </c>
    </row>
    <row r="573" spans="1:20">
      <c r="A573" s="190">
        <v>572</v>
      </c>
      <c r="B573" s="40">
        <v>174</v>
      </c>
      <c r="C573" s="40">
        <v>22</v>
      </c>
      <c r="F573" s="40"/>
      <c r="G573" s="40"/>
      <c r="H573" s="40" t="s">
        <v>4177</v>
      </c>
      <c r="I573" s="40" t="s">
        <v>4157</v>
      </c>
      <c r="J573" s="40" t="s">
        <v>4178</v>
      </c>
      <c r="K573" s="40" t="s">
        <v>4179</v>
      </c>
      <c r="L573" s="190">
        <v>44566</v>
      </c>
      <c r="M573" s="190">
        <v>0</v>
      </c>
      <c r="N573" s="40" t="s">
        <v>4180</v>
      </c>
      <c r="O573" s="41" t="str">
        <f t="shared" si="16"/>
        <v>EBS1_44566_0</v>
      </c>
      <c r="P573" s="41" t="s">
        <v>4181</v>
      </c>
      <c r="R573" s="41">
        <v>572</v>
      </c>
      <c r="T573" s="41" t="str">
        <f t="shared" si="17"/>
        <v>4456600:Var_ui_ErrNo:=572;</v>
      </c>
    </row>
    <row r="574" spans="1:20">
      <c r="A574" s="190">
        <v>573</v>
      </c>
      <c r="B574" s="40">
        <v>175</v>
      </c>
      <c r="C574" s="40">
        <v>22</v>
      </c>
      <c r="F574" s="40"/>
      <c r="G574" s="40"/>
      <c r="H574" s="40" t="s">
        <v>4182</v>
      </c>
      <c r="I574" s="40" t="s">
        <v>4157</v>
      </c>
      <c r="J574" s="40" t="s">
        <v>4183</v>
      </c>
      <c r="K574" s="40" t="s">
        <v>4184</v>
      </c>
      <c r="L574" s="190">
        <v>44822</v>
      </c>
      <c r="M574" s="190">
        <v>0</v>
      </c>
      <c r="N574" s="40" t="s">
        <v>4185</v>
      </c>
      <c r="O574" s="41" t="str">
        <f t="shared" si="16"/>
        <v>EBS1_44822_0</v>
      </c>
      <c r="P574" s="41" t="s">
        <v>4186</v>
      </c>
      <c r="R574" s="41">
        <v>573</v>
      </c>
      <c r="T574" s="41" t="str">
        <f t="shared" si="17"/>
        <v>4482200:Var_ui_ErrNo:=573;</v>
      </c>
    </row>
    <row r="575" spans="1:20">
      <c r="A575" s="190">
        <v>574</v>
      </c>
      <c r="B575" s="40">
        <v>170</v>
      </c>
      <c r="C575" s="40">
        <v>30</v>
      </c>
      <c r="F575" s="40"/>
      <c r="G575" s="40"/>
      <c r="H575" s="40" t="s">
        <v>4187</v>
      </c>
      <c r="I575" s="40" t="s">
        <v>3014</v>
      </c>
      <c r="J575" s="40" t="s">
        <v>4188</v>
      </c>
      <c r="K575" s="40" t="s">
        <v>4189</v>
      </c>
      <c r="L575" s="190">
        <v>43550</v>
      </c>
      <c r="M575" s="190">
        <v>0</v>
      </c>
      <c r="N575" s="40" t="s">
        <v>4190</v>
      </c>
      <c r="O575" s="41" t="str">
        <f t="shared" si="16"/>
        <v>EBS1_43550_0</v>
      </c>
      <c r="P575" s="41" t="s">
        <v>4191</v>
      </c>
      <c r="R575" s="41">
        <v>574</v>
      </c>
      <c r="T575" s="41" t="str">
        <f t="shared" si="17"/>
        <v>4355000:Var_ui_ErrNo:=574;</v>
      </c>
    </row>
    <row r="576" spans="1:20">
      <c r="A576" s="190">
        <v>575</v>
      </c>
      <c r="B576" s="40">
        <v>171</v>
      </c>
      <c r="C576" s="40">
        <v>30</v>
      </c>
      <c r="F576" s="40"/>
      <c r="G576" s="40"/>
      <c r="H576" s="40" t="s">
        <v>4192</v>
      </c>
      <c r="I576" s="40" t="s">
        <v>3014</v>
      </c>
      <c r="J576" s="40" t="s">
        <v>4193</v>
      </c>
      <c r="K576" s="40" t="s">
        <v>4194</v>
      </c>
      <c r="L576" s="190">
        <v>43806</v>
      </c>
      <c r="M576" s="190">
        <v>0</v>
      </c>
      <c r="N576" s="40" t="s">
        <v>4195</v>
      </c>
      <c r="O576" s="41" t="str">
        <f t="shared" si="16"/>
        <v>EBS1_43806_0</v>
      </c>
      <c r="P576" s="41" t="s">
        <v>4196</v>
      </c>
      <c r="R576" s="41">
        <v>575</v>
      </c>
      <c r="T576" s="41" t="str">
        <f t="shared" si="17"/>
        <v>4380600:Var_ui_ErrNo:=575;</v>
      </c>
    </row>
    <row r="577" spans="1:20">
      <c r="A577" s="190">
        <v>576</v>
      </c>
      <c r="B577" s="40">
        <v>172</v>
      </c>
      <c r="C577" s="40">
        <v>30</v>
      </c>
      <c r="F577" s="40"/>
      <c r="G577" s="40"/>
      <c r="H577" s="40" t="s">
        <v>4197</v>
      </c>
      <c r="I577" s="40" t="s">
        <v>3014</v>
      </c>
      <c r="J577" s="40" t="s">
        <v>4198</v>
      </c>
      <c r="K577" s="40" t="s">
        <v>4199</v>
      </c>
      <c r="L577" s="190">
        <v>44062</v>
      </c>
      <c r="M577" s="190">
        <v>0</v>
      </c>
      <c r="N577" s="40" t="s">
        <v>4200</v>
      </c>
      <c r="O577" s="41" t="str">
        <f t="shared" si="16"/>
        <v>EBS1_44062_0</v>
      </c>
      <c r="P577" s="41" t="s">
        <v>4201</v>
      </c>
      <c r="R577" s="41">
        <v>576</v>
      </c>
      <c r="T577" s="41" t="str">
        <f t="shared" si="17"/>
        <v>4406200:Var_ui_ErrNo:=576;</v>
      </c>
    </row>
    <row r="578" spans="1:20">
      <c r="A578" s="190">
        <v>577</v>
      </c>
      <c r="B578" s="40">
        <v>173</v>
      </c>
      <c r="C578" s="40">
        <v>30</v>
      </c>
      <c r="F578" s="40"/>
      <c r="G578" s="40"/>
      <c r="H578" s="40" t="s">
        <v>4202</v>
      </c>
      <c r="I578" s="40" t="s">
        <v>3014</v>
      </c>
      <c r="J578" s="40" t="s">
        <v>4203</v>
      </c>
      <c r="K578" s="40" t="s">
        <v>4204</v>
      </c>
      <c r="L578" s="190">
        <v>44318</v>
      </c>
      <c r="M578" s="190">
        <v>0</v>
      </c>
      <c r="N578" s="40" t="s">
        <v>4205</v>
      </c>
      <c r="O578" s="41" t="str">
        <f t="shared" ref="O578:O641" si="18">"EBS1_"&amp;L578&amp;"_"&amp;M578</f>
        <v>EBS1_44318_0</v>
      </c>
      <c r="P578" s="41" t="s">
        <v>4206</v>
      </c>
      <c r="R578" s="41">
        <v>577</v>
      </c>
      <c r="T578" s="41" t="str">
        <f t="shared" si="17"/>
        <v>4431800:Var_ui_ErrNo:=577;</v>
      </c>
    </row>
    <row r="579" spans="1:20">
      <c r="A579" s="190">
        <v>578</v>
      </c>
      <c r="B579" s="40">
        <v>174</v>
      </c>
      <c r="C579" s="40">
        <v>30</v>
      </c>
      <c r="F579" s="40"/>
      <c r="G579" s="40"/>
      <c r="H579" s="40" t="s">
        <v>4207</v>
      </c>
      <c r="I579" s="40" t="s">
        <v>3014</v>
      </c>
      <c r="J579" s="40" t="s">
        <v>4208</v>
      </c>
      <c r="K579" s="40" t="s">
        <v>4209</v>
      </c>
      <c r="L579" s="190">
        <v>44574</v>
      </c>
      <c r="M579" s="190">
        <v>0</v>
      </c>
      <c r="N579" s="40" t="s">
        <v>4210</v>
      </c>
      <c r="O579" s="41" t="str">
        <f t="shared" si="18"/>
        <v>EBS1_44574_0</v>
      </c>
      <c r="P579" s="41" t="s">
        <v>4211</v>
      </c>
      <c r="R579" s="41">
        <v>578</v>
      </c>
      <c r="T579" s="41" t="str">
        <f t="shared" ref="T579:T642" si="19">P579&amp;$Q$2&amp;R579&amp;$S$2</f>
        <v>4457400:Var_ui_ErrNo:=578;</v>
      </c>
    </row>
    <row r="580" spans="1:20">
      <c r="A580" s="190">
        <v>579</v>
      </c>
      <c r="B580" s="40">
        <v>175</v>
      </c>
      <c r="C580" s="40">
        <v>30</v>
      </c>
      <c r="F580" s="40"/>
      <c r="G580" s="40"/>
      <c r="H580" s="40" t="s">
        <v>4212</v>
      </c>
      <c r="I580" s="40" t="s">
        <v>3014</v>
      </c>
      <c r="J580" s="40" t="s">
        <v>4213</v>
      </c>
      <c r="K580" s="40" t="s">
        <v>4214</v>
      </c>
      <c r="L580" s="190">
        <v>44830</v>
      </c>
      <c r="M580" s="190">
        <v>0</v>
      </c>
      <c r="N580" s="40" t="s">
        <v>4215</v>
      </c>
      <c r="O580" s="41" t="str">
        <f t="shared" si="18"/>
        <v>EBS1_44830_0</v>
      </c>
      <c r="P580" s="41" t="s">
        <v>4216</v>
      </c>
      <c r="R580" s="41">
        <v>579</v>
      </c>
      <c r="T580" s="41" t="str">
        <f t="shared" si="19"/>
        <v>4483000:Var_ui_ErrNo:=579;</v>
      </c>
    </row>
    <row r="581" spans="1:20">
      <c r="A581" s="190">
        <v>580</v>
      </c>
      <c r="B581" s="40">
        <v>170</v>
      </c>
      <c r="C581" s="40">
        <v>32</v>
      </c>
      <c r="F581" s="40"/>
      <c r="G581" s="40"/>
      <c r="H581" s="40" t="s">
        <v>4217</v>
      </c>
      <c r="I581" s="40" t="s">
        <v>3014</v>
      </c>
      <c r="J581" s="40" t="s">
        <v>4218</v>
      </c>
      <c r="K581" s="40" t="s">
        <v>4219</v>
      </c>
      <c r="L581" s="190">
        <v>43552</v>
      </c>
      <c r="M581" s="190">
        <v>0</v>
      </c>
      <c r="N581" s="40" t="s">
        <v>4220</v>
      </c>
      <c r="O581" s="41" t="str">
        <f t="shared" si="18"/>
        <v>EBS1_43552_0</v>
      </c>
      <c r="P581" s="41" t="s">
        <v>4221</v>
      </c>
      <c r="R581" s="41">
        <v>580</v>
      </c>
      <c r="T581" s="41" t="str">
        <f t="shared" si="19"/>
        <v>4355200:Var_ui_ErrNo:=580;</v>
      </c>
    </row>
    <row r="582" spans="1:20">
      <c r="A582" s="190">
        <v>581</v>
      </c>
      <c r="B582" s="40">
        <v>171</v>
      </c>
      <c r="C582" s="40">
        <v>32</v>
      </c>
      <c r="F582" s="40"/>
      <c r="G582" s="40"/>
      <c r="H582" s="40" t="s">
        <v>4222</v>
      </c>
      <c r="I582" s="40" t="s">
        <v>3014</v>
      </c>
      <c r="J582" s="40" t="s">
        <v>4223</v>
      </c>
      <c r="K582" s="40" t="s">
        <v>4224</v>
      </c>
      <c r="L582" s="190">
        <v>43808</v>
      </c>
      <c r="M582" s="190">
        <v>0</v>
      </c>
      <c r="N582" s="40" t="s">
        <v>4225</v>
      </c>
      <c r="O582" s="41" t="str">
        <f t="shared" si="18"/>
        <v>EBS1_43808_0</v>
      </c>
      <c r="P582" s="41" t="s">
        <v>4226</v>
      </c>
      <c r="R582" s="41">
        <v>581</v>
      </c>
      <c r="T582" s="41" t="str">
        <f t="shared" si="19"/>
        <v>4380800:Var_ui_ErrNo:=581;</v>
      </c>
    </row>
    <row r="583" spans="1:20">
      <c r="A583" s="190">
        <v>582</v>
      </c>
      <c r="B583" s="40">
        <v>172</v>
      </c>
      <c r="C583" s="40">
        <v>32</v>
      </c>
      <c r="F583" s="40"/>
      <c r="G583" s="40"/>
      <c r="H583" s="40" t="s">
        <v>4227</v>
      </c>
      <c r="I583" s="40" t="s">
        <v>3014</v>
      </c>
      <c r="J583" s="40" t="s">
        <v>4228</v>
      </c>
      <c r="K583" s="40" t="s">
        <v>4229</v>
      </c>
      <c r="L583" s="190">
        <v>44064</v>
      </c>
      <c r="M583" s="190">
        <v>0</v>
      </c>
      <c r="N583" s="40" t="s">
        <v>4230</v>
      </c>
      <c r="O583" s="41" t="str">
        <f t="shared" si="18"/>
        <v>EBS1_44064_0</v>
      </c>
      <c r="P583" s="41" t="s">
        <v>4231</v>
      </c>
      <c r="R583" s="41">
        <v>582</v>
      </c>
      <c r="T583" s="41" t="str">
        <f t="shared" si="19"/>
        <v>4406400:Var_ui_ErrNo:=582;</v>
      </c>
    </row>
    <row r="584" spans="1:20">
      <c r="A584" s="190">
        <v>583</v>
      </c>
      <c r="B584" s="40">
        <v>173</v>
      </c>
      <c r="C584" s="40">
        <v>32</v>
      </c>
      <c r="F584" s="40"/>
      <c r="G584" s="40"/>
      <c r="H584" s="40" t="s">
        <v>4232</v>
      </c>
      <c r="I584" s="40" t="s">
        <v>3014</v>
      </c>
      <c r="J584" s="40" t="s">
        <v>4233</v>
      </c>
      <c r="K584" s="40" t="s">
        <v>4234</v>
      </c>
      <c r="L584" s="190">
        <v>44320</v>
      </c>
      <c r="M584" s="190">
        <v>0</v>
      </c>
      <c r="N584" s="40" t="s">
        <v>4235</v>
      </c>
      <c r="O584" s="41" t="str">
        <f t="shared" si="18"/>
        <v>EBS1_44320_0</v>
      </c>
      <c r="P584" s="41" t="s">
        <v>4236</v>
      </c>
      <c r="R584" s="41">
        <v>583</v>
      </c>
      <c r="T584" s="41" t="str">
        <f t="shared" si="19"/>
        <v>4432000:Var_ui_ErrNo:=583;</v>
      </c>
    </row>
    <row r="585" spans="1:20">
      <c r="A585" s="190">
        <v>584</v>
      </c>
      <c r="B585" s="40">
        <v>174</v>
      </c>
      <c r="C585" s="40">
        <v>32</v>
      </c>
      <c r="F585" s="40"/>
      <c r="G585" s="40"/>
      <c r="H585" s="40" t="s">
        <v>4237</v>
      </c>
      <c r="I585" s="40" t="s">
        <v>3014</v>
      </c>
      <c r="J585" s="40" t="s">
        <v>4238</v>
      </c>
      <c r="K585" s="40" t="s">
        <v>4239</v>
      </c>
      <c r="L585" s="190">
        <v>44576</v>
      </c>
      <c r="M585" s="190">
        <v>0</v>
      </c>
      <c r="N585" s="40" t="s">
        <v>4240</v>
      </c>
      <c r="O585" s="41" t="str">
        <f t="shared" si="18"/>
        <v>EBS1_44576_0</v>
      </c>
      <c r="P585" s="41" t="s">
        <v>4241</v>
      </c>
      <c r="R585" s="41">
        <v>584</v>
      </c>
      <c r="T585" s="41" t="str">
        <f t="shared" si="19"/>
        <v>4457600:Var_ui_ErrNo:=584;</v>
      </c>
    </row>
    <row r="586" spans="1:20">
      <c r="A586" s="190">
        <v>585</v>
      </c>
      <c r="B586" s="40">
        <v>175</v>
      </c>
      <c r="C586" s="40">
        <v>32</v>
      </c>
      <c r="F586" s="40"/>
      <c r="G586" s="40"/>
      <c r="H586" s="40" t="s">
        <v>4242</v>
      </c>
      <c r="I586" s="40" t="s">
        <v>3014</v>
      </c>
      <c r="J586" s="40" t="s">
        <v>4243</v>
      </c>
      <c r="K586" s="40" t="s">
        <v>4244</v>
      </c>
      <c r="L586" s="190">
        <v>44832</v>
      </c>
      <c r="M586" s="190">
        <v>0</v>
      </c>
      <c r="N586" s="40" t="s">
        <v>4245</v>
      </c>
      <c r="O586" s="41" t="str">
        <f t="shared" si="18"/>
        <v>EBS1_44832_0</v>
      </c>
      <c r="P586" s="41" t="s">
        <v>4246</v>
      </c>
      <c r="R586" s="41">
        <v>585</v>
      </c>
      <c r="T586" s="41" t="str">
        <f t="shared" si="19"/>
        <v>4483200:Var_ui_ErrNo:=585;</v>
      </c>
    </row>
    <row r="587" spans="1:20">
      <c r="A587" s="190">
        <v>586</v>
      </c>
      <c r="B587" s="40">
        <v>170</v>
      </c>
      <c r="C587" s="40">
        <v>33</v>
      </c>
      <c r="F587" s="40"/>
      <c r="G587" s="40"/>
      <c r="H587" s="40" t="s">
        <v>4247</v>
      </c>
      <c r="I587" s="40" t="s">
        <v>3014</v>
      </c>
      <c r="J587" s="40" t="s">
        <v>4248</v>
      </c>
      <c r="K587" s="40" t="s">
        <v>4249</v>
      </c>
      <c r="L587" s="190">
        <v>43553</v>
      </c>
      <c r="M587" s="190">
        <v>0</v>
      </c>
      <c r="N587" s="40" t="s">
        <v>4250</v>
      </c>
      <c r="O587" s="41" t="str">
        <f t="shared" si="18"/>
        <v>EBS1_43553_0</v>
      </c>
      <c r="P587" s="41" t="s">
        <v>4251</v>
      </c>
      <c r="R587" s="41">
        <v>586</v>
      </c>
      <c r="T587" s="41" t="str">
        <f t="shared" si="19"/>
        <v>4355300:Var_ui_ErrNo:=586;</v>
      </c>
    </row>
    <row r="588" spans="1:20">
      <c r="A588" s="190">
        <v>587</v>
      </c>
      <c r="B588" s="40">
        <v>171</v>
      </c>
      <c r="C588" s="40">
        <v>33</v>
      </c>
      <c r="F588" s="40"/>
      <c r="G588" s="40"/>
      <c r="H588" s="40" t="s">
        <v>4252</v>
      </c>
      <c r="I588" s="40" t="s">
        <v>3014</v>
      </c>
      <c r="J588" s="40" t="s">
        <v>4253</v>
      </c>
      <c r="K588" s="40" t="s">
        <v>4254</v>
      </c>
      <c r="L588" s="190">
        <v>43809</v>
      </c>
      <c r="M588" s="190">
        <v>0</v>
      </c>
      <c r="N588" s="40" t="s">
        <v>4255</v>
      </c>
      <c r="O588" s="41" t="str">
        <f t="shared" si="18"/>
        <v>EBS1_43809_0</v>
      </c>
      <c r="P588" s="41" t="s">
        <v>4256</v>
      </c>
      <c r="R588" s="41">
        <v>587</v>
      </c>
      <c r="T588" s="41" t="str">
        <f t="shared" si="19"/>
        <v>4380900:Var_ui_ErrNo:=587;</v>
      </c>
    </row>
    <row r="589" spans="1:20">
      <c r="A589" s="190">
        <v>588</v>
      </c>
      <c r="B589" s="40">
        <v>172</v>
      </c>
      <c r="C589" s="40">
        <v>33</v>
      </c>
      <c r="F589" s="40"/>
      <c r="G589" s="40"/>
      <c r="H589" s="40" t="s">
        <v>4257</v>
      </c>
      <c r="I589" s="40" t="s">
        <v>3014</v>
      </c>
      <c r="J589" s="40" t="s">
        <v>4258</v>
      </c>
      <c r="K589" s="40" t="s">
        <v>4259</v>
      </c>
      <c r="L589" s="190">
        <v>44065</v>
      </c>
      <c r="M589" s="190">
        <v>0</v>
      </c>
      <c r="N589" s="40" t="s">
        <v>4260</v>
      </c>
      <c r="O589" s="41" t="str">
        <f t="shared" si="18"/>
        <v>EBS1_44065_0</v>
      </c>
      <c r="P589" s="41" t="s">
        <v>4261</v>
      </c>
      <c r="R589" s="41">
        <v>588</v>
      </c>
      <c r="T589" s="41" t="str">
        <f t="shared" si="19"/>
        <v>4406500:Var_ui_ErrNo:=588;</v>
      </c>
    </row>
    <row r="590" spans="1:20">
      <c r="A590" s="190">
        <v>589</v>
      </c>
      <c r="B590" s="40">
        <v>173</v>
      </c>
      <c r="C590" s="40">
        <v>33</v>
      </c>
      <c r="F590" s="40"/>
      <c r="G590" s="40"/>
      <c r="H590" s="40" t="s">
        <v>4262</v>
      </c>
      <c r="I590" s="40" t="s">
        <v>3014</v>
      </c>
      <c r="J590" s="40" t="s">
        <v>4263</v>
      </c>
      <c r="K590" s="40" t="s">
        <v>4264</v>
      </c>
      <c r="L590" s="190">
        <v>44321</v>
      </c>
      <c r="M590" s="190">
        <v>0</v>
      </c>
      <c r="N590" s="40" t="s">
        <v>4265</v>
      </c>
      <c r="O590" s="41" t="str">
        <f t="shared" si="18"/>
        <v>EBS1_44321_0</v>
      </c>
      <c r="P590" s="41" t="s">
        <v>4266</v>
      </c>
      <c r="R590" s="41">
        <v>589</v>
      </c>
      <c r="T590" s="41" t="str">
        <f t="shared" si="19"/>
        <v>4432100:Var_ui_ErrNo:=589;</v>
      </c>
    </row>
    <row r="591" spans="1:20">
      <c r="A591" s="190">
        <v>590</v>
      </c>
      <c r="B591" s="40">
        <v>174</v>
      </c>
      <c r="C591" s="40">
        <v>33</v>
      </c>
      <c r="F591" s="40"/>
      <c r="G591" s="40"/>
      <c r="H591" s="40" t="s">
        <v>4267</v>
      </c>
      <c r="I591" s="40" t="s">
        <v>3014</v>
      </c>
      <c r="J591" s="40" t="s">
        <v>4268</v>
      </c>
      <c r="K591" s="40" t="s">
        <v>4269</v>
      </c>
      <c r="L591" s="190">
        <v>44577</v>
      </c>
      <c r="M591" s="190">
        <v>0</v>
      </c>
      <c r="N591" s="40" t="s">
        <v>4270</v>
      </c>
      <c r="O591" s="41" t="str">
        <f t="shared" si="18"/>
        <v>EBS1_44577_0</v>
      </c>
      <c r="P591" s="41" t="s">
        <v>4271</v>
      </c>
      <c r="R591" s="41">
        <v>590</v>
      </c>
      <c r="T591" s="41" t="str">
        <f t="shared" si="19"/>
        <v>4457700:Var_ui_ErrNo:=590;</v>
      </c>
    </row>
    <row r="592" spans="1:20">
      <c r="A592" s="190">
        <v>591</v>
      </c>
      <c r="B592" s="40">
        <v>175</v>
      </c>
      <c r="C592" s="40">
        <v>33</v>
      </c>
      <c r="F592" s="40"/>
      <c r="G592" s="40"/>
      <c r="H592" s="40" t="s">
        <v>4272</v>
      </c>
      <c r="I592" s="40" t="s">
        <v>3014</v>
      </c>
      <c r="J592" s="40" t="s">
        <v>4273</v>
      </c>
      <c r="K592" s="40" t="s">
        <v>4274</v>
      </c>
      <c r="L592" s="190">
        <v>44833</v>
      </c>
      <c r="M592" s="190">
        <v>0</v>
      </c>
      <c r="N592" s="40" t="s">
        <v>4275</v>
      </c>
      <c r="O592" s="41" t="str">
        <f t="shared" si="18"/>
        <v>EBS1_44833_0</v>
      </c>
      <c r="P592" s="41" t="s">
        <v>4276</v>
      </c>
      <c r="R592" s="41">
        <v>591</v>
      </c>
      <c r="T592" s="41" t="str">
        <f t="shared" si="19"/>
        <v>4483300:Var_ui_ErrNo:=591;</v>
      </c>
    </row>
    <row r="593" spans="1:20">
      <c r="A593" s="190">
        <v>592</v>
      </c>
      <c r="B593" s="40">
        <v>170</v>
      </c>
      <c r="C593" s="40">
        <v>43</v>
      </c>
      <c r="F593" s="40"/>
      <c r="G593" s="40"/>
      <c r="H593" s="40" t="s">
        <v>4277</v>
      </c>
      <c r="I593" s="40" t="s">
        <v>3014</v>
      </c>
      <c r="J593" s="40" t="s">
        <v>4278</v>
      </c>
      <c r="K593" s="40" t="s">
        <v>4279</v>
      </c>
      <c r="L593" s="190">
        <v>43563</v>
      </c>
      <c r="M593" s="190">
        <v>0</v>
      </c>
      <c r="N593" s="40" t="s">
        <v>4280</v>
      </c>
      <c r="O593" s="41" t="str">
        <f t="shared" si="18"/>
        <v>EBS1_43563_0</v>
      </c>
      <c r="P593" s="41" t="s">
        <v>4281</v>
      </c>
      <c r="R593" s="41">
        <v>592</v>
      </c>
      <c r="T593" s="41" t="str">
        <f t="shared" si="19"/>
        <v>4356300:Var_ui_ErrNo:=592;</v>
      </c>
    </row>
    <row r="594" spans="1:20">
      <c r="A594" s="190">
        <v>593</v>
      </c>
      <c r="B594" s="40">
        <v>171</v>
      </c>
      <c r="C594" s="40">
        <v>43</v>
      </c>
      <c r="F594" s="40"/>
      <c r="G594" s="40"/>
      <c r="H594" s="40" t="s">
        <v>4282</v>
      </c>
      <c r="I594" s="40" t="s">
        <v>3014</v>
      </c>
      <c r="J594" s="40" t="s">
        <v>4283</v>
      </c>
      <c r="K594" s="40" t="s">
        <v>4284</v>
      </c>
      <c r="L594" s="190">
        <v>43819</v>
      </c>
      <c r="M594" s="190">
        <v>0</v>
      </c>
      <c r="N594" s="40" t="s">
        <v>4285</v>
      </c>
      <c r="O594" s="41" t="str">
        <f t="shared" si="18"/>
        <v>EBS1_43819_0</v>
      </c>
      <c r="P594" s="41" t="s">
        <v>4286</v>
      </c>
      <c r="R594" s="41">
        <v>593</v>
      </c>
      <c r="T594" s="41" t="str">
        <f t="shared" si="19"/>
        <v>4381900:Var_ui_ErrNo:=593;</v>
      </c>
    </row>
    <row r="595" spans="1:20">
      <c r="A595" s="190">
        <v>594</v>
      </c>
      <c r="B595" s="40">
        <v>172</v>
      </c>
      <c r="C595" s="40">
        <v>43</v>
      </c>
      <c r="F595" s="40"/>
      <c r="G595" s="40"/>
      <c r="H595" s="40" t="s">
        <v>4287</v>
      </c>
      <c r="I595" s="40" t="s">
        <v>3014</v>
      </c>
      <c r="J595" s="40" t="s">
        <v>4288</v>
      </c>
      <c r="K595" s="40" t="s">
        <v>4289</v>
      </c>
      <c r="L595" s="190">
        <v>44075</v>
      </c>
      <c r="M595" s="190">
        <v>0</v>
      </c>
      <c r="N595" s="40" t="s">
        <v>4290</v>
      </c>
      <c r="O595" s="41" t="str">
        <f t="shared" si="18"/>
        <v>EBS1_44075_0</v>
      </c>
      <c r="P595" s="41" t="s">
        <v>4291</v>
      </c>
      <c r="R595" s="41">
        <v>594</v>
      </c>
      <c r="T595" s="41" t="str">
        <f t="shared" si="19"/>
        <v>4407500:Var_ui_ErrNo:=594;</v>
      </c>
    </row>
    <row r="596" spans="1:20">
      <c r="A596" s="190">
        <v>595</v>
      </c>
      <c r="B596" s="40">
        <v>173</v>
      </c>
      <c r="C596" s="40">
        <v>43</v>
      </c>
      <c r="F596" s="40"/>
      <c r="G596" s="40"/>
      <c r="H596" s="40" t="s">
        <v>4292</v>
      </c>
      <c r="I596" s="40" t="s">
        <v>3014</v>
      </c>
      <c r="J596" s="40" t="s">
        <v>4293</v>
      </c>
      <c r="K596" s="40" t="s">
        <v>4294</v>
      </c>
      <c r="L596" s="190">
        <v>44331</v>
      </c>
      <c r="M596" s="190">
        <v>0</v>
      </c>
      <c r="N596" s="40" t="s">
        <v>4295</v>
      </c>
      <c r="O596" s="41" t="str">
        <f t="shared" si="18"/>
        <v>EBS1_44331_0</v>
      </c>
      <c r="P596" s="41" t="s">
        <v>4296</v>
      </c>
      <c r="R596" s="41">
        <v>595</v>
      </c>
      <c r="T596" s="41" t="str">
        <f t="shared" si="19"/>
        <v>4433100:Var_ui_ErrNo:=595;</v>
      </c>
    </row>
    <row r="597" spans="1:20">
      <c r="A597" s="190">
        <v>596</v>
      </c>
      <c r="B597" s="40">
        <v>174</v>
      </c>
      <c r="C597" s="40">
        <v>43</v>
      </c>
      <c r="F597" s="40"/>
      <c r="G597" s="40"/>
      <c r="H597" s="40" t="s">
        <v>4297</v>
      </c>
      <c r="I597" s="40" t="s">
        <v>3014</v>
      </c>
      <c r="J597" s="40" t="s">
        <v>4298</v>
      </c>
      <c r="K597" s="40" t="s">
        <v>4299</v>
      </c>
      <c r="L597" s="190">
        <v>44587</v>
      </c>
      <c r="M597" s="190">
        <v>0</v>
      </c>
      <c r="N597" s="40" t="s">
        <v>4300</v>
      </c>
      <c r="O597" s="41" t="str">
        <f t="shared" si="18"/>
        <v>EBS1_44587_0</v>
      </c>
      <c r="P597" s="41" t="s">
        <v>4301</v>
      </c>
      <c r="R597" s="41">
        <v>596</v>
      </c>
      <c r="T597" s="41" t="str">
        <f t="shared" si="19"/>
        <v>4458700:Var_ui_ErrNo:=596;</v>
      </c>
    </row>
    <row r="598" spans="1:20">
      <c r="A598" s="190">
        <v>597</v>
      </c>
      <c r="B598" s="40">
        <v>175</v>
      </c>
      <c r="C598" s="40">
        <v>43</v>
      </c>
      <c r="F598" s="40"/>
      <c r="G598" s="40"/>
      <c r="H598" s="40" t="s">
        <v>4302</v>
      </c>
      <c r="I598" s="40" t="s">
        <v>3014</v>
      </c>
      <c r="J598" s="40" t="s">
        <v>4303</v>
      </c>
      <c r="K598" s="40" t="s">
        <v>4304</v>
      </c>
      <c r="L598" s="190">
        <v>44843</v>
      </c>
      <c r="M598" s="190">
        <v>0</v>
      </c>
      <c r="N598" s="40" t="s">
        <v>4305</v>
      </c>
      <c r="O598" s="41" t="str">
        <f t="shared" si="18"/>
        <v>EBS1_44843_0</v>
      </c>
      <c r="P598" s="41" t="s">
        <v>4306</v>
      </c>
      <c r="R598" s="41">
        <v>597</v>
      </c>
      <c r="T598" s="41" t="str">
        <f t="shared" si="19"/>
        <v>4484300:Var_ui_ErrNo:=597;</v>
      </c>
    </row>
    <row r="599" spans="1:20">
      <c r="A599" s="190">
        <v>598</v>
      </c>
      <c r="B599" s="40">
        <v>170</v>
      </c>
      <c r="C599" s="40">
        <v>44</v>
      </c>
      <c r="F599" s="40"/>
      <c r="G599" s="40"/>
      <c r="H599" s="40" t="s">
        <v>4307</v>
      </c>
      <c r="I599" s="40" t="s">
        <v>3014</v>
      </c>
      <c r="J599" s="40" t="s">
        <v>4308</v>
      </c>
      <c r="K599" s="40" t="s">
        <v>4309</v>
      </c>
      <c r="L599" s="190">
        <v>43564</v>
      </c>
      <c r="M599" s="190">
        <v>0</v>
      </c>
      <c r="N599" s="40" t="s">
        <v>4280</v>
      </c>
      <c r="O599" s="41" t="str">
        <f t="shared" si="18"/>
        <v>EBS1_43564_0</v>
      </c>
      <c r="P599" s="41" t="s">
        <v>4310</v>
      </c>
      <c r="R599" s="41">
        <v>598</v>
      </c>
      <c r="T599" s="41" t="str">
        <f t="shared" si="19"/>
        <v>4356400:Var_ui_ErrNo:=598;</v>
      </c>
    </row>
    <row r="600" spans="1:20">
      <c r="A600" s="190">
        <v>599</v>
      </c>
      <c r="B600" s="40">
        <v>171</v>
      </c>
      <c r="C600" s="40">
        <v>44</v>
      </c>
      <c r="F600" s="40"/>
      <c r="G600" s="40"/>
      <c r="H600" s="40" t="s">
        <v>4311</v>
      </c>
      <c r="I600" s="40" t="s">
        <v>3014</v>
      </c>
      <c r="J600" s="40" t="s">
        <v>4312</v>
      </c>
      <c r="K600" s="40" t="s">
        <v>4313</v>
      </c>
      <c r="L600" s="190">
        <v>43820</v>
      </c>
      <c r="M600" s="190">
        <v>0</v>
      </c>
      <c r="N600" s="40" t="s">
        <v>4285</v>
      </c>
      <c r="O600" s="41" t="str">
        <f t="shared" si="18"/>
        <v>EBS1_43820_0</v>
      </c>
      <c r="P600" s="41" t="s">
        <v>4314</v>
      </c>
      <c r="R600" s="41">
        <v>599</v>
      </c>
      <c r="T600" s="41" t="str">
        <f t="shared" si="19"/>
        <v>4382000:Var_ui_ErrNo:=599;</v>
      </c>
    </row>
    <row r="601" spans="1:20">
      <c r="A601" s="190">
        <v>600</v>
      </c>
      <c r="B601" s="40">
        <v>172</v>
      </c>
      <c r="C601" s="40">
        <v>44</v>
      </c>
      <c r="F601" s="40"/>
      <c r="G601" s="40"/>
      <c r="H601" s="40" t="s">
        <v>4315</v>
      </c>
      <c r="I601" s="40" t="s">
        <v>3014</v>
      </c>
      <c r="J601" s="40" t="s">
        <v>4316</v>
      </c>
      <c r="K601" s="40" t="s">
        <v>4317</v>
      </c>
      <c r="L601" s="190">
        <v>44076</v>
      </c>
      <c r="M601" s="190">
        <v>0</v>
      </c>
      <c r="N601" s="40" t="s">
        <v>4290</v>
      </c>
      <c r="O601" s="41" t="str">
        <f t="shared" si="18"/>
        <v>EBS1_44076_0</v>
      </c>
      <c r="P601" s="41" t="s">
        <v>4318</v>
      </c>
      <c r="R601" s="41">
        <v>600</v>
      </c>
      <c r="T601" s="41" t="str">
        <f t="shared" si="19"/>
        <v>4407600:Var_ui_ErrNo:=600;</v>
      </c>
    </row>
    <row r="602" spans="1:20">
      <c r="A602" s="190">
        <v>601</v>
      </c>
      <c r="B602" s="40">
        <v>173</v>
      </c>
      <c r="C602" s="40">
        <v>44</v>
      </c>
      <c r="F602" s="40"/>
      <c r="G602" s="40"/>
      <c r="H602" s="40" t="s">
        <v>4319</v>
      </c>
      <c r="I602" s="40" t="s">
        <v>3014</v>
      </c>
      <c r="J602" s="40" t="s">
        <v>4320</v>
      </c>
      <c r="K602" s="40" t="s">
        <v>4321</v>
      </c>
      <c r="L602" s="190">
        <v>44332</v>
      </c>
      <c r="M602" s="190">
        <v>0</v>
      </c>
      <c r="N602" s="40" t="s">
        <v>4295</v>
      </c>
      <c r="O602" s="41" t="str">
        <f t="shared" si="18"/>
        <v>EBS1_44332_0</v>
      </c>
      <c r="P602" s="41" t="s">
        <v>4322</v>
      </c>
      <c r="R602" s="41">
        <v>601</v>
      </c>
      <c r="T602" s="41" t="str">
        <f t="shared" si="19"/>
        <v>4433200:Var_ui_ErrNo:=601;</v>
      </c>
    </row>
    <row r="603" spans="1:20">
      <c r="A603" s="190">
        <v>602</v>
      </c>
      <c r="B603" s="40">
        <v>174</v>
      </c>
      <c r="C603" s="40">
        <v>44</v>
      </c>
      <c r="F603" s="40"/>
      <c r="G603" s="40"/>
      <c r="H603" s="40" t="s">
        <v>4323</v>
      </c>
      <c r="I603" s="40" t="s">
        <v>3014</v>
      </c>
      <c r="J603" s="40" t="s">
        <v>4324</v>
      </c>
      <c r="K603" s="40" t="s">
        <v>4325</v>
      </c>
      <c r="L603" s="190">
        <v>44588</v>
      </c>
      <c r="M603" s="190">
        <v>0</v>
      </c>
      <c r="N603" s="40" t="s">
        <v>4300</v>
      </c>
      <c r="O603" s="41" t="str">
        <f t="shared" si="18"/>
        <v>EBS1_44588_0</v>
      </c>
      <c r="P603" s="41" t="s">
        <v>4326</v>
      </c>
      <c r="R603" s="41">
        <v>602</v>
      </c>
      <c r="T603" s="41" t="str">
        <f t="shared" si="19"/>
        <v>4458800:Var_ui_ErrNo:=602;</v>
      </c>
    </row>
    <row r="604" spans="1:20">
      <c r="A604" s="190">
        <v>603</v>
      </c>
      <c r="B604" s="40">
        <v>175</v>
      </c>
      <c r="C604" s="40">
        <v>44</v>
      </c>
      <c r="F604" s="40"/>
      <c r="G604" s="40"/>
      <c r="H604" s="40" t="s">
        <v>4327</v>
      </c>
      <c r="I604" s="40" t="s">
        <v>3014</v>
      </c>
      <c r="J604" s="40" t="s">
        <v>4328</v>
      </c>
      <c r="K604" s="40" t="s">
        <v>4329</v>
      </c>
      <c r="L604" s="190">
        <v>44844</v>
      </c>
      <c r="M604" s="190">
        <v>0</v>
      </c>
      <c r="N604" s="40" t="s">
        <v>4305</v>
      </c>
      <c r="O604" s="41" t="str">
        <f t="shared" si="18"/>
        <v>EBS1_44844_0</v>
      </c>
      <c r="P604" s="41" t="s">
        <v>4330</v>
      </c>
      <c r="R604" s="41">
        <v>603</v>
      </c>
      <c r="T604" s="41" t="str">
        <f t="shared" si="19"/>
        <v>4484400:Var_ui_ErrNo:=603;</v>
      </c>
    </row>
    <row r="605" spans="1:20">
      <c r="A605" s="190">
        <v>604</v>
      </c>
      <c r="B605" s="40">
        <v>180</v>
      </c>
      <c r="C605" s="40">
        <v>22</v>
      </c>
      <c r="F605" s="40"/>
      <c r="G605" s="40"/>
      <c r="H605" s="40" t="s">
        <v>4331</v>
      </c>
      <c r="I605" s="40" t="s">
        <v>4332</v>
      </c>
      <c r="J605" s="40" t="s">
        <v>4333</v>
      </c>
      <c r="K605" s="40" t="s">
        <v>4334</v>
      </c>
      <c r="L605" s="190">
        <v>46102</v>
      </c>
      <c r="M605" s="190">
        <v>0</v>
      </c>
      <c r="N605" s="40" t="s">
        <v>4335</v>
      </c>
      <c r="O605" s="41" t="str">
        <f t="shared" si="18"/>
        <v>EBS1_46102_0</v>
      </c>
      <c r="P605" s="41" t="s">
        <v>4336</v>
      </c>
      <c r="R605" s="41">
        <v>604</v>
      </c>
      <c r="T605" s="41" t="str">
        <f t="shared" si="19"/>
        <v>4610200:Var_ui_ErrNo:=604;</v>
      </c>
    </row>
    <row r="606" spans="1:20">
      <c r="A606" s="190">
        <v>605</v>
      </c>
      <c r="B606" s="40">
        <v>181</v>
      </c>
      <c r="C606" s="40">
        <v>22</v>
      </c>
      <c r="F606" s="40"/>
      <c r="G606" s="40"/>
      <c r="H606" s="40" t="s">
        <v>4337</v>
      </c>
      <c r="I606" s="40" t="s">
        <v>4332</v>
      </c>
      <c r="J606" s="40" t="s">
        <v>4338</v>
      </c>
      <c r="K606" s="40" t="s">
        <v>4339</v>
      </c>
      <c r="L606" s="190">
        <v>46358</v>
      </c>
      <c r="M606" s="190">
        <v>0</v>
      </c>
      <c r="N606" s="40" t="s">
        <v>4340</v>
      </c>
      <c r="O606" s="41" t="str">
        <f t="shared" si="18"/>
        <v>EBS1_46358_0</v>
      </c>
      <c r="P606" s="41" t="s">
        <v>4341</v>
      </c>
      <c r="R606" s="41">
        <v>605</v>
      </c>
      <c r="T606" s="41" t="str">
        <f t="shared" si="19"/>
        <v>4635800:Var_ui_ErrNo:=605;</v>
      </c>
    </row>
    <row r="607" spans="1:20">
      <c r="A607" s="190">
        <v>606</v>
      </c>
      <c r="B607" s="40">
        <v>182</v>
      </c>
      <c r="C607" s="40">
        <v>22</v>
      </c>
      <c r="F607" s="40"/>
      <c r="G607" s="40"/>
      <c r="H607" s="40" t="s">
        <v>4342</v>
      </c>
      <c r="I607" s="40" t="s">
        <v>4332</v>
      </c>
      <c r="J607" s="40" t="s">
        <v>4343</v>
      </c>
      <c r="K607" s="40" t="s">
        <v>4344</v>
      </c>
      <c r="L607" s="190">
        <v>46614</v>
      </c>
      <c r="M607" s="190">
        <v>0</v>
      </c>
      <c r="N607" s="40" t="s">
        <v>4345</v>
      </c>
      <c r="O607" s="41" t="str">
        <f t="shared" si="18"/>
        <v>EBS1_46614_0</v>
      </c>
      <c r="P607" s="41" t="s">
        <v>4346</v>
      </c>
      <c r="R607" s="41">
        <v>606</v>
      </c>
      <c r="T607" s="41" t="str">
        <f t="shared" si="19"/>
        <v>4661400:Var_ui_ErrNo:=606;</v>
      </c>
    </row>
    <row r="608" spans="1:20">
      <c r="A608" s="190">
        <v>607</v>
      </c>
      <c r="B608" s="40">
        <v>183</v>
      </c>
      <c r="C608" s="40">
        <v>22</v>
      </c>
      <c r="F608" s="40"/>
      <c r="G608" s="40"/>
      <c r="H608" s="40" t="s">
        <v>4347</v>
      </c>
      <c r="I608" s="40" t="s">
        <v>4332</v>
      </c>
      <c r="J608" s="40" t="s">
        <v>4348</v>
      </c>
      <c r="K608" s="40" t="s">
        <v>4349</v>
      </c>
      <c r="L608" s="190">
        <v>46870</v>
      </c>
      <c r="M608" s="190">
        <v>0</v>
      </c>
      <c r="N608" s="40" t="s">
        <v>4350</v>
      </c>
      <c r="O608" s="41" t="str">
        <f t="shared" si="18"/>
        <v>EBS1_46870_0</v>
      </c>
      <c r="P608" s="41" t="s">
        <v>4351</v>
      </c>
      <c r="R608" s="41">
        <v>607</v>
      </c>
      <c r="T608" s="41" t="str">
        <f t="shared" si="19"/>
        <v>4687000:Var_ui_ErrNo:=607;</v>
      </c>
    </row>
    <row r="609" spans="1:20">
      <c r="A609" s="190">
        <v>608</v>
      </c>
      <c r="B609" s="40">
        <v>184</v>
      </c>
      <c r="C609" s="40">
        <v>22</v>
      </c>
      <c r="F609" s="40"/>
      <c r="G609" s="40"/>
      <c r="H609" s="40" t="s">
        <v>4352</v>
      </c>
      <c r="I609" s="40" t="s">
        <v>4332</v>
      </c>
      <c r="J609" s="40" t="s">
        <v>4353</v>
      </c>
      <c r="K609" s="40" t="s">
        <v>4354</v>
      </c>
      <c r="L609" s="190">
        <v>47126</v>
      </c>
      <c r="M609" s="190">
        <v>0</v>
      </c>
      <c r="N609" s="40" t="s">
        <v>4355</v>
      </c>
      <c r="O609" s="41" t="str">
        <f t="shared" si="18"/>
        <v>EBS1_47126_0</v>
      </c>
      <c r="P609" s="41" t="s">
        <v>4356</v>
      </c>
      <c r="R609" s="41">
        <v>608</v>
      </c>
      <c r="T609" s="41" t="str">
        <f t="shared" si="19"/>
        <v>4712600:Var_ui_ErrNo:=608;</v>
      </c>
    </row>
    <row r="610" spans="1:20">
      <c r="A610" s="190">
        <v>609</v>
      </c>
      <c r="B610" s="40">
        <v>185</v>
      </c>
      <c r="C610" s="40">
        <v>22</v>
      </c>
      <c r="F610" s="40"/>
      <c r="G610" s="40"/>
      <c r="H610" s="40" t="s">
        <v>4357</v>
      </c>
      <c r="I610" s="40" t="s">
        <v>4332</v>
      </c>
      <c r="J610" s="40" t="s">
        <v>4358</v>
      </c>
      <c r="K610" s="40" t="s">
        <v>4359</v>
      </c>
      <c r="L610" s="190">
        <v>47382</v>
      </c>
      <c r="M610" s="190">
        <v>0</v>
      </c>
      <c r="N610" s="40" t="s">
        <v>4360</v>
      </c>
      <c r="O610" s="41" t="str">
        <f t="shared" si="18"/>
        <v>EBS1_47382_0</v>
      </c>
      <c r="P610" s="41" t="s">
        <v>4361</v>
      </c>
      <c r="R610" s="41">
        <v>609</v>
      </c>
      <c r="T610" s="41" t="str">
        <f t="shared" si="19"/>
        <v>4738200:Var_ui_ErrNo:=609;</v>
      </c>
    </row>
    <row r="611" spans="1:20">
      <c r="A611" s="190">
        <v>610</v>
      </c>
      <c r="B611" s="40">
        <v>180</v>
      </c>
      <c r="C611" s="40">
        <v>30</v>
      </c>
      <c r="F611" s="40"/>
      <c r="G611" s="40"/>
      <c r="H611" s="40" t="s">
        <v>4362</v>
      </c>
      <c r="I611" s="40" t="s">
        <v>3014</v>
      </c>
      <c r="J611" s="40" t="s">
        <v>4363</v>
      </c>
      <c r="K611" s="40" t="s">
        <v>4364</v>
      </c>
      <c r="L611" s="190">
        <v>46110</v>
      </c>
      <c r="M611" s="190">
        <v>0</v>
      </c>
      <c r="N611" s="40" t="s">
        <v>4365</v>
      </c>
      <c r="O611" s="41" t="str">
        <f t="shared" si="18"/>
        <v>EBS1_46110_0</v>
      </c>
      <c r="P611" s="41" t="s">
        <v>4366</v>
      </c>
      <c r="R611" s="41">
        <v>610</v>
      </c>
      <c r="T611" s="41" t="str">
        <f t="shared" si="19"/>
        <v>4611000:Var_ui_ErrNo:=610;</v>
      </c>
    </row>
    <row r="612" spans="1:20">
      <c r="A612" s="190">
        <v>611</v>
      </c>
      <c r="B612" s="40">
        <v>181</v>
      </c>
      <c r="C612" s="40">
        <v>30</v>
      </c>
      <c r="F612" s="40"/>
      <c r="G612" s="40"/>
      <c r="H612" s="40" t="s">
        <v>4367</v>
      </c>
      <c r="I612" s="40" t="s">
        <v>3014</v>
      </c>
      <c r="J612" s="40" t="s">
        <v>4368</v>
      </c>
      <c r="K612" s="40" t="s">
        <v>4369</v>
      </c>
      <c r="L612" s="190">
        <v>46366</v>
      </c>
      <c r="M612" s="190">
        <v>0</v>
      </c>
      <c r="N612" s="40" t="s">
        <v>4370</v>
      </c>
      <c r="O612" s="41" t="str">
        <f t="shared" si="18"/>
        <v>EBS1_46366_0</v>
      </c>
      <c r="P612" s="41" t="s">
        <v>4371</v>
      </c>
      <c r="R612" s="41">
        <v>611</v>
      </c>
      <c r="T612" s="41" t="str">
        <f t="shared" si="19"/>
        <v>4636600:Var_ui_ErrNo:=611;</v>
      </c>
    </row>
    <row r="613" spans="1:20">
      <c r="A613" s="190">
        <v>612</v>
      </c>
      <c r="B613" s="40">
        <v>182</v>
      </c>
      <c r="C613" s="40">
        <v>30</v>
      </c>
      <c r="F613" s="40"/>
      <c r="G613" s="40"/>
      <c r="H613" s="40" t="s">
        <v>4372</v>
      </c>
      <c r="I613" s="40" t="s">
        <v>3014</v>
      </c>
      <c r="J613" s="40" t="s">
        <v>4373</v>
      </c>
      <c r="K613" s="40" t="s">
        <v>4374</v>
      </c>
      <c r="L613" s="190">
        <v>46622</v>
      </c>
      <c r="M613" s="190">
        <v>0</v>
      </c>
      <c r="N613" s="40" t="s">
        <v>4375</v>
      </c>
      <c r="O613" s="41" t="str">
        <f t="shared" si="18"/>
        <v>EBS1_46622_0</v>
      </c>
      <c r="P613" s="41" t="s">
        <v>4376</v>
      </c>
      <c r="R613" s="41">
        <v>612</v>
      </c>
      <c r="T613" s="41" t="str">
        <f t="shared" si="19"/>
        <v>4662200:Var_ui_ErrNo:=612;</v>
      </c>
    </row>
    <row r="614" spans="1:20">
      <c r="A614" s="190">
        <v>613</v>
      </c>
      <c r="B614" s="40">
        <v>183</v>
      </c>
      <c r="C614" s="40">
        <v>30</v>
      </c>
      <c r="F614" s="40"/>
      <c r="G614" s="40"/>
      <c r="H614" s="40" t="s">
        <v>4377</v>
      </c>
      <c r="I614" s="40" t="s">
        <v>3014</v>
      </c>
      <c r="J614" s="40" t="s">
        <v>4378</v>
      </c>
      <c r="K614" s="40" t="s">
        <v>4379</v>
      </c>
      <c r="L614" s="190">
        <v>46878</v>
      </c>
      <c r="M614" s="190">
        <v>0</v>
      </c>
      <c r="N614" s="40" t="s">
        <v>4380</v>
      </c>
      <c r="O614" s="41" t="str">
        <f t="shared" si="18"/>
        <v>EBS1_46878_0</v>
      </c>
      <c r="P614" s="41" t="s">
        <v>4381</v>
      </c>
      <c r="R614" s="41">
        <v>613</v>
      </c>
      <c r="T614" s="41" t="str">
        <f t="shared" si="19"/>
        <v>4687800:Var_ui_ErrNo:=613;</v>
      </c>
    </row>
    <row r="615" spans="1:20">
      <c r="A615" s="190">
        <v>614</v>
      </c>
      <c r="B615" s="40">
        <v>184</v>
      </c>
      <c r="C615" s="40">
        <v>30</v>
      </c>
      <c r="F615" s="40"/>
      <c r="G615" s="40"/>
      <c r="H615" s="40" t="s">
        <v>4382</v>
      </c>
      <c r="I615" s="40" t="s">
        <v>3014</v>
      </c>
      <c r="J615" s="40" t="s">
        <v>4383</v>
      </c>
      <c r="K615" s="40" t="s">
        <v>4384</v>
      </c>
      <c r="L615" s="190">
        <v>47134</v>
      </c>
      <c r="M615" s="190">
        <v>0</v>
      </c>
      <c r="N615" s="40" t="s">
        <v>4385</v>
      </c>
      <c r="O615" s="41" t="str">
        <f t="shared" si="18"/>
        <v>EBS1_47134_0</v>
      </c>
      <c r="P615" s="41" t="s">
        <v>4386</v>
      </c>
      <c r="R615" s="41">
        <v>614</v>
      </c>
      <c r="T615" s="41" t="str">
        <f t="shared" si="19"/>
        <v>4713400:Var_ui_ErrNo:=614;</v>
      </c>
    </row>
    <row r="616" spans="1:20">
      <c r="A616" s="190">
        <v>615</v>
      </c>
      <c r="B616" s="40">
        <v>185</v>
      </c>
      <c r="C616" s="40">
        <v>30</v>
      </c>
      <c r="F616" s="40"/>
      <c r="G616" s="40"/>
      <c r="H616" s="40" t="s">
        <v>4387</v>
      </c>
      <c r="I616" s="40" t="s">
        <v>3014</v>
      </c>
      <c r="J616" s="40" t="s">
        <v>4388</v>
      </c>
      <c r="K616" s="40" t="s">
        <v>4389</v>
      </c>
      <c r="L616" s="190">
        <v>47390</v>
      </c>
      <c r="M616" s="190">
        <v>0</v>
      </c>
      <c r="N616" s="40" t="s">
        <v>4390</v>
      </c>
      <c r="O616" s="41" t="str">
        <f t="shared" si="18"/>
        <v>EBS1_47390_0</v>
      </c>
      <c r="P616" s="41" t="s">
        <v>4391</v>
      </c>
      <c r="R616" s="41">
        <v>615</v>
      </c>
      <c r="T616" s="41" t="str">
        <f t="shared" si="19"/>
        <v>4739000:Var_ui_ErrNo:=615;</v>
      </c>
    </row>
    <row r="617" spans="1:20">
      <c r="A617" s="190">
        <v>616</v>
      </c>
      <c r="B617" s="40">
        <v>180</v>
      </c>
      <c r="C617" s="40">
        <v>32</v>
      </c>
      <c r="F617" s="40"/>
      <c r="G617" s="40"/>
      <c r="H617" s="40" t="s">
        <v>4392</v>
      </c>
      <c r="I617" s="40" t="s">
        <v>3014</v>
      </c>
      <c r="J617" s="40" t="s">
        <v>4393</v>
      </c>
      <c r="K617" s="40" t="s">
        <v>4394</v>
      </c>
      <c r="L617" s="190">
        <v>46112</v>
      </c>
      <c r="M617" s="190">
        <v>0</v>
      </c>
      <c r="N617" s="40" t="s">
        <v>4395</v>
      </c>
      <c r="O617" s="41" t="str">
        <f t="shared" si="18"/>
        <v>EBS1_46112_0</v>
      </c>
      <c r="P617" s="41" t="s">
        <v>4396</v>
      </c>
      <c r="R617" s="41">
        <v>616</v>
      </c>
      <c r="T617" s="41" t="str">
        <f t="shared" si="19"/>
        <v>4611200:Var_ui_ErrNo:=616;</v>
      </c>
    </row>
    <row r="618" spans="1:20">
      <c r="A618" s="190">
        <v>617</v>
      </c>
      <c r="B618" s="40">
        <v>181</v>
      </c>
      <c r="C618" s="40">
        <v>32</v>
      </c>
      <c r="F618" s="40"/>
      <c r="G618" s="40"/>
      <c r="H618" s="40" t="s">
        <v>4397</v>
      </c>
      <c r="I618" s="40" t="s">
        <v>3014</v>
      </c>
      <c r="J618" s="40" t="s">
        <v>4398</v>
      </c>
      <c r="K618" s="40" t="s">
        <v>4399</v>
      </c>
      <c r="L618" s="190">
        <v>46368</v>
      </c>
      <c r="M618" s="190">
        <v>0</v>
      </c>
      <c r="N618" s="40" t="s">
        <v>4400</v>
      </c>
      <c r="O618" s="41" t="str">
        <f t="shared" si="18"/>
        <v>EBS1_46368_0</v>
      </c>
      <c r="P618" s="41" t="s">
        <v>4401</v>
      </c>
      <c r="R618" s="41">
        <v>617</v>
      </c>
      <c r="T618" s="41" t="str">
        <f t="shared" si="19"/>
        <v>4636800:Var_ui_ErrNo:=617;</v>
      </c>
    </row>
    <row r="619" spans="1:20">
      <c r="A619" s="190">
        <v>618</v>
      </c>
      <c r="B619" s="40">
        <v>182</v>
      </c>
      <c r="C619" s="40">
        <v>32</v>
      </c>
      <c r="F619" s="40"/>
      <c r="G619" s="40"/>
      <c r="H619" s="40" t="s">
        <v>4402</v>
      </c>
      <c r="I619" s="40" t="s">
        <v>3014</v>
      </c>
      <c r="J619" s="40" t="s">
        <v>4403</v>
      </c>
      <c r="K619" s="40" t="s">
        <v>4404</v>
      </c>
      <c r="L619" s="190">
        <v>46624</v>
      </c>
      <c r="M619" s="190">
        <v>0</v>
      </c>
      <c r="N619" s="40" t="s">
        <v>4405</v>
      </c>
      <c r="O619" s="41" t="str">
        <f t="shared" si="18"/>
        <v>EBS1_46624_0</v>
      </c>
      <c r="P619" s="41" t="s">
        <v>4406</v>
      </c>
      <c r="R619" s="41">
        <v>618</v>
      </c>
      <c r="T619" s="41" t="str">
        <f t="shared" si="19"/>
        <v>4662400:Var_ui_ErrNo:=618;</v>
      </c>
    </row>
    <row r="620" spans="1:20">
      <c r="A620" s="190">
        <v>619</v>
      </c>
      <c r="B620" s="40">
        <v>183</v>
      </c>
      <c r="C620" s="40">
        <v>32</v>
      </c>
      <c r="F620" s="40"/>
      <c r="G620" s="40"/>
      <c r="H620" s="40" t="s">
        <v>4407</v>
      </c>
      <c r="I620" s="40" t="s">
        <v>3014</v>
      </c>
      <c r="J620" s="40" t="s">
        <v>4408</v>
      </c>
      <c r="K620" s="40" t="s">
        <v>4409</v>
      </c>
      <c r="L620" s="190">
        <v>46880</v>
      </c>
      <c r="M620" s="190">
        <v>0</v>
      </c>
      <c r="N620" s="40" t="s">
        <v>4410</v>
      </c>
      <c r="O620" s="41" t="str">
        <f t="shared" si="18"/>
        <v>EBS1_46880_0</v>
      </c>
      <c r="P620" s="41" t="s">
        <v>4411</v>
      </c>
      <c r="R620" s="41">
        <v>619</v>
      </c>
      <c r="T620" s="41" t="str">
        <f t="shared" si="19"/>
        <v>4688000:Var_ui_ErrNo:=619;</v>
      </c>
    </row>
    <row r="621" spans="1:20">
      <c r="A621" s="190">
        <v>620</v>
      </c>
      <c r="B621" s="40">
        <v>184</v>
      </c>
      <c r="C621" s="40">
        <v>32</v>
      </c>
      <c r="F621" s="40"/>
      <c r="G621" s="40"/>
      <c r="H621" s="40" t="s">
        <v>4412</v>
      </c>
      <c r="I621" s="40" t="s">
        <v>3014</v>
      </c>
      <c r="J621" s="40" t="s">
        <v>4413</v>
      </c>
      <c r="K621" s="40" t="s">
        <v>4414</v>
      </c>
      <c r="L621" s="190">
        <v>47136</v>
      </c>
      <c r="M621" s="190">
        <v>0</v>
      </c>
      <c r="N621" s="40" t="s">
        <v>4415</v>
      </c>
      <c r="O621" s="41" t="str">
        <f t="shared" si="18"/>
        <v>EBS1_47136_0</v>
      </c>
      <c r="P621" s="41" t="s">
        <v>4416</v>
      </c>
      <c r="R621" s="41">
        <v>620</v>
      </c>
      <c r="T621" s="41" t="str">
        <f t="shared" si="19"/>
        <v>4713600:Var_ui_ErrNo:=620;</v>
      </c>
    </row>
    <row r="622" spans="1:20">
      <c r="A622" s="190">
        <v>621</v>
      </c>
      <c r="B622" s="40">
        <v>185</v>
      </c>
      <c r="C622" s="40">
        <v>32</v>
      </c>
      <c r="F622" s="40"/>
      <c r="G622" s="40"/>
      <c r="H622" s="40" t="s">
        <v>4417</v>
      </c>
      <c r="I622" s="40" t="s">
        <v>3014</v>
      </c>
      <c r="J622" s="40" t="s">
        <v>4418</v>
      </c>
      <c r="K622" s="40" t="s">
        <v>4419</v>
      </c>
      <c r="L622" s="190">
        <v>47392</v>
      </c>
      <c r="M622" s="190">
        <v>0</v>
      </c>
      <c r="N622" s="40" t="s">
        <v>4420</v>
      </c>
      <c r="O622" s="41" t="str">
        <f t="shared" si="18"/>
        <v>EBS1_47392_0</v>
      </c>
      <c r="P622" s="41" t="s">
        <v>4421</v>
      </c>
      <c r="R622" s="41">
        <v>621</v>
      </c>
      <c r="T622" s="41" t="str">
        <f t="shared" si="19"/>
        <v>4739200:Var_ui_ErrNo:=621;</v>
      </c>
    </row>
    <row r="623" spans="1:20">
      <c r="A623" s="190">
        <v>622</v>
      </c>
      <c r="B623" s="40">
        <v>180</v>
      </c>
      <c r="C623" s="40">
        <v>33</v>
      </c>
      <c r="F623" s="40"/>
      <c r="G623" s="40"/>
      <c r="H623" s="40" t="s">
        <v>4422</v>
      </c>
      <c r="I623" s="40" t="s">
        <v>3014</v>
      </c>
      <c r="J623" s="40" t="s">
        <v>4423</v>
      </c>
      <c r="K623" s="40" t="s">
        <v>4424</v>
      </c>
      <c r="L623" s="190">
        <v>46113</v>
      </c>
      <c r="M623" s="190">
        <v>0</v>
      </c>
      <c r="N623" s="40" t="s">
        <v>4425</v>
      </c>
      <c r="O623" s="41" t="str">
        <f t="shared" si="18"/>
        <v>EBS1_46113_0</v>
      </c>
      <c r="P623" s="41" t="s">
        <v>4426</v>
      </c>
      <c r="R623" s="41">
        <v>622</v>
      </c>
      <c r="T623" s="41" t="str">
        <f t="shared" si="19"/>
        <v>4611300:Var_ui_ErrNo:=622;</v>
      </c>
    </row>
    <row r="624" spans="1:20">
      <c r="A624" s="190">
        <v>623</v>
      </c>
      <c r="B624" s="40">
        <v>181</v>
      </c>
      <c r="C624" s="40">
        <v>33</v>
      </c>
      <c r="F624" s="40"/>
      <c r="G624" s="40"/>
      <c r="H624" s="40" t="s">
        <v>4427</v>
      </c>
      <c r="I624" s="40" t="s">
        <v>3014</v>
      </c>
      <c r="J624" s="40" t="s">
        <v>4428</v>
      </c>
      <c r="K624" s="40" t="s">
        <v>4429</v>
      </c>
      <c r="L624" s="190">
        <v>46369</v>
      </c>
      <c r="M624" s="190">
        <v>0</v>
      </c>
      <c r="N624" s="40" t="s">
        <v>4430</v>
      </c>
      <c r="O624" s="41" t="str">
        <f t="shared" si="18"/>
        <v>EBS1_46369_0</v>
      </c>
      <c r="P624" s="41" t="s">
        <v>4431</v>
      </c>
      <c r="R624" s="41">
        <v>623</v>
      </c>
      <c r="T624" s="41" t="str">
        <f t="shared" si="19"/>
        <v>4636900:Var_ui_ErrNo:=623;</v>
      </c>
    </row>
    <row r="625" spans="1:20">
      <c r="A625" s="190">
        <v>624</v>
      </c>
      <c r="B625" s="40">
        <v>182</v>
      </c>
      <c r="C625" s="40">
        <v>33</v>
      </c>
      <c r="F625" s="40"/>
      <c r="G625" s="40"/>
      <c r="H625" s="40" t="s">
        <v>4432</v>
      </c>
      <c r="I625" s="40" t="s">
        <v>3014</v>
      </c>
      <c r="J625" s="40" t="s">
        <v>4433</v>
      </c>
      <c r="K625" s="40" t="s">
        <v>4434</v>
      </c>
      <c r="L625" s="190">
        <v>46625</v>
      </c>
      <c r="M625" s="190">
        <v>0</v>
      </c>
      <c r="N625" s="40" t="s">
        <v>4435</v>
      </c>
      <c r="O625" s="41" t="str">
        <f t="shared" si="18"/>
        <v>EBS1_46625_0</v>
      </c>
      <c r="P625" s="41" t="s">
        <v>4436</v>
      </c>
      <c r="R625" s="41">
        <v>624</v>
      </c>
      <c r="T625" s="41" t="str">
        <f t="shared" si="19"/>
        <v>4662500:Var_ui_ErrNo:=624;</v>
      </c>
    </row>
    <row r="626" spans="1:20">
      <c r="A626" s="190">
        <v>625</v>
      </c>
      <c r="B626" s="40">
        <v>183</v>
      </c>
      <c r="C626" s="40">
        <v>33</v>
      </c>
      <c r="F626" s="40"/>
      <c r="G626" s="40"/>
      <c r="H626" s="40" t="s">
        <v>4437</v>
      </c>
      <c r="I626" s="40" t="s">
        <v>3014</v>
      </c>
      <c r="J626" s="40" t="s">
        <v>4438</v>
      </c>
      <c r="K626" s="40" t="s">
        <v>4439</v>
      </c>
      <c r="L626" s="190">
        <v>46881</v>
      </c>
      <c r="M626" s="190">
        <v>0</v>
      </c>
      <c r="N626" s="40" t="s">
        <v>4440</v>
      </c>
      <c r="O626" s="41" t="str">
        <f t="shared" si="18"/>
        <v>EBS1_46881_0</v>
      </c>
      <c r="P626" s="41" t="s">
        <v>4441</v>
      </c>
      <c r="R626" s="41">
        <v>625</v>
      </c>
      <c r="T626" s="41" t="str">
        <f t="shared" si="19"/>
        <v>4688100:Var_ui_ErrNo:=625;</v>
      </c>
    </row>
    <row r="627" spans="1:20">
      <c r="A627" s="190">
        <v>626</v>
      </c>
      <c r="B627" s="40">
        <v>184</v>
      </c>
      <c r="C627" s="40">
        <v>33</v>
      </c>
      <c r="F627" s="40"/>
      <c r="G627" s="40"/>
      <c r="H627" s="40" t="s">
        <v>4442</v>
      </c>
      <c r="I627" s="40" t="s">
        <v>3014</v>
      </c>
      <c r="J627" s="40" t="s">
        <v>4443</v>
      </c>
      <c r="K627" s="40" t="s">
        <v>4444</v>
      </c>
      <c r="L627" s="190">
        <v>47137</v>
      </c>
      <c r="M627" s="190">
        <v>0</v>
      </c>
      <c r="N627" s="40" t="s">
        <v>4445</v>
      </c>
      <c r="O627" s="41" t="str">
        <f t="shared" si="18"/>
        <v>EBS1_47137_0</v>
      </c>
      <c r="P627" s="41" t="s">
        <v>4446</v>
      </c>
      <c r="R627" s="41">
        <v>626</v>
      </c>
      <c r="T627" s="41" t="str">
        <f t="shared" si="19"/>
        <v>4713700:Var_ui_ErrNo:=626;</v>
      </c>
    </row>
    <row r="628" spans="1:20">
      <c r="A628" s="190">
        <v>627</v>
      </c>
      <c r="B628" s="40">
        <v>185</v>
      </c>
      <c r="C628" s="40">
        <v>33</v>
      </c>
      <c r="F628" s="40"/>
      <c r="G628" s="40"/>
      <c r="H628" s="40" t="s">
        <v>4447</v>
      </c>
      <c r="I628" s="40" t="s">
        <v>3014</v>
      </c>
      <c r="J628" s="40" t="s">
        <v>4448</v>
      </c>
      <c r="K628" s="40" t="s">
        <v>4449</v>
      </c>
      <c r="L628" s="190">
        <v>47393</v>
      </c>
      <c r="M628" s="190">
        <v>0</v>
      </c>
      <c r="N628" s="40" t="s">
        <v>4450</v>
      </c>
      <c r="O628" s="41" t="str">
        <f t="shared" si="18"/>
        <v>EBS1_47393_0</v>
      </c>
      <c r="P628" s="41" t="s">
        <v>4451</v>
      </c>
      <c r="R628" s="41">
        <v>627</v>
      </c>
      <c r="T628" s="41" t="str">
        <f t="shared" si="19"/>
        <v>4739300:Var_ui_ErrNo:=627;</v>
      </c>
    </row>
    <row r="629" spans="1:20">
      <c r="A629" s="190">
        <v>628</v>
      </c>
      <c r="B629" s="40">
        <v>180</v>
      </c>
      <c r="C629" s="40">
        <v>43</v>
      </c>
      <c r="F629" s="40"/>
      <c r="G629" s="40"/>
      <c r="H629" s="40" t="s">
        <v>4452</v>
      </c>
      <c r="I629" s="40" t="s">
        <v>3014</v>
      </c>
      <c r="J629" s="40" t="s">
        <v>4453</v>
      </c>
      <c r="K629" s="40" t="s">
        <v>4454</v>
      </c>
      <c r="L629" s="190">
        <v>46123</v>
      </c>
      <c r="M629" s="190">
        <v>0</v>
      </c>
      <c r="N629" s="40" t="s">
        <v>4455</v>
      </c>
      <c r="O629" s="41" t="str">
        <f t="shared" si="18"/>
        <v>EBS1_46123_0</v>
      </c>
      <c r="P629" s="41" t="s">
        <v>4456</v>
      </c>
      <c r="R629" s="41">
        <v>628</v>
      </c>
      <c r="T629" s="41" t="str">
        <f t="shared" si="19"/>
        <v>4612300:Var_ui_ErrNo:=628;</v>
      </c>
    </row>
    <row r="630" spans="1:20">
      <c r="A630" s="190">
        <v>629</v>
      </c>
      <c r="B630" s="40">
        <v>181</v>
      </c>
      <c r="C630" s="40">
        <v>43</v>
      </c>
      <c r="F630" s="40"/>
      <c r="G630" s="40"/>
      <c r="H630" s="40" t="s">
        <v>4457</v>
      </c>
      <c r="I630" s="40" t="s">
        <v>3014</v>
      </c>
      <c r="J630" s="40" t="s">
        <v>4458</v>
      </c>
      <c r="K630" s="40" t="s">
        <v>4459</v>
      </c>
      <c r="L630" s="190">
        <v>46379</v>
      </c>
      <c r="M630" s="190">
        <v>0</v>
      </c>
      <c r="N630" s="40" t="s">
        <v>4460</v>
      </c>
      <c r="O630" s="41" t="str">
        <f t="shared" si="18"/>
        <v>EBS1_46379_0</v>
      </c>
      <c r="P630" s="41" t="s">
        <v>4461</v>
      </c>
      <c r="R630" s="41">
        <v>629</v>
      </c>
      <c r="T630" s="41" t="str">
        <f t="shared" si="19"/>
        <v>4637900:Var_ui_ErrNo:=629;</v>
      </c>
    </row>
    <row r="631" spans="1:20">
      <c r="A631" s="190">
        <v>630</v>
      </c>
      <c r="B631" s="40">
        <v>182</v>
      </c>
      <c r="C631" s="40">
        <v>43</v>
      </c>
      <c r="F631" s="40"/>
      <c r="G631" s="40"/>
      <c r="H631" s="40" t="s">
        <v>4462</v>
      </c>
      <c r="I631" s="40" t="s">
        <v>3014</v>
      </c>
      <c r="J631" s="40" t="s">
        <v>4463</v>
      </c>
      <c r="K631" s="40" t="s">
        <v>4464</v>
      </c>
      <c r="L631" s="190">
        <v>46635</v>
      </c>
      <c r="M631" s="190">
        <v>0</v>
      </c>
      <c r="N631" s="40" t="s">
        <v>4465</v>
      </c>
      <c r="O631" s="41" t="str">
        <f t="shared" si="18"/>
        <v>EBS1_46635_0</v>
      </c>
      <c r="P631" s="41" t="s">
        <v>4466</v>
      </c>
      <c r="R631" s="41">
        <v>630</v>
      </c>
      <c r="T631" s="41" t="str">
        <f t="shared" si="19"/>
        <v>4663500:Var_ui_ErrNo:=630;</v>
      </c>
    </row>
    <row r="632" spans="1:20">
      <c r="A632" s="190">
        <v>631</v>
      </c>
      <c r="B632" s="40">
        <v>183</v>
      </c>
      <c r="C632" s="40">
        <v>43</v>
      </c>
      <c r="F632" s="40"/>
      <c r="G632" s="40"/>
      <c r="H632" s="40" t="s">
        <v>4467</v>
      </c>
      <c r="I632" s="40" t="s">
        <v>3014</v>
      </c>
      <c r="J632" s="40" t="s">
        <v>4468</v>
      </c>
      <c r="K632" s="40" t="s">
        <v>4469</v>
      </c>
      <c r="L632" s="190">
        <v>46891</v>
      </c>
      <c r="M632" s="190">
        <v>0</v>
      </c>
      <c r="N632" s="40" t="s">
        <v>4470</v>
      </c>
      <c r="O632" s="41" t="str">
        <f t="shared" si="18"/>
        <v>EBS1_46891_0</v>
      </c>
      <c r="P632" s="41" t="s">
        <v>4471</v>
      </c>
      <c r="R632" s="41">
        <v>631</v>
      </c>
      <c r="T632" s="41" t="str">
        <f t="shared" si="19"/>
        <v>4689100:Var_ui_ErrNo:=631;</v>
      </c>
    </row>
    <row r="633" spans="1:20">
      <c r="A633" s="190">
        <v>632</v>
      </c>
      <c r="B633" s="40">
        <v>184</v>
      </c>
      <c r="C633" s="40">
        <v>43</v>
      </c>
      <c r="F633" s="40"/>
      <c r="G633" s="40"/>
      <c r="H633" s="40" t="s">
        <v>4472</v>
      </c>
      <c r="I633" s="40" t="s">
        <v>3014</v>
      </c>
      <c r="J633" s="40" t="s">
        <v>4473</v>
      </c>
      <c r="K633" s="40" t="s">
        <v>4474</v>
      </c>
      <c r="L633" s="190">
        <v>47147</v>
      </c>
      <c r="M633" s="190">
        <v>0</v>
      </c>
      <c r="N633" s="40" t="s">
        <v>4475</v>
      </c>
      <c r="O633" s="41" t="str">
        <f t="shared" si="18"/>
        <v>EBS1_47147_0</v>
      </c>
      <c r="P633" s="41" t="s">
        <v>4476</v>
      </c>
      <c r="R633" s="41">
        <v>632</v>
      </c>
      <c r="T633" s="41" t="str">
        <f t="shared" si="19"/>
        <v>4714700:Var_ui_ErrNo:=632;</v>
      </c>
    </row>
    <row r="634" spans="1:20">
      <c r="A634" s="190">
        <v>633</v>
      </c>
      <c r="B634" s="40">
        <v>185</v>
      </c>
      <c r="C634" s="40">
        <v>43</v>
      </c>
      <c r="F634" s="40"/>
      <c r="G634" s="40"/>
      <c r="H634" s="40" t="s">
        <v>4477</v>
      </c>
      <c r="I634" s="40" t="s">
        <v>3014</v>
      </c>
      <c r="J634" s="40" t="s">
        <v>4478</v>
      </c>
      <c r="K634" s="40" t="s">
        <v>4479</v>
      </c>
      <c r="L634" s="190">
        <v>47403</v>
      </c>
      <c r="M634" s="190">
        <v>0</v>
      </c>
      <c r="N634" s="40" t="s">
        <v>4480</v>
      </c>
      <c r="O634" s="41" t="str">
        <f t="shared" si="18"/>
        <v>EBS1_47403_0</v>
      </c>
      <c r="P634" s="41" t="s">
        <v>4481</v>
      </c>
      <c r="R634" s="41">
        <v>633</v>
      </c>
      <c r="T634" s="41" t="str">
        <f t="shared" si="19"/>
        <v>4740300:Var_ui_ErrNo:=633;</v>
      </c>
    </row>
    <row r="635" spans="1:20">
      <c r="A635" s="190">
        <v>634</v>
      </c>
      <c r="B635" s="40">
        <v>190</v>
      </c>
      <c r="C635" s="40">
        <v>22</v>
      </c>
      <c r="F635" s="40"/>
      <c r="G635" s="40"/>
      <c r="H635" s="40" t="s">
        <v>4482</v>
      </c>
      <c r="I635" s="40" t="s">
        <v>3014</v>
      </c>
      <c r="J635" s="40" t="s">
        <v>4483</v>
      </c>
      <c r="K635" s="40" t="s">
        <v>4484</v>
      </c>
      <c r="L635" s="190">
        <v>48662</v>
      </c>
      <c r="M635" s="190">
        <v>0</v>
      </c>
      <c r="N635" s="40" t="s">
        <v>4485</v>
      </c>
      <c r="O635" s="41" t="str">
        <f t="shared" si="18"/>
        <v>EBS1_48662_0</v>
      </c>
      <c r="P635" s="41" t="s">
        <v>4486</v>
      </c>
      <c r="R635" s="41">
        <v>634</v>
      </c>
      <c r="T635" s="41" t="str">
        <f t="shared" si="19"/>
        <v>4866200:Var_ui_ErrNo:=634;</v>
      </c>
    </row>
    <row r="636" spans="1:20">
      <c r="A636" s="190">
        <v>635</v>
      </c>
      <c r="B636" s="40">
        <v>191</v>
      </c>
      <c r="C636" s="40">
        <v>22</v>
      </c>
      <c r="F636" s="40"/>
      <c r="G636" s="40"/>
      <c r="H636" s="40" t="s">
        <v>4487</v>
      </c>
      <c r="I636" s="40" t="s">
        <v>3014</v>
      </c>
      <c r="J636" s="40" t="s">
        <v>4488</v>
      </c>
      <c r="K636" s="40" t="s">
        <v>4489</v>
      </c>
      <c r="L636" s="190">
        <v>48918</v>
      </c>
      <c r="M636" s="190">
        <v>0</v>
      </c>
      <c r="N636" s="40" t="s">
        <v>4490</v>
      </c>
      <c r="O636" s="41" t="str">
        <f t="shared" si="18"/>
        <v>EBS1_48918_0</v>
      </c>
      <c r="P636" s="41" t="s">
        <v>4491</v>
      </c>
      <c r="R636" s="41">
        <v>635</v>
      </c>
      <c r="T636" s="41" t="str">
        <f t="shared" si="19"/>
        <v>4891800:Var_ui_ErrNo:=635;</v>
      </c>
    </row>
    <row r="637" spans="1:20">
      <c r="A637" s="190">
        <v>636</v>
      </c>
      <c r="B637" s="40">
        <v>192</v>
      </c>
      <c r="C637" s="40">
        <v>22</v>
      </c>
      <c r="F637" s="40"/>
      <c r="G637" s="40"/>
      <c r="H637" s="40" t="s">
        <v>4492</v>
      </c>
      <c r="I637" s="40" t="s">
        <v>3014</v>
      </c>
      <c r="J637" s="40" t="s">
        <v>4493</v>
      </c>
      <c r="K637" s="40" t="s">
        <v>4494</v>
      </c>
      <c r="L637" s="190">
        <v>49174</v>
      </c>
      <c r="M637" s="190">
        <v>0</v>
      </c>
      <c r="N637" s="40" t="s">
        <v>4495</v>
      </c>
      <c r="O637" s="41" t="str">
        <f t="shared" si="18"/>
        <v>EBS1_49174_0</v>
      </c>
      <c r="P637" s="41" t="s">
        <v>4496</v>
      </c>
      <c r="R637" s="41">
        <v>636</v>
      </c>
      <c r="T637" s="41" t="str">
        <f t="shared" si="19"/>
        <v>4917400:Var_ui_ErrNo:=636;</v>
      </c>
    </row>
    <row r="638" spans="1:20">
      <c r="A638" s="190">
        <v>637</v>
      </c>
      <c r="B638" s="40">
        <v>193</v>
      </c>
      <c r="C638" s="40">
        <v>22</v>
      </c>
      <c r="F638" s="40"/>
      <c r="G638" s="40"/>
      <c r="H638" s="40" t="s">
        <v>4497</v>
      </c>
      <c r="I638" s="40" t="s">
        <v>3014</v>
      </c>
      <c r="J638" s="40" t="s">
        <v>4498</v>
      </c>
      <c r="K638" s="40" t="s">
        <v>4499</v>
      </c>
      <c r="L638" s="190">
        <v>49430</v>
      </c>
      <c r="M638" s="190">
        <v>0</v>
      </c>
      <c r="N638" s="40" t="s">
        <v>4500</v>
      </c>
      <c r="O638" s="41" t="str">
        <f t="shared" si="18"/>
        <v>EBS1_49430_0</v>
      </c>
      <c r="P638" s="41" t="s">
        <v>4501</v>
      </c>
      <c r="R638" s="41">
        <v>637</v>
      </c>
      <c r="T638" s="41" t="str">
        <f t="shared" si="19"/>
        <v>4943000:Var_ui_ErrNo:=637;</v>
      </c>
    </row>
    <row r="639" spans="1:20">
      <c r="A639" s="190">
        <v>638</v>
      </c>
      <c r="B639" s="40">
        <v>194</v>
      </c>
      <c r="C639" s="40">
        <v>22</v>
      </c>
      <c r="F639" s="40"/>
      <c r="G639" s="40"/>
      <c r="H639" s="40" t="s">
        <v>4502</v>
      </c>
      <c r="I639" s="40" t="s">
        <v>3014</v>
      </c>
      <c r="J639" s="40" t="s">
        <v>4503</v>
      </c>
      <c r="K639" s="40" t="s">
        <v>4504</v>
      </c>
      <c r="L639" s="190">
        <v>49686</v>
      </c>
      <c r="M639" s="190">
        <v>0</v>
      </c>
      <c r="N639" s="40" t="s">
        <v>4505</v>
      </c>
      <c r="O639" s="41" t="str">
        <f t="shared" si="18"/>
        <v>EBS1_49686_0</v>
      </c>
      <c r="P639" s="41" t="s">
        <v>4506</v>
      </c>
      <c r="R639" s="41">
        <v>638</v>
      </c>
      <c r="T639" s="41" t="str">
        <f t="shared" si="19"/>
        <v>4968600:Var_ui_ErrNo:=638;</v>
      </c>
    </row>
    <row r="640" spans="1:20">
      <c r="A640" s="190">
        <v>639</v>
      </c>
      <c r="B640" s="40">
        <v>195</v>
      </c>
      <c r="C640" s="40">
        <v>22</v>
      </c>
      <c r="F640" s="40"/>
      <c r="G640" s="40"/>
      <c r="H640" s="40" t="s">
        <v>4507</v>
      </c>
      <c r="I640" s="40" t="s">
        <v>3014</v>
      </c>
      <c r="J640" s="40" t="s">
        <v>4508</v>
      </c>
      <c r="K640" s="40" t="s">
        <v>4509</v>
      </c>
      <c r="L640" s="190">
        <v>49942</v>
      </c>
      <c r="M640" s="190">
        <v>0</v>
      </c>
      <c r="N640" s="40" t="s">
        <v>4510</v>
      </c>
      <c r="O640" s="41" t="str">
        <f t="shared" si="18"/>
        <v>EBS1_49942_0</v>
      </c>
      <c r="P640" s="41" t="s">
        <v>4511</v>
      </c>
      <c r="R640" s="41">
        <v>639</v>
      </c>
      <c r="T640" s="41" t="str">
        <f t="shared" si="19"/>
        <v>4994200:Var_ui_ErrNo:=639;</v>
      </c>
    </row>
    <row r="641" spans="1:20">
      <c r="A641" s="190">
        <v>640</v>
      </c>
      <c r="B641" s="40">
        <v>190</v>
      </c>
      <c r="C641" s="40">
        <v>23</v>
      </c>
      <c r="F641" s="40"/>
      <c r="G641" s="40"/>
      <c r="H641" s="40" t="s">
        <v>4512</v>
      </c>
      <c r="I641" s="40" t="s">
        <v>3014</v>
      </c>
      <c r="J641" s="40" t="s">
        <v>4513</v>
      </c>
      <c r="K641" s="40" t="s">
        <v>4514</v>
      </c>
      <c r="L641" s="190">
        <v>48663</v>
      </c>
      <c r="M641" s="190">
        <v>0</v>
      </c>
      <c r="N641" s="40" t="s">
        <v>4515</v>
      </c>
      <c r="O641" s="41" t="str">
        <f t="shared" si="18"/>
        <v>EBS1_48663_0</v>
      </c>
      <c r="P641" s="41" t="s">
        <v>4516</v>
      </c>
      <c r="R641" s="41">
        <v>640</v>
      </c>
      <c r="T641" s="41" t="str">
        <f t="shared" si="19"/>
        <v>4866300:Var_ui_ErrNo:=640;</v>
      </c>
    </row>
    <row r="642" spans="1:20">
      <c r="A642" s="190">
        <v>641</v>
      </c>
      <c r="B642" s="40">
        <v>191</v>
      </c>
      <c r="C642" s="40">
        <v>23</v>
      </c>
      <c r="F642" s="40"/>
      <c r="G642" s="40"/>
      <c r="H642" s="40" t="s">
        <v>4517</v>
      </c>
      <c r="I642" s="40" t="s">
        <v>3014</v>
      </c>
      <c r="J642" s="40" t="s">
        <v>4518</v>
      </c>
      <c r="K642" s="40" t="s">
        <v>4519</v>
      </c>
      <c r="L642" s="190">
        <v>48919</v>
      </c>
      <c r="M642" s="190">
        <v>0</v>
      </c>
      <c r="N642" s="40" t="s">
        <v>4520</v>
      </c>
      <c r="O642" s="41" t="str">
        <f t="shared" ref="O642:O705" si="20">"EBS1_"&amp;L642&amp;"_"&amp;M642</f>
        <v>EBS1_48919_0</v>
      </c>
      <c r="P642" s="41" t="s">
        <v>4521</v>
      </c>
      <c r="R642" s="41">
        <v>641</v>
      </c>
      <c r="T642" s="41" t="str">
        <f t="shared" si="19"/>
        <v>4891900:Var_ui_ErrNo:=641;</v>
      </c>
    </row>
    <row r="643" spans="1:20">
      <c r="A643" s="190">
        <v>642</v>
      </c>
      <c r="B643" s="40">
        <v>192</v>
      </c>
      <c r="C643" s="40">
        <v>23</v>
      </c>
      <c r="F643" s="40"/>
      <c r="G643" s="40"/>
      <c r="H643" s="40" t="s">
        <v>4522</v>
      </c>
      <c r="I643" s="40" t="s">
        <v>3014</v>
      </c>
      <c r="J643" s="40" t="s">
        <v>4523</v>
      </c>
      <c r="K643" s="40" t="s">
        <v>4524</v>
      </c>
      <c r="L643" s="190">
        <v>49175</v>
      </c>
      <c r="M643" s="190">
        <v>0</v>
      </c>
      <c r="N643" s="40" t="s">
        <v>4525</v>
      </c>
      <c r="O643" s="41" t="str">
        <f t="shared" si="20"/>
        <v>EBS1_49175_0</v>
      </c>
      <c r="P643" s="41" t="s">
        <v>4526</v>
      </c>
      <c r="R643" s="41">
        <v>642</v>
      </c>
      <c r="T643" s="41" t="str">
        <f t="shared" ref="T643:T706" si="21">P643&amp;$Q$2&amp;R643&amp;$S$2</f>
        <v>4917500:Var_ui_ErrNo:=642;</v>
      </c>
    </row>
    <row r="644" spans="1:20">
      <c r="A644" s="190">
        <v>643</v>
      </c>
      <c r="B644" s="40">
        <v>193</v>
      </c>
      <c r="C644" s="40">
        <v>23</v>
      </c>
      <c r="F644" s="40"/>
      <c r="G644" s="40"/>
      <c r="H644" s="40" t="s">
        <v>4527</v>
      </c>
      <c r="I644" s="40" t="s">
        <v>3014</v>
      </c>
      <c r="J644" s="40" t="s">
        <v>4528</v>
      </c>
      <c r="K644" s="40" t="s">
        <v>4529</v>
      </c>
      <c r="L644" s="190">
        <v>49431</v>
      </c>
      <c r="M644" s="190">
        <v>0</v>
      </c>
      <c r="N644" s="40" t="s">
        <v>4530</v>
      </c>
      <c r="O644" s="41" t="str">
        <f t="shared" si="20"/>
        <v>EBS1_49431_0</v>
      </c>
      <c r="P644" s="41" t="s">
        <v>4531</v>
      </c>
      <c r="R644" s="41">
        <v>643</v>
      </c>
      <c r="T644" s="41" t="str">
        <f t="shared" si="21"/>
        <v>4943100:Var_ui_ErrNo:=643;</v>
      </c>
    </row>
    <row r="645" spans="1:20">
      <c r="A645" s="190">
        <v>644</v>
      </c>
      <c r="B645" s="40">
        <v>194</v>
      </c>
      <c r="C645" s="40">
        <v>23</v>
      </c>
      <c r="F645" s="40"/>
      <c r="G645" s="40"/>
      <c r="H645" s="40" t="s">
        <v>4532</v>
      </c>
      <c r="I645" s="40" t="s">
        <v>3014</v>
      </c>
      <c r="J645" s="40" t="s">
        <v>4533</v>
      </c>
      <c r="K645" s="40" t="s">
        <v>4534</v>
      </c>
      <c r="L645" s="190">
        <v>49687</v>
      </c>
      <c r="M645" s="190">
        <v>0</v>
      </c>
      <c r="N645" s="40" t="s">
        <v>4535</v>
      </c>
      <c r="O645" s="41" t="str">
        <f t="shared" si="20"/>
        <v>EBS1_49687_0</v>
      </c>
      <c r="P645" s="41" t="s">
        <v>4536</v>
      </c>
      <c r="R645" s="41">
        <v>644</v>
      </c>
      <c r="T645" s="41" t="str">
        <f t="shared" si="21"/>
        <v>4968700:Var_ui_ErrNo:=644;</v>
      </c>
    </row>
    <row r="646" spans="1:20">
      <c r="A646" s="190">
        <v>645</v>
      </c>
      <c r="B646" s="40">
        <v>195</v>
      </c>
      <c r="C646" s="40">
        <v>23</v>
      </c>
      <c r="F646" s="40"/>
      <c r="G646" s="40"/>
      <c r="H646" s="40" t="s">
        <v>4537</v>
      </c>
      <c r="I646" s="40" t="s">
        <v>3014</v>
      </c>
      <c r="J646" s="40" t="s">
        <v>4538</v>
      </c>
      <c r="K646" s="40" t="s">
        <v>4539</v>
      </c>
      <c r="L646" s="190">
        <v>49943</v>
      </c>
      <c r="M646" s="190">
        <v>0</v>
      </c>
      <c r="N646" s="40" t="s">
        <v>4540</v>
      </c>
      <c r="O646" s="41" t="str">
        <f t="shared" si="20"/>
        <v>EBS1_49943_0</v>
      </c>
      <c r="P646" s="41" t="s">
        <v>4541</v>
      </c>
      <c r="R646" s="41">
        <v>645</v>
      </c>
      <c r="T646" s="41" t="str">
        <f t="shared" si="21"/>
        <v>4994300:Var_ui_ErrNo:=645;</v>
      </c>
    </row>
    <row r="647" spans="1:20">
      <c r="A647" s="190">
        <v>646</v>
      </c>
      <c r="B647" s="40">
        <v>190</v>
      </c>
      <c r="C647" s="40">
        <v>27</v>
      </c>
      <c r="F647" s="40"/>
      <c r="G647" s="40"/>
      <c r="H647" s="40" t="s">
        <v>4542</v>
      </c>
      <c r="I647" s="40" t="s">
        <v>3014</v>
      </c>
      <c r="J647" s="40" t="s">
        <v>4543</v>
      </c>
      <c r="K647" s="40" t="s">
        <v>4544</v>
      </c>
      <c r="L647" s="190">
        <v>48667</v>
      </c>
      <c r="M647" s="190">
        <v>0</v>
      </c>
      <c r="N647" s="40" t="s">
        <v>4545</v>
      </c>
      <c r="O647" s="41" t="str">
        <f t="shared" si="20"/>
        <v>EBS1_48667_0</v>
      </c>
      <c r="P647" s="41" t="s">
        <v>4546</v>
      </c>
      <c r="R647" s="41">
        <v>646</v>
      </c>
      <c r="T647" s="41" t="str">
        <f t="shared" si="21"/>
        <v>4866700:Var_ui_ErrNo:=646;</v>
      </c>
    </row>
    <row r="648" spans="1:20">
      <c r="A648" s="190">
        <v>647</v>
      </c>
      <c r="B648" s="40">
        <v>191</v>
      </c>
      <c r="C648" s="40">
        <v>27</v>
      </c>
      <c r="F648" s="40"/>
      <c r="G648" s="40"/>
      <c r="H648" s="40" t="s">
        <v>4547</v>
      </c>
      <c r="I648" s="40" t="s">
        <v>3014</v>
      </c>
      <c r="J648" s="40" t="s">
        <v>4548</v>
      </c>
      <c r="K648" s="40" t="s">
        <v>4549</v>
      </c>
      <c r="L648" s="190">
        <v>48923</v>
      </c>
      <c r="M648" s="190">
        <v>0</v>
      </c>
      <c r="N648" s="40" t="s">
        <v>4550</v>
      </c>
      <c r="O648" s="41" t="str">
        <f t="shared" si="20"/>
        <v>EBS1_48923_0</v>
      </c>
      <c r="P648" s="41" t="s">
        <v>4551</v>
      </c>
      <c r="R648" s="41">
        <v>647</v>
      </c>
      <c r="T648" s="41" t="str">
        <f t="shared" si="21"/>
        <v>4892300:Var_ui_ErrNo:=647;</v>
      </c>
    </row>
    <row r="649" spans="1:20">
      <c r="A649" s="190">
        <v>648</v>
      </c>
      <c r="B649" s="40">
        <v>192</v>
      </c>
      <c r="C649" s="40">
        <v>27</v>
      </c>
      <c r="F649" s="40"/>
      <c r="G649" s="40"/>
      <c r="H649" s="40" t="s">
        <v>4552</v>
      </c>
      <c r="I649" s="40" t="s">
        <v>3014</v>
      </c>
      <c r="J649" s="40" t="s">
        <v>4553</v>
      </c>
      <c r="K649" s="40" t="s">
        <v>4554</v>
      </c>
      <c r="L649" s="190">
        <v>49179</v>
      </c>
      <c r="M649" s="190">
        <v>0</v>
      </c>
      <c r="N649" s="40" t="s">
        <v>4555</v>
      </c>
      <c r="O649" s="41" t="str">
        <f t="shared" si="20"/>
        <v>EBS1_49179_0</v>
      </c>
      <c r="P649" s="41" t="s">
        <v>4556</v>
      </c>
      <c r="R649" s="41">
        <v>648</v>
      </c>
      <c r="T649" s="41" t="str">
        <f t="shared" si="21"/>
        <v>4917900:Var_ui_ErrNo:=648;</v>
      </c>
    </row>
    <row r="650" spans="1:20">
      <c r="A650" s="190">
        <v>649</v>
      </c>
      <c r="B650" s="40">
        <v>193</v>
      </c>
      <c r="C650" s="40">
        <v>27</v>
      </c>
      <c r="F650" s="40"/>
      <c r="G650" s="40"/>
      <c r="H650" s="40" t="s">
        <v>4557</v>
      </c>
      <c r="I650" s="40" t="s">
        <v>3014</v>
      </c>
      <c r="J650" s="40" t="s">
        <v>4558</v>
      </c>
      <c r="K650" s="40" t="s">
        <v>4559</v>
      </c>
      <c r="L650" s="190">
        <v>49435</v>
      </c>
      <c r="M650" s="190">
        <v>0</v>
      </c>
      <c r="N650" s="40" t="s">
        <v>4560</v>
      </c>
      <c r="O650" s="41" t="str">
        <f t="shared" si="20"/>
        <v>EBS1_49435_0</v>
      </c>
      <c r="P650" s="41" t="s">
        <v>4561</v>
      </c>
      <c r="R650" s="41">
        <v>649</v>
      </c>
      <c r="T650" s="41" t="str">
        <f t="shared" si="21"/>
        <v>4943500:Var_ui_ErrNo:=649;</v>
      </c>
    </row>
    <row r="651" spans="1:20">
      <c r="A651" s="190">
        <v>650</v>
      </c>
      <c r="B651" s="40">
        <v>194</v>
      </c>
      <c r="C651" s="40">
        <v>27</v>
      </c>
      <c r="F651" s="40"/>
      <c r="G651" s="40"/>
      <c r="H651" s="40" t="s">
        <v>4562</v>
      </c>
      <c r="I651" s="40" t="s">
        <v>3014</v>
      </c>
      <c r="J651" s="40" t="s">
        <v>4563</v>
      </c>
      <c r="K651" s="40" t="s">
        <v>4564</v>
      </c>
      <c r="L651" s="190">
        <v>49691</v>
      </c>
      <c r="M651" s="190">
        <v>0</v>
      </c>
      <c r="N651" s="40" t="s">
        <v>4565</v>
      </c>
      <c r="O651" s="41" t="str">
        <f t="shared" si="20"/>
        <v>EBS1_49691_0</v>
      </c>
      <c r="P651" s="41" t="s">
        <v>4566</v>
      </c>
      <c r="R651" s="41">
        <v>650</v>
      </c>
      <c r="T651" s="41" t="str">
        <f t="shared" si="21"/>
        <v>4969100:Var_ui_ErrNo:=650;</v>
      </c>
    </row>
    <row r="652" spans="1:20">
      <c r="A652" s="190">
        <v>651</v>
      </c>
      <c r="B652" s="40">
        <v>195</v>
      </c>
      <c r="C652" s="40">
        <v>27</v>
      </c>
      <c r="F652" s="40"/>
      <c r="G652" s="40"/>
      <c r="H652" s="40" t="s">
        <v>4567</v>
      </c>
      <c r="I652" s="40" t="s">
        <v>3014</v>
      </c>
      <c r="J652" s="40" t="s">
        <v>4568</v>
      </c>
      <c r="K652" s="40" t="s">
        <v>4569</v>
      </c>
      <c r="L652" s="190">
        <v>49947</v>
      </c>
      <c r="M652" s="190">
        <v>0</v>
      </c>
      <c r="N652" s="40" t="s">
        <v>4570</v>
      </c>
      <c r="O652" s="41" t="str">
        <f t="shared" si="20"/>
        <v>EBS1_49947_0</v>
      </c>
      <c r="P652" s="41" t="s">
        <v>4571</v>
      </c>
      <c r="R652" s="41">
        <v>651</v>
      </c>
      <c r="T652" s="41" t="str">
        <f t="shared" si="21"/>
        <v>4994700:Var_ui_ErrNo:=651;</v>
      </c>
    </row>
    <row r="653" spans="1:20">
      <c r="A653" s="190">
        <v>652</v>
      </c>
      <c r="B653" s="40">
        <v>190</v>
      </c>
      <c r="C653" s="40">
        <v>28</v>
      </c>
      <c r="F653" s="40"/>
      <c r="G653" s="40"/>
      <c r="H653" s="40" t="s">
        <v>4572</v>
      </c>
      <c r="I653" s="40" t="s">
        <v>4573</v>
      </c>
      <c r="J653" s="40" t="s">
        <v>4574</v>
      </c>
      <c r="K653" s="40" t="s">
        <v>4575</v>
      </c>
      <c r="L653" s="190">
        <v>48668</v>
      </c>
      <c r="M653" s="190">
        <v>0</v>
      </c>
      <c r="N653" s="40" t="s">
        <v>4576</v>
      </c>
      <c r="O653" s="41" t="str">
        <f t="shared" si="20"/>
        <v>EBS1_48668_0</v>
      </c>
      <c r="P653" s="41" t="s">
        <v>4577</v>
      </c>
      <c r="R653" s="41">
        <v>652</v>
      </c>
      <c r="T653" s="41" t="str">
        <f t="shared" si="21"/>
        <v>4866800:Var_ui_ErrNo:=652;</v>
      </c>
    </row>
    <row r="654" spans="1:20">
      <c r="A654" s="190">
        <v>653</v>
      </c>
      <c r="B654" s="40">
        <v>191</v>
      </c>
      <c r="C654" s="40">
        <v>28</v>
      </c>
      <c r="F654" s="40"/>
      <c r="G654" s="40"/>
      <c r="H654" s="40" t="s">
        <v>4578</v>
      </c>
      <c r="I654" s="40" t="s">
        <v>4573</v>
      </c>
      <c r="J654" s="40" t="s">
        <v>4579</v>
      </c>
      <c r="K654" s="40" t="s">
        <v>4580</v>
      </c>
      <c r="L654" s="190">
        <v>48924</v>
      </c>
      <c r="M654" s="190">
        <v>0</v>
      </c>
      <c r="N654" s="40" t="s">
        <v>4581</v>
      </c>
      <c r="O654" s="41" t="str">
        <f t="shared" si="20"/>
        <v>EBS1_48924_0</v>
      </c>
      <c r="P654" s="41" t="s">
        <v>4582</v>
      </c>
      <c r="R654" s="41">
        <v>653</v>
      </c>
      <c r="T654" s="41" t="str">
        <f t="shared" si="21"/>
        <v>4892400:Var_ui_ErrNo:=653;</v>
      </c>
    </row>
    <row r="655" spans="1:20">
      <c r="A655" s="190">
        <v>654</v>
      </c>
      <c r="B655" s="40">
        <v>192</v>
      </c>
      <c r="C655" s="40">
        <v>28</v>
      </c>
      <c r="F655" s="40"/>
      <c r="G655" s="40"/>
      <c r="H655" s="40" t="s">
        <v>4583</v>
      </c>
      <c r="I655" s="40" t="s">
        <v>4573</v>
      </c>
      <c r="J655" s="40" t="s">
        <v>4584</v>
      </c>
      <c r="K655" s="40" t="s">
        <v>4585</v>
      </c>
      <c r="L655" s="190">
        <v>49180</v>
      </c>
      <c r="M655" s="190">
        <v>0</v>
      </c>
      <c r="N655" s="40" t="s">
        <v>4586</v>
      </c>
      <c r="O655" s="41" t="str">
        <f t="shared" si="20"/>
        <v>EBS1_49180_0</v>
      </c>
      <c r="P655" s="41" t="s">
        <v>4587</v>
      </c>
      <c r="R655" s="41">
        <v>654</v>
      </c>
      <c r="T655" s="41" t="str">
        <f t="shared" si="21"/>
        <v>4918000:Var_ui_ErrNo:=654;</v>
      </c>
    </row>
    <row r="656" spans="1:20">
      <c r="A656" s="190">
        <v>655</v>
      </c>
      <c r="B656" s="40">
        <v>193</v>
      </c>
      <c r="C656" s="40">
        <v>28</v>
      </c>
      <c r="F656" s="40"/>
      <c r="G656" s="40"/>
      <c r="H656" s="40" t="s">
        <v>4588</v>
      </c>
      <c r="I656" s="40" t="s">
        <v>4573</v>
      </c>
      <c r="J656" s="40" t="s">
        <v>4589</v>
      </c>
      <c r="K656" s="40" t="s">
        <v>4590</v>
      </c>
      <c r="L656" s="190">
        <v>49436</v>
      </c>
      <c r="M656" s="190">
        <v>0</v>
      </c>
      <c r="N656" s="40" t="s">
        <v>4591</v>
      </c>
      <c r="O656" s="41" t="str">
        <f t="shared" si="20"/>
        <v>EBS1_49436_0</v>
      </c>
      <c r="P656" s="41" t="s">
        <v>4592</v>
      </c>
      <c r="R656" s="41">
        <v>655</v>
      </c>
      <c r="T656" s="41" t="str">
        <f t="shared" si="21"/>
        <v>4943600:Var_ui_ErrNo:=655;</v>
      </c>
    </row>
    <row r="657" spans="1:20">
      <c r="A657" s="190">
        <v>656</v>
      </c>
      <c r="B657" s="40">
        <v>194</v>
      </c>
      <c r="C657" s="40">
        <v>28</v>
      </c>
      <c r="F657" s="40"/>
      <c r="G657" s="40"/>
      <c r="H657" s="40" t="s">
        <v>4593</v>
      </c>
      <c r="I657" s="40" t="s">
        <v>4573</v>
      </c>
      <c r="J657" s="40" t="s">
        <v>4594</v>
      </c>
      <c r="K657" s="40" t="s">
        <v>4595</v>
      </c>
      <c r="L657" s="190">
        <v>49692</v>
      </c>
      <c r="M657" s="190">
        <v>0</v>
      </c>
      <c r="N657" s="40" t="s">
        <v>4596</v>
      </c>
      <c r="O657" s="41" t="str">
        <f t="shared" si="20"/>
        <v>EBS1_49692_0</v>
      </c>
      <c r="P657" s="41" t="s">
        <v>4597</v>
      </c>
      <c r="R657" s="41">
        <v>656</v>
      </c>
      <c r="T657" s="41" t="str">
        <f t="shared" si="21"/>
        <v>4969200:Var_ui_ErrNo:=656;</v>
      </c>
    </row>
    <row r="658" spans="1:20">
      <c r="A658" s="190">
        <v>657</v>
      </c>
      <c r="B658" s="40">
        <v>195</v>
      </c>
      <c r="C658" s="40">
        <v>28</v>
      </c>
      <c r="F658" s="40"/>
      <c r="G658" s="40"/>
      <c r="H658" s="40" t="s">
        <v>4598</v>
      </c>
      <c r="I658" s="40" t="s">
        <v>4573</v>
      </c>
      <c r="J658" s="40" t="s">
        <v>4599</v>
      </c>
      <c r="K658" s="40" t="s">
        <v>4600</v>
      </c>
      <c r="L658" s="190">
        <v>49948</v>
      </c>
      <c r="M658" s="190">
        <v>0</v>
      </c>
      <c r="N658" s="40" t="s">
        <v>4601</v>
      </c>
      <c r="O658" s="41" t="str">
        <f t="shared" si="20"/>
        <v>EBS1_49948_0</v>
      </c>
      <c r="P658" s="41" t="s">
        <v>4602</v>
      </c>
      <c r="R658" s="41">
        <v>657</v>
      </c>
      <c r="T658" s="41" t="str">
        <f t="shared" si="21"/>
        <v>4994800:Var_ui_ErrNo:=657;</v>
      </c>
    </row>
    <row r="659" spans="1:20">
      <c r="A659" s="190">
        <v>658</v>
      </c>
      <c r="B659" s="40">
        <v>200</v>
      </c>
      <c r="C659" s="40">
        <v>60</v>
      </c>
      <c r="F659" s="40"/>
      <c r="G659" s="40"/>
      <c r="H659" s="40" t="s">
        <v>4603</v>
      </c>
      <c r="I659" s="40" t="s">
        <v>4604</v>
      </c>
      <c r="J659" s="40" t="s">
        <v>4605</v>
      </c>
      <c r="K659" s="40" t="s">
        <v>4606</v>
      </c>
      <c r="L659" s="190">
        <v>51260</v>
      </c>
      <c r="M659" s="190">
        <v>0</v>
      </c>
      <c r="N659" s="40" t="s">
        <v>4607</v>
      </c>
      <c r="O659" s="41" t="str">
        <f t="shared" si="20"/>
        <v>EBS1_51260_0</v>
      </c>
      <c r="P659" s="41" t="s">
        <v>4608</v>
      </c>
      <c r="R659" s="41">
        <v>658</v>
      </c>
      <c r="T659" s="41" t="str">
        <f t="shared" si="21"/>
        <v>5126000:Var_ui_ErrNo:=658;</v>
      </c>
    </row>
    <row r="660" spans="1:20">
      <c r="A660" s="190">
        <v>659</v>
      </c>
      <c r="B660" s="40">
        <v>201</v>
      </c>
      <c r="C660" s="40">
        <v>60</v>
      </c>
      <c r="F660" s="40"/>
      <c r="G660" s="40"/>
      <c r="H660" s="40" t="s">
        <v>4609</v>
      </c>
      <c r="I660" s="40" t="s">
        <v>4604</v>
      </c>
      <c r="J660" s="40" t="s">
        <v>4610</v>
      </c>
      <c r="K660" s="40" t="s">
        <v>4611</v>
      </c>
      <c r="L660" s="190">
        <v>51516</v>
      </c>
      <c r="M660" s="190">
        <v>0</v>
      </c>
      <c r="N660" s="40" t="s">
        <v>4612</v>
      </c>
      <c r="O660" s="41" t="str">
        <f t="shared" si="20"/>
        <v>EBS1_51516_0</v>
      </c>
      <c r="P660" s="41" t="s">
        <v>4613</v>
      </c>
      <c r="R660" s="41">
        <v>659</v>
      </c>
      <c r="T660" s="41" t="str">
        <f t="shared" si="21"/>
        <v>5151600:Var_ui_ErrNo:=659;</v>
      </c>
    </row>
    <row r="661" spans="1:20">
      <c r="A661" s="190">
        <v>660</v>
      </c>
      <c r="B661" s="40">
        <v>202</v>
      </c>
      <c r="C661" s="40">
        <v>60</v>
      </c>
      <c r="F661" s="40"/>
      <c r="G661" s="40"/>
      <c r="H661" s="40" t="s">
        <v>4614</v>
      </c>
      <c r="I661" s="40" t="s">
        <v>4604</v>
      </c>
      <c r="J661" s="40" t="s">
        <v>4615</v>
      </c>
      <c r="K661" s="40" t="s">
        <v>4616</v>
      </c>
      <c r="L661" s="190">
        <v>51772</v>
      </c>
      <c r="M661" s="190">
        <v>0</v>
      </c>
      <c r="N661" s="40" t="s">
        <v>4617</v>
      </c>
      <c r="O661" s="41" t="str">
        <f t="shared" si="20"/>
        <v>EBS1_51772_0</v>
      </c>
      <c r="P661" s="41" t="s">
        <v>4618</v>
      </c>
      <c r="R661" s="41">
        <v>660</v>
      </c>
      <c r="T661" s="41" t="str">
        <f t="shared" si="21"/>
        <v>5177200:Var_ui_ErrNo:=660;</v>
      </c>
    </row>
    <row r="662" spans="1:20">
      <c r="A662" s="190">
        <v>661</v>
      </c>
      <c r="B662" s="40">
        <v>203</v>
      </c>
      <c r="C662" s="40">
        <v>60</v>
      </c>
      <c r="F662" s="40"/>
      <c r="G662" s="40"/>
      <c r="H662" s="40" t="s">
        <v>4619</v>
      </c>
      <c r="I662" s="40" t="s">
        <v>4604</v>
      </c>
      <c r="J662" s="40" t="s">
        <v>4620</v>
      </c>
      <c r="K662" s="40" t="s">
        <v>4621</v>
      </c>
      <c r="L662" s="190">
        <v>52028</v>
      </c>
      <c r="M662" s="190">
        <v>0</v>
      </c>
      <c r="N662" s="40" t="s">
        <v>4622</v>
      </c>
      <c r="O662" s="41" t="str">
        <f t="shared" si="20"/>
        <v>EBS1_52028_0</v>
      </c>
      <c r="P662" s="41" t="s">
        <v>4623</v>
      </c>
      <c r="R662" s="41">
        <v>661</v>
      </c>
      <c r="T662" s="41" t="str">
        <f t="shared" si="21"/>
        <v>5202800:Var_ui_ErrNo:=661;</v>
      </c>
    </row>
    <row r="663" spans="1:20">
      <c r="A663" s="190">
        <v>662</v>
      </c>
      <c r="B663" s="40">
        <v>204</v>
      </c>
      <c r="C663" s="40">
        <v>60</v>
      </c>
      <c r="F663" s="40"/>
      <c r="G663" s="40"/>
      <c r="H663" s="40" t="s">
        <v>4624</v>
      </c>
      <c r="I663" s="40" t="s">
        <v>4604</v>
      </c>
      <c r="J663" s="40" t="s">
        <v>4625</v>
      </c>
      <c r="K663" s="40" t="s">
        <v>4626</v>
      </c>
      <c r="L663" s="190">
        <v>52284</v>
      </c>
      <c r="M663" s="190">
        <v>0</v>
      </c>
      <c r="N663" s="40" t="s">
        <v>4627</v>
      </c>
      <c r="O663" s="41" t="str">
        <f t="shared" si="20"/>
        <v>EBS1_52284_0</v>
      </c>
      <c r="P663" s="41" t="s">
        <v>4628</v>
      </c>
      <c r="R663" s="41">
        <v>662</v>
      </c>
      <c r="T663" s="41" t="str">
        <f t="shared" si="21"/>
        <v>5228400:Var_ui_ErrNo:=662;</v>
      </c>
    </row>
    <row r="664" spans="1:20">
      <c r="A664" s="190">
        <v>663</v>
      </c>
      <c r="B664" s="40">
        <v>205</v>
      </c>
      <c r="C664" s="40">
        <v>60</v>
      </c>
      <c r="F664" s="40"/>
      <c r="G664" s="40"/>
      <c r="H664" s="40" t="s">
        <v>4629</v>
      </c>
      <c r="I664" s="40" t="s">
        <v>4604</v>
      </c>
      <c r="J664" s="40" t="s">
        <v>4630</v>
      </c>
      <c r="K664" s="40" t="s">
        <v>4631</v>
      </c>
      <c r="L664" s="190">
        <v>52540</v>
      </c>
      <c r="M664" s="190">
        <v>0</v>
      </c>
      <c r="N664" s="40" t="s">
        <v>4632</v>
      </c>
      <c r="O664" s="41" t="str">
        <f t="shared" si="20"/>
        <v>EBS1_52540_0</v>
      </c>
      <c r="P664" s="41" t="s">
        <v>4633</v>
      </c>
      <c r="R664" s="41">
        <v>663</v>
      </c>
      <c r="T664" s="41" t="str">
        <f t="shared" si="21"/>
        <v>5254000:Var_ui_ErrNo:=663;</v>
      </c>
    </row>
    <row r="665" spans="1:20">
      <c r="A665" s="190">
        <v>664</v>
      </c>
      <c r="B665" s="40">
        <v>200</v>
      </c>
      <c r="C665" s="40">
        <v>61</v>
      </c>
      <c r="F665" s="40"/>
      <c r="G665" s="40"/>
      <c r="H665" s="40" t="s">
        <v>4634</v>
      </c>
      <c r="I665" s="40" t="s">
        <v>4635</v>
      </c>
      <c r="J665" s="40" t="s">
        <v>4636</v>
      </c>
      <c r="K665" s="40" t="s">
        <v>4637</v>
      </c>
      <c r="L665" s="190">
        <v>51261</v>
      </c>
      <c r="M665" s="190">
        <v>0</v>
      </c>
      <c r="N665" s="40" t="s">
        <v>4638</v>
      </c>
      <c r="O665" s="41" t="str">
        <f t="shared" si="20"/>
        <v>EBS1_51261_0</v>
      </c>
      <c r="P665" s="41" t="s">
        <v>4639</v>
      </c>
      <c r="R665" s="41">
        <v>664</v>
      </c>
      <c r="T665" s="41" t="str">
        <f t="shared" si="21"/>
        <v>5126100:Var_ui_ErrNo:=664;</v>
      </c>
    </row>
    <row r="666" spans="1:20">
      <c r="A666" s="190">
        <v>665</v>
      </c>
      <c r="B666" s="40">
        <v>201</v>
      </c>
      <c r="C666" s="40">
        <v>61</v>
      </c>
      <c r="F666" s="40"/>
      <c r="G666" s="40"/>
      <c r="H666" s="40" t="s">
        <v>4640</v>
      </c>
      <c r="I666" s="40" t="s">
        <v>4635</v>
      </c>
      <c r="J666" s="40" t="s">
        <v>4641</v>
      </c>
      <c r="K666" s="40" t="s">
        <v>4642</v>
      </c>
      <c r="L666" s="190">
        <v>51517</v>
      </c>
      <c r="M666" s="190">
        <v>0</v>
      </c>
      <c r="N666" s="40" t="s">
        <v>4643</v>
      </c>
      <c r="O666" s="41" t="str">
        <f t="shared" si="20"/>
        <v>EBS1_51517_0</v>
      </c>
      <c r="P666" s="41" t="s">
        <v>4644</v>
      </c>
      <c r="R666" s="41">
        <v>665</v>
      </c>
      <c r="T666" s="41" t="str">
        <f t="shared" si="21"/>
        <v>5151700:Var_ui_ErrNo:=665;</v>
      </c>
    </row>
    <row r="667" spans="1:20">
      <c r="A667" s="190">
        <v>666</v>
      </c>
      <c r="B667" s="40">
        <v>202</v>
      </c>
      <c r="C667" s="40">
        <v>61</v>
      </c>
      <c r="F667" s="40"/>
      <c r="G667" s="40"/>
      <c r="H667" s="40" t="s">
        <v>4645</v>
      </c>
      <c r="I667" s="40" t="s">
        <v>4635</v>
      </c>
      <c r="J667" s="40" t="s">
        <v>4646</v>
      </c>
      <c r="K667" s="40" t="s">
        <v>4647</v>
      </c>
      <c r="L667" s="190">
        <v>51773</v>
      </c>
      <c r="M667" s="190">
        <v>0</v>
      </c>
      <c r="N667" s="40" t="s">
        <v>4648</v>
      </c>
      <c r="O667" s="41" t="str">
        <f t="shared" si="20"/>
        <v>EBS1_51773_0</v>
      </c>
      <c r="P667" s="41" t="s">
        <v>4649</v>
      </c>
      <c r="R667" s="41">
        <v>666</v>
      </c>
      <c r="T667" s="41" t="str">
        <f t="shared" si="21"/>
        <v>5177300:Var_ui_ErrNo:=666;</v>
      </c>
    </row>
    <row r="668" spans="1:20">
      <c r="A668" s="190">
        <v>667</v>
      </c>
      <c r="B668" s="40">
        <v>203</v>
      </c>
      <c r="C668" s="40">
        <v>61</v>
      </c>
      <c r="F668" s="40"/>
      <c r="G668" s="40"/>
      <c r="H668" s="40" t="s">
        <v>4650</v>
      </c>
      <c r="I668" s="40" t="s">
        <v>4635</v>
      </c>
      <c r="J668" s="40" t="s">
        <v>4651</v>
      </c>
      <c r="K668" s="40" t="s">
        <v>4652</v>
      </c>
      <c r="L668" s="190">
        <v>52029</v>
      </c>
      <c r="M668" s="190">
        <v>0</v>
      </c>
      <c r="N668" s="40" t="s">
        <v>4653</v>
      </c>
      <c r="O668" s="41" t="str">
        <f t="shared" si="20"/>
        <v>EBS1_52029_0</v>
      </c>
      <c r="P668" s="41" t="s">
        <v>4654</v>
      </c>
      <c r="R668" s="41">
        <v>667</v>
      </c>
      <c r="T668" s="41" t="str">
        <f t="shared" si="21"/>
        <v>5202900:Var_ui_ErrNo:=667;</v>
      </c>
    </row>
    <row r="669" spans="1:20">
      <c r="A669" s="190">
        <v>668</v>
      </c>
      <c r="B669" s="40">
        <v>204</v>
      </c>
      <c r="C669" s="40">
        <v>61</v>
      </c>
      <c r="F669" s="40"/>
      <c r="G669" s="40"/>
      <c r="H669" s="40" t="s">
        <v>4655</v>
      </c>
      <c r="I669" s="40" t="s">
        <v>4635</v>
      </c>
      <c r="J669" s="40" t="s">
        <v>4656</v>
      </c>
      <c r="K669" s="40" t="s">
        <v>4657</v>
      </c>
      <c r="L669" s="190">
        <v>52285</v>
      </c>
      <c r="M669" s="190">
        <v>0</v>
      </c>
      <c r="N669" s="40" t="s">
        <v>4658</v>
      </c>
      <c r="O669" s="41" t="str">
        <f t="shared" si="20"/>
        <v>EBS1_52285_0</v>
      </c>
      <c r="P669" s="41" t="s">
        <v>4659</v>
      </c>
      <c r="R669" s="41">
        <v>668</v>
      </c>
      <c r="T669" s="41" t="str">
        <f t="shared" si="21"/>
        <v>5228500:Var_ui_ErrNo:=668;</v>
      </c>
    </row>
    <row r="670" spans="1:20">
      <c r="A670" s="190">
        <v>669</v>
      </c>
      <c r="B670" s="40">
        <v>205</v>
      </c>
      <c r="C670" s="40">
        <v>61</v>
      </c>
      <c r="F670" s="40"/>
      <c r="G670" s="40"/>
      <c r="H670" s="40" t="s">
        <v>4660</v>
      </c>
      <c r="I670" s="40" t="s">
        <v>4635</v>
      </c>
      <c r="J670" s="40" t="s">
        <v>4661</v>
      </c>
      <c r="K670" s="40" t="s">
        <v>4662</v>
      </c>
      <c r="L670" s="190">
        <v>52541</v>
      </c>
      <c r="M670" s="190">
        <v>0</v>
      </c>
      <c r="N670" s="40" t="s">
        <v>4663</v>
      </c>
      <c r="O670" s="41" t="str">
        <f t="shared" si="20"/>
        <v>EBS1_52541_0</v>
      </c>
      <c r="P670" s="41" t="s">
        <v>4664</v>
      </c>
      <c r="R670" s="41">
        <v>669</v>
      </c>
      <c r="T670" s="41" t="str">
        <f t="shared" si="21"/>
        <v>5254100:Var_ui_ErrNo:=669;</v>
      </c>
    </row>
    <row r="671" spans="1:20">
      <c r="A671" s="190">
        <v>670</v>
      </c>
      <c r="B671" s="40">
        <v>200</v>
      </c>
      <c r="C671" s="40">
        <v>62</v>
      </c>
      <c r="F671" s="40"/>
      <c r="G671" s="40"/>
      <c r="H671" s="40" t="s">
        <v>4665</v>
      </c>
      <c r="I671" s="40" t="s">
        <v>4666</v>
      </c>
      <c r="J671" s="40" t="s">
        <v>4667</v>
      </c>
      <c r="K671" s="40" t="s">
        <v>4668</v>
      </c>
      <c r="L671" s="190">
        <v>51262</v>
      </c>
      <c r="M671" s="190">
        <v>0</v>
      </c>
      <c r="N671" s="40" t="s">
        <v>4669</v>
      </c>
      <c r="O671" s="41" t="str">
        <f t="shared" si="20"/>
        <v>EBS1_51262_0</v>
      </c>
      <c r="P671" s="41" t="s">
        <v>4670</v>
      </c>
      <c r="R671" s="41">
        <v>670</v>
      </c>
      <c r="T671" s="41" t="str">
        <f t="shared" si="21"/>
        <v>5126200:Var_ui_ErrNo:=670;</v>
      </c>
    </row>
    <row r="672" spans="1:20">
      <c r="A672" s="190">
        <v>671</v>
      </c>
      <c r="B672" s="40">
        <v>201</v>
      </c>
      <c r="C672" s="40">
        <v>62</v>
      </c>
      <c r="F672" s="40"/>
      <c r="G672" s="40"/>
      <c r="H672" s="40" t="s">
        <v>4671</v>
      </c>
      <c r="I672" s="40" t="s">
        <v>4666</v>
      </c>
      <c r="J672" s="40" t="s">
        <v>4672</v>
      </c>
      <c r="K672" s="40" t="s">
        <v>4673</v>
      </c>
      <c r="L672" s="190">
        <v>51518</v>
      </c>
      <c r="M672" s="190">
        <v>0</v>
      </c>
      <c r="N672" s="40" t="s">
        <v>4674</v>
      </c>
      <c r="O672" s="41" t="str">
        <f t="shared" si="20"/>
        <v>EBS1_51518_0</v>
      </c>
      <c r="P672" s="41" t="s">
        <v>4675</v>
      </c>
      <c r="R672" s="41">
        <v>671</v>
      </c>
      <c r="T672" s="41" t="str">
        <f t="shared" si="21"/>
        <v>5151800:Var_ui_ErrNo:=671;</v>
      </c>
    </row>
    <row r="673" spans="1:20">
      <c r="A673" s="190">
        <v>672</v>
      </c>
      <c r="B673" s="40">
        <v>202</v>
      </c>
      <c r="C673" s="40">
        <v>62</v>
      </c>
      <c r="F673" s="40"/>
      <c r="G673" s="40"/>
      <c r="H673" s="40" t="s">
        <v>4676</v>
      </c>
      <c r="I673" s="40" t="s">
        <v>4666</v>
      </c>
      <c r="J673" s="40" t="s">
        <v>4677</v>
      </c>
      <c r="K673" s="40" t="s">
        <v>4678</v>
      </c>
      <c r="L673" s="190">
        <v>51774</v>
      </c>
      <c r="M673" s="190">
        <v>0</v>
      </c>
      <c r="N673" s="40" t="s">
        <v>4679</v>
      </c>
      <c r="O673" s="41" t="str">
        <f t="shared" si="20"/>
        <v>EBS1_51774_0</v>
      </c>
      <c r="P673" s="41" t="s">
        <v>4680</v>
      </c>
      <c r="R673" s="41">
        <v>672</v>
      </c>
      <c r="T673" s="41" t="str">
        <f t="shared" si="21"/>
        <v>5177400:Var_ui_ErrNo:=672;</v>
      </c>
    </row>
    <row r="674" spans="1:20">
      <c r="A674" s="190">
        <v>673</v>
      </c>
      <c r="B674" s="40">
        <v>203</v>
      </c>
      <c r="C674" s="40">
        <v>62</v>
      </c>
      <c r="F674" s="40"/>
      <c r="G674" s="40"/>
      <c r="H674" s="40" t="s">
        <v>4681</v>
      </c>
      <c r="I674" s="40" t="s">
        <v>4666</v>
      </c>
      <c r="J674" s="40" t="s">
        <v>4682</v>
      </c>
      <c r="K674" s="40" t="s">
        <v>4683</v>
      </c>
      <c r="L674" s="190">
        <v>52030</v>
      </c>
      <c r="M674" s="190">
        <v>0</v>
      </c>
      <c r="N674" s="40" t="s">
        <v>4684</v>
      </c>
      <c r="O674" s="41" t="str">
        <f t="shared" si="20"/>
        <v>EBS1_52030_0</v>
      </c>
      <c r="P674" s="41" t="s">
        <v>4685</v>
      </c>
      <c r="R674" s="41">
        <v>673</v>
      </c>
      <c r="T674" s="41" t="str">
        <f t="shared" si="21"/>
        <v>5203000:Var_ui_ErrNo:=673;</v>
      </c>
    </row>
    <row r="675" spans="1:20">
      <c r="A675" s="190">
        <v>674</v>
      </c>
      <c r="B675" s="40">
        <v>204</v>
      </c>
      <c r="C675" s="40">
        <v>62</v>
      </c>
      <c r="F675" s="40"/>
      <c r="G675" s="40"/>
      <c r="H675" s="40" t="s">
        <v>4686</v>
      </c>
      <c r="I675" s="40" t="s">
        <v>4666</v>
      </c>
      <c r="J675" s="40" t="s">
        <v>4687</v>
      </c>
      <c r="K675" s="40" t="s">
        <v>4688</v>
      </c>
      <c r="L675" s="190">
        <v>52286</v>
      </c>
      <c r="M675" s="190">
        <v>0</v>
      </c>
      <c r="N675" s="40" t="s">
        <v>4689</v>
      </c>
      <c r="O675" s="41" t="str">
        <f t="shared" si="20"/>
        <v>EBS1_52286_0</v>
      </c>
      <c r="P675" s="41" t="s">
        <v>4690</v>
      </c>
      <c r="R675" s="41">
        <v>674</v>
      </c>
      <c r="T675" s="41" t="str">
        <f t="shared" si="21"/>
        <v>5228600:Var_ui_ErrNo:=674;</v>
      </c>
    </row>
    <row r="676" spans="1:20">
      <c r="A676" s="190">
        <v>675</v>
      </c>
      <c r="B676" s="40">
        <v>205</v>
      </c>
      <c r="C676" s="40">
        <v>62</v>
      </c>
      <c r="F676" s="40"/>
      <c r="G676" s="40"/>
      <c r="H676" s="40" t="s">
        <v>4691</v>
      </c>
      <c r="I676" s="40" t="s">
        <v>4666</v>
      </c>
      <c r="J676" s="40" t="s">
        <v>4692</v>
      </c>
      <c r="K676" s="40" t="s">
        <v>4693</v>
      </c>
      <c r="L676" s="190">
        <v>52542</v>
      </c>
      <c r="M676" s="190">
        <v>0</v>
      </c>
      <c r="N676" s="40" t="s">
        <v>4694</v>
      </c>
      <c r="O676" s="41" t="str">
        <f t="shared" si="20"/>
        <v>EBS1_52542_0</v>
      </c>
      <c r="P676" s="41" t="s">
        <v>4695</v>
      </c>
      <c r="R676" s="41">
        <v>675</v>
      </c>
      <c r="T676" s="41" t="str">
        <f t="shared" si="21"/>
        <v>5254200:Var_ui_ErrNo:=675;</v>
      </c>
    </row>
    <row r="677" spans="1:20">
      <c r="A677" s="190">
        <v>676</v>
      </c>
      <c r="B677" s="40">
        <v>200</v>
      </c>
      <c r="C677" s="40">
        <v>63</v>
      </c>
      <c r="F677" s="40"/>
      <c r="G677" s="40"/>
      <c r="H677" s="40" t="s">
        <v>4696</v>
      </c>
      <c r="I677" s="40" t="s">
        <v>4697</v>
      </c>
      <c r="J677" s="40" t="s">
        <v>4698</v>
      </c>
      <c r="K677" s="40" t="s">
        <v>4699</v>
      </c>
      <c r="L677" s="190">
        <v>51263</v>
      </c>
      <c r="M677" s="190">
        <v>0</v>
      </c>
      <c r="N677" s="40" t="s">
        <v>4700</v>
      </c>
      <c r="O677" s="41" t="str">
        <f t="shared" si="20"/>
        <v>EBS1_51263_0</v>
      </c>
      <c r="P677" s="41" t="s">
        <v>4701</v>
      </c>
      <c r="R677" s="41">
        <v>676</v>
      </c>
      <c r="T677" s="41" t="str">
        <f t="shared" si="21"/>
        <v>5126300:Var_ui_ErrNo:=676;</v>
      </c>
    </row>
    <row r="678" spans="1:20">
      <c r="A678" s="190">
        <v>677</v>
      </c>
      <c r="B678" s="40">
        <v>201</v>
      </c>
      <c r="C678" s="40">
        <v>63</v>
      </c>
      <c r="F678" s="40"/>
      <c r="G678" s="40"/>
      <c r="H678" s="40" t="s">
        <v>4702</v>
      </c>
      <c r="I678" s="40" t="s">
        <v>4697</v>
      </c>
      <c r="J678" s="40" t="s">
        <v>4703</v>
      </c>
      <c r="K678" s="40" t="s">
        <v>4704</v>
      </c>
      <c r="L678" s="190">
        <v>51519</v>
      </c>
      <c r="M678" s="190">
        <v>0</v>
      </c>
      <c r="N678" s="40" t="s">
        <v>4705</v>
      </c>
      <c r="O678" s="41" t="str">
        <f t="shared" si="20"/>
        <v>EBS1_51519_0</v>
      </c>
      <c r="P678" s="41" t="s">
        <v>4706</v>
      </c>
      <c r="R678" s="41">
        <v>677</v>
      </c>
      <c r="T678" s="41" t="str">
        <f t="shared" si="21"/>
        <v>5151900:Var_ui_ErrNo:=677;</v>
      </c>
    </row>
    <row r="679" spans="1:20">
      <c r="A679" s="190">
        <v>678</v>
      </c>
      <c r="B679" s="40">
        <v>202</v>
      </c>
      <c r="C679" s="40">
        <v>63</v>
      </c>
      <c r="F679" s="40"/>
      <c r="G679" s="40"/>
      <c r="H679" s="40" t="s">
        <v>4707</v>
      </c>
      <c r="I679" s="40" t="s">
        <v>4697</v>
      </c>
      <c r="J679" s="40" t="s">
        <v>4708</v>
      </c>
      <c r="K679" s="40" t="s">
        <v>4709</v>
      </c>
      <c r="L679" s="190">
        <v>51775</v>
      </c>
      <c r="M679" s="190">
        <v>0</v>
      </c>
      <c r="N679" s="40" t="s">
        <v>4710</v>
      </c>
      <c r="O679" s="41" t="str">
        <f t="shared" si="20"/>
        <v>EBS1_51775_0</v>
      </c>
      <c r="P679" s="41" t="s">
        <v>4711</v>
      </c>
      <c r="R679" s="41">
        <v>678</v>
      </c>
      <c r="T679" s="41" t="str">
        <f t="shared" si="21"/>
        <v>5177500:Var_ui_ErrNo:=678;</v>
      </c>
    </row>
    <row r="680" spans="1:20">
      <c r="A680" s="190">
        <v>679</v>
      </c>
      <c r="B680" s="40">
        <v>203</v>
      </c>
      <c r="C680" s="40">
        <v>63</v>
      </c>
      <c r="F680" s="40"/>
      <c r="G680" s="40"/>
      <c r="H680" s="40" t="s">
        <v>4712</v>
      </c>
      <c r="I680" s="40" t="s">
        <v>4697</v>
      </c>
      <c r="J680" s="40" t="s">
        <v>4713</v>
      </c>
      <c r="K680" s="40" t="s">
        <v>4714</v>
      </c>
      <c r="L680" s="190">
        <v>52031</v>
      </c>
      <c r="M680" s="190">
        <v>0</v>
      </c>
      <c r="N680" s="40" t="s">
        <v>4715</v>
      </c>
      <c r="O680" s="41" t="str">
        <f t="shared" si="20"/>
        <v>EBS1_52031_0</v>
      </c>
      <c r="P680" s="41" t="s">
        <v>4716</v>
      </c>
      <c r="R680" s="41">
        <v>679</v>
      </c>
      <c r="T680" s="41" t="str">
        <f t="shared" si="21"/>
        <v>5203100:Var_ui_ErrNo:=679;</v>
      </c>
    </row>
    <row r="681" spans="1:20">
      <c r="A681" s="190">
        <v>680</v>
      </c>
      <c r="B681" s="40">
        <v>204</v>
      </c>
      <c r="C681" s="40">
        <v>63</v>
      </c>
      <c r="F681" s="40"/>
      <c r="G681" s="40"/>
      <c r="H681" s="40" t="s">
        <v>4717</v>
      </c>
      <c r="I681" s="40" t="s">
        <v>4697</v>
      </c>
      <c r="J681" s="40" t="s">
        <v>4718</v>
      </c>
      <c r="K681" s="40" t="s">
        <v>4719</v>
      </c>
      <c r="L681" s="190">
        <v>52287</v>
      </c>
      <c r="M681" s="190">
        <v>0</v>
      </c>
      <c r="N681" s="40" t="s">
        <v>4720</v>
      </c>
      <c r="O681" s="41" t="str">
        <f t="shared" si="20"/>
        <v>EBS1_52287_0</v>
      </c>
      <c r="P681" s="41" t="s">
        <v>4721</v>
      </c>
      <c r="R681" s="41">
        <v>680</v>
      </c>
      <c r="T681" s="41" t="str">
        <f t="shared" si="21"/>
        <v>5228700:Var_ui_ErrNo:=680;</v>
      </c>
    </row>
    <row r="682" spans="1:20">
      <c r="A682" s="190">
        <v>681</v>
      </c>
      <c r="B682" s="40">
        <v>205</v>
      </c>
      <c r="C682" s="40">
        <v>63</v>
      </c>
      <c r="F682" s="40"/>
      <c r="G682" s="40"/>
      <c r="H682" s="40" t="s">
        <v>4722</v>
      </c>
      <c r="I682" s="40" t="s">
        <v>4697</v>
      </c>
      <c r="J682" s="40" t="s">
        <v>4723</v>
      </c>
      <c r="K682" s="40" t="s">
        <v>4724</v>
      </c>
      <c r="L682" s="190">
        <v>52543</v>
      </c>
      <c r="M682" s="190">
        <v>0</v>
      </c>
      <c r="N682" s="40" t="s">
        <v>4725</v>
      </c>
      <c r="O682" s="41" t="str">
        <f t="shared" si="20"/>
        <v>EBS1_52543_0</v>
      </c>
      <c r="P682" s="41" t="s">
        <v>4726</v>
      </c>
      <c r="R682" s="41">
        <v>681</v>
      </c>
      <c r="T682" s="41" t="str">
        <f t="shared" si="21"/>
        <v>5254300:Var_ui_ErrNo:=681;</v>
      </c>
    </row>
    <row r="683" spans="1:20">
      <c r="A683" s="190">
        <v>682</v>
      </c>
      <c r="B683" s="40">
        <v>200</v>
      </c>
      <c r="C683" s="40">
        <v>64</v>
      </c>
      <c r="F683" s="40"/>
      <c r="G683" s="40"/>
      <c r="H683" s="40" t="s">
        <v>4727</v>
      </c>
      <c r="I683" s="40" t="s">
        <v>4728</v>
      </c>
      <c r="J683" s="40" t="s">
        <v>4729</v>
      </c>
      <c r="K683" s="40" t="s">
        <v>4730</v>
      </c>
      <c r="L683" s="190">
        <v>51264</v>
      </c>
      <c r="M683" s="190">
        <v>0</v>
      </c>
      <c r="N683" s="40" t="s">
        <v>4731</v>
      </c>
      <c r="O683" s="41" t="str">
        <f t="shared" si="20"/>
        <v>EBS1_51264_0</v>
      </c>
      <c r="P683" s="41" t="s">
        <v>4732</v>
      </c>
      <c r="R683" s="41">
        <v>682</v>
      </c>
      <c r="T683" s="41" t="str">
        <f t="shared" si="21"/>
        <v>5126400:Var_ui_ErrNo:=682;</v>
      </c>
    </row>
    <row r="684" spans="1:20">
      <c r="A684" s="190">
        <v>683</v>
      </c>
      <c r="B684" s="40">
        <v>201</v>
      </c>
      <c r="C684" s="40">
        <v>64</v>
      </c>
      <c r="F684" s="40"/>
      <c r="G684" s="40"/>
      <c r="H684" s="40" t="s">
        <v>4733</v>
      </c>
      <c r="I684" s="40" t="s">
        <v>4728</v>
      </c>
      <c r="J684" s="40" t="s">
        <v>4734</v>
      </c>
      <c r="K684" s="40" t="s">
        <v>4735</v>
      </c>
      <c r="L684" s="190">
        <v>51520</v>
      </c>
      <c r="M684" s="190">
        <v>0</v>
      </c>
      <c r="N684" s="40" t="s">
        <v>4736</v>
      </c>
      <c r="O684" s="41" t="str">
        <f t="shared" si="20"/>
        <v>EBS1_51520_0</v>
      </c>
      <c r="P684" s="41" t="s">
        <v>4737</v>
      </c>
      <c r="R684" s="41">
        <v>683</v>
      </c>
      <c r="T684" s="41" t="str">
        <f t="shared" si="21"/>
        <v>5152000:Var_ui_ErrNo:=683;</v>
      </c>
    </row>
    <row r="685" spans="1:20">
      <c r="A685" s="190">
        <v>684</v>
      </c>
      <c r="B685" s="40">
        <v>202</v>
      </c>
      <c r="C685" s="40">
        <v>64</v>
      </c>
      <c r="F685" s="40"/>
      <c r="G685" s="40"/>
      <c r="H685" s="40" t="s">
        <v>4738</v>
      </c>
      <c r="I685" s="40" t="s">
        <v>4728</v>
      </c>
      <c r="J685" s="40" t="s">
        <v>4739</v>
      </c>
      <c r="K685" s="40" t="s">
        <v>4740</v>
      </c>
      <c r="L685" s="190">
        <v>51776</v>
      </c>
      <c r="M685" s="190">
        <v>0</v>
      </c>
      <c r="N685" s="40" t="s">
        <v>4741</v>
      </c>
      <c r="O685" s="41" t="str">
        <f t="shared" si="20"/>
        <v>EBS1_51776_0</v>
      </c>
      <c r="P685" s="41" t="s">
        <v>4742</v>
      </c>
      <c r="R685" s="41">
        <v>684</v>
      </c>
      <c r="T685" s="41" t="str">
        <f t="shared" si="21"/>
        <v>5177600:Var_ui_ErrNo:=684;</v>
      </c>
    </row>
    <row r="686" spans="1:20">
      <c r="A686" s="190">
        <v>685</v>
      </c>
      <c r="B686" s="40">
        <v>203</v>
      </c>
      <c r="C686" s="40">
        <v>64</v>
      </c>
      <c r="F686" s="40"/>
      <c r="G686" s="40"/>
      <c r="H686" s="40" t="s">
        <v>4743</v>
      </c>
      <c r="I686" s="40" t="s">
        <v>4728</v>
      </c>
      <c r="J686" s="40" t="s">
        <v>4744</v>
      </c>
      <c r="K686" s="40" t="s">
        <v>4745</v>
      </c>
      <c r="L686" s="190">
        <v>52032</v>
      </c>
      <c r="M686" s="190">
        <v>0</v>
      </c>
      <c r="N686" s="40" t="s">
        <v>4746</v>
      </c>
      <c r="O686" s="41" t="str">
        <f t="shared" si="20"/>
        <v>EBS1_52032_0</v>
      </c>
      <c r="P686" s="41" t="s">
        <v>4747</v>
      </c>
      <c r="R686" s="41">
        <v>685</v>
      </c>
      <c r="T686" s="41" t="str">
        <f t="shared" si="21"/>
        <v>5203200:Var_ui_ErrNo:=685;</v>
      </c>
    </row>
    <row r="687" spans="1:20">
      <c r="A687" s="190">
        <v>686</v>
      </c>
      <c r="B687" s="40">
        <v>204</v>
      </c>
      <c r="C687" s="40">
        <v>64</v>
      </c>
      <c r="F687" s="40"/>
      <c r="G687" s="40"/>
      <c r="H687" s="40" t="s">
        <v>4748</v>
      </c>
      <c r="I687" s="40" t="s">
        <v>4728</v>
      </c>
      <c r="J687" s="40" t="s">
        <v>4749</v>
      </c>
      <c r="K687" s="40" t="s">
        <v>4750</v>
      </c>
      <c r="L687" s="190">
        <v>52288</v>
      </c>
      <c r="M687" s="190">
        <v>0</v>
      </c>
      <c r="N687" s="40" t="s">
        <v>4751</v>
      </c>
      <c r="O687" s="41" t="str">
        <f t="shared" si="20"/>
        <v>EBS1_52288_0</v>
      </c>
      <c r="P687" s="41" t="s">
        <v>4752</v>
      </c>
      <c r="R687" s="41">
        <v>686</v>
      </c>
      <c r="T687" s="41" t="str">
        <f t="shared" si="21"/>
        <v>5228800:Var_ui_ErrNo:=686;</v>
      </c>
    </row>
    <row r="688" spans="1:20">
      <c r="A688" s="190">
        <v>687</v>
      </c>
      <c r="B688" s="40">
        <v>205</v>
      </c>
      <c r="C688" s="40">
        <v>64</v>
      </c>
      <c r="F688" s="40"/>
      <c r="G688" s="40"/>
      <c r="H688" s="40" t="s">
        <v>4753</v>
      </c>
      <c r="I688" s="40" t="s">
        <v>4728</v>
      </c>
      <c r="J688" s="40" t="s">
        <v>4754</v>
      </c>
      <c r="K688" s="40" t="s">
        <v>4755</v>
      </c>
      <c r="L688" s="190">
        <v>52544</v>
      </c>
      <c r="M688" s="190">
        <v>0</v>
      </c>
      <c r="N688" s="40" t="s">
        <v>4756</v>
      </c>
      <c r="O688" s="41" t="str">
        <f t="shared" si="20"/>
        <v>EBS1_52544_0</v>
      </c>
      <c r="P688" s="41" t="s">
        <v>4757</v>
      </c>
      <c r="R688" s="41">
        <v>687</v>
      </c>
      <c r="T688" s="41" t="str">
        <f t="shared" si="21"/>
        <v>5254400:Var_ui_ErrNo:=687;</v>
      </c>
    </row>
    <row r="689" spans="1:20">
      <c r="A689" s="190">
        <v>688</v>
      </c>
      <c r="B689" s="40">
        <v>200</v>
      </c>
      <c r="C689" s="40">
        <v>65</v>
      </c>
      <c r="F689" s="40"/>
      <c r="G689" s="40"/>
      <c r="H689" s="40" t="s">
        <v>4758</v>
      </c>
      <c r="I689" s="40" t="s">
        <v>4759</v>
      </c>
      <c r="J689" s="40" t="s">
        <v>4760</v>
      </c>
      <c r="K689" s="40" t="s">
        <v>4761</v>
      </c>
      <c r="L689" s="190">
        <v>51265</v>
      </c>
      <c r="M689" s="190">
        <v>0</v>
      </c>
      <c r="N689" s="40" t="s">
        <v>4762</v>
      </c>
      <c r="O689" s="41" t="str">
        <f t="shared" si="20"/>
        <v>EBS1_51265_0</v>
      </c>
      <c r="P689" s="41" t="s">
        <v>4763</v>
      </c>
      <c r="R689" s="41">
        <v>688</v>
      </c>
      <c r="T689" s="41" t="str">
        <f t="shared" si="21"/>
        <v>5126500:Var_ui_ErrNo:=688;</v>
      </c>
    </row>
    <row r="690" spans="1:20">
      <c r="A690" s="190">
        <v>689</v>
      </c>
      <c r="B690" s="40">
        <v>201</v>
      </c>
      <c r="C690" s="40">
        <v>65</v>
      </c>
      <c r="F690" s="40"/>
      <c r="G690" s="40"/>
      <c r="H690" s="40" t="s">
        <v>4764</v>
      </c>
      <c r="I690" s="40" t="s">
        <v>4759</v>
      </c>
      <c r="J690" s="40" t="s">
        <v>4765</v>
      </c>
      <c r="K690" s="40" t="s">
        <v>4766</v>
      </c>
      <c r="L690" s="190">
        <v>51521</v>
      </c>
      <c r="M690" s="190">
        <v>0</v>
      </c>
      <c r="N690" s="40" t="s">
        <v>4767</v>
      </c>
      <c r="O690" s="41" t="str">
        <f t="shared" si="20"/>
        <v>EBS1_51521_0</v>
      </c>
      <c r="P690" s="41" t="s">
        <v>4768</v>
      </c>
      <c r="R690" s="41">
        <v>689</v>
      </c>
      <c r="T690" s="41" t="str">
        <f t="shared" si="21"/>
        <v>5152100:Var_ui_ErrNo:=689;</v>
      </c>
    </row>
    <row r="691" spans="1:20">
      <c r="A691" s="190">
        <v>690</v>
      </c>
      <c r="B691" s="40">
        <v>202</v>
      </c>
      <c r="C691" s="40">
        <v>65</v>
      </c>
      <c r="F691" s="40"/>
      <c r="G691" s="40"/>
      <c r="H691" s="40" t="s">
        <v>4769</v>
      </c>
      <c r="I691" s="40" t="s">
        <v>4759</v>
      </c>
      <c r="J691" s="40" t="s">
        <v>4770</v>
      </c>
      <c r="K691" s="40" t="s">
        <v>4771</v>
      </c>
      <c r="L691" s="190">
        <v>51777</v>
      </c>
      <c r="M691" s="190">
        <v>0</v>
      </c>
      <c r="N691" s="40" t="s">
        <v>4772</v>
      </c>
      <c r="O691" s="41" t="str">
        <f t="shared" si="20"/>
        <v>EBS1_51777_0</v>
      </c>
      <c r="P691" s="41" t="s">
        <v>4773</v>
      </c>
      <c r="R691" s="41">
        <v>690</v>
      </c>
      <c r="T691" s="41" t="str">
        <f t="shared" si="21"/>
        <v>5177700:Var_ui_ErrNo:=690;</v>
      </c>
    </row>
    <row r="692" spans="1:20">
      <c r="A692" s="190">
        <v>691</v>
      </c>
      <c r="B692" s="40">
        <v>203</v>
      </c>
      <c r="C692" s="40">
        <v>65</v>
      </c>
      <c r="F692" s="40"/>
      <c r="G692" s="40"/>
      <c r="H692" s="40" t="s">
        <v>4774</v>
      </c>
      <c r="I692" s="40" t="s">
        <v>4759</v>
      </c>
      <c r="J692" s="40" t="s">
        <v>4775</v>
      </c>
      <c r="K692" s="40" t="s">
        <v>4776</v>
      </c>
      <c r="L692" s="190">
        <v>52033</v>
      </c>
      <c r="M692" s="190">
        <v>0</v>
      </c>
      <c r="N692" s="40" t="s">
        <v>4777</v>
      </c>
      <c r="O692" s="41" t="str">
        <f t="shared" si="20"/>
        <v>EBS1_52033_0</v>
      </c>
      <c r="P692" s="41" t="s">
        <v>4778</v>
      </c>
      <c r="R692" s="41">
        <v>691</v>
      </c>
      <c r="T692" s="41" t="str">
        <f t="shared" si="21"/>
        <v>5203300:Var_ui_ErrNo:=691;</v>
      </c>
    </row>
    <row r="693" spans="1:20">
      <c r="A693" s="190">
        <v>692</v>
      </c>
      <c r="B693" s="40">
        <v>204</v>
      </c>
      <c r="C693" s="40">
        <v>65</v>
      </c>
      <c r="F693" s="40"/>
      <c r="G693" s="40"/>
      <c r="H693" s="40" t="s">
        <v>4779</v>
      </c>
      <c r="I693" s="40" t="s">
        <v>4759</v>
      </c>
      <c r="J693" s="40" t="s">
        <v>4780</v>
      </c>
      <c r="K693" s="40" t="s">
        <v>4781</v>
      </c>
      <c r="L693" s="190">
        <v>52289</v>
      </c>
      <c r="M693" s="190">
        <v>0</v>
      </c>
      <c r="N693" s="40" t="s">
        <v>4782</v>
      </c>
      <c r="O693" s="41" t="str">
        <f t="shared" si="20"/>
        <v>EBS1_52289_0</v>
      </c>
      <c r="P693" s="41" t="s">
        <v>4783</v>
      </c>
      <c r="R693" s="41">
        <v>692</v>
      </c>
      <c r="T693" s="41" t="str">
        <f t="shared" si="21"/>
        <v>5228900:Var_ui_ErrNo:=692;</v>
      </c>
    </row>
    <row r="694" spans="1:20">
      <c r="A694" s="190">
        <v>693</v>
      </c>
      <c r="B694" s="40">
        <v>205</v>
      </c>
      <c r="C694" s="40">
        <v>65</v>
      </c>
      <c r="F694" s="40"/>
      <c r="G694" s="40"/>
      <c r="H694" s="40" t="s">
        <v>4784</v>
      </c>
      <c r="I694" s="40" t="s">
        <v>4759</v>
      </c>
      <c r="J694" s="40" t="s">
        <v>4785</v>
      </c>
      <c r="K694" s="40" t="s">
        <v>4786</v>
      </c>
      <c r="L694" s="190">
        <v>52545</v>
      </c>
      <c r="M694" s="190">
        <v>0</v>
      </c>
      <c r="N694" s="40" t="s">
        <v>4787</v>
      </c>
      <c r="O694" s="41" t="str">
        <f t="shared" si="20"/>
        <v>EBS1_52545_0</v>
      </c>
      <c r="P694" s="41" t="s">
        <v>4788</v>
      </c>
      <c r="R694" s="41">
        <v>693</v>
      </c>
      <c r="T694" s="41" t="str">
        <f t="shared" si="21"/>
        <v>5254500:Var_ui_ErrNo:=693;</v>
      </c>
    </row>
    <row r="695" spans="1:20">
      <c r="A695" s="190">
        <v>694</v>
      </c>
      <c r="B695" s="40">
        <v>200</v>
      </c>
      <c r="C695" s="40">
        <v>66</v>
      </c>
      <c r="F695" s="40"/>
      <c r="G695" s="40"/>
      <c r="H695" s="40" t="s">
        <v>4789</v>
      </c>
      <c r="I695" s="40" t="s">
        <v>4790</v>
      </c>
      <c r="J695" s="40" t="s">
        <v>4791</v>
      </c>
      <c r="K695" s="40" t="s">
        <v>4792</v>
      </c>
      <c r="L695" s="190">
        <v>51266</v>
      </c>
      <c r="M695" s="190">
        <v>0</v>
      </c>
      <c r="N695" s="40" t="s">
        <v>4793</v>
      </c>
      <c r="O695" s="41" t="str">
        <f t="shared" si="20"/>
        <v>EBS1_51266_0</v>
      </c>
      <c r="P695" s="41" t="s">
        <v>4794</v>
      </c>
      <c r="R695" s="41">
        <v>694</v>
      </c>
      <c r="T695" s="41" t="str">
        <f t="shared" si="21"/>
        <v>5126600:Var_ui_ErrNo:=694;</v>
      </c>
    </row>
    <row r="696" spans="1:20">
      <c r="A696" s="190">
        <v>695</v>
      </c>
      <c r="B696" s="40">
        <v>201</v>
      </c>
      <c r="C696" s="40">
        <v>66</v>
      </c>
      <c r="F696" s="40"/>
      <c r="G696" s="40"/>
      <c r="H696" s="40" t="s">
        <v>4795</v>
      </c>
      <c r="I696" s="40" t="s">
        <v>4790</v>
      </c>
      <c r="J696" s="40" t="s">
        <v>4796</v>
      </c>
      <c r="K696" s="40" t="s">
        <v>4797</v>
      </c>
      <c r="L696" s="190">
        <v>51522</v>
      </c>
      <c r="M696" s="190">
        <v>0</v>
      </c>
      <c r="N696" s="40" t="s">
        <v>4798</v>
      </c>
      <c r="O696" s="41" t="str">
        <f t="shared" si="20"/>
        <v>EBS1_51522_0</v>
      </c>
      <c r="P696" s="41" t="s">
        <v>4799</v>
      </c>
      <c r="R696" s="41">
        <v>695</v>
      </c>
      <c r="T696" s="41" t="str">
        <f t="shared" si="21"/>
        <v>5152200:Var_ui_ErrNo:=695;</v>
      </c>
    </row>
    <row r="697" spans="1:20">
      <c r="A697" s="190">
        <v>696</v>
      </c>
      <c r="B697" s="40">
        <v>202</v>
      </c>
      <c r="C697" s="40">
        <v>66</v>
      </c>
      <c r="F697" s="40"/>
      <c r="G697" s="40"/>
      <c r="H697" s="40" t="s">
        <v>4800</v>
      </c>
      <c r="I697" s="40" t="s">
        <v>4790</v>
      </c>
      <c r="J697" s="40" t="s">
        <v>4801</v>
      </c>
      <c r="K697" s="40" t="s">
        <v>4802</v>
      </c>
      <c r="L697" s="190">
        <v>51778</v>
      </c>
      <c r="M697" s="190">
        <v>0</v>
      </c>
      <c r="N697" s="40" t="s">
        <v>4803</v>
      </c>
      <c r="O697" s="41" t="str">
        <f t="shared" si="20"/>
        <v>EBS1_51778_0</v>
      </c>
      <c r="P697" s="41" t="s">
        <v>4804</v>
      </c>
      <c r="R697" s="41">
        <v>696</v>
      </c>
      <c r="T697" s="41" t="str">
        <f t="shared" si="21"/>
        <v>5177800:Var_ui_ErrNo:=696;</v>
      </c>
    </row>
    <row r="698" spans="1:20">
      <c r="A698" s="190">
        <v>697</v>
      </c>
      <c r="B698" s="40">
        <v>203</v>
      </c>
      <c r="C698" s="40">
        <v>66</v>
      </c>
      <c r="F698" s="40"/>
      <c r="G698" s="40"/>
      <c r="H698" s="40" t="s">
        <v>4805</v>
      </c>
      <c r="I698" s="40" t="s">
        <v>4790</v>
      </c>
      <c r="J698" s="40" t="s">
        <v>4806</v>
      </c>
      <c r="K698" s="40" t="s">
        <v>4807</v>
      </c>
      <c r="L698" s="190">
        <v>52034</v>
      </c>
      <c r="M698" s="190">
        <v>0</v>
      </c>
      <c r="N698" s="40" t="s">
        <v>4808</v>
      </c>
      <c r="O698" s="41" t="str">
        <f t="shared" si="20"/>
        <v>EBS1_52034_0</v>
      </c>
      <c r="P698" s="41" t="s">
        <v>4809</v>
      </c>
      <c r="R698" s="41">
        <v>697</v>
      </c>
      <c r="T698" s="41" t="str">
        <f t="shared" si="21"/>
        <v>5203400:Var_ui_ErrNo:=697;</v>
      </c>
    </row>
    <row r="699" spans="1:20">
      <c r="A699" s="190">
        <v>698</v>
      </c>
      <c r="B699" s="40">
        <v>204</v>
      </c>
      <c r="C699" s="40">
        <v>66</v>
      </c>
      <c r="F699" s="40"/>
      <c r="G699" s="40"/>
      <c r="H699" s="40" t="s">
        <v>4810</v>
      </c>
      <c r="I699" s="40" t="s">
        <v>4790</v>
      </c>
      <c r="J699" s="40" t="s">
        <v>4811</v>
      </c>
      <c r="K699" s="40" t="s">
        <v>4812</v>
      </c>
      <c r="L699" s="190">
        <v>52290</v>
      </c>
      <c r="M699" s="190">
        <v>0</v>
      </c>
      <c r="N699" s="40" t="s">
        <v>4813</v>
      </c>
      <c r="O699" s="41" t="str">
        <f t="shared" si="20"/>
        <v>EBS1_52290_0</v>
      </c>
      <c r="P699" s="41" t="s">
        <v>4814</v>
      </c>
      <c r="R699" s="41">
        <v>698</v>
      </c>
      <c r="T699" s="41" t="str">
        <f t="shared" si="21"/>
        <v>5229000:Var_ui_ErrNo:=698;</v>
      </c>
    </row>
    <row r="700" spans="1:20">
      <c r="A700" s="190">
        <v>699</v>
      </c>
      <c r="B700" s="40">
        <v>205</v>
      </c>
      <c r="C700" s="40">
        <v>66</v>
      </c>
      <c r="F700" s="40"/>
      <c r="G700" s="40"/>
      <c r="H700" s="40" t="s">
        <v>4815</v>
      </c>
      <c r="I700" s="40" t="s">
        <v>4790</v>
      </c>
      <c r="J700" s="40" t="s">
        <v>4816</v>
      </c>
      <c r="K700" s="40" t="s">
        <v>4817</v>
      </c>
      <c r="L700" s="190">
        <v>52546</v>
      </c>
      <c r="M700" s="190">
        <v>0</v>
      </c>
      <c r="N700" s="40" t="s">
        <v>4818</v>
      </c>
      <c r="O700" s="41" t="str">
        <f t="shared" si="20"/>
        <v>EBS1_52546_0</v>
      </c>
      <c r="P700" s="41" t="s">
        <v>4819</v>
      </c>
      <c r="R700" s="41">
        <v>699</v>
      </c>
      <c r="T700" s="41" t="str">
        <f t="shared" si="21"/>
        <v>5254600:Var_ui_ErrNo:=699;</v>
      </c>
    </row>
    <row r="701" spans="1:20">
      <c r="A701" s="190">
        <v>700</v>
      </c>
      <c r="B701" s="40">
        <v>200</v>
      </c>
      <c r="C701" s="40">
        <v>67</v>
      </c>
      <c r="F701" s="40"/>
      <c r="G701" s="40"/>
      <c r="H701" s="40" t="s">
        <v>4820</v>
      </c>
      <c r="I701" s="40" t="s">
        <v>4821</v>
      </c>
      <c r="J701" s="40" t="s">
        <v>4822</v>
      </c>
      <c r="K701" s="40" t="s">
        <v>4823</v>
      </c>
      <c r="L701" s="190">
        <v>51267</v>
      </c>
      <c r="M701" s="190">
        <v>0</v>
      </c>
      <c r="N701" s="40" t="s">
        <v>4824</v>
      </c>
      <c r="O701" s="41" t="str">
        <f t="shared" si="20"/>
        <v>EBS1_51267_0</v>
      </c>
      <c r="P701" s="41" t="s">
        <v>4825</v>
      </c>
      <c r="R701" s="41">
        <v>700</v>
      </c>
      <c r="T701" s="41" t="str">
        <f t="shared" si="21"/>
        <v>5126700:Var_ui_ErrNo:=700;</v>
      </c>
    </row>
    <row r="702" spans="1:20">
      <c r="A702" s="190">
        <v>701</v>
      </c>
      <c r="B702" s="40">
        <v>201</v>
      </c>
      <c r="C702" s="40">
        <v>67</v>
      </c>
      <c r="F702" s="40"/>
      <c r="G702" s="40"/>
      <c r="H702" s="40" t="s">
        <v>4826</v>
      </c>
      <c r="I702" s="40" t="s">
        <v>4821</v>
      </c>
      <c r="J702" s="40" t="s">
        <v>4827</v>
      </c>
      <c r="K702" s="40" t="s">
        <v>4828</v>
      </c>
      <c r="L702" s="190">
        <v>51523</v>
      </c>
      <c r="M702" s="190">
        <v>0</v>
      </c>
      <c r="N702" s="40" t="s">
        <v>4829</v>
      </c>
      <c r="O702" s="41" t="str">
        <f t="shared" si="20"/>
        <v>EBS1_51523_0</v>
      </c>
      <c r="P702" s="41" t="s">
        <v>4830</v>
      </c>
      <c r="R702" s="41">
        <v>701</v>
      </c>
      <c r="T702" s="41" t="str">
        <f t="shared" si="21"/>
        <v>5152300:Var_ui_ErrNo:=701;</v>
      </c>
    </row>
    <row r="703" spans="1:20">
      <c r="A703" s="190">
        <v>702</v>
      </c>
      <c r="B703" s="40">
        <v>202</v>
      </c>
      <c r="C703" s="40">
        <v>67</v>
      </c>
      <c r="F703" s="40"/>
      <c r="G703" s="40"/>
      <c r="H703" s="40" t="s">
        <v>4831</v>
      </c>
      <c r="I703" s="40" t="s">
        <v>4821</v>
      </c>
      <c r="J703" s="40" t="s">
        <v>4832</v>
      </c>
      <c r="K703" s="40" t="s">
        <v>4833</v>
      </c>
      <c r="L703" s="190">
        <v>51779</v>
      </c>
      <c r="M703" s="190">
        <v>0</v>
      </c>
      <c r="N703" s="40" t="s">
        <v>4834</v>
      </c>
      <c r="O703" s="41" t="str">
        <f t="shared" si="20"/>
        <v>EBS1_51779_0</v>
      </c>
      <c r="P703" s="41" t="s">
        <v>4835</v>
      </c>
      <c r="R703" s="41">
        <v>702</v>
      </c>
      <c r="T703" s="41" t="str">
        <f t="shared" si="21"/>
        <v>5177900:Var_ui_ErrNo:=702;</v>
      </c>
    </row>
    <row r="704" spans="1:20">
      <c r="A704" s="190">
        <v>703</v>
      </c>
      <c r="B704" s="40">
        <v>203</v>
      </c>
      <c r="C704" s="40">
        <v>67</v>
      </c>
      <c r="F704" s="40"/>
      <c r="G704" s="40"/>
      <c r="H704" s="40" t="s">
        <v>4836</v>
      </c>
      <c r="I704" s="40" t="s">
        <v>4821</v>
      </c>
      <c r="J704" s="40" t="s">
        <v>4837</v>
      </c>
      <c r="K704" s="40" t="s">
        <v>4838</v>
      </c>
      <c r="L704" s="190">
        <v>52035</v>
      </c>
      <c r="M704" s="190">
        <v>0</v>
      </c>
      <c r="N704" s="40" t="s">
        <v>4839</v>
      </c>
      <c r="O704" s="41" t="str">
        <f t="shared" si="20"/>
        <v>EBS1_52035_0</v>
      </c>
      <c r="P704" s="41" t="s">
        <v>4840</v>
      </c>
      <c r="R704" s="41">
        <v>703</v>
      </c>
      <c r="T704" s="41" t="str">
        <f t="shared" si="21"/>
        <v>5203500:Var_ui_ErrNo:=703;</v>
      </c>
    </row>
    <row r="705" spans="1:20">
      <c r="A705" s="190">
        <v>704</v>
      </c>
      <c r="B705" s="40">
        <v>204</v>
      </c>
      <c r="C705" s="40">
        <v>67</v>
      </c>
      <c r="F705" s="40"/>
      <c r="G705" s="40"/>
      <c r="H705" s="40" t="s">
        <v>4841</v>
      </c>
      <c r="I705" s="40" t="s">
        <v>4821</v>
      </c>
      <c r="J705" s="40" t="s">
        <v>4842</v>
      </c>
      <c r="K705" s="40" t="s">
        <v>4843</v>
      </c>
      <c r="L705" s="190">
        <v>52291</v>
      </c>
      <c r="M705" s="190">
        <v>0</v>
      </c>
      <c r="N705" s="40" t="s">
        <v>4844</v>
      </c>
      <c r="O705" s="41" t="str">
        <f t="shared" si="20"/>
        <v>EBS1_52291_0</v>
      </c>
      <c r="P705" s="41" t="s">
        <v>4845</v>
      </c>
      <c r="R705" s="41">
        <v>704</v>
      </c>
      <c r="T705" s="41" t="str">
        <f t="shared" si="21"/>
        <v>5229100:Var_ui_ErrNo:=704;</v>
      </c>
    </row>
    <row r="706" spans="1:20">
      <c r="A706" s="190">
        <v>705</v>
      </c>
      <c r="B706" s="40">
        <v>205</v>
      </c>
      <c r="C706" s="40">
        <v>67</v>
      </c>
      <c r="F706" s="40"/>
      <c r="G706" s="40"/>
      <c r="H706" s="40" t="s">
        <v>4846</v>
      </c>
      <c r="I706" s="40" t="s">
        <v>4821</v>
      </c>
      <c r="J706" s="40" t="s">
        <v>4847</v>
      </c>
      <c r="K706" s="40" t="s">
        <v>4848</v>
      </c>
      <c r="L706" s="190">
        <v>52547</v>
      </c>
      <c r="M706" s="190">
        <v>0</v>
      </c>
      <c r="N706" s="40" t="s">
        <v>4849</v>
      </c>
      <c r="O706" s="41" t="str">
        <f t="shared" ref="O706:O769" si="22">"EBS1_"&amp;L706&amp;"_"&amp;M706</f>
        <v>EBS1_52547_0</v>
      </c>
      <c r="P706" s="41" t="s">
        <v>4850</v>
      </c>
      <c r="R706" s="41">
        <v>705</v>
      </c>
      <c r="T706" s="41" t="str">
        <f t="shared" si="21"/>
        <v>5254700:Var_ui_ErrNo:=705;</v>
      </c>
    </row>
    <row r="707" spans="1:20">
      <c r="A707" s="190">
        <v>706</v>
      </c>
      <c r="B707" s="40">
        <v>200</v>
      </c>
      <c r="C707" s="40">
        <v>68</v>
      </c>
      <c r="F707" s="40"/>
      <c r="G707" s="40"/>
      <c r="H707" s="40" t="s">
        <v>4851</v>
      </c>
      <c r="I707" s="40" t="s">
        <v>4852</v>
      </c>
      <c r="J707" s="40" t="s">
        <v>4853</v>
      </c>
      <c r="K707" s="40" t="s">
        <v>4854</v>
      </c>
      <c r="L707" s="190">
        <v>51268</v>
      </c>
      <c r="M707" s="190">
        <v>0</v>
      </c>
      <c r="N707" s="40" t="s">
        <v>4855</v>
      </c>
      <c r="O707" s="41" t="str">
        <f t="shared" si="22"/>
        <v>EBS1_51268_0</v>
      </c>
      <c r="P707" s="41" t="s">
        <v>4856</v>
      </c>
      <c r="R707" s="41">
        <v>706</v>
      </c>
      <c r="T707" s="41" t="str">
        <f t="shared" ref="T707:T770" si="23">P707&amp;$Q$2&amp;R707&amp;$S$2</f>
        <v>5126800:Var_ui_ErrNo:=706;</v>
      </c>
    </row>
    <row r="708" spans="1:20">
      <c r="A708" s="190">
        <v>707</v>
      </c>
      <c r="B708" s="40">
        <v>201</v>
      </c>
      <c r="C708" s="40">
        <v>68</v>
      </c>
      <c r="F708" s="40"/>
      <c r="G708" s="40"/>
      <c r="H708" s="40" t="s">
        <v>4857</v>
      </c>
      <c r="I708" s="40" t="s">
        <v>4852</v>
      </c>
      <c r="J708" s="40" t="s">
        <v>4858</v>
      </c>
      <c r="K708" s="40" t="s">
        <v>4859</v>
      </c>
      <c r="L708" s="190">
        <v>51524</v>
      </c>
      <c r="M708" s="190">
        <v>0</v>
      </c>
      <c r="N708" s="40" t="s">
        <v>4860</v>
      </c>
      <c r="O708" s="41" t="str">
        <f t="shared" si="22"/>
        <v>EBS1_51524_0</v>
      </c>
      <c r="P708" s="41" t="s">
        <v>4861</v>
      </c>
      <c r="R708" s="41">
        <v>707</v>
      </c>
      <c r="T708" s="41" t="str">
        <f t="shared" si="23"/>
        <v>5152400:Var_ui_ErrNo:=707;</v>
      </c>
    </row>
    <row r="709" spans="1:20">
      <c r="A709" s="190">
        <v>708</v>
      </c>
      <c r="B709" s="40">
        <v>202</v>
      </c>
      <c r="C709" s="40">
        <v>68</v>
      </c>
      <c r="F709" s="40"/>
      <c r="G709" s="40"/>
      <c r="H709" s="40" t="s">
        <v>4862</v>
      </c>
      <c r="I709" s="40" t="s">
        <v>4852</v>
      </c>
      <c r="J709" s="40" t="s">
        <v>4863</v>
      </c>
      <c r="K709" s="40" t="s">
        <v>4864</v>
      </c>
      <c r="L709" s="190">
        <v>51780</v>
      </c>
      <c r="M709" s="190">
        <v>0</v>
      </c>
      <c r="N709" s="40" t="s">
        <v>4865</v>
      </c>
      <c r="O709" s="41" t="str">
        <f t="shared" si="22"/>
        <v>EBS1_51780_0</v>
      </c>
      <c r="P709" s="41" t="s">
        <v>4866</v>
      </c>
      <c r="R709" s="41">
        <v>708</v>
      </c>
      <c r="T709" s="41" t="str">
        <f t="shared" si="23"/>
        <v>5178000:Var_ui_ErrNo:=708;</v>
      </c>
    </row>
    <row r="710" spans="1:20">
      <c r="A710" s="190">
        <v>709</v>
      </c>
      <c r="B710" s="40">
        <v>203</v>
      </c>
      <c r="C710" s="40">
        <v>68</v>
      </c>
      <c r="F710" s="40"/>
      <c r="G710" s="40"/>
      <c r="H710" s="40" t="s">
        <v>4867</v>
      </c>
      <c r="I710" s="40" t="s">
        <v>4852</v>
      </c>
      <c r="J710" s="40" t="s">
        <v>4868</v>
      </c>
      <c r="K710" s="40" t="s">
        <v>4869</v>
      </c>
      <c r="L710" s="190">
        <v>52036</v>
      </c>
      <c r="M710" s="190">
        <v>0</v>
      </c>
      <c r="N710" s="40" t="s">
        <v>4870</v>
      </c>
      <c r="O710" s="41" t="str">
        <f t="shared" si="22"/>
        <v>EBS1_52036_0</v>
      </c>
      <c r="P710" s="41" t="s">
        <v>4871</v>
      </c>
      <c r="R710" s="41">
        <v>709</v>
      </c>
      <c r="T710" s="41" t="str">
        <f t="shared" si="23"/>
        <v>5203600:Var_ui_ErrNo:=709;</v>
      </c>
    </row>
    <row r="711" spans="1:20">
      <c r="A711" s="190">
        <v>710</v>
      </c>
      <c r="B711" s="40">
        <v>204</v>
      </c>
      <c r="C711" s="40">
        <v>68</v>
      </c>
      <c r="F711" s="40"/>
      <c r="G711" s="40"/>
      <c r="H711" s="40" t="s">
        <v>4872</v>
      </c>
      <c r="I711" s="40" t="s">
        <v>4852</v>
      </c>
      <c r="J711" s="40" t="s">
        <v>4873</v>
      </c>
      <c r="K711" s="40" t="s">
        <v>4874</v>
      </c>
      <c r="L711" s="190">
        <v>52292</v>
      </c>
      <c r="M711" s="190">
        <v>0</v>
      </c>
      <c r="N711" s="40" t="s">
        <v>4875</v>
      </c>
      <c r="O711" s="41" t="str">
        <f t="shared" si="22"/>
        <v>EBS1_52292_0</v>
      </c>
      <c r="P711" s="41" t="s">
        <v>4876</v>
      </c>
      <c r="R711" s="41">
        <v>710</v>
      </c>
      <c r="T711" s="41" t="str">
        <f t="shared" si="23"/>
        <v>5229200:Var_ui_ErrNo:=710;</v>
      </c>
    </row>
    <row r="712" spans="1:20">
      <c r="A712" s="190">
        <v>711</v>
      </c>
      <c r="B712" s="40">
        <v>205</v>
      </c>
      <c r="C712" s="40">
        <v>68</v>
      </c>
      <c r="F712" s="40"/>
      <c r="G712" s="40"/>
      <c r="H712" s="40" t="s">
        <v>4877</v>
      </c>
      <c r="I712" s="40" t="s">
        <v>4852</v>
      </c>
      <c r="J712" s="40" t="s">
        <v>4878</v>
      </c>
      <c r="K712" s="40" t="s">
        <v>4879</v>
      </c>
      <c r="L712" s="190">
        <v>52548</v>
      </c>
      <c r="M712" s="190">
        <v>0</v>
      </c>
      <c r="N712" s="40" t="s">
        <v>4880</v>
      </c>
      <c r="O712" s="41" t="str">
        <f t="shared" si="22"/>
        <v>EBS1_52548_0</v>
      </c>
      <c r="P712" s="41" t="s">
        <v>4881</v>
      </c>
      <c r="R712" s="41">
        <v>711</v>
      </c>
      <c r="T712" s="41" t="str">
        <f t="shared" si="23"/>
        <v>5254800:Var_ui_ErrNo:=711;</v>
      </c>
    </row>
    <row r="713" spans="1:20">
      <c r="A713" s="190">
        <v>712</v>
      </c>
      <c r="B713" s="40">
        <v>200</v>
      </c>
      <c r="C713" s="40">
        <v>69</v>
      </c>
      <c r="F713" s="40"/>
      <c r="G713" s="40"/>
      <c r="H713" s="40" t="s">
        <v>4882</v>
      </c>
      <c r="I713" s="40" t="s">
        <v>4604</v>
      </c>
      <c r="J713" s="40" t="s">
        <v>4883</v>
      </c>
      <c r="K713" s="40" t="s">
        <v>4884</v>
      </c>
      <c r="L713" s="190">
        <v>51269</v>
      </c>
      <c r="M713" s="190">
        <v>0</v>
      </c>
      <c r="N713" s="40" t="s">
        <v>4885</v>
      </c>
      <c r="O713" s="41" t="str">
        <f t="shared" si="22"/>
        <v>EBS1_51269_0</v>
      </c>
      <c r="P713" s="41" t="s">
        <v>4886</v>
      </c>
      <c r="R713" s="41">
        <v>712</v>
      </c>
      <c r="T713" s="41" t="str">
        <f t="shared" si="23"/>
        <v>5126900:Var_ui_ErrNo:=712;</v>
      </c>
    </row>
    <row r="714" spans="1:20">
      <c r="A714" s="190">
        <v>713</v>
      </c>
      <c r="B714" s="40">
        <v>201</v>
      </c>
      <c r="C714" s="40">
        <v>69</v>
      </c>
      <c r="F714" s="40"/>
      <c r="G714" s="40"/>
      <c r="H714" s="40" t="s">
        <v>4887</v>
      </c>
      <c r="I714" s="40" t="s">
        <v>4604</v>
      </c>
      <c r="J714" s="40" t="s">
        <v>4888</v>
      </c>
      <c r="K714" s="40" t="s">
        <v>4889</v>
      </c>
      <c r="L714" s="190">
        <v>51525</v>
      </c>
      <c r="M714" s="190">
        <v>0</v>
      </c>
      <c r="N714" s="40" t="s">
        <v>4890</v>
      </c>
      <c r="O714" s="41" t="str">
        <f t="shared" si="22"/>
        <v>EBS1_51525_0</v>
      </c>
      <c r="P714" s="41" t="s">
        <v>4891</v>
      </c>
      <c r="R714" s="41">
        <v>713</v>
      </c>
      <c r="T714" s="41" t="str">
        <f t="shared" si="23"/>
        <v>5152500:Var_ui_ErrNo:=713;</v>
      </c>
    </row>
    <row r="715" spans="1:20">
      <c r="A715" s="190">
        <v>714</v>
      </c>
      <c r="B715" s="40">
        <v>202</v>
      </c>
      <c r="C715" s="40">
        <v>69</v>
      </c>
      <c r="F715" s="40"/>
      <c r="G715" s="40"/>
      <c r="H715" s="40" t="s">
        <v>4892</v>
      </c>
      <c r="I715" s="40" t="s">
        <v>4604</v>
      </c>
      <c r="J715" s="40" t="s">
        <v>4893</v>
      </c>
      <c r="K715" s="40" t="s">
        <v>4894</v>
      </c>
      <c r="L715" s="190">
        <v>51781</v>
      </c>
      <c r="M715" s="190">
        <v>0</v>
      </c>
      <c r="N715" s="40" t="s">
        <v>4895</v>
      </c>
      <c r="O715" s="41" t="str">
        <f t="shared" si="22"/>
        <v>EBS1_51781_0</v>
      </c>
      <c r="P715" s="41" t="s">
        <v>4896</v>
      </c>
      <c r="R715" s="41">
        <v>714</v>
      </c>
      <c r="T715" s="41" t="str">
        <f t="shared" si="23"/>
        <v>5178100:Var_ui_ErrNo:=714;</v>
      </c>
    </row>
    <row r="716" spans="1:20">
      <c r="A716" s="190">
        <v>715</v>
      </c>
      <c r="B716" s="40">
        <v>203</v>
      </c>
      <c r="C716" s="40">
        <v>69</v>
      </c>
      <c r="F716" s="40"/>
      <c r="G716" s="40"/>
      <c r="H716" s="40" t="s">
        <v>4897</v>
      </c>
      <c r="I716" s="40" t="s">
        <v>4604</v>
      </c>
      <c r="J716" s="40" t="s">
        <v>4898</v>
      </c>
      <c r="K716" s="40" t="s">
        <v>4899</v>
      </c>
      <c r="L716" s="190">
        <v>52037</v>
      </c>
      <c r="M716" s="190">
        <v>0</v>
      </c>
      <c r="N716" s="40" t="s">
        <v>4900</v>
      </c>
      <c r="O716" s="41" t="str">
        <f t="shared" si="22"/>
        <v>EBS1_52037_0</v>
      </c>
      <c r="P716" s="41" t="s">
        <v>4901</v>
      </c>
      <c r="R716" s="41">
        <v>715</v>
      </c>
      <c r="T716" s="41" t="str">
        <f t="shared" si="23"/>
        <v>5203700:Var_ui_ErrNo:=715;</v>
      </c>
    </row>
    <row r="717" spans="1:20">
      <c r="A717" s="190">
        <v>716</v>
      </c>
      <c r="B717" s="40">
        <v>204</v>
      </c>
      <c r="C717" s="40">
        <v>69</v>
      </c>
      <c r="F717" s="40"/>
      <c r="G717" s="40"/>
      <c r="H717" s="40" t="s">
        <v>4902</v>
      </c>
      <c r="I717" s="40" t="s">
        <v>4604</v>
      </c>
      <c r="J717" s="40" t="s">
        <v>4903</v>
      </c>
      <c r="K717" s="40" t="s">
        <v>4904</v>
      </c>
      <c r="L717" s="190">
        <v>52293</v>
      </c>
      <c r="M717" s="190">
        <v>0</v>
      </c>
      <c r="N717" s="40" t="s">
        <v>4905</v>
      </c>
      <c r="O717" s="41" t="str">
        <f t="shared" si="22"/>
        <v>EBS1_52293_0</v>
      </c>
      <c r="P717" s="41" t="s">
        <v>4906</v>
      </c>
      <c r="R717" s="41">
        <v>716</v>
      </c>
      <c r="T717" s="41" t="str">
        <f t="shared" si="23"/>
        <v>5229300:Var_ui_ErrNo:=716;</v>
      </c>
    </row>
    <row r="718" spans="1:20">
      <c r="A718" s="190">
        <v>717</v>
      </c>
      <c r="B718" s="40">
        <v>205</v>
      </c>
      <c r="C718" s="40">
        <v>69</v>
      </c>
      <c r="F718" s="40"/>
      <c r="G718" s="40"/>
      <c r="H718" s="40" t="s">
        <v>4907</v>
      </c>
      <c r="I718" s="40" t="s">
        <v>4604</v>
      </c>
      <c r="J718" s="40" t="s">
        <v>4908</v>
      </c>
      <c r="K718" s="40" t="s">
        <v>4909</v>
      </c>
      <c r="L718" s="190">
        <v>52549</v>
      </c>
      <c r="M718" s="190">
        <v>0</v>
      </c>
      <c r="N718" s="40" t="s">
        <v>4910</v>
      </c>
      <c r="O718" s="41" t="str">
        <f t="shared" si="22"/>
        <v>EBS1_52549_0</v>
      </c>
      <c r="P718" s="41" t="s">
        <v>4911</v>
      </c>
      <c r="R718" s="41">
        <v>717</v>
      </c>
      <c r="T718" s="41" t="str">
        <f t="shared" si="23"/>
        <v>5254900:Var_ui_ErrNo:=717;</v>
      </c>
    </row>
    <row r="719" spans="1:20">
      <c r="A719" s="190">
        <v>718</v>
      </c>
      <c r="B719" s="40">
        <v>200</v>
      </c>
      <c r="C719" s="40">
        <v>70</v>
      </c>
      <c r="F719" s="40"/>
      <c r="G719" s="40"/>
      <c r="H719" s="40" t="s">
        <v>4912</v>
      </c>
      <c r="I719" s="40" t="s">
        <v>4635</v>
      </c>
      <c r="J719" s="40" t="s">
        <v>4913</v>
      </c>
      <c r="K719" s="40" t="s">
        <v>4914</v>
      </c>
      <c r="L719" s="190">
        <v>51270</v>
      </c>
      <c r="M719" s="190">
        <v>0</v>
      </c>
      <c r="N719" s="40" t="s">
        <v>4915</v>
      </c>
      <c r="O719" s="41" t="str">
        <f t="shared" si="22"/>
        <v>EBS1_51270_0</v>
      </c>
      <c r="P719" s="41" t="s">
        <v>4916</v>
      </c>
      <c r="R719" s="41">
        <v>718</v>
      </c>
      <c r="T719" s="41" t="str">
        <f t="shared" si="23"/>
        <v>5127000:Var_ui_ErrNo:=718;</v>
      </c>
    </row>
    <row r="720" spans="1:20">
      <c r="A720" s="190">
        <v>719</v>
      </c>
      <c r="B720" s="40">
        <v>201</v>
      </c>
      <c r="C720" s="40">
        <v>70</v>
      </c>
      <c r="F720" s="40"/>
      <c r="G720" s="40"/>
      <c r="H720" s="40" t="s">
        <v>4917</v>
      </c>
      <c r="I720" s="40" t="s">
        <v>4635</v>
      </c>
      <c r="J720" s="40" t="s">
        <v>4918</v>
      </c>
      <c r="K720" s="40" t="s">
        <v>4919</v>
      </c>
      <c r="L720" s="190">
        <v>51526</v>
      </c>
      <c r="M720" s="190">
        <v>0</v>
      </c>
      <c r="N720" s="40" t="s">
        <v>4920</v>
      </c>
      <c r="O720" s="41" t="str">
        <f t="shared" si="22"/>
        <v>EBS1_51526_0</v>
      </c>
      <c r="P720" s="41" t="s">
        <v>4921</v>
      </c>
      <c r="R720" s="41">
        <v>719</v>
      </c>
      <c r="T720" s="41" t="str">
        <f t="shared" si="23"/>
        <v>5152600:Var_ui_ErrNo:=719;</v>
      </c>
    </row>
    <row r="721" spans="1:20">
      <c r="A721" s="190">
        <v>720</v>
      </c>
      <c r="B721" s="40">
        <v>202</v>
      </c>
      <c r="C721" s="40">
        <v>70</v>
      </c>
      <c r="F721" s="40"/>
      <c r="G721" s="40"/>
      <c r="H721" s="40" t="s">
        <v>4922</v>
      </c>
      <c r="I721" s="40" t="s">
        <v>4635</v>
      </c>
      <c r="J721" s="40" t="s">
        <v>4923</v>
      </c>
      <c r="K721" s="40" t="s">
        <v>4924</v>
      </c>
      <c r="L721" s="190">
        <v>51782</v>
      </c>
      <c r="M721" s="190">
        <v>0</v>
      </c>
      <c r="N721" s="40" t="s">
        <v>4925</v>
      </c>
      <c r="O721" s="41" t="str">
        <f t="shared" si="22"/>
        <v>EBS1_51782_0</v>
      </c>
      <c r="P721" s="41" t="s">
        <v>4926</v>
      </c>
      <c r="R721" s="41">
        <v>720</v>
      </c>
      <c r="T721" s="41" t="str">
        <f t="shared" si="23"/>
        <v>5178200:Var_ui_ErrNo:=720;</v>
      </c>
    </row>
    <row r="722" spans="1:20">
      <c r="A722" s="190">
        <v>721</v>
      </c>
      <c r="B722" s="40">
        <v>203</v>
      </c>
      <c r="C722" s="40">
        <v>70</v>
      </c>
      <c r="F722" s="40"/>
      <c r="G722" s="40"/>
      <c r="H722" s="40" t="s">
        <v>4927</v>
      </c>
      <c r="I722" s="40" t="s">
        <v>4635</v>
      </c>
      <c r="J722" s="40" t="s">
        <v>4928</v>
      </c>
      <c r="K722" s="40" t="s">
        <v>4929</v>
      </c>
      <c r="L722" s="190">
        <v>52038</v>
      </c>
      <c r="M722" s="190">
        <v>0</v>
      </c>
      <c r="N722" s="40" t="s">
        <v>4930</v>
      </c>
      <c r="O722" s="41" t="str">
        <f t="shared" si="22"/>
        <v>EBS1_52038_0</v>
      </c>
      <c r="P722" s="41" t="s">
        <v>4931</v>
      </c>
      <c r="R722" s="41">
        <v>721</v>
      </c>
      <c r="T722" s="41" t="str">
        <f t="shared" si="23"/>
        <v>5203800:Var_ui_ErrNo:=721;</v>
      </c>
    </row>
    <row r="723" spans="1:20">
      <c r="A723" s="190">
        <v>722</v>
      </c>
      <c r="B723" s="40">
        <v>204</v>
      </c>
      <c r="C723" s="40">
        <v>70</v>
      </c>
      <c r="F723" s="40"/>
      <c r="G723" s="40"/>
      <c r="H723" s="40" t="s">
        <v>4932</v>
      </c>
      <c r="I723" s="40" t="s">
        <v>4635</v>
      </c>
      <c r="J723" s="40" t="s">
        <v>4933</v>
      </c>
      <c r="K723" s="40" t="s">
        <v>4934</v>
      </c>
      <c r="L723" s="190">
        <v>52294</v>
      </c>
      <c r="M723" s="190">
        <v>0</v>
      </c>
      <c r="N723" s="40" t="s">
        <v>4935</v>
      </c>
      <c r="O723" s="41" t="str">
        <f t="shared" si="22"/>
        <v>EBS1_52294_0</v>
      </c>
      <c r="P723" s="41" t="s">
        <v>4936</v>
      </c>
      <c r="R723" s="41">
        <v>722</v>
      </c>
      <c r="T723" s="41" t="str">
        <f t="shared" si="23"/>
        <v>5229400:Var_ui_ErrNo:=722;</v>
      </c>
    </row>
    <row r="724" spans="1:20">
      <c r="A724" s="190">
        <v>723</v>
      </c>
      <c r="B724" s="40">
        <v>205</v>
      </c>
      <c r="C724" s="40">
        <v>70</v>
      </c>
      <c r="F724" s="40"/>
      <c r="G724" s="40"/>
      <c r="H724" s="40" t="s">
        <v>4937</v>
      </c>
      <c r="I724" s="40" t="s">
        <v>4635</v>
      </c>
      <c r="J724" s="40" t="s">
        <v>4938</v>
      </c>
      <c r="K724" s="40" t="s">
        <v>4939</v>
      </c>
      <c r="L724" s="190">
        <v>52550</v>
      </c>
      <c r="M724" s="190">
        <v>0</v>
      </c>
      <c r="N724" s="40" t="s">
        <v>4940</v>
      </c>
      <c r="O724" s="41" t="str">
        <f t="shared" si="22"/>
        <v>EBS1_52550_0</v>
      </c>
      <c r="P724" s="41" t="s">
        <v>4941</v>
      </c>
      <c r="R724" s="41">
        <v>723</v>
      </c>
      <c r="T724" s="41" t="str">
        <f t="shared" si="23"/>
        <v>5255000:Var_ui_ErrNo:=723;</v>
      </c>
    </row>
    <row r="725" spans="1:20">
      <c r="A725" s="190">
        <v>724</v>
      </c>
      <c r="B725" s="40">
        <v>200</v>
      </c>
      <c r="C725" s="40">
        <v>71</v>
      </c>
      <c r="F725" s="40"/>
      <c r="G725" s="40"/>
      <c r="H725" s="40" t="s">
        <v>4942</v>
      </c>
      <c r="I725" s="40" t="s">
        <v>4943</v>
      </c>
      <c r="J725" s="40" t="s">
        <v>4944</v>
      </c>
      <c r="K725" s="40" t="s">
        <v>4945</v>
      </c>
      <c r="L725" s="190">
        <v>51271</v>
      </c>
      <c r="M725" s="190">
        <v>0</v>
      </c>
      <c r="N725" s="40" t="s">
        <v>4946</v>
      </c>
      <c r="O725" s="41" t="str">
        <f t="shared" si="22"/>
        <v>EBS1_51271_0</v>
      </c>
      <c r="P725" s="41" t="s">
        <v>4947</v>
      </c>
      <c r="R725" s="41">
        <v>724</v>
      </c>
      <c r="T725" s="41" t="str">
        <f t="shared" si="23"/>
        <v>5127100:Var_ui_ErrNo:=724;</v>
      </c>
    </row>
    <row r="726" spans="1:20">
      <c r="A726" s="190">
        <v>725</v>
      </c>
      <c r="B726" s="40">
        <v>201</v>
      </c>
      <c r="C726" s="40">
        <v>71</v>
      </c>
      <c r="F726" s="40"/>
      <c r="G726" s="40"/>
      <c r="H726" s="40" t="s">
        <v>4948</v>
      </c>
      <c r="I726" s="40" t="s">
        <v>4943</v>
      </c>
      <c r="J726" s="40" t="s">
        <v>4949</v>
      </c>
      <c r="K726" s="40" t="s">
        <v>4950</v>
      </c>
      <c r="L726" s="190">
        <v>51527</v>
      </c>
      <c r="M726" s="190">
        <v>0</v>
      </c>
      <c r="N726" s="40" t="s">
        <v>4951</v>
      </c>
      <c r="O726" s="41" t="str">
        <f t="shared" si="22"/>
        <v>EBS1_51527_0</v>
      </c>
      <c r="P726" s="41" t="s">
        <v>4952</v>
      </c>
      <c r="R726" s="41">
        <v>725</v>
      </c>
      <c r="T726" s="41" t="str">
        <f t="shared" si="23"/>
        <v>5152700:Var_ui_ErrNo:=725;</v>
      </c>
    </row>
    <row r="727" spans="1:20">
      <c r="A727" s="190">
        <v>726</v>
      </c>
      <c r="B727" s="40">
        <v>202</v>
      </c>
      <c r="C727" s="40">
        <v>71</v>
      </c>
      <c r="F727" s="40"/>
      <c r="G727" s="40"/>
      <c r="H727" s="40" t="s">
        <v>4953</v>
      </c>
      <c r="I727" s="40" t="s">
        <v>4943</v>
      </c>
      <c r="J727" s="40" t="s">
        <v>4954</v>
      </c>
      <c r="K727" s="40" t="s">
        <v>4955</v>
      </c>
      <c r="L727" s="190">
        <v>51783</v>
      </c>
      <c r="M727" s="190">
        <v>0</v>
      </c>
      <c r="N727" s="40" t="s">
        <v>4956</v>
      </c>
      <c r="O727" s="41" t="str">
        <f t="shared" si="22"/>
        <v>EBS1_51783_0</v>
      </c>
      <c r="P727" s="41" t="s">
        <v>4957</v>
      </c>
      <c r="R727" s="41">
        <v>726</v>
      </c>
      <c r="T727" s="41" t="str">
        <f t="shared" si="23"/>
        <v>5178300:Var_ui_ErrNo:=726;</v>
      </c>
    </row>
    <row r="728" spans="1:20">
      <c r="A728" s="190">
        <v>727</v>
      </c>
      <c r="B728" s="40">
        <v>203</v>
      </c>
      <c r="C728" s="40">
        <v>71</v>
      </c>
      <c r="F728" s="40"/>
      <c r="G728" s="40"/>
      <c r="H728" s="40" t="s">
        <v>4958</v>
      </c>
      <c r="I728" s="40" t="s">
        <v>4943</v>
      </c>
      <c r="J728" s="40" t="s">
        <v>4959</v>
      </c>
      <c r="K728" s="40" t="s">
        <v>4960</v>
      </c>
      <c r="L728" s="190">
        <v>52039</v>
      </c>
      <c r="M728" s="190">
        <v>0</v>
      </c>
      <c r="N728" s="40" t="s">
        <v>4961</v>
      </c>
      <c r="O728" s="41" t="str">
        <f t="shared" si="22"/>
        <v>EBS1_52039_0</v>
      </c>
      <c r="P728" s="41" t="s">
        <v>4962</v>
      </c>
      <c r="R728" s="41">
        <v>727</v>
      </c>
      <c r="T728" s="41" t="str">
        <f t="shared" si="23"/>
        <v>5203900:Var_ui_ErrNo:=727;</v>
      </c>
    </row>
    <row r="729" spans="1:20">
      <c r="A729" s="190">
        <v>728</v>
      </c>
      <c r="B729" s="40">
        <v>204</v>
      </c>
      <c r="C729" s="40">
        <v>71</v>
      </c>
      <c r="F729" s="40"/>
      <c r="G729" s="40"/>
      <c r="H729" s="40" t="s">
        <v>4963</v>
      </c>
      <c r="I729" s="40" t="s">
        <v>4943</v>
      </c>
      <c r="J729" s="40" t="s">
        <v>4964</v>
      </c>
      <c r="K729" s="40" t="s">
        <v>4965</v>
      </c>
      <c r="L729" s="190">
        <v>52295</v>
      </c>
      <c r="M729" s="190">
        <v>0</v>
      </c>
      <c r="N729" s="40" t="s">
        <v>4966</v>
      </c>
      <c r="O729" s="41" t="str">
        <f t="shared" si="22"/>
        <v>EBS1_52295_0</v>
      </c>
      <c r="P729" s="41" t="s">
        <v>4967</v>
      </c>
      <c r="R729" s="41">
        <v>728</v>
      </c>
      <c r="T729" s="41" t="str">
        <f t="shared" si="23"/>
        <v>5229500:Var_ui_ErrNo:=728;</v>
      </c>
    </row>
    <row r="730" spans="1:20">
      <c r="A730" s="190">
        <v>729</v>
      </c>
      <c r="B730" s="40">
        <v>205</v>
      </c>
      <c r="C730" s="40">
        <v>71</v>
      </c>
      <c r="F730" s="40"/>
      <c r="G730" s="40"/>
      <c r="H730" s="40" t="s">
        <v>4968</v>
      </c>
      <c r="I730" s="40" t="s">
        <v>4943</v>
      </c>
      <c r="J730" s="40" t="s">
        <v>4969</v>
      </c>
      <c r="K730" s="40" t="s">
        <v>4970</v>
      </c>
      <c r="L730" s="190">
        <v>52551</v>
      </c>
      <c r="M730" s="190">
        <v>0</v>
      </c>
      <c r="N730" s="40" t="s">
        <v>4971</v>
      </c>
      <c r="O730" s="41" t="str">
        <f t="shared" si="22"/>
        <v>EBS1_52551_0</v>
      </c>
      <c r="P730" s="41" t="s">
        <v>4972</v>
      </c>
      <c r="R730" s="41">
        <v>729</v>
      </c>
      <c r="T730" s="41" t="str">
        <f t="shared" si="23"/>
        <v>5255100:Var_ui_ErrNo:=729;</v>
      </c>
    </row>
    <row r="731" spans="1:20">
      <c r="A731" s="190">
        <v>730</v>
      </c>
      <c r="B731" s="40">
        <v>230</v>
      </c>
      <c r="C731" s="40">
        <v>19</v>
      </c>
      <c r="F731" s="40"/>
      <c r="G731" s="40"/>
      <c r="H731" s="40" t="s">
        <v>4973</v>
      </c>
      <c r="I731" s="40" t="s">
        <v>4974</v>
      </c>
      <c r="J731" s="40" t="s">
        <v>4975</v>
      </c>
      <c r="K731" s="40" t="s">
        <v>4976</v>
      </c>
      <c r="L731" s="190">
        <v>58899</v>
      </c>
      <c r="M731" s="190">
        <v>0</v>
      </c>
      <c r="N731" s="40" t="s">
        <v>4977</v>
      </c>
      <c r="O731" s="41" t="str">
        <f t="shared" si="22"/>
        <v>EBS1_58899_0</v>
      </c>
      <c r="P731" s="41" t="s">
        <v>4978</v>
      </c>
      <c r="R731" s="41">
        <v>730</v>
      </c>
      <c r="T731" s="41" t="str">
        <f t="shared" si="23"/>
        <v>5889900:Var_ui_ErrNo:=730;</v>
      </c>
    </row>
    <row r="732" spans="1:20">
      <c r="A732" s="190">
        <v>731</v>
      </c>
      <c r="B732" s="40">
        <v>231</v>
      </c>
      <c r="C732" s="40">
        <v>19</v>
      </c>
      <c r="F732" s="40"/>
      <c r="G732" s="40"/>
      <c r="H732" s="40" t="s">
        <v>4979</v>
      </c>
      <c r="I732" s="40" t="s">
        <v>4974</v>
      </c>
      <c r="J732" s="40" t="s">
        <v>4980</v>
      </c>
      <c r="K732" s="40" t="s">
        <v>4981</v>
      </c>
      <c r="L732" s="190">
        <v>59155</v>
      </c>
      <c r="M732" s="190">
        <v>0</v>
      </c>
      <c r="N732" s="40" t="s">
        <v>4982</v>
      </c>
      <c r="O732" s="41" t="str">
        <f t="shared" si="22"/>
        <v>EBS1_59155_0</v>
      </c>
      <c r="P732" s="41" t="s">
        <v>4983</v>
      </c>
      <c r="R732" s="41">
        <v>731</v>
      </c>
      <c r="T732" s="41" t="str">
        <f t="shared" si="23"/>
        <v>5915500:Var_ui_ErrNo:=731;</v>
      </c>
    </row>
    <row r="733" spans="1:20">
      <c r="A733" s="190">
        <v>732</v>
      </c>
      <c r="B733" s="40">
        <v>232</v>
      </c>
      <c r="C733" s="40">
        <v>19</v>
      </c>
      <c r="F733" s="40"/>
      <c r="G733" s="40"/>
      <c r="H733" s="40" t="s">
        <v>4984</v>
      </c>
      <c r="I733" s="40" t="s">
        <v>4974</v>
      </c>
      <c r="J733" s="40" t="s">
        <v>4985</v>
      </c>
      <c r="K733" s="40" t="s">
        <v>4986</v>
      </c>
      <c r="L733" s="190">
        <v>59411</v>
      </c>
      <c r="M733" s="190">
        <v>0</v>
      </c>
      <c r="N733" s="40" t="s">
        <v>4987</v>
      </c>
      <c r="O733" s="41" t="str">
        <f t="shared" si="22"/>
        <v>EBS1_59411_0</v>
      </c>
      <c r="P733" s="41" t="s">
        <v>4988</v>
      </c>
      <c r="R733" s="41">
        <v>732</v>
      </c>
      <c r="T733" s="41" t="str">
        <f t="shared" si="23"/>
        <v>5941100:Var_ui_ErrNo:=732;</v>
      </c>
    </row>
    <row r="734" spans="1:20">
      <c r="A734" s="190">
        <v>733</v>
      </c>
      <c r="B734" s="40">
        <v>233</v>
      </c>
      <c r="C734" s="40">
        <v>19</v>
      </c>
      <c r="F734" s="40"/>
      <c r="G734" s="40"/>
      <c r="H734" s="40" t="s">
        <v>4989</v>
      </c>
      <c r="I734" s="40" t="s">
        <v>4974</v>
      </c>
      <c r="J734" s="40" t="s">
        <v>4990</v>
      </c>
      <c r="K734" s="40" t="s">
        <v>4991</v>
      </c>
      <c r="L734" s="190">
        <v>59667</v>
      </c>
      <c r="M734" s="190">
        <v>0</v>
      </c>
      <c r="N734" s="40" t="s">
        <v>4992</v>
      </c>
      <c r="O734" s="41" t="str">
        <f t="shared" si="22"/>
        <v>EBS1_59667_0</v>
      </c>
      <c r="P734" s="41" t="s">
        <v>4993</v>
      </c>
      <c r="R734" s="41">
        <v>733</v>
      </c>
      <c r="T734" s="41" t="str">
        <f t="shared" si="23"/>
        <v>5966700:Var_ui_ErrNo:=733;</v>
      </c>
    </row>
    <row r="735" spans="1:20">
      <c r="A735" s="190">
        <v>734</v>
      </c>
      <c r="B735" s="40">
        <v>234</v>
      </c>
      <c r="C735" s="40">
        <v>19</v>
      </c>
      <c r="F735" s="40"/>
      <c r="G735" s="40"/>
      <c r="H735" s="40" t="s">
        <v>4994</v>
      </c>
      <c r="I735" s="40" t="s">
        <v>4974</v>
      </c>
      <c r="J735" s="40" t="s">
        <v>4995</v>
      </c>
      <c r="K735" s="40" t="s">
        <v>4996</v>
      </c>
      <c r="L735" s="190">
        <v>59923</v>
      </c>
      <c r="M735" s="190">
        <v>0</v>
      </c>
      <c r="N735" s="40" t="s">
        <v>4997</v>
      </c>
      <c r="O735" s="41" t="str">
        <f t="shared" si="22"/>
        <v>EBS1_59923_0</v>
      </c>
      <c r="P735" s="41" t="s">
        <v>4998</v>
      </c>
      <c r="R735" s="41">
        <v>734</v>
      </c>
      <c r="T735" s="41" t="str">
        <f t="shared" si="23"/>
        <v>5992300:Var_ui_ErrNo:=734;</v>
      </c>
    </row>
    <row r="736" spans="1:20">
      <c r="A736" s="190">
        <v>735</v>
      </c>
      <c r="B736" s="40">
        <v>235</v>
      </c>
      <c r="C736" s="40">
        <v>19</v>
      </c>
      <c r="F736" s="40"/>
      <c r="G736" s="40"/>
      <c r="H736" s="40" t="s">
        <v>4999</v>
      </c>
      <c r="I736" s="40" t="s">
        <v>4974</v>
      </c>
      <c r="J736" s="40" t="s">
        <v>5000</v>
      </c>
      <c r="K736" s="40" t="s">
        <v>5001</v>
      </c>
      <c r="L736" s="190">
        <v>60179</v>
      </c>
      <c r="M736" s="190">
        <v>0</v>
      </c>
      <c r="N736" s="40" t="s">
        <v>5002</v>
      </c>
      <c r="O736" s="41" t="str">
        <f t="shared" si="22"/>
        <v>EBS1_60179_0</v>
      </c>
      <c r="P736" s="41" t="s">
        <v>5003</v>
      </c>
      <c r="R736" s="41">
        <v>735</v>
      </c>
      <c r="T736" s="41" t="str">
        <f t="shared" si="23"/>
        <v>6017900:Var_ui_ErrNo:=735;</v>
      </c>
    </row>
    <row r="737" spans="1:20">
      <c r="A737" s="190">
        <v>736</v>
      </c>
      <c r="B737" s="40">
        <v>230</v>
      </c>
      <c r="C737" s="40">
        <v>45</v>
      </c>
      <c r="F737" s="40"/>
      <c r="G737" s="40"/>
      <c r="H737" s="40" t="s">
        <v>5004</v>
      </c>
      <c r="I737" s="40" t="s">
        <v>5005</v>
      </c>
      <c r="J737" s="40" t="s">
        <v>5006</v>
      </c>
      <c r="K737" s="40" t="s">
        <v>5007</v>
      </c>
      <c r="L737" s="190">
        <v>58925</v>
      </c>
      <c r="M737" s="190">
        <v>0</v>
      </c>
      <c r="N737" s="40" t="s">
        <v>5008</v>
      </c>
      <c r="O737" s="41" t="str">
        <f t="shared" si="22"/>
        <v>EBS1_58925_0</v>
      </c>
      <c r="P737" s="41" t="s">
        <v>5009</v>
      </c>
      <c r="R737" s="41">
        <v>736</v>
      </c>
      <c r="T737" s="41" t="str">
        <f t="shared" si="23"/>
        <v>5892500:Var_ui_ErrNo:=736;</v>
      </c>
    </row>
    <row r="738" spans="1:20">
      <c r="A738" s="190">
        <v>737</v>
      </c>
      <c r="B738" s="40">
        <v>231</v>
      </c>
      <c r="C738" s="40">
        <v>45</v>
      </c>
      <c r="F738" s="40"/>
      <c r="G738" s="40"/>
      <c r="H738" s="40" t="s">
        <v>5010</v>
      </c>
      <c r="I738" s="40" t="s">
        <v>5005</v>
      </c>
      <c r="J738" s="40" t="s">
        <v>5011</v>
      </c>
      <c r="K738" s="40" t="s">
        <v>5012</v>
      </c>
      <c r="L738" s="190">
        <v>59181</v>
      </c>
      <c r="M738" s="190">
        <v>0</v>
      </c>
      <c r="N738" s="40" t="s">
        <v>5013</v>
      </c>
      <c r="O738" s="41" t="str">
        <f t="shared" si="22"/>
        <v>EBS1_59181_0</v>
      </c>
      <c r="P738" s="41" t="s">
        <v>5014</v>
      </c>
      <c r="R738" s="41">
        <v>737</v>
      </c>
      <c r="T738" s="41" t="str">
        <f t="shared" si="23"/>
        <v>5918100:Var_ui_ErrNo:=737;</v>
      </c>
    </row>
    <row r="739" spans="1:20">
      <c r="A739" s="190">
        <v>738</v>
      </c>
      <c r="B739" s="40">
        <v>232</v>
      </c>
      <c r="C739" s="40">
        <v>45</v>
      </c>
      <c r="F739" s="40"/>
      <c r="G739" s="40"/>
      <c r="H739" s="40" t="s">
        <v>5015</v>
      </c>
      <c r="I739" s="40" t="s">
        <v>5005</v>
      </c>
      <c r="J739" s="40" t="s">
        <v>5016</v>
      </c>
      <c r="K739" s="40" t="s">
        <v>5017</v>
      </c>
      <c r="L739" s="190">
        <v>59437</v>
      </c>
      <c r="M739" s="190">
        <v>0</v>
      </c>
      <c r="N739" s="40" t="s">
        <v>5018</v>
      </c>
      <c r="O739" s="41" t="str">
        <f t="shared" si="22"/>
        <v>EBS1_59437_0</v>
      </c>
      <c r="P739" s="41" t="s">
        <v>5019</v>
      </c>
      <c r="R739" s="41">
        <v>738</v>
      </c>
      <c r="T739" s="41" t="str">
        <f t="shared" si="23"/>
        <v>5943700:Var_ui_ErrNo:=738;</v>
      </c>
    </row>
    <row r="740" spans="1:20">
      <c r="A740" s="190">
        <v>739</v>
      </c>
      <c r="B740" s="40">
        <v>233</v>
      </c>
      <c r="C740" s="40">
        <v>45</v>
      </c>
      <c r="F740" s="40"/>
      <c r="G740" s="40"/>
      <c r="H740" s="40" t="s">
        <v>5020</v>
      </c>
      <c r="I740" s="40" t="s">
        <v>5005</v>
      </c>
      <c r="J740" s="40" t="s">
        <v>5021</v>
      </c>
      <c r="K740" s="40" t="s">
        <v>5022</v>
      </c>
      <c r="L740" s="190">
        <v>59693</v>
      </c>
      <c r="M740" s="190">
        <v>0</v>
      </c>
      <c r="N740" s="40" t="s">
        <v>5023</v>
      </c>
      <c r="O740" s="41" t="str">
        <f t="shared" si="22"/>
        <v>EBS1_59693_0</v>
      </c>
      <c r="P740" s="41" t="s">
        <v>5024</v>
      </c>
      <c r="R740" s="41">
        <v>739</v>
      </c>
      <c r="T740" s="41" t="str">
        <f t="shared" si="23"/>
        <v>5969300:Var_ui_ErrNo:=739;</v>
      </c>
    </row>
    <row r="741" spans="1:20">
      <c r="A741" s="190">
        <v>740</v>
      </c>
      <c r="B741" s="40">
        <v>234</v>
      </c>
      <c r="C741" s="40">
        <v>45</v>
      </c>
      <c r="F741" s="40"/>
      <c r="G741" s="40"/>
      <c r="H741" s="40" t="s">
        <v>5025</v>
      </c>
      <c r="I741" s="40" t="s">
        <v>5005</v>
      </c>
      <c r="J741" s="40" t="s">
        <v>5026</v>
      </c>
      <c r="K741" s="40" t="s">
        <v>5027</v>
      </c>
      <c r="L741" s="190">
        <v>59949</v>
      </c>
      <c r="M741" s="190">
        <v>0</v>
      </c>
      <c r="N741" s="40" t="s">
        <v>5028</v>
      </c>
      <c r="O741" s="41" t="str">
        <f t="shared" si="22"/>
        <v>EBS1_59949_0</v>
      </c>
      <c r="P741" s="41" t="s">
        <v>5029</v>
      </c>
      <c r="R741" s="41">
        <v>740</v>
      </c>
      <c r="T741" s="41" t="str">
        <f t="shared" si="23"/>
        <v>5994900:Var_ui_ErrNo:=740;</v>
      </c>
    </row>
    <row r="742" spans="1:20">
      <c r="A742" s="190">
        <v>741</v>
      </c>
      <c r="B742" s="40">
        <v>235</v>
      </c>
      <c r="C742" s="40">
        <v>45</v>
      </c>
      <c r="F742" s="40"/>
      <c r="G742" s="40"/>
      <c r="H742" s="40" t="s">
        <v>5030</v>
      </c>
      <c r="I742" s="40" t="s">
        <v>5005</v>
      </c>
      <c r="J742" s="40" t="s">
        <v>5031</v>
      </c>
      <c r="K742" s="40" t="s">
        <v>5032</v>
      </c>
      <c r="L742" s="190">
        <v>60205</v>
      </c>
      <c r="M742" s="190">
        <v>0</v>
      </c>
      <c r="N742" s="40" t="s">
        <v>5033</v>
      </c>
      <c r="O742" s="41" t="str">
        <f t="shared" si="22"/>
        <v>EBS1_60205_0</v>
      </c>
      <c r="P742" s="41" t="s">
        <v>5034</v>
      </c>
      <c r="R742" s="41">
        <v>741</v>
      </c>
      <c r="T742" s="41" t="str">
        <f t="shared" si="23"/>
        <v>6020500:Var_ui_ErrNo:=741;</v>
      </c>
    </row>
    <row r="743" spans="1:20">
      <c r="A743" s="190">
        <v>742</v>
      </c>
      <c r="B743" s="40">
        <v>230</v>
      </c>
      <c r="C743" s="40">
        <v>55</v>
      </c>
      <c r="F743" s="40"/>
      <c r="G743" s="40"/>
      <c r="H743" s="40" t="s">
        <v>5035</v>
      </c>
      <c r="I743" s="40" t="s">
        <v>5036</v>
      </c>
      <c r="J743" s="40" t="s">
        <v>5037</v>
      </c>
      <c r="K743" s="40" t="s">
        <v>5038</v>
      </c>
      <c r="L743" s="190">
        <v>58935</v>
      </c>
      <c r="M743" s="190">
        <v>0</v>
      </c>
      <c r="N743" s="40" t="s">
        <v>5039</v>
      </c>
      <c r="O743" s="41" t="str">
        <f t="shared" si="22"/>
        <v>EBS1_58935_0</v>
      </c>
      <c r="P743" s="41" t="s">
        <v>5040</v>
      </c>
      <c r="R743" s="41">
        <v>742</v>
      </c>
      <c r="T743" s="41" t="str">
        <f t="shared" si="23"/>
        <v>5893500:Var_ui_ErrNo:=742;</v>
      </c>
    </row>
    <row r="744" spans="1:20">
      <c r="A744" s="190">
        <v>743</v>
      </c>
      <c r="B744" s="40">
        <v>231</v>
      </c>
      <c r="C744" s="40">
        <v>55</v>
      </c>
      <c r="F744" s="40"/>
      <c r="G744" s="40"/>
      <c r="H744" s="40" t="s">
        <v>5041</v>
      </c>
      <c r="I744" s="40" t="s">
        <v>5036</v>
      </c>
      <c r="J744" s="40" t="s">
        <v>5042</v>
      </c>
      <c r="K744" s="40" t="s">
        <v>5043</v>
      </c>
      <c r="L744" s="190">
        <v>59191</v>
      </c>
      <c r="M744" s="190">
        <v>0</v>
      </c>
      <c r="N744" s="40" t="s">
        <v>5044</v>
      </c>
      <c r="O744" s="41" t="str">
        <f t="shared" si="22"/>
        <v>EBS1_59191_0</v>
      </c>
      <c r="P744" s="41" t="s">
        <v>5045</v>
      </c>
      <c r="R744" s="41">
        <v>743</v>
      </c>
      <c r="T744" s="41" t="str">
        <f t="shared" si="23"/>
        <v>5919100:Var_ui_ErrNo:=743;</v>
      </c>
    </row>
    <row r="745" spans="1:20">
      <c r="A745" s="190">
        <v>744</v>
      </c>
      <c r="B745" s="40">
        <v>232</v>
      </c>
      <c r="C745" s="40">
        <v>55</v>
      </c>
      <c r="F745" s="40"/>
      <c r="G745" s="40"/>
      <c r="H745" s="40" t="s">
        <v>5046</v>
      </c>
      <c r="I745" s="40" t="s">
        <v>5036</v>
      </c>
      <c r="J745" s="40" t="s">
        <v>5047</v>
      </c>
      <c r="K745" s="40" t="s">
        <v>5048</v>
      </c>
      <c r="L745" s="190">
        <v>59447</v>
      </c>
      <c r="M745" s="190">
        <v>0</v>
      </c>
      <c r="N745" s="40" t="s">
        <v>5049</v>
      </c>
      <c r="O745" s="41" t="str">
        <f t="shared" si="22"/>
        <v>EBS1_59447_0</v>
      </c>
      <c r="P745" s="41" t="s">
        <v>5050</v>
      </c>
      <c r="R745" s="41">
        <v>744</v>
      </c>
      <c r="T745" s="41" t="str">
        <f t="shared" si="23"/>
        <v>5944700:Var_ui_ErrNo:=744;</v>
      </c>
    </row>
    <row r="746" spans="1:20">
      <c r="A746" s="190">
        <v>745</v>
      </c>
      <c r="B746" s="40">
        <v>233</v>
      </c>
      <c r="C746" s="40">
        <v>55</v>
      </c>
      <c r="F746" s="40"/>
      <c r="G746" s="40"/>
      <c r="H746" s="40" t="s">
        <v>5051</v>
      </c>
      <c r="I746" s="40" t="s">
        <v>5036</v>
      </c>
      <c r="J746" s="40" t="s">
        <v>5052</v>
      </c>
      <c r="K746" s="40" t="s">
        <v>5053</v>
      </c>
      <c r="L746" s="190">
        <v>59703</v>
      </c>
      <c r="M746" s="190">
        <v>0</v>
      </c>
      <c r="N746" s="40" t="s">
        <v>5054</v>
      </c>
      <c r="O746" s="41" t="str">
        <f t="shared" si="22"/>
        <v>EBS1_59703_0</v>
      </c>
      <c r="P746" s="41" t="s">
        <v>5055</v>
      </c>
      <c r="R746" s="41">
        <v>745</v>
      </c>
      <c r="T746" s="41" t="str">
        <f t="shared" si="23"/>
        <v>5970300:Var_ui_ErrNo:=745;</v>
      </c>
    </row>
    <row r="747" spans="1:20">
      <c r="A747" s="190">
        <v>746</v>
      </c>
      <c r="B747" s="40">
        <v>234</v>
      </c>
      <c r="C747" s="40">
        <v>55</v>
      </c>
      <c r="F747" s="40"/>
      <c r="G747" s="40"/>
      <c r="H747" s="40" t="s">
        <v>5056</v>
      </c>
      <c r="I747" s="40" t="s">
        <v>5036</v>
      </c>
      <c r="J747" s="40" t="s">
        <v>5057</v>
      </c>
      <c r="K747" s="40" t="s">
        <v>5058</v>
      </c>
      <c r="L747" s="190">
        <v>59959</v>
      </c>
      <c r="M747" s="190">
        <v>0</v>
      </c>
      <c r="N747" s="40" t="s">
        <v>5059</v>
      </c>
      <c r="O747" s="41" t="str">
        <f t="shared" si="22"/>
        <v>EBS1_59959_0</v>
      </c>
      <c r="P747" s="41" t="s">
        <v>5060</v>
      </c>
      <c r="R747" s="41">
        <v>746</v>
      </c>
      <c r="T747" s="41" t="str">
        <f t="shared" si="23"/>
        <v>5995900:Var_ui_ErrNo:=746;</v>
      </c>
    </row>
    <row r="748" spans="1:20">
      <c r="A748" s="190">
        <v>747</v>
      </c>
      <c r="B748" s="40">
        <v>235</v>
      </c>
      <c r="C748" s="40">
        <v>55</v>
      </c>
      <c r="F748" s="40"/>
      <c r="G748" s="40"/>
      <c r="H748" s="40" t="s">
        <v>5061</v>
      </c>
      <c r="I748" s="40" t="s">
        <v>5036</v>
      </c>
      <c r="J748" s="40" t="s">
        <v>5062</v>
      </c>
      <c r="K748" s="40" t="s">
        <v>5063</v>
      </c>
      <c r="L748" s="190">
        <v>60215</v>
      </c>
      <c r="M748" s="190">
        <v>0</v>
      </c>
      <c r="N748" s="40" t="s">
        <v>5064</v>
      </c>
      <c r="O748" s="41" t="str">
        <f t="shared" si="22"/>
        <v>EBS1_60215_0</v>
      </c>
      <c r="P748" s="41" t="s">
        <v>5065</v>
      </c>
      <c r="R748" s="41">
        <v>747</v>
      </c>
      <c r="T748" s="41" t="str">
        <f t="shared" si="23"/>
        <v>6021500:Var_ui_ErrNo:=747;</v>
      </c>
    </row>
    <row r="749" spans="1:20">
      <c r="A749" s="190">
        <v>748</v>
      </c>
      <c r="B749" s="40">
        <v>240</v>
      </c>
      <c r="C749" s="40">
        <v>52</v>
      </c>
      <c r="F749" s="40"/>
      <c r="G749" s="40"/>
      <c r="H749" s="40" t="s">
        <v>5066</v>
      </c>
      <c r="I749" s="40" t="s">
        <v>5067</v>
      </c>
      <c r="J749" s="40" t="s">
        <v>5068</v>
      </c>
      <c r="K749" s="40" t="s">
        <v>5069</v>
      </c>
      <c r="L749" s="190">
        <v>61492</v>
      </c>
      <c r="M749" s="190">
        <v>0</v>
      </c>
      <c r="N749" s="40" t="s">
        <v>5070</v>
      </c>
      <c r="O749" s="41" t="str">
        <f t="shared" si="22"/>
        <v>EBS1_61492_0</v>
      </c>
      <c r="P749" s="41" t="s">
        <v>5071</v>
      </c>
      <c r="R749" s="41">
        <v>748</v>
      </c>
      <c r="T749" s="41" t="str">
        <f t="shared" si="23"/>
        <v>6149200:Var_ui_ErrNo:=748;</v>
      </c>
    </row>
    <row r="750" spans="1:20">
      <c r="A750" s="190">
        <v>749</v>
      </c>
      <c r="B750" s="40">
        <v>241</v>
      </c>
      <c r="C750" s="40">
        <v>52</v>
      </c>
      <c r="F750" s="40"/>
      <c r="G750" s="40"/>
      <c r="H750" s="40" t="s">
        <v>5072</v>
      </c>
      <c r="I750" s="40" t="s">
        <v>5067</v>
      </c>
      <c r="J750" s="40" t="s">
        <v>5073</v>
      </c>
      <c r="K750" s="40" t="s">
        <v>5074</v>
      </c>
      <c r="L750" s="190">
        <v>61748</v>
      </c>
      <c r="M750" s="190">
        <v>0</v>
      </c>
      <c r="N750" s="40" t="s">
        <v>5075</v>
      </c>
      <c r="O750" s="41" t="str">
        <f t="shared" si="22"/>
        <v>EBS1_61748_0</v>
      </c>
      <c r="P750" s="41" t="s">
        <v>5076</v>
      </c>
      <c r="R750" s="41">
        <v>749</v>
      </c>
      <c r="T750" s="41" t="str">
        <f t="shared" si="23"/>
        <v>6174800:Var_ui_ErrNo:=749;</v>
      </c>
    </row>
    <row r="751" spans="1:20">
      <c r="A751" s="190">
        <v>750</v>
      </c>
      <c r="B751" s="40">
        <v>242</v>
      </c>
      <c r="C751" s="40">
        <v>52</v>
      </c>
      <c r="F751" s="40"/>
      <c r="G751" s="40"/>
      <c r="H751" s="40" t="s">
        <v>5077</v>
      </c>
      <c r="I751" s="40" t="s">
        <v>5067</v>
      </c>
      <c r="J751" s="40" t="s">
        <v>5078</v>
      </c>
      <c r="K751" s="40" t="s">
        <v>5079</v>
      </c>
      <c r="L751" s="190">
        <v>62004</v>
      </c>
      <c r="M751" s="190">
        <v>0</v>
      </c>
      <c r="N751" s="40" t="s">
        <v>5080</v>
      </c>
      <c r="O751" s="41" t="str">
        <f t="shared" si="22"/>
        <v>EBS1_62004_0</v>
      </c>
      <c r="P751" s="41" t="s">
        <v>5081</v>
      </c>
      <c r="R751" s="41">
        <v>750</v>
      </c>
      <c r="T751" s="41" t="str">
        <f t="shared" si="23"/>
        <v>6200400:Var_ui_ErrNo:=750;</v>
      </c>
    </row>
    <row r="752" spans="1:20">
      <c r="A752" s="190">
        <v>751</v>
      </c>
      <c r="B752" s="40">
        <v>243</v>
      </c>
      <c r="C752" s="40">
        <v>52</v>
      </c>
      <c r="F752" s="40"/>
      <c r="G752" s="40"/>
      <c r="H752" s="40" t="s">
        <v>5082</v>
      </c>
      <c r="I752" s="40" t="s">
        <v>5067</v>
      </c>
      <c r="J752" s="40" t="s">
        <v>5083</v>
      </c>
      <c r="K752" s="40" t="s">
        <v>5084</v>
      </c>
      <c r="L752" s="190">
        <v>62260</v>
      </c>
      <c r="M752" s="190">
        <v>0</v>
      </c>
      <c r="N752" s="40" t="s">
        <v>5085</v>
      </c>
      <c r="O752" s="41" t="str">
        <f t="shared" si="22"/>
        <v>EBS1_62260_0</v>
      </c>
      <c r="P752" s="41" t="s">
        <v>5086</v>
      </c>
      <c r="R752" s="41">
        <v>751</v>
      </c>
      <c r="T752" s="41" t="str">
        <f t="shared" si="23"/>
        <v>6226000:Var_ui_ErrNo:=751;</v>
      </c>
    </row>
    <row r="753" spans="1:20">
      <c r="A753" s="190">
        <v>752</v>
      </c>
      <c r="B753" s="40">
        <v>244</v>
      </c>
      <c r="C753" s="40">
        <v>52</v>
      </c>
      <c r="F753" s="40"/>
      <c r="G753" s="40"/>
      <c r="H753" s="40" t="s">
        <v>5087</v>
      </c>
      <c r="I753" s="40" t="s">
        <v>5067</v>
      </c>
      <c r="J753" s="40" t="s">
        <v>5088</v>
      </c>
      <c r="K753" s="40" t="s">
        <v>5089</v>
      </c>
      <c r="L753" s="190">
        <v>62516</v>
      </c>
      <c r="M753" s="190">
        <v>0</v>
      </c>
      <c r="N753" s="40" t="s">
        <v>5090</v>
      </c>
      <c r="O753" s="41" t="str">
        <f t="shared" si="22"/>
        <v>EBS1_62516_0</v>
      </c>
      <c r="P753" s="41" t="s">
        <v>5091</v>
      </c>
      <c r="R753" s="41">
        <v>752</v>
      </c>
      <c r="T753" s="41" t="str">
        <f t="shared" si="23"/>
        <v>6251600:Var_ui_ErrNo:=752;</v>
      </c>
    </row>
    <row r="754" spans="1:20">
      <c r="A754" s="190">
        <v>753</v>
      </c>
      <c r="B754" s="40">
        <v>245</v>
      </c>
      <c r="C754" s="40">
        <v>52</v>
      </c>
      <c r="F754" s="40"/>
      <c r="G754" s="40"/>
      <c r="H754" s="40" t="s">
        <v>5092</v>
      </c>
      <c r="I754" s="40" t="s">
        <v>5067</v>
      </c>
      <c r="J754" s="40" t="s">
        <v>5093</v>
      </c>
      <c r="K754" s="40" t="s">
        <v>5094</v>
      </c>
      <c r="L754" s="190">
        <v>62772</v>
      </c>
      <c r="M754" s="190">
        <v>0</v>
      </c>
      <c r="N754" s="40" t="s">
        <v>5095</v>
      </c>
      <c r="O754" s="41" t="str">
        <f t="shared" si="22"/>
        <v>EBS1_62772_0</v>
      </c>
      <c r="P754" s="41" t="s">
        <v>5096</v>
      </c>
      <c r="R754" s="41">
        <v>753</v>
      </c>
      <c r="T754" s="41" t="str">
        <f t="shared" si="23"/>
        <v>6277200:Var_ui_ErrNo:=753;</v>
      </c>
    </row>
    <row r="755" spans="1:20">
      <c r="A755" s="190">
        <v>754</v>
      </c>
      <c r="B755" s="40">
        <v>240</v>
      </c>
      <c r="C755" s="40">
        <v>53</v>
      </c>
      <c r="F755" s="40"/>
      <c r="G755" s="40"/>
      <c r="H755" s="40" t="s">
        <v>5097</v>
      </c>
      <c r="I755" s="40" t="s">
        <v>5098</v>
      </c>
      <c r="J755" s="40" t="s">
        <v>5099</v>
      </c>
      <c r="K755" s="40" t="s">
        <v>5100</v>
      </c>
      <c r="L755" s="190">
        <v>61493</v>
      </c>
      <c r="M755" s="190">
        <v>0</v>
      </c>
      <c r="N755" s="40" t="s">
        <v>5101</v>
      </c>
      <c r="O755" s="41" t="str">
        <f t="shared" si="22"/>
        <v>EBS1_61493_0</v>
      </c>
      <c r="P755" s="41" t="s">
        <v>5102</v>
      </c>
      <c r="R755" s="41">
        <v>754</v>
      </c>
      <c r="T755" s="41" t="str">
        <f t="shared" si="23"/>
        <v>6149300:Var_ui_ErrNo:=754;</v>
      </c>
    </row>
    <row r="756" spans="1:20">
      <c r="A756" s="190">
        <v>755</v>
      </c>
      <c r="B756" s="40">
        <v>241</v>
      </c>
      <c r="C756" s="40">
        <v>53</v>
      </c>
      <c r="F756" s="40"/>
      <c r="G756" s="40"/>
      <c r="H756" s="40" t="s">
        <v>5103</v>
      </c>
      <c r="I756" s="40" t="s">
        <v>5098</v>
      </c>
      <c r="J756" s="40" t="s">
        <v>5104</v>
      </c>
      <c r="K756" s="40" t="s">
        <v>5105</v>
      </c>
      <c r="L756" s="190">
        <v>61749</v>
      </c>
      <c r="M756" s="190">
        <v>0</v>
      </c>
      <c r="N756" s="40" t="s">
        <v>5106</v>
      </c>
      <c r="O756" s="41" t="str">
        <f t="shared" si="22"/>
        <v>EBS1_61749_0</v>
      </c>
      <c r="P756" s="41" t="s">
        <v>5107</v>
      </c>
      <c r="R756" s="41">
        <v>755</v>
      </c>
      <c r="T756" s="41" t="str">
        <f t="shared" si="23"/>
        <v>6174900:Var_ui_ErrNo:=755;</v>
      </c>
    </row>
    <row r="757" spans="1:20">
      <c r="A757" s="190">
        <v>756</v>
      </c>
      <c r="B757" s="40">
        <v>242</v>
      </c>
      <c r="C757" s="40">
        <v>53</v>
      </c>
      <c r="F757" s="40"/>
      <c r="G757" s="40"/>
      <c r="H757" s="40" t="s">
        <v>5108</v>
      </c>
      <c r="I757" s="40" t="s">
        <v>5098</v>
      </c>
      <c r="J757" s="40" t="s">
        <v>5109</v>
      </c>
      <c r="K757" s="40" t="s">
        <v>5110</v>
      </c>
      <c r="L757" s="190">
        <v>62005</v>
      </c>
      <c r="M757" s="190">
        <v>0</v>
      </c>
      <c r="N757" s="40" t="s">
        <v>5111</v>
      </c>
      <c r="O757" s="41" t="str">
        <f t="shared" si="22"/>
        <v>EBS1_62005_0</v>
      </c>
      <c r="P757" s="41" t="s">
        <v>5112</v>
      </c>
      <c r="R757" s="41">
        <v>756</v>
      </c>
      <c r="T757" s="41" t="str">
        <f t="shared" si="23"/>
        <v>6200500:Var_ui_ErrNo:=756;</v>
      </c>
    </row>
    <row r="758" spans="1:20">
      <c r="A758" s="190">
        <v>757</v>
      </c>
      <c r="B758" s="40">
        <v>243</v>
      </c>
      <c r="C758" s="40">
        <v>53</v>
      </c>
      <c r="F758" s="40"/>
      <c r="G758" s="40"/>
      <c r="H758" s="40" t="s">
        <v>5113</v>
      </c>
      <c r="I758" s="40" t="s">
        <v>5098</v>
      </c>
      <c r="J758" s="40" t="s">
        <v>5114</v>
      </c>
      <c r="K758" s="40" t="s">
        <v>5115</v>
      </c>
      <c r="L758" s="190">
        <v>62261</v>
      </c>
      <c r="M758" s="190">
        <v>0</v>
      </c>
      <c r="N758" s="40" t="s">
        <v>5116</v>
      </c>
      <c r="O758" s="41" t="str">
        <f t="shared" si="22"/>
        <v>EBS1_62261_0</v>
      </c>
      <c r="P758" s="41" t="s">
        <v>5117</v>
      </c>
      <c r="R758" s="41">
        <v>757</v>
      </c>
      <c r="T758" s="41" t="str">
        <f t="shared" si="23"/>
        <v>6226100:Var_ui_ErrNo:=757;</v>
      </c>
    </row>
    <row r="759" spans="1:20">
      <c r="A759" s="190">
        <v>758</v>
      </c>
      <c r="B759" s="40">
        <v>244</v>
      </c>
      <c r="C759" s="40">
        <v>53</v>
      </c>
      <c r="F759" s="40"/>
      <c r="G759" s="40"/>
      <c r="H759" s="40" t="s">
        <v>5118</v>
      </c>
      <c r="I759" s="40" t="s">
        <v>5098</v>
      </c>
      <c r="J759" s="40" t="s">
        <v>5119</v>
      </c>
      <c r="K759" s="40" t="s">
        <v>5120</v>
      </c>
      <c r="L759" s="190">
        <v>62517</v>
      </c>
      <c r="M759" s="190">
        <v>0</v>
      </c>
      <c r="N759" s="40" t="s">
        <v>5121</v>
      </c>
      <c r="O759" s="41" t="str">
        <f t="shared" si="22"/>
        <v>EBS1_62517_0</v>
      </c>
      <c r="P759" s="41" t="s">
        <v>5122</v>
      </c>
      <c r="R759" s="41">
        <v>758</v>
      </c>
      <c r="T759" s="41" t="str">
        <f t="shared" si="23"/>
        <v>6251700:Var_ui_ErrNo:=758;</v>
      </c>
    </row>
    <row r="760" spans="1:20">
      <c r="A760" s="190">
        <v>759</v>
      </c>
      <c r="B760" s="40">
        <v>245</v>
      </c>
      <c r="C760" s="40">
        <v>53</v>
      </c>
      <c r="F760" s="40"/>
      <c r="G760" s="40"/>
      <c r="H760" s="40" t="s">
        <v>5123</v>
      </c>
      <c r="I760" s="40" t="s">
        <v>5098</v>
      </c>
      <c r="J760" s="40" t="s">
        <v>5124</v>
      </c>
      <c r="K760" s="40" t="s">
        <v>5125</v>
      </c>
      <c r="L760" s="190">
        <v>62773</v>
      </c>
      <c r="M760" s="190">
        <v>0</v>
      </c>
      <c r="N760" s="40" t="s">
        <v>5126</v>
      </c>
      <c r="O760" s="41" t="str">
        <f t="shared" si="22"/>
        <v>EBS1_62773_0</v>
      </c>
      <c r="P760" s="41" t="s">
        <v>5127</v>
      </c>
      <c r="R760" s="41">
        <v>759</v>
      </c>
      <c r="T760" s="41" t="str">
        <f t="shared" si="23"/>
        <v>6277300:Var_ui_ErrNo:=759;</v>
      </c>
    </row>
    <row r="761" spans="1:20">
      <c r="A761" s="190">
        <v>760</v>
      </c>
      <c r="B761" s="40">
        <v>240</v>
      </c>
      <c r="C761" s="40">
        <v>54</v>
      </c>
      <c r="F761" s="40"/>
      <c r="G761" s="40"/>
      <c r="H761" s="40" t="s">
        <v>5128</v>
      </c>
      <c r="I761" s="40" t="s">
        <v>5129</v>
      </c>
      <c r="J761" s="40" t="s">
        <v>5130</v>
      </c>
      <c r="K761" s="40" t="s">
        <v>5131</v>
      </c>
      <c r="L761" s="190">
        <v>61494</v>
      </c>
      <c r="M761" s="190">
        <v>0</v>
      </c>
      <c r="N761" s="40" t="s">
        <v>5132</v>
      </c>
      <c r="O761" s="41" t="str">
        <f t="shared" si="22"/>
        <v>EBS1_61494_0</v>
      </c>
      <c r="P761" s="41" t="s">
        <v>5133</v>
      </c>
      <c r="R761" s="41">
        <v>760</v>
      </c>
      <c r="T761" s="41" t="str">
        <f t="shared" si="23"/>
        <v>6149400:Var_ui_ErrNo:=760;</v>
      </c>
    </row>
    <row r="762" spans="1:20">
      <c r="A762" s="190">
        <v>761</v>
      </c>
      <c r="B762" s="40">
        <v>241</v>
      </c>
      <c r="C762" s="40">
        <v>54</v>
      </c>
      <c r="F762" s="40"/>
      <c r="G762" s="40"/>
      <c r="H762" s="40" t="s">
        <v>5134</v>
      </c>
      <c r="I762" s="40" t="s">
        <v>5129</v>
      </c>
      <c r="J762" s="40" t="s">
        <v>5135</v>
      </c>
      <c r="K762" s="40" t="s">
        <v>5136</v>
      </c>
      <c r="L762" s="190">
        <v>61750</v>
      </c>
      <c r="M762" s="190">
        <v>0</v>
      </c>
      <c r="N762" s="40" t="s">
        <v>5137</v>
      </c>
      <c r="O762" s="41" t="str">
        <f t="shared" si="22"/>
        <v>EBS1_61750_0</v>
      </c>
      <c r="P762" s="41" t="s">
        <v>5138</v>
      </c>
      <c r="R762" s="41">
        <v>761</v>
      </c>
      <c r="T762" s="41" t="str">
        <f t="shared" si="23"/>
        <v>6175000:Var_ui_ErrNo:=761;</v>
      </c>
    </row>
    <row r="763" spans="1:20">
      <c r="A763" s="190">
        <v>762</v>
      </c>
      <c r="B763" s="40">
        <v>242</v>
      </c>
      <c r="C763" s="40">
        <v>54</v>
      </c>
      <c r="F763" s="40"/>
      <c r="G763" s="40"/>
      <c r="H763" s="40" t="s">
        <v>5139</v>
      </c>
      <c r="I763" s="40" t="s">
        <v>5129</v>
      </c>
      <c r="J763" s="40" t="s">
        <v>5140</v>
      </c>
      <c r="K763" s="40" t="s">
        <v>5141</v>
      </c>
      <c r="L763" s="190">
        <v>62006</v>
      </c>
      <c r="M763" s="190">
        <v>0</v>
      </c>
      <c r="N763" s="40" t="s">
        <v>5142</v>
      </c>
      <c r="O763" s="41" t="str">
        <f t="shared" si="22"/>
        <v>EBS1_62006_0</v>
      </c>
      <c r="P763" s="41" t="s">
        <v>5143</v>
      </c>
      <c r="R763" s="41">
        <v>762</v>
      </c>
      <c r="T763" s="41" t="str">
        <f t="shared" si="23"/>
        <v>6200600:Var_ui_ErrNo:=762;</v>
      </c>
    </row>
    <row r="764" spans="1:20">
      <c r="A764" s="190">
        <v>763</v>
      </c>
      <c r="B764" s="40">
        <v>243</v>
      </c>
      <c r="C764" s="40">
        <v>54</v>
      </c>
      <c r="F764" s="40"/>
      <c r="G764" s="40"/>
      <c r="H764" s="40" t="s">
        <v>5144</v>
      </c>
      <c r="I764" s="40" t="s">
        <v>5129</v>
      </c>
      <c r="J764" s="40" t="s">
        <v>5145</v>
      </c>
      <c r="K764" s="40" t="s">
        <v>5146</v>
      </c>
      <c r="L764" s="190">
        <v>62262</v>
      </c>
      <c r="M764" s="190">
        <v>0</v>
      </c>
      <c r="N764" s="40" t="s">
        <v>5147</v>
      </c>
      <c r="O764" s="41" t="str">
        <f t="shared" si="22"/>
        <v>EBS1_62262_0</v>
      </c>
      <c r="P764" s="41" t="s">
        <v>5148</v>
      </c>
      <c r="R764" s="41">
        <v>763</v>
      </c>
      <c r="T764" s="41" t="str">
        <f t="shared" si="23"/>
        <v>6226200:Var_ui_ErrNo:=763;</v>
      </c>
    </row>
    <row r="765" spans="1:20">
      <c r="A765" s="190">
        <v>764</v>
      </c>
      <c r="B765" s="40">
        <v>244</v>
      </c>
      <c r="C765" s="40">
        <v>54</v>
      </c>
      <c r="F765" s="40"/>
      <c r="G765" s="40"/>
      <c r="H765" s="40" t="s">
        <v>5149</v>
      </c>
      <c r="I765" s="40" t="s">
        <v>5129</v>
      </c>
      <c r="J765" s="40" t="s">
        <v>5150</v>
      </c>
      <c r="K765" s="40" t="s">
        <v>5151</v>
      </c>
      <c r="L765" s="190">
        <v>62518</v>
      </c>
      <c r="M765" s="190">
        <v>0</v>
      </c>
      <c r="N765" s="40" t="s">
        <v>5152</v>
      </c>
      <c r="O765" s="41" t="str">
        <f t="shared" si="22"/>
        <v>EBS1_62518_0</v>
      </c>
      <c r="P765" s="41" t="s">
        <v>5153</v>
      </c>
      <c r="R765" s="41">
        <v>764</v>
      </c>
      <c r="T765" s="41" t="str">
        <f t="shared" si="23"/>
        <v>6251800:Var_ui_ErrNo:=764;</v>
      </c>
    </row>
    <row r="766" spans="1:20">
      <c r="A766" s="190">
        <v>765</v>
      </c>
      <c r="B766" s="40">
        <v>245</v>
      </c>
      <c r="C766" s="40">
        <v>54</v>
      </c>
      <c r="F766" s="40"/>
      <c r="G766" s="40"/>
      <c r="H766" s="40" t="s">
        <v>5154</v>
      </c>
      <c r="I766" s="40" t="s">
        <v>5129</v>
      </c>
      <c r="J766" s="40" t="s">
        <v>5155</v>
      </c>
      <c r="K766" s="40" t="s">
        <v>5156</v>
      </c>
      <c r="L766" s="190">
        <v>62774</v>
      </c>
      <c r="M766" s="190">
        <v>0</v>
      </c>
      <c r="N766" s="40" t="s">
        <v>5157</v>
      </c>
      <c r="O766" s="41" t="str">
        <f t="shared" si="22"/>
        <v>EBS1_62774_0</v>
      </c>
      <c r="P766" s="41" t="s">
        <v>5158</v>
      </c>
      <c r="R766" s="41">
        <v>765</v>
      </c>
      <c r="T766" s="41" t="str">
        <f t="shared" si="23"/>
        <v>6277400:Var_ui_ErrNo:=765;</v>
      </c>
    </row>
    <row r="767" spans="1:20">
      <c r="A767" s="190">
        <v>766</v>
      </c>
      <c r="B767" s="40">
        <v>253</v>
      </c>
      <c r="C767" s="40">
        <v>201</v>
      </c>
      <c r="F767" s="40"/>
      <c r="G767" s="40"/>
      <c r="H767" s="40" t="s">
        <v>5159</v>
      </c>
      <c r="I767" s="40" t="s">
        <v>5160</v>
      </c>
      <c r="J767" s="40" t="s">
        <v>5161</v>
      </c>
      <c r="K767" s="40" t="s">
        <v>5162</v>
      </c>
      <c r="L767" s="190">
        <v>64969</v>
      </c>
      <c r="M767" s="190">
        <v>0</v>
      </c>
      <c r="N767" s="40" t="s">
        <v>5163</v>
      </c>
      <c r="O767" s="41" t="str">
        <f t="shared" si="22"/>
        <v>EBS1_64969_0</v>
      </c>
      <c r="P767" s="41" t="s">
        <v>5164</v>
      </c>
      <c r="R767" s="41">
        <v>766</v>
      </c>
      <c r="T767" s="41" t="str">
        <f t="shared" si="23"/>
        <v>6496900:Var_ui_ErrNo:=766;</v>
      </c>
    </row>
    <row r="768" spans="1:20">
      <c r="A768" s="190">
        <v>767</v>
      </c>
      <c r="B768" s="40">
        <v>255</v>
      </c>
      <c r="C768" s="40">
        <v>202</v>
      </c>
      <c r="F768" s="40"/>
      <c r="G768" s="40"/>
      <c r="H768" s="40" t="s">
        <v>1801</v>
      </c>
      <c r="I768" s="40" t="s">
        <v>5165</v>
      </c>
      <c r="J768" s="40" t="s">
        <v>5166</v>
      </c>
      <c r="K768" s="40" t="s">
        <v>5167</v>
      </c>
      <c r="L768" s="190">
        <v>65482</v>
      </c>
      <c r="M768" s="190">
        <v>0</v>
      </c>
      <c r="N768" s="40" t="s">
        <v>1805</v>
      </c>
      <c r="O768" s="41" t="str">
        <f t="shared" si="22"/>
        <v>EBS1_65482_0</v>
      </c>
      <c r="P768" s="41" t="s">
        <v>5168</v>
      </c>
      <c r="R768" s="41">
        <v>767</v>
      </c>
      <c r="T768" s="41" t="str">
        <f t="shared" si="23"/>
        <v>6548200:Var_ui_ErrNo:=767;</v>
      </c>
    </row>
    <row r="769" spans="1:20">
      <c r="A769" s="190">
        <v>768</v>
      </c>
      <c r="B769" s="40">
        <v>255</v>
      </c>
      <c r="C769" s="40">
        <v>203</v>
      </c>
      <c r="F769" s="40"/>
      <c r="G769" s="40"/>
      <c r="H769" s="40" t="s">
        <v>5169</v>
      </c>
      <c r="I769" s="40" t="s">
        <v>5170</v>
      </c>
      <c r="J769" s="40" t="s">
        <v>5171</v>
      </c>
      <c r="K769" s="40" t="s">
        <v>5172</v>
      </c>
      <c r="L769" s="190">
        <v>65483</v>
      </c>
      <c r="M769" s="190">
        <v>0</v>
      </c>
      <c r="N769" s="40" t="s">
        <v>1811</v>
      </c>
      <c r="O769" s="41" t="str">
        <f t="shared" si="22"/>
        <v>EBS1_65483_0</v>
      </c>
      <c r="P769" s="41" t="s">
        <v>5173</v>
      </c>
      <c r="R769" s="41">
        <v>768</v>
      </c>
      <c r="T769" s="41" t="str">
        <f t="shared" si="23"/>
        <v>6548300:Var_ui_ErrNo:=768;</v>
      </c>
    </row>
    <row r="770" spans="1:20">
      <c r="A770" s="190">
        <v>769</v>
      </c>
      <c r="B770" s="40">
        <v>255</v>
      </c>
      <c r="C770" s="40">
        <v>228</v>
      </c>
      <c r="F770" s="40"/>
      <c r="G770" s="40"/>
      <c r="H770" s="40" t="s">
        <v>1813</v>
      </c>
      <c r="I770" s="40" t="s">
        <v>5174</v>
      </c>
      <c r="J770" s="40" t="s">
        <v>5175</v>
      </c>
      <c r="K770" s="40" t="s">
        <v>5176</v>
      </c>
      <c r="L770" s="190">
        <v>65508</v>
      </c>
      <c r="M770" s="190">
        <v>0</v>
      </c>
      <c r="N770" s="40" t="s">
        <v>1817</v>
      </c>
      <c r="O770" s="41" t="str">
        <f t="shared" ref="O770:O787" si="24">"EBS1_"&amp;L770&amp;"_"&amp;M770</f>
        <v>EBS1_65508_0</v>
      </c>
      <c r="P770" s="41" t="s">
        <v>5177</v>
      </c>
      <c r="R770" s="41">
        <v>769</v>
      </c>
      <c r="T770" s="41" t="str">
        <f t="shared" si="23"/>
        <v>6550800:Var_ui_ErrNo:=769;</v>
      </c>
    </row>
    <row r="771" spans="1:20">
      <c r="A771" s="190">
        <v>770</v>
      </c>
      <c r="B771" s="40">
        <v>255</v>
      </c>
      <c r="C771" s="40">
        <v>230</v>
      </c>
      <c r="F771" s="40"/>
      <c r="G771" s="40"/>
      <c r="H771" s="40" t="s">
        <v>1825</v>
      </c>
      <c r="I771" s="40" t="s">
        <v>1826</v>
      </c>
      <c r="J771" s="40" t="s">
        <v>5178</v>
      </c>
      <c r="K771" s="40" t="s">
        <v>5179</v>
      </c>
      <c r="L771" s="190">
        <v>65510</v>
      </c>
      <c r="M771" s="190">
        <v>0</v>
      </c>
      <c r="N771" s="40" t="s">
        <v>1829</v>
      </c>
      <c r="O771" s="41" t="str">
        <f t="shared" si="24"/>
        <v>EBS1_65510_0</v>
      </c>
      <c r="P771" s="41" t="s">
        <v>5180</v>
      </c>
      <c r="R771" s="41">
        <v>770</v>
      </c>
      <c r="T771" s="41" t="str">
        <f t="shared" ref="T771:T786" si="25">P771&amp;$Q$2&amp;R771&amp;$S$2</f>
        <v>6551000:Var_ui_ErrNo:=770;</v>
      </c>
    </row>
    <row r="772" spans="1:20">
      <c r="A772" s="190">
        <v>771</v>
      </c>
      <c r="B772" s="40">
        <v>255</v>
      </c>
      <c r="C772" s="40">
        <v>231</v>
      </c>
      <c r="F772" s="40"/>
      <c r="G772" s="40"/>
      <c r="H772" s="40" t="s">
        <v>1831</v>
      </c>
      <c r="I772" s="40" t="s">
        <v>1832</v>
      </c>
      <c r="J772" s="40" t="s">
        <v>5181</v>
      </c>
      <c r="K772" s="40" t="s">
        <v>5182</v>
      </c>
      <c r="L772" s="190">
        <v>65511</v>
      </c>
      <c r="M772" s="190">
        <v>0</v>
      </c>
      <c r="N772" s="40" t="s">
        <v>1835</v>
      </c>
      <c r="O772" s="41" t="str">
        <f t="shared" si="24"/>
        <v>EBS1_65511_0</v>
      </c>
      <c r="P772" s="41" t="s">
        <v>5183</v>
      </c>
      <c r="R772" s="41">
        <v>771</v>
      </c>
      <c r="T772" s="41" t="str">
        <f t="shared" si="25"/>
        <v>6551100:Var_ui_ErrNo:=771;</v>
      </c>
    </row>
    <row r="773" spans="1:20">
      <c r="A773" s="190">
        <v>772</v>
      </c>
      <c r="B773" s="40">
        <v>255</v>
      </c>
      <c r="C773" s="40">
        <v>232</v>
      </c>
      <c r="F773" s="40"/>
      <c r="G773" s="40"/>
      <c r="H773" s="40" t="s">
        <v>5184</v>
      </c>
      <c r="I773" s="40" t="s">
        <v>5185</v>
      </c>
      <c r="J773" s="40" t="s">
        <v>5186</v>
      </c>
      <c r="K773" s="40" t="s">
        <v>5187</v>
      </c>
      <c r="L773" s="190">
        <v>65512</v>
      </c>
      <c r="M773" s="190">
        <v>0</v>
      </c>
      <c r="N773" s="40" t="s">
        <v>1841</v>
      </c>
      <c r="O773" s="41" t="str">
        <f t="shared" si="24"/>
        <v>EBS1_65512_0</v>
      </c>
      <c r="P773" s="41" t="s">
        <v>5188</v>
      </c>
      <c r="R773" s="41">
        <v>772</v>
      </c>
      <c r="T773" s="41" t="str">
        <f t="shared" si="25"/>
        <v>6551200:Var_ui_ErrNo:=772;</v>
      </c>
    </row>
    <row r="774" spans="1:20">
      <c r="A774" s="190">
        <v>773</v>
      </c>
      <c r="B774" s="40">
        <v>255</v>
      </c>
      <c r="C774" s="40">
        <v>233</v>
      </c>
      <c r="F774" s="40"/>
      <c r="G774" s="40"/>
      <c r="H774" s="40" t="s">
        <v>5189</v>
      </c>
      <c r="I774" s="40" t="s">
        <v>5190</v>
      </c>
      <c r="J774" s="40" t="s">
        <v>5191</v>
      </c>
      <c r="K774" s="40" t="s">
        <v>5192</v>
      </c>
      <c r="L774" s="190">
        <v>65513</v>
      </c>
      <c r="M774" s="190">
        <v>0</v>
      </c>
      <c r="N774" s="40" t="s">
        <v>1847</v>
      </c>
      <c r="O774" s="41" t="str">
        <f t="shared" si="24"/>
        <v>EBS1_65513_0</v>
      </c>
      <c r="P774" s="41" t="s">
        <v>5193</v>
      </c>
      <c r="R774" s="41">
        <v>773</v>
      </c>
      <c r="T774" s="41" t="str">
        <f t="shared" si="25"/>
        <v>6551300:Var_ui_ErrNo:=773;</v>
      </c>
    </row>
    <row r="775" spans="1:20">
      <c r="A775" s="190">
        <v>774</v>
      </c>
      <c r="B775" s="40">
        <v>255</v>
      </c>
      <c r="C775" s="40">
        <v>234</v>
      </c>
      <c r="F775" s="40"/>
      <c r="G775" s="40"/>
      <c r="H775" s="40" t="s">
        <v>1849</v>
      </c>
      <c r="I775" s="40" t="s">
        <v>1850</v>
      </c>
      <c r="J775" s="40" t="s">
        <v>5194</v>
      </c>
      <c r="K775" s="40" t="s">
        <v>5195</v>
      </c>
      <c r="L775" s="190">
        <v>65514</v>
      </c>
      <c r="M775" s="190">
        <v>0</v>
      </c>
      <c r="N775" s="40" t="s">
        <v>1853</v>
      </c>
      <c r="O775" s="41" t="str">
        <f t="shared" si="24"/>
        <v>EBS1_65514_0</v>
      </c>
      <c r="P775" s="41" t="s">
        <v>5196</v>
      </c>
      <c r="R775" s="41">
        <v>774</v>
      </c>
      <c r="T775" s="41" t="str">
        <f t="shared" si="25"/>
        <v>6551400:Var_ui_ErrNo:=774;</v>
      </c>
    </row>
    <row r="776" spans="1:20">
      <c r="A776" s="190">
        <v>775</v>
      </c>
      <c r="B776" s="40">
        <v>255</v>
      </c>
      <c r="C776" s="40">
        <v>235</v>
      </c>
      <c r="F776" s="40"/>
      <c r="G776" s="40"/>
      <c r="H776" s="40" t="s">
        <v>5197</v>
      </c>
      <c r="I776" s="40" t="s">
        <v>5198</v>
      </c>
      <c r="J776" s="40" t="s">
        <v>5199</v>
      </c>
      <c r="K776" s="40" t="s">
        <v>5200</v>
      </c>
      <c r="L776" s="190">
        <v>65515</v>
      </c>
      <c r="M776" s="190">
        <v>0</v>
      </c>
      <c r="N776" s="40" t="s">
        <v>1859</v>
      </c>
      <c r="O776" s="41" t="str">
        <f t="shared" si="24"/>
        <v>EBS1_65515_0</v>
      </c>
      <c r="P776" s="41" t="s">
        <v>5201</v>
      </c>
      <c r="R776" s="41">
        <v>775</v>
      </c>
      <c r="T776" s="41" t="str">
        <f t="shared" si="25"/>
        <v>6551500:Var_ui_ErrNo:=775;</v>
      </c>
    </row>
    <row r="777" spans="1:20">
      <c r="A777" s="190">
        <v>776</v>
      </c>
      <c r="B777" s="40">
        <v>255</v>
      </c>
      <c r="C777" s="40">
        <v>236</v>
      </c>
      <c r="F777" s="40"/>
      <c r="G777" s="40"/>
      <c r="H777" s="40" t="s">
        <v>1861</v>
      </c>
      <c r="I777" s="40" t="s">
        <v>1862</v>
      </c>
      <c r="J777" s="40" t="s">
        <v>5202</v>
      </c>
      <c r="K777" s="40" t="s">
        <v>5203</v>
      </c>
      <c r="L777" s="190">
        <v>65516</v>
      </c>
      <c r="M777" s="190">
        <v>0</v>
      </c>
      <c r="N777" s="40" t="s">
        <v>1865</v>
      </c>
      <c r="O777" s="41" t="str">
        <f t="shared" si="24"/>
        <v>EBS1_65516_0</v>
      </c>
      <c r="P777" s="41" t="s">
        <v>5204</v>
      </c>
      <c r="R777" s="41">
        <v>776</v>
      </c>
      <c r="T777" s="41" t="str">
        <f t="shared" si="25"/>
        <v>6551600:Var_ui_ErrNo:=776;</v>
      </c>
    </row>
    <row r="778" spans="1:20">
      <c r="A778" s="190">
        <v>777</v>
      </c>
      <c r="B778" s="40">
        <v>255</v>
      </c>
      <c r="C778" s="40">
        <v>237</v>
      </c>
      <c r="F778" s="40"/>
      <c r="G778" s="40"/>
      <c r="H778" s="40" t="s">
        <v>1867</v>
      </c>
      <c r="I778" s="40" t="s">
        <v>5205</v>
      </c>
      <c r="J778" s="40" t="s">
        <v>5206</v>
      </c>
      <c r="K778" s="40" t="s">
        <v>5207</v>
      </c>
      <c r="L778" s="190">
        <v>65517</v>
      </c>
      <c r="M778" s="190">
        <v>0</v>
      </c>
      <c r="N778" s="40" t="s">
        <v>1871</v>
      </c>
      <c r="O778" s="41" t="str">
        <f t="shared" si="24"/>
        <v>EBS1_65517_0</v>
      </c>
      <c r="P778" s="41" t="s">
        <v>5208</v>
      </c>
      <c r="R778" s="41">
        <v>777</v>
      </c>
      <c r="T778" s="41" t="str">
        <f t="shared" si="25"/>
        <v>6551700:Var_ui_ErrNo:=777;</v>
      </c>
    </row>
    <row r="779" spans="1:20">
      <c r="A779" s="190">
        <v>778</v>
      </c>
      <c r="B779" s="40">
        <v>255</v>
      </c>
      <c r="C779" s="40">
        <v>238</v>
      </c>
      <c r="F779" s="40"/>
      <c r="G779" s="40"/>
      <c r="H779" s="40" t="s">
        <v>5209</v>
      </c>
      <c r="I779" s="40" t="s">
        <v>5210</v>
      </c>
      <c r="J779" s="40" t="s">
        <v>5211</v>
      </c>
      <c r="K779" s="40" t="s">
        <v>5212</v>
      </c>
      <c r="L779" s="190">
        <v>65518</v>
      </c>
      <c r="M779" s="190">
        <v>0</v>
      </c>
      <c r="N779" s="40" t="s">
        <v>5213</v>
      </c>
      <c r="O779" s="41" t="str">
        <f t="shared" si="24"/>
        <v>EBS1_65518_0</v>
      </c>
      <c r="P779" s="41" t="s">
        <v>5214</v>
      </c>
      <c r="R779" s="41">
        <v>778</v>
      </c>
      <c r="T779" s="41" t="str">
        <f t="shared" si="25"/>
        <v>6551800:Var_ui_ErrNo:=778;</v>
      </c>
    </row>
    <row r="780" spans="1:20">
      <c r="A780" s="190">
        <v>779</v>
      </c>
      <c r="B780" s="40">
        <v>255</v>
      </c>
      <c r="C780" s="40">
        <v>239</v>
      </c>
      <c r="F780" s="40"/>
      <c r="G780" s="40"/>
      <c r="H780" s="40" t="s">
        <v>1873</v>
      </c>
      <c r="I780" s="40" t="s">
        <v>1874</v>
      </c>
      <c r="J780" s="40" t="s">
        <v>5215</v>
      </c>
      <c r="K780" s="40" t="s">
        <v>5216</v>
      </c>
      <c r="L780" s="190">
        <v>65519</v>
      </c>
      <c r="M780" s="190">
        <v>0</v>
      </c>
      <c r="N780" s="40" t="s">
        <v>1877</v>
      </c>
      <c r="O780" s="41" t="str">
        <f t="shared" si="24"/>
        <v>EBS1_65519_0</v>
      </c>
      <c r="P780" s="41" t="s">
        <v>5217</v>
      </c>
      <c r="R780" s="41">
        <v>779</v>
      </c>
      <c r="T780" s="41" t="str">
        <f t="shared" si="25"/>
        <v>6551900:Var_ui_ErrNo:=779;</v>
      </c>
    </row>
    <row r="781" spans="1:20">
      <c r="A781" s="190">
        <v>780</v>
      </c>
      <c r="B781" s="40">
        <v>255</v>
      </c>
      <c r="C781" s="40">
        <v>240</v>
      </c>
      <c r="F781" s="40"/>
      <c r="G781" s="40"/>
      <c r="H781" s="40" t="s">
        <v>5218</v>
      </c>
      <c r="I781" s="40" t="s">
        <v>5219</v>
      </c>
      <c r="J781" s="40" t="s">
        <v>5220</v>
      </c>
      <c r="K781" s="40" t="s">
        <v>5221</v>
      </c>
      <c r="L781" s="190">
        <v>65520</v>
      </c>
      <c r="M781" s="190">
        <v>0</v>
      </c>
      <c r="N781" s="40" t="s">
        <v>5222</v>
      </c>
      <c r="O781" s="41" t="str">
        <f t="shared" si="24"/>
        <v>EBS1_65520_0</v>
      </c>
      <c r="P781" s="41" t="s">
        <v>5223</v>
      </c>
      <c r="R781" s="41">
        <v>780</v>
      </c>
      <c r="T781" s="41" t="str">
        <f t="shared" si="25"/>
        <v>6552000:Var_ui_ErrNo:=780;</v>
      </c>
    </row>
    <row r="782" spans="1:20">
      <c r="A782" s="190">
        <v>781</v>
      </c>
      <c r="B782" s="40">
        <v>255</v>
      </c>
      <c r="C782" s="40">
        <v>241</v>
      </c>
      <c r="F782" s="40"/>
      <c r="G782" s="40"/>
      <c r="H782" s="40" t="s">
        <v>5224</v>
      </c>
      <c r="I782" s="40" t="s">
        <v>5225</v>
      </c>
      <c r="J782" s="40" t="s">
        <v>5226</v>
      </c>
      <c r="K782" s="40" t="s">
        <v>5227</v>
      </c>
      <c r="L782" s="190">
        <v>65521</v>
      </c>
      <c r="M782" s="190">
        <v>0</v>
      </c>
      <c r="N782" s="40" t="s">
        <v>5228</v>
      </c>
      <c r="O782" s="41" t="str">
        <f t="shared" si="24"/>
        <v>EBS1_65521_0</v>
      </c>
      <c r="P782" s="41" t="s">
        <v>5229</v>
      </c>
      <c r="R782" s="41">
        <v>781</v>
      </c>
      <c r="T782" s="41" t="str">
        <f t="shared" si="25"/>
        <v>6552100:Var_ui_ErrNo:=781;</v>
      </c>
    </row>
    <row r="783" spans="1:20">
      <c r="A783" s="190">
        <v>782</v>
      </c>
      <c r="B783" s="40">
        <v>255</v>
      </c>
      <c r="C783" s="40">
        <v>242</v>
      </c>
      <c r="F783" s="40"/>
      <c r="G783" s="40"/>
      <c r="H783" s="40" t="s">
        <v>5230</v>
      </c>
      <c r="I783" s="40" t="s">
        <v>5231</v>
      </c>
      <c r="J783" s="40" t="s">
        <v>5232</v>
      </c>
      <c r="K783" s="40" t="s">
        <v>5233</v>
      </c>
      <c r="L783" s="190">
        <v>65522</v>
      </c>
      <c r="M783" s="190">
        <v>0</v>
      </c>
      <c r="N783" s="40" t="s">
        <v>1889</v>
      </c>
      <c r="O783" s="41" t="str">
        <f t="shared" si="24"/>
        <v>EBS1_65522_0</v>
      </c>
      <c r="P783" s="41" t="s">
        <v>5234</v>
      </c>
      <c r="R783" s="41">
        <v>782</v>
      </c>
      <c r="T783" s="41" t="str">
        <f t="shared" si="25"/>
        <v>6552200:Var_ui_ErrNo:=782;</v>
      </c>
    </row>
    <row r="784" spans="1:20">
      <c r="A784" s="190">
        <v>783</v>
      </c>
      <c r="B784" s="40">
        <v>255</v>
      </c>
      <c r="C784" s="40">
        <v>244</v>
      </c>
      <c r="F784" s="40"/>
      <c r="G784" s="40"/>
      <c r="H784" s="40" t="s">
        <v>1885</v>
      </c>
      <c r="I784" s="40" t="s">
        <v>1886</v>
      </c>
      <c r="J784" s="40" t="s">
        <v>5235</v>
      </c>
      <c r="K784" s="40" t="s">
        <v>5236</v>
      </c>
      <c r="L784" s="190">
        <v>65524</v>
      </c>
      <c r="M784" s="190">
        <v>0</v>
      </c>
      <c r="N784" s="40" t="s">
        <v>1889</v>
      </c>
      <c r="O784" s="41" t="str">
        <f t="shared" si="24"/>
        <v>EBS1_65524_0</v>
      </c>
      <c r="P784" s="41" t="s">
        <v>5237</v>
      </c>
      <c r="R784" s="41">
        <v>783</v>
      </c>
      <c r="T784" s="41" t="str">
        <f t="shared" si="25"/>
        <v>6552400:Var_ui_ErrNo:=783;</v>
      </c>
    </row>
    <row r="785" spans="1:20">
      <c r="A785" s="190">
        <v>784</v>
      </c>
      <c r="B785" s="40">
        <v>255</v>
      </c>
      <c r="C785" s="40">
        <v>246</v>
      </c>
      <c r="F785" s="40"/>
      <c r="G785" s="40"/>
      <c r="H785" s="40" t="s">
        <v>5238</v>
      </c>
      <c r="I785" s="40" t="s">
        <v>5239</v>
      </c>
      <c r="J785" s="40" t="s">
        <v>5240</v>
      </c>
      <c r="K785" s="40" t="s">
        <v>5241</v>
      </c>
      <c r="L785" s="190">
        <v>65526</v>
      </c>
      <c r="M785" s="190">
        <v>0</v>
      </c>
      <c r="N785" s="40" t="s">
        <v>5242</v>
      </c>
      <c r="O785" s="41" t="str">
        <f t="shared" si="24"/>
        <v>EBS1_65526_0</v>
      </c>
      <c r="P785" s="41" t="s">
        <v>5243</v>
      </c>
      <c r="R785" s="41">
        <v>784</v>
      </c>
      <c r="T785" s="41" t="str">
        <f t="shared" si="25"/>
        <v>6552600:Var_ui_ErrNo:=784;</v>
      </c>
    </row>
    <row r="786" spans="1:20">
      <c r="A786" s="192">
        <v>785</v>
      </c>
      <c r="B786" s="193"/>
      <c r="C786" s="193"/>
      <c r="D786" s="21"/>
      <c r="E786" s="21"/>
      <c r="F786" s="193"/>
      <c r="G786" s="193"/>
      <c r="H786" s="193"/>
      <c r="I786" s="193"/>
      <c r="J786" s="193" t="s">
        <v>5244</v>
      </c>
      <c r="K786" s="193"/>
      <c r="L786" s="192">
        <v>2103</v>
      </c>
      <c r="M786" s="192">
        <v>0</v>
      </c>
      <c r="N786" s="193"/>
      <c r="O786" s="41" t="str">
        <f t="shared" si="24"/>
        <v>EBS1_2103_0</v>
      </c>
      <c r="P786" s="41" t="s">
        <v>5245</v>
      </c>
      <c r="R786" s="41">
        <v>785</v>
      </c>
      <c r="T786" s="41" t="str">
        <f t="shared" si="25"/>
        <v>6553500:Var_ui_ErrNo:=785;</v>
      </c>
    </row>
    <row r="787" spans="1:15">
      <c r="A787" s="192">
        <v>786</v>
      </c>
      <c r="B787" s="193"/>
      <c r="C787" s="193"/>
      <c r="D787" s="21"/>
      <c r="E787" s="21"/>
      <c r="F787" s="193"/>
      <c r="G787" s="193"/>
      <c r="H787" s="193"/>
      <c r="I787" s="193"/>
      <c r="J787" s="193" t="s">
        <v>5246</v>
      </c>
      <c r="K787" s="193"/>
      <c r="L787" s="192">
        <v>24832</v>
      </c>
      <c r="M787" s="192">
        <v>0</v>
      </c>
      <c r="N787" s="193"/>
      <c r="O787" s="41" t="str">
        <f t="shared" si="24"/>
        <v>EBS1_24832_0</v>
      </c>
    </row>
    <row r="788" spans="1:14">
      <c r="A788" s="192">
        <v>787</v>
      </c>
      <c r="B788" s="193"/>
      <c r="C788" s="193"/>
      <c r="D788" s="21"/>
      <c r="E788" s="21"/>
      <c r="F788" s="193"/>
      <c r="G788" s="193"/>
      <c r="H788" s="193"/>
      <c r="I788" s="193"/>
      <c r="J788" s="193" t="s">
        <v>5247</v>
      </c>
      <c r="K788" s="193"/>
      <c r="L788" s="192">
        <v>24862</v>
      </c>
      <c r="M788" s="192">
        <v>0</v>
      </c>
      <c r="N788" s="193"/>
    </row>
    <row r="789" spans="1:14">
      <c r="A789" s="192">
        <v>788</v>
      </c>
      <c r="B789" s="193"/>
      <c r="C789" s="193"/>
      <c r="D789" s="21"/>
      <c r="E789" s="21"/>
      <c r="F789" s="193"/>
      <c r="G789" s="193"/>
      <c r="H789" s="193"/>
      <c r="I789" s="193"/>
      <c r="J789" s="193" t="s">
        <v>5248</v>
      </c>
      <c r="K789" s="193"/>
      <c r="L789" s="192">
        <v>24863</v>
      </c>
      <c r="M789" s="192">
        <v>0</v>
      </c>
      <c r="N789" s="193"/>
    </row>
    <row r="790" spans="1:14">
      <c r="A790" s="192">
        <v>789</v>
      </c>
      <c r="B790" s="193"/>
      <c r="C790" s="193"/>
      <c r="D790" s="21"/>
      <c r="E790" s="21"/>
      <c r="F790" s="193"/>
      <c r="G790" s="193"/>
      <c r="H790" s="193"/>
      <c r="I790" s="193"/>
      <c r="J790" s="193" t="s">
        <v>5249</v>
      </c>
      <c r="K790" s="193"/>
      <c r="L790" s="192">
        <v>24864</v>
      </c>
      <c r="M790" s="192">
        <v>0</v>
      </c>
      <c r="N790" s="193"/>
    </row>
    <row r="791" spans="1:14">
      <c r="A791" s="192">
        <v>790</v>
      </c>
      <c r="B791" s="193"/>
      <c r="C791" s="193"/>
      <c r="D791" s="21"/>
      <c r="E791" s="21"/>
      <c r="F791" s="193"/>
      <c r="G791" s="193"/>
      <c r="H791" s="193"/>
      <c r="I791" s="193"/>
      <c r="J791" s="193" t="s">
        <v>5250</v>
      </c>
      <c r="K791" s="193"/>
      <c r="L791" s="192">
        <v>24865</v>
      </c>
      <c r="M791" s="192">
        <v>0</v>
      </c>
      <c r="N791" s="193"/>
    </row>
    <row r="792" spans="1:14">
      <c r="A792" s="192">
        <v>791</v>
      </c>
      <c r="B792" s="193"/>
      <c r="C792" s="193"/>
      <c r="D792" s="21"/>
      <c r="E792" s="21"/>
      <c r="F792" s="193"/>
      <c r="G792" s="193"/>
      <c r="H792" s="193"/>
      <c r="I792" s="193"/>
      <c r="J792" s="193" t="s">
        <v>5251</v>
      </c>
      <c r="K792" s="193"/>
      <c r="L792" s="192">
        <v>24867</v>
      </c>
      <c r="M792" s="192">
        <v>0</v>
      </c>
      <c r="N792" s="193"/>
    </row>
    <row r="793" spans="1:14">
      <c r="A793" s="192">
        <v>792</v>
      </c>
      <c r="B793" s="193"/>
      <c r="C793" s="193"/>
      <c r="D793" s="21"/>
      <c r="E793" s="21"/>
      <c r="F793" s="193"/>
      <c r="G793" s="193"/>
      <c r="H793" s="193"/>
      <c r="I793" s="193"/>
      <c r="J793" s="193" t="s">
        <v>5252</v>
      </c>
      <c r="K793" s="193"/>
      <c r="L793" s="192">
        <v>24870</v>
      </c>
      <c r="M793" s="192">
        <v>0</v>
      </c>
      <c r="N793" s="193"/>
    </row>
  </sheetData>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A88"/>
  <sheetViews>
    <sheetView zoomScale="90" zoomScaleNormal="90" workbookViewId="0">
      <pane xSplit="1" ySplit="1" topLeftCell="B53" activePane="bottomRight" state="frozen"/>
      <selection/>
      <selection pane="topRight"/>
      <selection pane="bottomLeft"/>
      <selection pane="bottomRight" activeCell="G84" sqref="G84"/>
    </sheetView>
  </sheetViews>
  <sheetFormatPr defaultColWidth="9" defaultRowHeight="13.5"/>
  <cols>
    <col min="1" max="1" width="4.625" style="162" customWidth="1"/>
    <col min="2" max="2" width="36.625" style="162" customWidth="1"/>
    <col min="3" max="3" width="61.75" style="164" customWidth="1"/>
    <col min="4" max="4" width="12.25" style="163" customWidth="1"/>
    <col min="5" max="5" width="6.5" style="163" customWidth="1"/>
    <col min="6" max="16384" width="9" style="162"/>
  </cols>
  <sheetData>
    <row r="1" s="161" customFormat="1" ht="28.5" spans="1:79">
      <c r="A1" s="165" t="s">
        <v>101</v>
      </c>
      <c r="B1" s="166" t="s">
        <v>374</v>
      </c>
      <c r="C1" s="165" t="s">
        <v>375</v>
      </c>
      <c r="D1" s="165" t="s">
        <v>104</v>
      </c>
      <c r="E1" s="165" t="s">
        <v>105</v>
      </c>
      <c r="F1" s="162"/>
      <c r="G1" s="162"/>
      <c r="H1" s="162"/>
      <c r="I1" s="162"/>
      <c r="J1" s="162"/>
      <c r="K1" s="162"/>
      <c r="L1" s="162"/>
      <c r="M1" s="162"/>
      <c r="N1" s="162"/>
      <c r="O1" s="162"/>
      <c r="P1" s="162"/>
      <c r="Q1" s="162"/>
      <c r="R1" s="162"/>
      <c r="S1" s="162"/>
      <c r="T1" s="162"/>
      <c r="U1" s="162"/>
      <c r="V1" s="162"/>
      <c r="W1" s="162"/>
      <c r="X1" s="162"/>
      <c r="Y1" s="162"/>
      <c r="Z1" s="162"/>
      <c r="AA1" s="162"/>
      <c r="AB1" s="162"/>
      <c r="AC1" s="162"/>
      <c r="AD1" s="162"/>
      <c r="AE1" s="162"/>
      <c r="AF1" s="162"/>
      <c r="AG1" s="162"/>
      <c r="AH1" s="162"/>
      <c r="AI1" s="162"/>
      <c r="AJ1" s="183"/>
      <c r="AK1" s="162"/>
      <c r="AL1" s="162"/>
      <c r="AM1" s="162"/>
      <c r="AN1" s="162"/>
      <c r="AO1" s="162"/>
      <c r="AP1" s="162"/>
      <c r="AQ1" s="162"/>
      <c r="AR1" s="162"/>
      <c r="AS1" s="162"/>
      <c r="AT1" s="162"/>
      <c r="AU1" s="162"/>
      <c r="AV1" s="162"/>
      <c r="AW1" s="162"/>
      <c r="AX1" s="162"/>
      <c r="AY1" s="162"/>
      <c r="AZ1" s="162"/>
      <c r="BA1" s="162"/>
      <c r="BB1" s="162"/>
      <c r="BC1" s="162"/>
      <c r="BD1" s="162"/>
      <c r="BE1" s="162"/>
      <c r="BF1" s="184"/>
      <c r="BG1" s="162"/>
      <c r="BH1" s="162"/>
      <c r="BI1" s="162"/>
      <c r="BJ1" s="162"/>
      <c r="BK1" s="162"/>
      <c r="BL1" s="162"/>
      <c r="BM1" s="162"/>
      <c r="BN1" s="162"/>
      <c r="BO1" s="162"/>
      <c r="BP1" s="162"/>
      <c r="BQ1" s="162"/>
      <c r="BR1" s="162"/>
      <c r="BS1" s="162"/>
      <c r="BT1" s="162"/>
      <c r="BU1" s="162"/>
      <c r="BV1" s="162"/>
      <c r="BW1" s="162"/>
      <c r="BX1" s="162"/>
      <c r="BY1" s="162"/>
      <c r="BZ1" s="162"/>
      <c r="CA1" s="162"/>
    </row>
    <row r="2" ht="14.25" spans="1:5">
      <c r="A2" s="168">
        <v>1</v>
      </c>
      <c r="B2" s="168" t="s">
        <v>5253</v>
      </c>
      <c r="C2" s="171" t="s">
        <v>5254</v>
      </c>
      <c r="D2" s="169">
        <v>518100</v>
      </c>
      <c r="E2" s="168">
        <v>5</v>
      </c>
    </row>
    <row r="3" ht="14.25" spans="1:5">
      <c r="A3" s="168">
        <v>2</v>
      </c>
      <c r="B3" s="168" t="s">
        <v>5255</v>
      </c>
      <c r="C3" s="171" t="s">
        <v>5256</v>
      </c>
      <c r="D3" s="169">
        <v>518100</v>
      </c>
      <c r="E3" s="169">
        <v>6</v>
      </c>
    </row>
    <row r="4" ht="14.25" spans="1:5">
      <c r="A4" s="168">
        <v>3</v>
      </c>
      <c r="B4" s="168" t="s">
        <v>5257</v>
      </c>
      <c r="C4" s="185" t="s">
        <v>5258</v>
      </c>
      <c r="D4" s="169">
        <v>518101</v>
      </c>
      <c r="E4" s="168">
        <v>5</v>
      </c>
    </row>
    <row r="5" ht="14.25" spans="1:5">
      <c r="A5" s="168">
        <v>4</v>
      </c>
      <c r="B5" s="168" t="s">
        <v>5259</v>
      </c>
      <c r="C5" s="185" t="s">
        <v>5260</v>
      </c>
      <c r="D5" s="169">
        <v>518101</v>
      </c>
      <c r="E5" s="168">
        <v>6</v>
      </c>
    </row>
    <row r="6" ht="14.25" spans="1:5">
      <c r="A6" s="168">
        <v>5</v>
      </c>
      <c r="B6" s="168" t="s">
        <v>5261</v>
      </c>
      <c r="C6" s="171" t="s">
        <v>5262</v>
      </c>
      <c r="D6" s="169">
        <v>518102</v>
      </c>
      <c r="E6" s="168">
        <v>5</v>
      </c>
    </row>
    <row r="7" ht="14.25" spans="1:5">
      <c r="A7" s="168">
        <v>6</v>
      </c>
      <c r="B7" s="168" t="s">
        <v>5263</v>
      </c>
      <c r="C7" s="171" t="s">
        <v>5264</v>
      </c>
      <c r="D7" s="169">
        <v>518102</v>
      </c>
      <c r="E7" s="169">
        <v>6</v>
      </c>
    </row>
    <row r="8" ht="14.25" spans="1:5">
      <c r="A8" s="168">
        <v>7</v>
      </c>
      <c r="B8" s="168" t="s">
        <v>5265</v>
      </c>
      <c r="C8" s="185" t="s">
        <v>5266</v>
      </c>
      <c r="D8" s="169">
        <v>518103</v>
      </c>
      <c r="E8" s="168">
        <v>5</v>
      </c>
    </row>
    <row r="9" ht="14.25" spans="1:5">
      <c r="A9" s="168">
        <v>8</v>
      </c>
      <c r="B9" s="168" t="s">
        <v>5267</v>
      </c>
      <c r="C9" s="185" t="s">
        <v>5268</v>
      </c>
      <c r="D9" s="169">
        <v>518103</v>
      </c>
      <c r="E9" s="168">
        <v>6</v>
      </c>
    </row>
    <row r="10" ht="14.25" spans="1:5">
      <c r="A10" s="168">
        <v>9</v>
      </c>
      <c r="B10" s="168" t="s">
        <v>5269</v>
      </c>
      <c r="C10" s="185" t="s">
        <v>5270</v>
      </c>
      <c r="D10" s="169">
        <v>518104</v>
      </c>
      <c r="E10" s="168">
        <v>5</v>
      </c>
    </row>
    <row r="11" ht="14.25" spans="1:5">
      <c r="A11" s="168">
        <v>10</v>
      </c>
      <c r="B11" s="168" t="s">
        <v>5271</v>
      </c>
      <c r="C11" s="185" t="s">
        <v>5272</v>
      </c>
      <c r="D11" s="169">
        <v>518104</v>
      </c>
      <c r="E11" s="169">
        <v>6</v>
      </c>
    </row>
    <row r="12" ht="14.25" spans="1:5">
      <c r="A12" s="168">
        <v>11</v>
      </c>
      <c r="B12" s="168" t="s">
        <v>5273</v>
      </c>
      <c r="C12" s="171" t="s">
        <v>5274</v>
      </c>
      <c r="D12" s="169">
        <v>518105</v>
      </c>
      <c r="E12" s="168">
        <v>6</v>
      </c>
    </row>
    <row r="13" ht="14.25" spans="1:5">
      <c r="A13" s="168">
        <v>12</v>
      </c>
      <c r="B13" s="168" t="s">
        <v>5275</v>
      </c>
      <c r="C13" s="171" t="s">
        <v>5276</v>
      </c>
      <c r="D13" s="169">
        <v>518106</v>
      </c>
      <c r="E13" s="168">
        <v>5</v>
      </c>
    </row>
    <row r="14" ht="14.25" spans="1:5">
      <c r="A14" s="168">
        <v>13</v>
      </c>
      <c r="B14" s="168" t="s">
        <v>5277</v>
      </c>
      <c r="C14" s="171" t="s">
        <v>5278</v>
      </c>
      <c r="D14" s="169">
        <v>518106</v>
      </c>
      <c r="E14" s="169">
        <v>6</v>
      </c>
    </row>
    <row r="15" ht="14.25" spans="1:5">
      <c r="A15" s="168">
        <v>14</v>
      </c>
      <c r="B15" s="168" t="s">
        <v>5279</v>
      </c>
      <c r="C15" s="171" t="s">
        <v>5280</v>
      </c>
      <c r="D15" s="169">
        <v>518107</v>
      </c>
      <c r="E15" s="168">
        <v>5</v>
      </c>
    </row>
    <row r="16" ht="14.25" spans="1:5">
      <c r="A16" s="168">
        <v>15</v>
      </c>
      <c r="B16" s="168" t="s">
        <v>5281</v>
      </c>
      <c r="C16" s="171" t="s">
        <v>5282</v>
      </c>
      <c r="D16" s="169">
        <v>518107</v>
      </c>
      <c r="E16" s="168">
        <v>6</v>
      </c>
    </row>
    <row r="17" ht="14.25" spans="1:5">
      <c r="A17" s="168">
        <v>16</v>
      </c>
      <c r="B17" s="168" t="s">
        <v>5283</v>
      </c>
      <c r="C17" s="171" t="s">
        <v>5284</v>
      </c>
      <c r="D17" s="169">
        <v>518108</v>
      </c>
      <c r="E17" s="168">
        <v>5</v>
      </c>
    </row>
    <row r="18" ht="14.25" spans="1:5">
      <c r="A18" s="168">
        <v>17</v>
      </c>
      <c r="B18" s="168" t="s">
        <v>5285</v>
      </c>
      <c r="C18" s="171" t="s">
        <v>5286</v>
      </c>
      <c r="D18" s="169">
        <v>518108</v>
      </c>
      <c r="E18" s="169">
        <v>6</v>
      </c>
    </row>
    <row r="19" ht="14.25" spans="1:5">
      <c r="A19" s="168">
        <v>18</v>
      </c>
      <c r="B19" s="168" t="s">
        <v>5287</v>
      </c>
      <c r="C19" s="171" t="s">
        <v>5288</v>
      </c>
      <c r="D19" s="169">
        <v>518108</v>
      </c>
      <c r="E19" s="168">
        <v>13</v>
      </c>
    </row>
    <row r="20" ht="14.25" spans="1:5">
      <c r="A20" s="168">
        <v>19</v>
      </c>
      <c r="B20" s="168" t="s">
        <v>5289</v>
      </c>
      <c r="C20" s="171" t="s">
        <v>5290</v>
      </c>
      <c r="D20" s="169">
        <v>518109</v>
      </c>
      <c r="E20" s="168">
        <v>5</v>
      </c>
    </row>
    <row r="21" ht="14.25" spans="1:5">
      <c r="A21" s="168">
        <v>20</v>
      </c>
      <c r="B21" s="168" t="s">
        <v>5291</v>
      </c>
      <c r="C21" s="171" t="s">
        <v>5292</v>
      </c>
      <c r="D21" s="169">
        <v>518109</v>
      </c>
      <c r="E21" s="168">
        <v>6</v>
      </c>
    </row>
    <row r="22" ht="14.25" spans="1:5">
      <c r="A22" s="168">
        <v>21</v>
      </c>
      <c r="B22" s="168" t="s">
        <v>5293</v>
      </c>
      <c r="C22" s="171" t="s">
        <v>5294</v>
      </c>
      <c r="D22" s="169">
        <v>518109</v>
      </c>
      <c r="E22" s="168">
        <v>13</v>
      </c>
    </row>
    <row r="23" ht="14.25" spans="1:5">
      <c r="A23" s="168">
        <v>22</v>
      </c>
      <c r="B23" s="168" t="s">
        <v>5295</v>
      </c>
      <c r="C23" s="171" t="s">
        <v>5296</v>
      </c>
      <c r="D23" s="169">
        <v>518110</v>
      </c>
      <c r="E23" s="168">
        <v>5</v>
      </c>
    </row>
    <row r="24" ht="14.25" spans="1:5">
      <c r="A24" s="168">
        <v>23</v>
      </c>
      <c r="B24" s="168" t="s">
        <v>5297</v>
      </c>
      <c r="C24" s="171" t="s">
        <v>5298</v>
      </c>
      <c r="D24" s="169">
        <v>518110</v>
      </c>
      <c r="E24" s="168">
        <v>6</v>
      </c>
    </row>
    <row r="25" ht="14.25" spans="1:5">
      <c r="A25" s="168">
        <v>24</v>
      </c>
      <c r="B25" s="168" t="s">
        <v>5299</v>
      </c>
      <c r="C25" s="171" t="s">
        <v>5300</v>
      </c>
      <c r="D25" s="169">
        <v>518110</v>
      </c>
      <c r="E25" s="168">
        <v>13</v>
      </c>
    </row>
    <row r="26" ht="14.25" spans="1:5">
      <c r="A26" s="168">
        <v>25</v>
      </c>
      <c r="B26" s="168" t="s">
        <v>5301</v>
      </c>
      <c r="C26" s="171" t="s">
        <v>5302</v>
      </c>
      <c r="D26" s="169">
        <v>518111</v>
      </c>
      <c r="E26" s="168">
        <v>5</v>
      </c>
    </row>
    <row r="27" ht="14.25" spans="1:5">
      <c r="A27" s="168">
        <v>26</v>
      </c>
      <c r="B27" s="168" t="s">
        <v>5303</v>
      </c>
      <c r="C27" s="171" t="s">
        <v>5304</v>
      </c>
      <c r="D27" s="169">
        <v>518111</v>
      </c>
      <c r="E27" s="168">
        <v>6</v>
      </c>
    </row>
    <row r="28" ht="14.25" spans="1:5">
      <c r="A28" s="168">
        <v>27</v>
      </c>
      <c r="B28" s="168" t="s">
        <v>5305</v>
      </c>
      <c r="C28" s="171" t="s">
        <v>5306</v>
      </c>
      <c r="D28" s="169">
        <v>518111</v>
      </c>
      <c r="E28" s="168">
        <v>13</v>
      </c>
    </row>
    <row r="29" ht="14.25" spans="1:5">
      <c r="A29" s="168">
        <v>28</v>
      </c>
      <c r="B29" s="168" t="s">
        <v>5307</v>
      </c>
      <c r="C29" s="171" t="s">
        <v>5308</v>
      </c>
      <c r="D29" s="169">
        <v>518112</v>
      </c>
      <c r="E29" s="168">
        <v>5</v>
      </c>
    </row>
    <row r="30" ht="14.25" spans="1:5">
      <c r="A30" s="168">
        <v>29</v>
      </c>
      <c r="B30" s="168" t="s">
        <v>5309</v>
      </c>
      <c r="C30" s="171" t="s">
        <v>5310</v>
      </c>
      <c r="D30" s="169">
        <v>518112</v>
      </c>
      <c r="E30" s="168">
        <v>6</v>
      </c>
    </row>
    <row r="31" ht="14.25" spans="1:5">
      <c r="A31" s="168">
        <v>30</v>
      </c>
      <c r="B31" s="168" t="s">
        <v>5311</v>
      </c>
      <c r="C31" s="171" t="s">
        <v>5312</v>
      </c>
      <c r="D31" s="169">
        <v>518112</v>
      </c>
      <c r="E31" s="168">
        <v>13</v>
      </c>
    </row>
    <row r="32" ht="14.25" spans="1:5">
      <c r="A32" s="168">
        <v>31</v>
      </c>
      <c r="B32" s="168" t="s">
        <v>5313</v>
      </c>
      <c r="C32" s="171" t="s">
        <v>5314</v>
      </c>
      <c r="D32" s="169">
        <v>518113</v>
      </c>
      <c r="E32" s="168">
        <v>5</v>
      </c>
    </row>
    <row r="33" ht="14.25" spans="1:5">
      <c r="A33" s="168">
        <v>32</v>
      </c>
      <c r="B33" s="168" t="s">
        <v>5315</v>
      </c>
      <c r="C33" s="171" t="s">
        <v>5316</v>
      </c>
      <c r="D33" s="169">
        <v>518113</v>
      </c>
      <c r="E33" s="168">
        <v>6</v>
      </c>
    </row>
    <row r="34" ht="14.25" spans="1:5">
      <c r="A34" s="168">
        <v>33</v>
      </c>
      <c r="B34" s="168" t="s">
        <v>5317</v>
      </c>
      <c r="C34" s="171" t="s">
        <v>5318</v>
      </c>
      <c r="D34" s="169">
        <v>518113</v>
      </c>
      <c r="E34" s="168">
        <v>13</v>
      </c>
    </row>
    <row r="35" ht="14.25" spans="1:5">
      <c r="A35" s="168">
        <v>34</v>
      </c>
      <c r="B35" s="168" t="s">
        <v>5319</v>
      </c>
      <c r="C35" s="171" t="s">
        <v>5320</v>
      </c>
      <c r="D35" s="169">
        <v>518114</v>
      </c>
      <c r="E35" s="168">
        <v>5</v>
      </c>
    </row>
    <row r="36" ht="14.25" spans="1:5">
      <c r="A36" s="168">
        <v>35</v>
      </c>
      <c r="B36" s="168" t="s">
        <v>5321</v>
      </c>
      <c r="C36" s="171" t="s">
        <v>5322</v>
      </c>
      <c r="D36" s="169">
        <v>518114</v>
      </c>
      <c r="E36" s="168">
        <v>6</v>
      </c>
    </row>
    <row r="37" ht="14.25" spans="1:5">
      <c r="A37" s="168">
        <v>36</v>
      </c>
      <c r="B37" s="168" t="s">
        <v>5323</v>
      </c>
      <c r="C37" s="171" t="s">
        <v>5324</v>
      </c>
      <c r="D37" s="169">
        <v>518114</v>
      </c>
      <c r="E37" s="168">
        <v>13</v>
      </c>
    </row>
    <row r="38" ht="14.25" spans="1:5">
      <c r="A38" s="168">
        <v>37</v>
      </c>
      <c r="B38" s="168" t="s">
        <v>5325</v>
      </c>
      <c r="C38" s="171" t="s">
        <v>5326</v>
      </c>
      <c r="D38" s="169">
        <v>518115</v>
      </c>
      <c r="E38" s="168">
        <v>5</v>
      </c>
    </row>
    <row r="39" ht="14.25" spans="1:5">
      <c r="A39" s="168">
        <v>38</v>
      </c>
      <c r="B39" s="168" t="s">
        <v>5327</v>
      </c>
      <c r="C39" s="171" t="s">
        <v>5328</v>
      </c>
      <c r="D39" s="169">
        <v>518115</v>
      </c>
      <c r="E39" s="168">
        <v>6</v>
      </c>
    </row>
    <row r="40" ht="14.25" spans="1:5">
      <c r="A40" s="168">
        <v>39</v>
      </c>
      <c r="B40" s="168" t="s">
        <v>5329</v>
      </c>
      <c r="C40" s="171" t="s">
        <v>5330</v>
      </c>
      <c r="D40" s="169">
        <v>518115</v>
      </c>
      <c r="E40" s="168">
        <v>13</v>
      </c>
    </row>
    <row r="41" ht="14.25" spans="1:5">
      <c r="A41" s="168">
        <v>40</v>
      </c>
      <c r="B41" s="168" t="s">
        <v>5331</v>
      </c>
      <c r="C41" s="171" t="s">
        <v>5332</v>
      </c>
      <c r="D41" s="169">
        <v>518116</v>
      </c>
      <c r="E41" s="168">
        <v>5</v>
      </c>
    </row>
    <row r="42" ht="14.25" spans="1:5">
      <c r="A42" s="168">
        <v>41</v>
      </c>
      <c r="B42" s="168" t="s">
        <v>5333</v>
      </c>
      <c r="C42" s="171" t="s">
        <v>5334</v>
      </c>
      <c r="D42" s="169">
        <v>518116</v>
      </c>
      <c r="E42" s="168">
        <v>6</v>
      </c>
    </row>
    <row r="43" ht="14.25" spans="1:5">
      <c r="A43" s="168">
        <v>42</v>
      </c>
      <c r="B43" s="168" t="s">
        <v>5335</v>
      </c>
      <c r="C43" s="171" t="s">
        <v>5336</v>
      </c>
      <c r="D43" s="169">
        <v>518116</v>
      </c>
      <c r="E43" s="168">
        <v>13</v>
      </c>
    </row>
    <row r="44" s="183" customFormat="1" ht="14.25" spans="1:5">
      <c r="A44" s="168">
        <v>43</v>
      </c>
      <c r="B44" s="168" t="s">
        <v>5337</v>
      </c>
      <c r="C44" s="171" t="s">
        <v>5338</v>
      </c>
      <c r="D44" s="169">
        <v>518117</v>
      </c>
      <c r="E44" s="168">
        <v>5</v>
      </c>
    </row>
    <row r="45" ht="14.25" spans="1:5">
      <c r="A45" s="168">
        <v>44</v>
      </c>
      <c r="B45" s="168" t="s">
        <v>5339</v>
      </c>
      <c r="C45" s="171" t="s">
        <v>5340</v>
      </c>
      <c r="D45" s="169">
        <v>518117</v>
      </c>
      <c r="E45" s="168">
        <v>6</v>
      </c>
    </row>
    <row r="46" ht="14.25" spans="1:5">
      <c r="A46" s="168">
        <v>45</v>
      </c>
      <c r="B46" s="168" t="s">
        <v>5341</v>
      </c>
      <c r="C46" s="171" t="s">
        <v>5342</v>
      </c>
      <c r="D46" s="169">
        <v>518117</v>
      </c>
      <c r="E46" s="168">
        <v>13</v>
      </c>
    </row>
    <row r="47" ht="14.25" spans="1:5">
      <c r="A47" s="168">
        <v>46</v>
      </c>
      <c r="B47" s="168" t="s">
        <v>5343</v>
      </c>
      <c r="C47" s="171" t="s">
        <v>5344</v>
      </c>
      <c r="D47" s="169">
        <v>518118</v>
      </c>
      <c r="E47" s="168">
        <v>5</v>
      </c>
    </row>
    <row r="48" ht="14.25" spans="1:5">
      <c r="A48" s="168">
        <v>47</v>
      </c>
      <c r="B48" s="168" t="s">
        <v>5345</v>
      </c>
      <c r="C48" s="171" t="s">
        <v>5346</v>
      </c>
      <c r="D48" s="169">
        <v>518118</v>
      </c>
      <c r="E48" s="168">
        <v>6</v>
      </c>
    </row>
    <row r="49" ht="14.25" spans="1:5">
      <c r="A49" s="168">
        <v>48</v>
      </c>
      <c r="B49" s="168" t="s">
        <v>5347</v>
      </c>
      <c r="C49" s="171" t="s">
        <v>5348</v>
      </c>
      <c r="D49" s="169">
        <v>518118</v>
      </c>
      <c r="E49" s="168">
        <v>13</v>
      </c>
    </row>
    <row r="50" ht="14.25" spans="1:5">
      <c r="A50" s="168">
        <v>49</v>
      </c>
      <c r="B50" s="168" t="s">
        <v>5349</v>
      </c>
      <c r="C50" s="171" t="s">
        <v>5350</v>
      </c>
      <c r="D50" s="169">
        <v>518119</v>
      </c>
      <c r="E50" s="168">
        <v>5</v>
      </c>
    </row>
    <row r="51" ht="14.25" spans="1:5">
      <c r="A51" s="168">
        <v>50</v>
      </c>
      <c r="B51" s="168" t="s">
        <v>5351</v>
      </c>
      <c r="C51" s="171" t="s">
        <v>5352</v>
      </c>
      <c r="D51" s="169">
        <v>518119</v>
      </c>
      <c r="E51" s="168">
        <v>6</v>
      </c>
    </row>
    <row r="52" ht="14.25" spans="1:5">
      <c r="A52" s="168">
        <v>51</v>
      </c>
      <c r="B52" s="168" t="s">
        <v>5353</v>
      </c>
      <c r="C52" s="171" t="s">
        <v>5354</v>
      </c>
      <c r="D52" s="169">
        <v>518119</v>
      </c>
      <c r="E52" s="168">
        <v>13</v>
      </c>
    </row>
    <row r="53" ht="14.25" spans="1:5">
      <c r="A53" s="168">
        <v>52</v>
      </c>
      <c r="B53" s="168" t="s">
        <v>5355</v>
      </c>
      <c r="C53" s="171" t="s">
        <v>5356</v>
      </c>
      <c r="D53" s="169">
        <v>518120</v>
      </c>
      <c r="E53" s="168">
        <v>5</v>
      </c>
    </row>
    <row r="54" ht="14.25" spans="1:5">
      <c r="A54" s="168">
        <v>53</v>
      </c>
      <c r="B54" s="168" t="s">
        <v>5357</v>
      </c>
      <c r="C54" s="171" t="s">
        <v>5358</v>
      </c>
      <c r="D54" s="169">
        <v>518120</v>
      </c>
      <c r="E54" s="168">
        <v>6</v>
      </c>
    </row>
    <row r="55" ht="14.25" spans="1:5">
      <c r="A55" s="168">
        <v>54</v>
      </c>
      <c r="B55" s="168" t="s">
        <v>5359</v>
      </c>
      <c r="C55" s="171" t="s">
        <v>5360</v>
      </c>
      <c r="D55" s="169">
        <v>518120</v>
      </c>
      <c r="E55" s="168">
        <v>13</v>
      </c>
    </row>
    <row r="56" ht="14.25" spans="1:5">
      <c r="A56" s="168">
        <v>55</v>
      </c>
      <c r="B56" s="168" t="s">
        <v>5361</v>
      </c>
      <c r="C56" s="171" t="s">
        <v>5362</v>
      </c>
      <c r="D56" s="169">
        <v>518121</v>
      </c>
      <c r="E56" s="168">
        <v>5</v>
      </c>
    </row>
    <row r="57" ht="14.25" spans="1:5">
      <c r="A57" s="168">
        <v>56</v>
      </c>
      <c r="B57" s="168" t="s">
        <v>5363</v>
      </c>
      <c r="C57" s="171" t="s">
        <v>5364</v>
      </c>
      <c r="D57" s="169">
        <v>518121</v>
      </c>
      <c r="E57" s="168">
        <v>6</v>
      </c>
    </row>
    <row r="58" ht="14.25" spans="1:5">
      <c r="A58" s="168">
        <v>57</v>
      </c>
      <c r="B58" s="168" t="s">
        <v>5365</v>
      </c>
      <c r="C58" s="171" t="s">
        <v>5366</v>
      </c>
      <c r="D58" s="169">
        <v>518122</v>
      </c>
      <c r="E58" s="168">
        <v>5</v>
      </c>
    </row>
    <row r="59" ht="14.25" spans="1:5">
      <c r="A59" s="168">
        <v>58</v>
      </c>
      <c r="B59" s="168" t="s">
        <v>5367</v>
      </c>
      <c r="C59" s="171" t="s">
        <v>5368</v>
      </c>
      <c r="D59" s="169">
        <v>518122</v>
      </c>
      <c r="E59" s="168">
        <v>6</v>
      </c>
    </row>
    <row r="60" ht="14.25" spans="1:5">
      <c r="A60" s="168">
        <v>59</v>
      </c>
      <c r="B60" s="168" t="s">
        <v>5369</v>
      </c>
      <c r="C60" s="171" t="s">
        <v>5370</v>
      </c>
      <c r="D60" s="169">
        <v>518123</v>
      </c>
      <c r="E60" s="168">
        <v>5</v>
      </c>
    </row>
    <row r="61" ht="14.25" spans="1:5">
      <c r="A61" s="168">
        <v>60</v>
      </c>
      <c r="B61" s="168" t="s">
        <v>5371</v>
      </c>
      <c r="C61" s="171" t="s">
        <v>5372</v>
      </c>
      <c r="D61" s="169">
        <v>518123</v>
      </c>
      <c r="E61" s="168">
        <v>6</v>
      </c>
    </row>
    <row r="62" ht="14.25" spans="1:5">
      <c r="A62" s="168">
        <v>61</v>
      </c>
      <c r="B62" s="168" t="s">
        <v>5373</v>
      </c>
      <c r="C62" s="171" t="s">
        <v>5374</v>
      </c>
      <c r="D62" s="169">
        <v>518123</v>
      </c>
      <c r="E62" s="168">
        <v>13</v>
      </c>
    </row>
    <row r="63" ht="14.25" spans="1:5">
      <c r="A63" s="168">
        <v>62</v>
      </c>
      <c r="B63" s="168" t="s">
        <v>5375</v>
      </c>
      <c r="C63" s="171" t="s">
        <v>5376</v>
      </c>
      <c r="D63" s="169">
        <v>518124</v>
      </c>
      <c r="E63" s="168">
        <v>6</v>
      </c>
    </row>
    <row r="64" ht="14.25" spans="1:5">
      <c r="A64" s="168">
        <v>63</v>
      </c>
      <c r="B64" s="168" t="s">
        <v>5377</v>
      </c>
      <c r="C64" s="171" t="s">
        <v>5378</v>
      </c>
      <c r="D64" s="169">
        <v>518125</v>
      </c>
      <c r="E64" s="168">
        <v>6</v>
      </c>
    </row>
    <row r="65" ht="14.25" spans="1:5">
      <c r="A65" s="168">
        <v>64</v>
      </c>
      <c r="B65" s="168" t="s">
        <v>5379</v>
      </c>
      <c r="C65" s="171" t="s">
        <v>5380</v>
      </c>
      <c r="D65" s="169">
        <v>518126</v>
      </c>
      <c r="E65" s="168">
        <v>5</v>
      </c>
    </row>
    <row r="66" s="184" customFormat="1" ht="14.25" spans="1:5">
      <c r="A66" s="168">
        <v>65</v>
      </c>
      <c r="B66" s="168" t="s">
        <v>5381</v>
      </c>
      <c r="C66" s="171" t="s">
        <v>5382</v>
      </c>
      <c r="D66" s="169">
        <v>518127</v>
      </c>
      <c r="E66" s="168">
        <v>5</v>
      </c>
    </row>
    <row r="67" ht="14.25" spans="1:5">
      <c r="A67" s="168">
        <v>66</v>
      </c>
      <c r="B67" s="168" t="s">
        <v>5383</v>
      </c>
      <c r="C67" s="171" t="s">
        <v>5384</v>
      </c>
      <c r="D67" s="169">
        <v>518128</v>
      </c>
      <c r="E67" s="168">
        <v>5</v>
      </c>
    </row>
    <row r="68" ht="14.25" spans="1:5">
      <c r="A68" s="168">
        <v>67</v>
      </c>
      <c r="B68" s="168" t="s">
        <v>5385</v>
      </c>
      <c r="C68" s="171" t="s">
        <v>5386</v>
      </c>
      <c r="D68" s="169">
        <v>518129</v>
      </c>
      <c r="E68" s="168">
        <v>5</v>
      </c>
    </row>
    <row r="69" ht="14.25" spans="1:5">
      <c r="A69" s="168">
        <v>68</v>
      </c>
      <c r="B69" s="168" t="s">
        <v>5387</v>
      </c>
      <c r="C69" s="171" t="s">
        <v>5388</v>
      </c>
      <c r="D69" s="169">
        <v>518131</v>
      </c>
      <c r="E69" s="168">
        <v>3</v>
      </c>
    </row>
    <row r="70" ht="14.25" spans="1:5">
      <c r="A70" s="168">
        <v>69</v>
      </c>
      <c r="B70" s="168" t="s">
        <v>5389</v>
      </c>
      <c r="C70" s="171" t="s">
        <v>5390</v>
      </c>
      <c r="D70" s="169">
        <v>518131</v>
      </c>
      <c r="E70" s="168">
        <v>4</v>
      </c>
    </row>
    <row r="71" ht="14.25" spans="1:5">
      <c r="A71" s="168">
        <v>70</v>
      </c>
      <c r="B71" s="168" t="s">
        <v>5391</v>
      </c>
      <c r="C71" s="171" t="s">
        <v>5392</v>
      </c>
      <c r="D71" s="169">
        <v>518136</v>
      </c>
      <c r="E71" s="168">
        <v>5</v>
      </c>
    </row>
    <row r="72" ht="14.25" spans="1:5">
      <c r="A72" s="168">
        <v>71</v>
      </c>
      <c r="B72" s="168" t="s">
        <v>5393</v>
      </c>
      <c r="C72" s="171" t="s">
        <v>5394</v>
      </c>
      <c r="D72" s="169">
        <v>518136</v>
      </c>
      <c r="E72" s="168">
        <v>6</v>
      </c>
    </row>
    <row r="73" ht="14.25" spans="1:5">
      <c r="A73" s="168">
        <v>72</v>
      </c>
      <c r="B73" s="168" t="s">
        <v>5395</v>
      </c>
      <c r="C73" s="171" t="s">
        <v>5396</v>
      </c>
      <c r="D73" s="169">
        <v>518137</v>
      </c>
      <c r="E73" s="168">
        <v>5</v>
      </c>
    </row>
    <row r="74" ht="14.25" spans="1:5">
      <c r="A74" s="168">
        <v>73</v>
      </c>
      <c r="B74" s="168" t="s">
        <v>5397</v>
      </c>
      <c r="C74" s="171" t="s">
        <v>5398</v>
      </c>
      <c r="D74" s="169">
        <v>518137</v>
      </c>
      <c r="E74" s="168">
        <v>6</v>
      </c>
    </row>
    <row r="75" ht="14.25" spans="1:5">
      <c r="A75" s="168">
        <v>74</v>
      </c>
      <c r="B75" s="168" t="s">
        <v>5399</v>
      </c>
      <c r="C75" s="185" t="s">
        <v>5400</v>
      </c>
      <c r="D75" s="169">
        <v>518138</v>
      </c>
      <c r="E75" s="168">
        <v>6</v>
      </c>
    </row>
    <row r="76" ht="14.25" spans="1:5">
      <c r="A76" s="168">
        <v>75</v>
      </c>
      <c r="B76" s="168" t="s">
        <v>5401</v>
      </c>
      <c r="C76" s="185" t="s">
        <v>5402</v>
      </c>
      <c r="D76" s="169">
        <v>518139</v>
      </c>
      <c r="E76" s="168">
        <v>5</v>
      </c>
    </row>
    <row r="77" ht="14.25" spans="1:5">
      <c r="A77" s="168">
        <v>76</v>
      </c>
      <c r="B77" s="168" t="s">
        <v>5403</v>
      </c>
      <c r="C77" s="185" t="s">
        <v>5404</v>
      </c>
      <c r="D77" s="169">
        <v>518139</v>
      </c>
      <c r="E77" s="168">
        <v>6</v>
      </c>
    </row>
    <row r="78" ht="14.25" spans="1:5">
      <c r="A78" s="168">
        <v>77</v>
      </c>
      <c r="B78" s="168" t="s">
        <v>5405</v>
      </c>
      <c r="C78" s="171" t="s">
        <v>5406</v>
      </c>
      <c r="D78" s="169">
        <v>518140</v>
      </c>
      <c r="E78" s="168">
        <v>5</v>
      </c>
    </row>
    <row r="79" ht="14.25" spans="1:5">
      <c r="A79" s="168">
        <v>78</v>
      </c>
      <c r="B79" s="168" t="s">
        <v>5407</v>
      </c>
      <c r="C79" s="171" t="s">
        <v>5408</v>
      </c>
      <c r="D79" s="169">
        <v>518140</v>
      </c>
      <c r="E79" s="168">
        <v>6</v>
      </c>
    </row>
    <row r="80" ht="14.25" spans="1:5">
      <c r="A80" s="168">
        <v>79</v>
      </c>
      <c r="B80" s="168" t="s">
        <v>5409</v>
      </c>
      <c r="C80" s="185" t="s">
        <v>5410</v>
      </c>
      <c r="D80" s="169">
        <v>518141</v>
      </c>
      <c r="E80" s="168">
        <v>5</v>
      </c>
    </row>
    <row r="81" ht="14.25" spans="1:5">
      <c r="A81" s="168">
        <v>80</v>
      </c>
      <c r="B81" s="168" t="s">
        <v>5411</v>
      </c>
      <c r="C81" s="185" t="s">
        <v>5412</v>
      </c>
      <c r="D81" s="169">
        <v>518141</v>
      </c>
      <c r="E81" s="168">
        <v>6</v>
      </c>
    </row>
    <row r="82" ht="14.25" spans="1:5">
      <c r="A82" s="168">
        <v>81</v>
      </c>
      <c r="B82" s="168" t="s">
        <v>5413</v>
      </c>
      <c r="C82" s="185" t="s">
        <v>5414</v>
      </c>
      <c r="D82" s="169">
        <v>518142</v>
      </c>
      <c r="E82" s="168">
        <v>5</v>
      </c>
    </row>
    <row r="83" ht="14.25" spans="1:5">
      <c r="A83" s="168">
        <v>82</v>
      </c>
      <c r="B83" s="168" t="s">
        <v>5415</v>
      </c>
      <c r="C83" s="185" t="s">
        <v>5416</v>
      </c>
      <c r="D83" s="169">
        <v>518142</v>
      </c>
      <c r="E83" s="168">
        <v>6</v>
      </c>
    </row>
    <row r="84" ht="14.25" spans="1:5">
      <c r="A84" s="168">
        <v>83</v>
      </c>
      <c r="B84" s="168" t="s">
        <v>5417</v>
      </c>
      <c r="C84" s="185" t="s">
        <v>5418</v>
      </c>
      <c r="D84" s="169">
        <v>518148</v>
      </c>
      <c r="E84" s="169">
        <v>3</v>
      </c>
    </row>
    <row r="85" ht="14.25" spans="1:5">
      <c r="A85" s="168">
        <v>84</v>
      </c>
      <c r="B85" s="168" t="s">
        <v>5419</v>
      </c>
      <c r="C85" s="185" t="s">
        <v>5420</v>
      </c>
      <c r="D85" s="169">
        <v>518148</v>
      </c>
      <c r="E85" s="169">
        <v>4</v>
      </c>
    </row>
    <row r="86" ht="14.25" spans="1:5">
      <c r="A86" s="168">
        <v>85</v>
      </c>
      <c r="B86" s="168" t="s">
        <v>5421</v>
      </c>
      <c r="C86" s="171" t="s">
        <v>5422</v>
      </c>
      <c r="D86" s="186">
        <v>518151</v>
      </c>
      <c r="E86" s="186">
        <v>0</v>
      </c>
    </row>
    <row r="87" ht="14.25" spans="1:5">
      <c r="A87" s="168">
        <v>86</v>
      </c>
      <c r="B87" s="168" t="s">
        <v>5423</v>
      </c>
      <c r="C87" s="171" t="s">
        <v>5424</v>
      </c>
      <c r="D87" s="186">
        <v>518151</v>
      </c>
      <c r="E87" s="186">
        <v>1</v>
      </c>
    </row>
    <row r="88" spans="3:3">
      <c r="C88" s="187"/>
    </row>
  </sheetData>
  <pageMargins left="0.7" right="0.7" top="0.75" bottom="0.75" header="0.3" footer="0.3"/>
  <pageSetup paperSize="9" orientation="portrait" horizontalDpi="300" verticalDpi="300"/>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J27"/>
  <sheetViews>
    <sheetView zoomScale="70" zoomScaleNormal="70" workbookViewId="0">
      <pane ySplit="1" topLeftCell="A2" activePane="bottomLeft" state="frozen"/>
      <selection/>
      <selection pane="bottomLeft" activeCell="A1" sqref="A1"/>
    </sheetView>
  </sheetViews>
  <sheetFormatPr defaultColWidth="0" defaultRowHeight="13.5"/>
  <cols>
    <col min="1" max="1" width="4.125" style="172" customWidth="1"/>
    <col min="4" max="4" width="36.625" style="173" customWidth="1"/>
    <col min="5" max="5" width="36.625" style="173" hidden="1" customWidth="1"/>
    <col min="6" max="6" width="7.5" style="172" customWidth="1"/>
    <col min="7" max="7" width="5.125" style="172" customWidth="1"/>
    <col min="8" max="8" width="63.375" style="173" customWidth="1"/>
    <col min="9" max="9" width="22.625" style="173" hidden="1" customWidth="1"/>
    <col min="10" max="36" width="0" style="172" hidden="1" customWidth="1"/>
    <col min="37" max="16384" width="9" style="172" hidden="1"/>
  </cols>
  <sheetData>
    <row r="1" s="161" customFormat="1" ht="28.5" spans="1:36">
      <c r="A1" s="165" t="s">
        <v>101</v>
      </c>
      <c r="D1" s="166" t="s">
        <v>5425</v>
      </c>
      <c r="E1" s="167"/>
      <c r="F1" s="165" t="s">
        <v>104</v>
      </c>
      <c r="G1" s="165" t="s">
        <v>105</v>
      </c>
      <c r="H1" s="165" t="s">
        <v>375</v>
      </c>
      <c r="I1" s="165" t="s">
        <v>5426</v>
      </c>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row>
    <row r="2" ht="33.6" customHeight="1" spans="1:18">
      <c r="A2" s="174" t="s">
        <v>5427</v>
      </c>
      <c r="D2" s="175" t="s">
        <v>5428</v>
      </c>
      <c r="E2" s="175" t="s">
        <v>5429</v>
      </c>
      <c r="F2" s="176" t="s">
        <v>5430</v>
      </c>
      <c r="G2" s="176" t="s">
        <v>5431</v>
      </c>
      <c r="H2" s="177" t="s">
        <v>5432</v>
      </c>
      <c r="I2" s="179" t="s">
        <v>5433</v>
      </c>
      <c r="J2" s="172" t="str">
        <f t="shared" ref="J2:J27" si="0">"DCM_"&amp;F2&amp;"_"&amp;G2</f>
        <v>DCM_518001_5</v>
      </c>
      <c r="K2" s="172" t="str">
        <f>"Detail_"&amp;J2</f>
        <v>Detail_DCM_518001_5</v>
      </c>
      <c r="L2" s="182" t="str">
        <f t="shared" ref="L2:L27" si="1">(F2*100+G2)&amp;":"</f>
        <v>51800105:</v>
      </c>
      <c r="M2" s="172" t="s">
        <v>5434</v>
      </c>
      <c r="N2" s="172" t="s">
        <v>5435</v>
      </c>
      <c r="O2" s="41" t="s">
        <v>5436</v>
      </c>
      <c r="P2" s="41">
        <v>1</v>
      </c>
      <c r="Q2" s="41" t="s">
        <v>1465</v>
      </c>
      <c r="R2" s="41" t="str">
        <f>N2&amp;O2&amp;P2&amp;Q2</f>
        <v>51800105:Var_ui_ErrNo := 1;</v>
      </c>
    </row>
    <row r="3" ht="33.6" customHeight="1" spans="1:18">
      <c r="A3" s="174" t="s">
        <v>5437</v>
      </c>
      <c r="D3" s="175" t="s">
        <v>5438</v>
      </c>
      <c r="E3" s="175" t="s">
        <v>5439</v>
      </c>
      <c r="F3" s="176" t="s">
        <v>5430</v>
      </c>
      <c r="G3" s="176" t="s">
        <v>5440</v>
      </c>
      <c r="H3" s="177" t="s">
        <v>5441</v>
      </c>
      <c r="I3" s="179" t="s">
        <v>5442</v>
      </c>
      <c r="J3" s="172" t="str">
        <f t="shared" si="0"/>
        <v>DCM_518001_6</v>
      </c>
      <c r="K3" s="172" t="str">
        <f t="shared" ref="K3:K27" si="2">"Detail_"&amp;J3</f>
        <v>Detail_DCM_518001_6</v>
      </c>
      <c r="L3" s="182" t="str">
        <f t="shared" si="1"/>
        <v>51800106:</v>
      </c>
      <c r="M3" s="172" t="s">
        <v>5443</v>
      </c>
      <c r="N3" s="172" t="s">
        <v>5444</v>
      </c>
      <c r="O3" s="41" t="s">
        <v>5436</v>
      </c>
      <c r="P3" s="41">
        <v>2</v>
      </c>
      <c r="Q3" s="41" t="s">
        <v>1465</v>
      </c>
      <c r="R3" s="41" t="str">
        <f t="shared" ref="R3:R27" si="3">N3&amp;O3&amp;P3&amp;Q3</f>
        <v>51800106:Var_ui_ErrNo := 2;</v>
      </c>
    </row>
    <row r="4" ht="33.6" customHeight="1" spans="1:18">
      <c r="A4" s="174" t="s">
        <v>5445</v>
      </c>
      <c r="D4" s="175" t="s">
        <v>5446</v>
      </c>
      <c r="E4" s="175" t="s">
        <v>5447</v>
      </c>
      <c r="F4" s="176" t="s">
        <v>5448</v>
      </c>
      <c r="G4" s="176" t="s">
        <v>5431</v>
      </c>
      <c r="H4" s="177" t="s">
        <v>5449</v>
      </c>
      <c r="I4" s="179" t="s">
        <v>5450</v>
      </c>
      <c r="J4" s="172" t="str">
        <f t="shared" si="0"/>
        <v>DCM_518002_5</v>
      </c>
      <c r="K4" s="172" t="str">
        <f t="shared" si="2"/>
        <v>Detail_DCM_518002_5</v>
      </c>
      <c r="L4" s="182" t="str">
        <f t="shared" si="1"/>
        <v>51800205:</v>
      </c>
      <c r="M4" s="172" t="s">
        <v>5451</v>
      </c>
      <c r="N4" s="172" t="s">
        <v>5452</v>
      </c>
      <c r="O4" s="41" t="s">
        <v>5436</v>
      </c>
      <c r="P4" s="41">
        <v>3</v>
      </c>
      <c r="Q4" s="41" t="s">
        <v>1465</v>
      </c>
      <c r="R4" s="41" t="str">
        <f t="shared" si="3"/>
        <v>51800205:Var_ui_ErrNo := 3;</v>
      </c>
    </row>
    <row r="5" ht="33.6" customHeight="1" spans="1:18">
      <c r="A5" s="174" t="s">
        <v>5453</v>
      </c>
      <c r="D5" s="175" t="s">
        <v>5454</v>
      </c>
      <c r="E5" s="175" t="s">
        <v>5455</v>
      </c>
      <c r="F5" s="176" t="s">
        <v>5448</v>
      </c>
      <c r="G5" s="176" t="s">
        <v>5440</v>
      </c>
      <c r="H5" s="177" t="s">
        <v>5456</v>
      </c>
      <c r="I5" s="179" t="s">
        <v>5457</v>
      </c>
      <c r="J5" s="172" t="str">
        <f t="shared" si="0"/>
        <v>DCM_518002_6</v>
      </c>
      <c r="K5" s="172" t="str">
        <f t="shared" si="2"/>
        <v>Detail_DCM_518002_6</v>
      </c>
      <c r="L5" s="182" t="str">
        <f t="shared" si="1"/>
        <v>51800206:</v>
      </c>
      <c r="M5" s="172" t="s">
        <v>5458</v>
      </c>
      <c r="N5" s="172" t="s">
        <v>5459</v>
      </c>
      <c r="O5" s="41" t="s">
        <v>5436</v>
      </c>
      <c r="P5" s="41">
        <v>4</v>
      </c>
      <c r="Q5" s="41" t="s">
        <v>1465</v>
      </c>
      <c r="R5" s="41" t="str">
        <f t="shared" si="3"/>
        <v>51800206:Var_ui_ErrNo := 4;</v>
      </c>
    </row>
    <row r="6" ht="33.6" customHeight="1" spans="1:18">
      <c r="A6" s="174" t="s">
        <v>5431</v>
      </c>
      <c r="D6" s="175" t="s">
        <v>5460</v>
      </c>
      <c r="E6" s="175" t="s">
        <v>5461</v>
      </c>
      <c r="F6" s="176" t="s">
        <v>5462</v>
      </c>
      <c r="G6" s="176" t="s">
        <v>5431</v>
      </c>
      <c r="H6" s="177" t="s">
        <v>5463</v>
      </c>
      <c r="I6" s="179" t="s">
        <v>5464</v>
      </c>
      <c r="J6" s="172" t="str">
        <f t="shared" si="0"/>
        <v>DCM_518003_5</v>
      </c>
      <c r="K6" s="172" t="str">
        <f t="shared" si="2"/>
        <v>Detail_DCM_518003_5</v>
      </c>
      <c r="L6" s="182" t="str">
        <f t="shared" si="1"/>
        <v>51800305:</v>
      </c>
      <c r="M6" s="172" t="s">
        <v>5465</v>
      </c>
      <c r="N6" s="172" t="s">
        <v>5466</v>
      </c>
      <c r="O6" s="41" t="s">
        <v>5436</v>
      </c>
      <c r="P6" s="41">
        <v>5</v>
      </c>
      <c r="Q6" s="41" t="s">
        <v>1465</v>
      </c>
      <c r="R6" s="41" t="str">
        <f t="shared" si="3"/>
        <v>51800305:Var_ui_ErrNo := 5;</v>
      </c>
    </row>
    <row r="7" ht="33.6" customHeight="1" spans="1:18">
      <c r="A7" s="174" t="s">
        <v>5440</v>
      </c>
      <c r="D7" s="175" t="s">
        <v>5467</v>
      </c>
      <c r="E7" s="175" t="s">
        <v>5468</v>
      </c>
      <c r="F7" s="176" t="s">
        <v>5462</v>
      </c>
      <c r="G7" s="176" t="s">
        <v>5440</v>
      </c>
      <c r="H7" s="177" t="s">
        <v>5469</v>
      </c>
      <c r="I7" s="179" t="s">
        <v>5470</v>
      </c>
      <c r="J7" s="172" t="str">
        <f t="shared" si="0"/>
        <v>DCM_518003_6</v>
      </c>
      <c r="K7" s="172" t="str">
        <f t="shared" si="2"/>
        <v>Detail_DCM_518003_6</v>
      </c>
      <c r="L7" s="182" t="str">
        <f t="shared" si="1"/>
        <v>51800306:</v>
      </c>
      <c r="M7" s="172" t="s">
        <v>5471</v>
      </c>
      <c r="N7" s="172" t="s">
        <v>5472</v>
      </c>
      <c r="O7" s="41" t="s">
        <v>5436</v>
      </c>
      <c r="P7" s="41">
        <v>6</v>
      </c>
      <c r="Q7" s="41" t="s">
        <v>1465</v>
      </c>
      <c r="R7" s="41" t="str">
        <f t="shared" si="3"/>
        <v>51800306:Var_ui_ErrNo := 6;</v>
      </c>
    </row>
    <row r="8" ht="33.6" customHeight="1" spans="1:18">
      <c r="A8" s="174" t="s">
        <v>5473</v>
      </c>
      <c r="D8" s="175" t="s">
        <v>5474</v>
      </c>
      <c r="E8" s="175" t="s">
        <v>5475</v>
      </c>
      <c r="F8" s="176" t="s">
        <v>5476</v>
      </c>
      <c r="G8" s="176" t="s">
        <v>5431</v>
      </c>
      <c r="H8" s="178" t="s">
        <v>5477</v>
      </c>
      <c r="I8" s="178" t="s">
        <v>5478</v>
      </c>
      <c r="J8" s="172" t="str">
        <f t="shared" si="0"/>
        <v>DCM_518004_5</v>
      </c>
      <c r="K8" s="172" t="str">
        <f t="shared" si="2"/>
        <v>Detail_DCM_518004_5</v>
      </c>
      <c r="L8" s="182" t="str">
        <f t="shared" si="1"/>
        <v>51800405:</v>
      </c>
      <c r="M8" s="172" t="s">
        <v>5479</v>
      </c>
      <c r="N8" s="172" t="s">
        <v>5480</v>
      </c>
      <c r="O8" s="41" t="s">
        <v>5436</v>
      </c>
      <c r="P8" s="41">
        <v>7</v>
      </c>
      <c r="Q8" s="41" t="s">
        <v>1465</v>
      </c>
      <c r="R8" s="41" t="str">
        <f t="shared" si="3"/>
        <v>51800405:Var_ui_ErrNo := 7;</v>
      </c>
    </row>
    <row r="9" ht="33.6" customHeight="1" spans="1:18">
      <c r="A9" s="174" t="s">
        <v>5481</v>
      </c>
      <c r="D9" s="175" t="s">
        <v>5482</v>
      </c>
      <c r="E9" s="175" t="s">
        <v>5483</v>
      </c>
      <c r="F9" s="176" t="s">
        <v>5476</v>
      </c>
      <c r="G9" s="176" t="s">
        <v>5440</v>
      </c>
      <c r="H9" s="178" t="s">
        <v>5484</v>
      </c>
      <c r="I9" s="178" t="s">
        <v>5485</v>
      </c>
      <c r="J9" s="172" t="str">
        <f t="shared" si="0"/>
        <v>DCM_518004_6</v>
      </c>
      <c r="K9" s="172" t="str">
        <f t="shared" si="2"/>
        <v>Detail_DCM_518004_6</v>
      </c>
      <c r="L9" s="182" t="str">
        <f t="shared" si="1"/>
        <v>51800406:</v>
      </c>
      <c r="M9" s="172" t="s">
        <v>5486</v>
      </c>
      <c r="N9" s="172" t="s">
        <v>5487</v>
      </c>
      <c r="O9" s="41" t="s">
        <v>5436</v>
      </c>
      <c r="P9" s="41">
        <v>8</v>
      </c>
      <c r="Q9" s="41" t="s">
        <v>1465</v>
      </c>
      <c r="R9" s="41" t="str">
        <f t="shared" si="3"/>
        <v>51800406:Var_ui_ErrNo := 8;</v>
      </c>
    </row>
    <row r="10" ht="33.6" customHeight="1" spans="1:18">
      <c r="A10" s="174" t="s">
        <v>5488</v>
      </c>
      <c r="D10" s="175" t="s">
        <v>5489</v>
      </c>
      <c r="E10" s="175" t="s">
        <v>5490</v>
      </c>
      <c r="F10" s="176" t="s">
        <v>5491</v>
      </c>
      <c r="G10" s="176" t="s">
        <v>5431</v>
      </c>
      <c r="H10" s="178" t="s">
        <v>5492</v>
      </c>
      <c r="I10" s="178" t="s">
        <v>5493</v>
      </c>
      <c r="J10" s="172" t="str">
        <f t="shared" si="0"/>
        <v>DCM_518005_5</v>
      </c>
      <c r="K10" s="172" t="str">
        <f t="shared" si="2"/>
        <v>Detail_DCM_518005_5</v>
      </c>
      <c r="L10" s="182" t="str">
        <f t="shared" si="1"/>
        <v>51800505:</v>
      </c>
      <c r="M10" s="172" t="s">
        <v>5494</v>
      </c>
      <c r="N10" s="172" t="s">
        <v>5495</v>
      </c>
      <c r="O10" s="41" t="s">
        <v>5436</v>
      </c>
      <c r="P10" s="41">
        <v>9</v>
      </c>
      <c r="Q10" s="41" t="s">
        <v>1465</v>
      </c>
      <c r="R10" s="41" t="str">
        <f t="shared" si="3"/>
        <v>51800505:Var_ui_ErrNo := 9;</v>
      </c>
    </row>
    <row r="11" ht="33.6" customHeight="1" spans="1:18">
      <c r="A11" s="174" t="s">
        <v>5496</v>
      </c>
      <c r="D11" s="175" t="s">
        <v>5497</v>
      </c>
      <c r="E11" s="175" t="s">
        <v>5498</v>
      </c>
      <c r="F11" s="176" t="s">
        <v>5491</v>
      </c>
      <c r="G11" s="176" t="s">
        <v>5440</v>
      </c>
      <c r="H11" s="178" t="s">
        <v>5499</v>
      </c>
      <c r="I11" s="178" t="s">
        <v>5500</v>
      </c>
      <c r="J11" s="172" t="str">
        <f t="shared" si="0"/>
        <v>DCM_518005_6</v>
      </c>
      <c r="K11" s="172" t="str">
        <f t="shared" si="2"/>
        <v>Detail_DCM_518005_6</v>
      </c>
      <c r="L11" s="182" t="str">
        <f t="shared" si="1"/>
        <v>51800506:</v>
      </c>
      <c r="M11" s="172" t="s">
        <v>5501</v>
      </c>
      <c r="N11" s="172" t="s">
        <v>5502</v>
      </c>
      <c r="O11" s="41" t="s">
        <v>5436</v>
      </c>
      <c r="P11" s="41">
        <v>10</v>
      </c>
      <c r="Q11" s="41" t="s">
        <v>1465</v>
      </c>
      <c r="R11" s="41" t="str">
        <f t="shared" si="3"/>
        <v>51800506:Var_ui_ErrNo := 10;</v>
      </c>
    </row>
    <row r="12" ht="33.6" customHeight="1" spans="1:18">
      <c r="A12" s="174" t="s">
        <v>5503</v>
      </c>
      <c r="D12" s="175" t="s">
        <v>5504</v>
      </c>
      <c r="E12" s="175" t="s">
        <v>5505</v>
      </c>
      <c r="F12" s="176" t="s">
        <v>5506</v>
      </c>
      <c r="G12" s="176" t="s">
        <v>5431</v>
      </c>
      <c r="H12" s="179" t="s">
        <v>5507</v>
      </c>
      <c r="I12" s="178" t="s">
        <v>5508</v>
      </c>
      <c r="J12" s="172" t="str">
        <f t="shared" si="0"/>
        <v>DCM_518006_5</v>
      </c>
      <c r="K12" s="172" t="str">
        <f t="shared" si="2"/>
        <v>Detail_DCM_518006_5</v>
      </c>
      <c r="L12" s="182" t="str">
        <f t="shared" si="1"/>
        <v>51800605:</v>
      </c>
      <c r="M12" s="172" t="s">
        <v>5509</v>
      </c>
      <c r="N12" s="172" t="s">
        <v>5510</v>
      </c>
      <c r="O12" s="41" t="s">
        <v>5436</v>
      </c>
      <c r="P12" s="41">
        <v>11</v>
      </c>
      <c r="Q12" s="41" t="s">
        <v>1465</v>
      </c>
      <c r="R12" s="41" t="str">
        <f t="shared" si="3"/>
        <v>51800605:Var_ui_ErrNo := 11;</v>
      </c>
    </row>
    <row r="13" ht="33.6" customHeight="1" spans="1:18">
      <c r="A13" s="174" t="s">
        <v>5511</v>
      </c>
      <c r="D13" s="175" t="s">
        <v>5512</v>
      </c>
      <c r="E13" s="175" t="s">
        <v>5513</v>
      </c>
      <c r="F13" s="176" t="s">
        <v>5506</v>
      </c>
      <c r="G13" s="176" t="s">
        <v>5440</v>
      </c>
      <c r="H13" s="179" t="s">
        <v>5514</v>
      </c>
      <c r="I13" s="178" t="s">
        <v>5515</v>
      </c>
      <c r="J13" s="172" t="str">
        <f t="shared" si="0"/>
        <v>DCM_518006_6</v>
      </c>
      <c r="K13" s="172" t="str">
        <f t="shared" si="2"/>
        <v>Detail_DCM_518006_6</v>
      </c>
      <c r="L13" s="182" t="str">
        <f t="shared" si="1"/>
        <v>51800606:</v>
      </c>
      <c r="M13" s="172" t="s">
        <v>5516</v>
      </c>
      <c r="N13" s="172" t="s">
        <v>5517</v>
      </c>
      <c r="O13" s="41" t="s">
        <v>5436</v>
      </c>
      <c r="P13" s="41">
        <v>12</v>
      </c>
      <c r="Q13" s="41" t="s">
        <v>1465</v>
      </c>
      <c r="R13" s="41" t="str">
        <f t="shared" si="3"/>
        <v>51800606:Var_ui_ErrNo := 12;</v>
      </c>
    </row>
    <row r="14" ht="33.6" customHeight="1" spans="1:18">
      <c r="A14" s="174" t="s">
        <v>5518</v>
      </c>
      <c r="D14" s="175" t="s">
        <v>5519</v>
      </c>
      <c r="E14" s="175" t="s">
        <v>5520</v>
      </c>
      <c r="F14" s="176" t="s">
        <v>5521</v>
      </c>
      <c r="G14" s="176" t="s">
        <v>5431</v>
      </c>
      <c r="H14" s="179" t="s">
        <v>5522</v>
      </c>
      <c r="I14" s="179" t="s">
        <v>5523</v>
      </c>
      <c r="J14" s="172" t="str">
        <f t="shared" si="0"/>
        <v>DCM_518007_5</v>
      </c>
      <c r="K14" s="172" t="str">
        <f t="shared" si="2"/>
        <v>Detail_DCM_518007_5</v>
      </c>
      <c r="L14" s="182" t="str">
        <f t="shared" si="1"/>
        <v>51800705:</v>
      </c>
      <c r="M14" s="172" t="s">
        <v>5524</v>
      </c>
      <c r="N14" s="172" t="s">
        <v>5525</v>
      </c>
      <c r="O14" s="41" t="s">
        <v>5436</v>
      </c>
      <c r="P14" s="41">
        <v>13</v>
      </c>
      <c r="Q14" s="41" t="s">
        <v>1465</v>
      </c>
      <c r="R14" s="41" t="str">
        <f t="shared" si="3"/>
        <v>51800705:Var_ui_ErrNo := 13;</v>
      </c>
    </row>
    <row r="15" ht="33.6" customHeight="1" spans="1:18">
      <c r="A15" s="174" t="s">
        <v>5526</v>
      </c>
      <c r="D15" s="175" t="s">
        <v>5527</v>
      </c>
      <c r="E15" s="175" t="s">
        <v>5528</v>
      </c>
      <c r="F15" s="176" t="s">
        <v>5521</v>
      </c>
      <c r="G15" s="176" t="s">
        <v>5440</v>
      </c>
      <c r="H15" s="179" t="s">
        <v>5529</v>
      </c>
      <c r="I15" s="179" t="s">
        <v>5530</v>
      </c>
      <c r="J15" s="172" t="str">
        <f t="shared" si="0"/>
        <v>DCM_518007_6</v>
      </c>
      <c r="K15" s="172" t="str">
        <f t="shared" si="2"/>
        <v>Detail_DCM_518007_6</v>
      </c>
      <c r="L15" s="182" t="str">
        <f t="shared" si="1"/>
        <v>51800706:</v>
      </c>
      <c r="M15" s="172" t="s">
        <v>5531</v>
      </c>
      <c r="N15" s="172" t="s">
        <v>5532</v>
      </c>
      <c r="O15" s="41" t="s">
        <v>5436</v>
      </c>
      <c r="P15" s="41">
        <v>14</v>
      </c>
      <c r="Q15" s="41" t="s">
        <v>1465</v>
      </c>
      <c r="R15" s="41" t="str">
        <f t="shared" si="3"/>
        <v>51800706:Var_ui_ErrNo := 14;</v>
      </c>
    </row>
    <row r="16" ht="33.6" customHeight="1" spans="1:18">
      <c r="A16" s="174" t="s">
        <v>844</v>
      </c>
      <c r="D16" s="175" t="s">
        <v>5533</v>
      </c>
      <c r="E16" s="175" t="s">
        <v>5534</v>
      </c>
      <c r="F16" s="176" t="s">
        <v>5535</v>
      </c>
      <c r="G16" s="176" t="s">
        <v>5431</v>
      </c>
      <c r="H16" s="177" t="s">
        <v>5536</v>
      </c>
      <c r="I16" s="179" t="s">
        <v>5537</v>
      </c>
      <c r="J16" s="172" t="str">
        <f t="shared" si="0"/>
        <v>DCM_518008_5</v>
      </c>
      <c r="K16" s="172" t="str">
        <f t="shared" si="2"/>
        <v>Detail_DCM_518008_5</v>
      </c>
      <c r="L16" s="182" t="str">
        <f t="shared" si="1"/>
        <v>51800805:</v>
      </c>
      <c r="M16" s="172" t="s">
        <v>5538</v>
      </c>
      <c r="N16" s="172" t="s">
        <v>5539</v>
      </c>
      <c r="O16" s="41" t="s">
        <v>5436</v>
      </c>
      <c r="P16" s="41">
        <v>15</v>
      </c>
      <c r="Q16" s="41" t="s">
        <v>1465</v>
      </c>
      <c r="R16" s="41" t="str">
        <f t="shared" si="3"/>
        <v>51800805:Var_ui_ErrNo := 15;</v>
      </c>
    </row>
    <row r="17" ht="33.6" customHeight="1" spans="1:18">
      <c r="A17" s="174" t="s">
        <v>850</v>
      </c>
      <c r="D17" s="175" t="s">
        <v>5540</v>
      </c>
      <c r="E17" s="175" t="s">
        <v>5541</v>
      </c>
      <c r="F17" s="176" t="s">
        <v>5535</v>
      </c>
      <c r="G17" s="176" t="s">
        <v>5440</v>
      </c>
      <c r="H17" s="177" t="s">
        <v>5542</v>
      </c>
      <c r="I17" s="179" t="s">
        <v>5543</v>
      </c>
      <c r="J17" s="172" t="str">
        <f t="shared" si="0"/>
        <v>DCM_518008_6</v>
      </c>
      <c r="K17" s="172" t="str">
        <f t="shared" si="2"/>
        <v>Detail_DCM_518008_6</v>
      </c>
      <c r="L17" s="182" t="str">
        <f t="shared" si="1"/>
        <v>51800806:</v>
      </c>
      <c r="M17" s="172" t="s">
        <v>5544</v>
      </c>
      <c r="N17" s="172" t="s">
        <v>5545</v>
      </c>
      <c r="O17" s="41" t="s">
        <v>5436</v>
      </c>
      <c r="P17" s="41">
        <v>16</v>
      </c>
      <c r="Q17" s="41" t="s">
        <v>1465</v>
      </c>
      <c r="R17" s="41" t="str">
        <f t="shared" si="3"/>
        <v>51800806:Var_ui_ErrNo := 16;</v>
      </c>
    </row>
    <row r="18" ht="33.6" customHeight="1" spans="1:18">
      <c r="A18" s="174" t="s">
        <v>5546</v>
      </c>
      <c r="D18" s="175" t="s">
        <v>5547</v>
      </c>
      <c r="E18" s="175" t="s">
        <v>5548</v>
      </c>
      <c r="F18" s="176" t="s">
        <v>5549</v>
      </c>
      <c r="G18" s="176" t="s">
        <v>5431</v>
      </c>
      <c r="H18" s="178" t="s">
        <v>5550</v>
      </c>
      <c r="I18" s="179" t="s">
        <v>5551</v>
      </c>
      <c r="J18" s="172" t="str">
        <f t="shared" si="0"/>
        <v>DCM_518009_5</v>
      </c>
      <c r="K18" s="172" t="str">
        <f t="shared" si="2"/>
        <v>Detail_DCM_518009_5</v>
      </c>
      <c r="L18" s="182" t="str">
        <f t="shared" si="1"/>
        <v>51800905:</v>
      </c>
      <c r="M18" s="172" t="s">
        <v>5552</v>
      </c>
      <c r="N18" s="172" t="s">
        <v>5553</v>
      </c>
      <c r="O18" s="41" t="s">
        <v>5436</v>
      </c>
      <c r="P18" s="41">
        <v>17</v>
      </c>
      <c r="Q18" s="41" t="s">
        <v>1465</v>
      </c>
      <c r="R18" s="41" t="str">
        <f t="shared" si="3"/>
        <v>51800905:Var_ui_ErrNo := 17;</v>
      </c>
    </row>
    <row r="19" ht="33.6" customHeight="1" spans="1:18">
      <c r="A19" s="174" t="s">
        <v>5554</v>
      </c>
      <c r="D19" s="175" t="s">
        <v>5555</v>
      </c>
      <c r="E19" s="175" t="s">
        <v>5556</v>
      </c>
      <c r="F19" s="176" t="s">
        <v>5549</v>
      </c>
      <c r="G19" s="176" t="s">
        <v>5440</v>
      </c>
      <c r="H19" s="178" t="s">
        <v>5557</v>
      </c>
      <c r="I19" s="179" t="s">
        <v>5558</v>
      </c>
      <c r="J19" s="172" t="str">
        <f t="shared" si="0"/>
        <v>DCM_518009_6</v>
      </c>
      <c r="K19" s="172" t="str">
        <f t="shared" si="2"/>
        <v>Detail_DCM_518009_6</v>
      </c>
      <c r="L19" s="182" t="str">
        <f t="shared" si="1"/>
        <v>51800906:</v>
      </c>
      <c r="M19" s="172" t="s">
        <v>5559</v>
      </c>
      <c r="N19" s="172" t="s">
        <v>5560</v>
      </c>
      <c r="O19" s="41" t="s">
        <v>5436</v>
      </c>
      <c r="P19" s="41">
        <v>18</v>
      </c>
      <c r="Q19" s="41" t="s">
        <v>1465</v>
      </c>
      <c r="R19" s="41" t="str">
        <f t="shared" si="3"/>
        <v>51800906:Var_ui_ErrNo := 18;</v>
      </c>
    </row>
    <row r="20" ht="33.6" customHeight="1" spans="1:18">
      <c r="A20" s="174" t="s">
        <v>5561</v>
      </c>
      <c r="D20" s="175" t="s">
        <v>5562</v>
      </c>
      <c r="E20" s="175" t="s">
        <v>5563</v>
      </c>
      <c r="F20" s="176" t="s">
        <v>5564</v>
      </c>
      <c r="G20" s="176" t="s">
        <v>5431</v>
      </c>
      <c r="H20" s="178" t="s">
        <v>5565</v>
      </c>
      <c r="I20" s="178" t="s">
        <v>5566</v>
      </c>
      <c r="J20" s="172" t="str">
        <f t="shared" si="0"/>
        <v>DCM_518010_5</v>
      </c>
      <c r="K20" s="172" t="str">
        <f t="shared" si="2"/>
        <v>Detail_DCM_518010_5</v>
      </c>
      <c r="L20" s="182" t="str">
        <f t="shared" si="1"/>
        <v>51801005:</v>
      </c>
      <c r="M20" s="172" t="s">
        <v>5567</v>
      </c>
      <c r="N20" s="172" t="s">
        <v>5568</v>
      </c>
      <c r="O20" s="41" t="s">
        <v>5436</v>
      </c>
      <c r="P20" s="41">
        <v>19</v>
      </c>
      <c r="Q20" s="41" t="s">
        <v>1465</v>
      </c>
      <c r="R20" s="41" t="str">
        <f t="shared" si="3"/>
        <v>51801005:Var_ui_ErrNo := 19;</v>
      </c>
    </row>
    <row r="21" ht="33.6" customHeight="1" spans="1:18">
      <c r="A21" s="174" t="s">
        <v>5569</v>
      </c>
      <c r="D21" s="175" t="s">
        <v>5570</v>
      </c>
      <c r="E21" s="175" t="s">
        <v>5571</v>
      </c>
      <c r="F21" s="176" t="s">
        <v>5564</v>
      </c>
      <c r="G21" s="176" t="s">
        <v>5440</v>
      </c>
      <c r="H21" s="178" t="s">
        <v>5572</v>
      </c>
      <c r="I21" s="178" t="s">
        <v>5573</v>
      </c>
      <c r="J21" s="172" t="str">
        <f t="shared" si="0"/>
        <v>DCM_518010_6</v>
      </c>
      <c r="K21" s="172" t="str">
        <f t="shared" si="2"/>
        <v>Detail_DCM_518010_6</v>
      </c>
      <c r="L21" s="182" t="str">
        <f t="shared" si="1"/>
        <v>51801006:</v>
      </c>
      <c r="M21" s="172" t="s">
        <v>5574</v>
      </c>
      <c r="N21" s="172" t="s">
        <v>5575</v>
      </c>
      <c r="O21" s="41" t="s">
        <v>5436</v>
      </c>
      <c r="P21" s="41">
        <v>20</v>
      </c>
      <c r="Q21" s="41" t="s">
        <v>1465</v>
      </c>
      <c r="R21" s="41" t="str">
        <f t="shared" si="3"/>
        <v>51801006:Var_ui_ErrNo := 20;</v>
      </c>
    </row>
    <row r="22" ht="33.6" customHeight="1" spans="1:18">
      <c r="A22" s="174" t="s">
        <v>5576</v>
      </c>
      <c r="D22" s="175" t="s">
        <v>5577</v>
      </c>
      <c r="E22" s="175" t="s">
        <v>5578</v>
      </c>
      <c r="F22" s="176" t="s">
        <v>5579</v>
      </c>
      <c r="G22" s="176" t="s">
        <v>5440</v>
      </c>
      <c r="H22" s="178" t="s">
        <v>5580</v>
      </c>
      <c r="I22" s="178" t="s">
        <v>5581</v>
      </c>
      <c r="J22" s="172" t="str">
        <f t="shared" si="0"/>
        <v>DCM_518011_6</v>
      </c>
      <c r="K22" s="172" t="str">
        <f t="shared" si="2"/>
        <v>Detail_DCM_518011_6</v>
      </c>
      <c r="L22" s="182" t="str">
        <f t="shared" si="1"/>
        <v>51801106:</v>
      </c>
      <c r="M22" s="172" t="s">
        <v>5582</v>
      </c>
      <c r="N22" s="172" t="s">
        <v>5583</v>
      </c>
      <c r="O22" s="41" t="s">
        <v>5436</v>
      </c>
      <c r="P22" s="41">
        <v>21</v>
      </c>
      <c r="Q22" s="41" t="s">
        <v>1465</v>
      </c>
      <c r="R22" s="41" t="str">
        <f t="shared" si="3"/>
        <v>51801106:Var_ui_ErrNo := 21;</v>
      </c>
    </row>
    <row r="23" ht="33.6" customHeight="1" spans="1:18">
      <c r="A23" s="174" t="s">
        <v>5584</v>
      </c>
      <c r="D23" s="175" t="s">
        <v>5585</v>
      </c>
      <c r="E23" s="175" t="s">
        <v>5586</v>
      </c>
      <c r="F23" s="176" t="s">
        <v>5587</v>
      </c>
      <c r="G23" s="176" t="s">
        <v>5453</v>
      </c>
      <c r="H23" s="178" t="s">
        <v>5588</v>
      </c>
      <c r="I23" s="178" t="s">
        <v>5589</v>
      </c>
      <c r="J23" s="172" t="str">
        <f t="shared" si="0"/>
        <v>DCM_518012_4</v>
      </c>
      <c r="K23" s="172" t="str">
        <f t="shared" si="2"/>
        <v>Detail_DCM_518012_4</v>
      </c>
      <c r="L23" s="182" t="str">
        <f t="shared" si="1"/>
        <v>51801204:</v>
      </c>
      <c r="M23" s="172" t="s">
        <v>5590</v>
      </c>
      <c r="N23" s="172" t="s">
        <v>5591</v>
      </c>
      <c r="O23" s="41" t="s">
        <v>5436</v>
      </c>
      <c r="P23" s="41">
        <v>22</v>
      </c>
      <c r="Q23" s="41" t="s">
        <v>1465</v>
      </c>
      <c r="R23" s="41" t="str">
        <f t="shared" si="3"/>
        <v>51801204:Var_ui_ErrNo := 22;</v>
      </c>
    </row>
    <row r="24" ht="33.6" customHeight="1" spans="1:18">
      <c r="A24" s="174" t="s">
        <v>5592</v>
      </c>
      <c r="D24" s="175" t="s">
        <v>5593</v>
      </c>
      <c r="E24" s="175" t="s">
        <v>5594</v>
      </c>
      <c r="F24" s="176" t="s">
        <v>5595</v>
      </c>
      <c r="G24" s="176" t="s">
        <v>5453</v>
      </c>
      <c r="H24" s="178" t="s">
        <v>5596</v>
      </c>
      <c r="I24" s="178" t="s">
        <v>5597</v>
      </c>
      <c r="J24" s="172" t="str">
        <f t="shared" si="0"/>
        <v>DCM_518013_4</v>
      </c>
      <c r="K24" s="172" t="str">
        <f t="shared" si="2"/>
        <v>Detail_DCM_518013_4</v>
      </c>
      <c r="L24" s="182" t="str">
        <f t="shared" si="1"/>
        <v>51801304:</v>
      </c>
      <c r="M24" s="172" t="s">
        <v>5598</v>
      </c>
      <c r="N24" s="172" t="s">
        <v>5599</v>
      </c>
      <c r="O24" s="41" t="s">
        <v>5436</v>
      </c>
      <c r="P24" s="41">
        <v>23</v>
      </c>
      <c r="Q24" s="41" t="s">
        <v>1465</v>
      </c>
      <c r="R24" s="41" t="str">
        <f t="shared" si="3"/>
        <v>51801304:Var_ui_ErrNo := 23;</v>
      </c>
    </row>
    <row r="25" ht="33.6" customHeight="1" spans="1:18">
      <c r="A25" s="174" t="s">
        <v>5600</v>
      </c>
      <c r="D25" s="175" t="s">
        <v>5601</v>
      </c>
      <c r="E25" s="175" t="s">
        <v>5602</v>
      </c>
      <c r="F25" s="176" t="s">
        <v>5603</v>
      </c>
      <c r="G25" s="176" t="s">
        <v>5453</v>
      </c>
      <c r="H25" s="178" t="s">
        <v>5604</v>
      </c>
      <c r="I25" s="178" t="s">
        <v>5605</v>
      </c>
      <c r="J25" s="172" t="str">
        <f t="shared" si="0"/>
        <v>DCM_518014_4</v>
      </c>
      <c r="K25" s="172" t="str">
        <f t="shared" si="2"/>
        <v>Detail_DCM_518014_4</v>
      </c>
      <c r="L25" s="182" t="str">
        <f t="shared" si="1"/>
        <v>51801404:</v>
      </c>
      <c r="M25" s="172" t="s">
        <v>5606</v>
      </c>
      <c r="N25" s="172" t="s">
        <v>5607</v>
      </c>
      <c r="O25" s="41" t="s">
        <v>5436</v>
      </c>
      <c r="P25" s="41">
        <v>24</v>
      </c>
      <c r="Q25" s="41" t="s">
        <v>1465</v>
      </c>
      <c r="R25" s="41" t="str">
        <f t="shared" si="3"/>
        <v>51801404:Var_ui_ErrNo := 24;</v>
      </c>
    </row>
    <row r="26" ht="33.6" customHeight="1" spans="1:18">
      <c r="A26" s="174" t="s">
        <v>5608</v>
      </c>
      <c r="D26" s="175" t="s">
        <v>5609</v>
      </c>
      <c r="E26" s="175" t="s">
        <v>5610</v>
      </c>
      <c r="F26" s="180">
        <v>518017</v>
      </c>
      <c r="G26" s="180">
        <v>0</v>
      </c>
      <c r="H26" s="181" t="s">
        <v>5611</v>
      </c>
      <c r="I26" s="181" t="s">
        <v>5612</v>
      </c>
      <c r="J26" s="172" t="str">
        <f t="shared" si="0"/>
        <v>DCM_518017_0</v>
      </c>
      <c r="K26" s="172" t="str">
        <f t="shared" si="2"/>
        <v>Detail_DCM_518017_0</v>
      </c>
      <c r="L26" s="182" t="str">
        <f t="shared" si="1"/>
        <v>51801700:</v>
      </c>
      <c r="M26" s="172" t="s">
        <v>5613</v>
      </c>
      <c r="N26" s="172" t="s">
        <v>5614</v>
      </c>
      <c r="O26" s="41" t="s">
        <v>5436</v>
      </c>
      <c r="P26" s="41">
        <v>25</v>
      </c>
      <c r="Q26" s="41" t="s">
        <v>1465</v>
      </c>
      <c r="R26" s="41" t="str">
        <f t="shared" si="3"/>
        <v>51801700:Var_ui_ErrNo := 25;</v>
      </c>
    </row>
    <row r="27" ht="33.6" customHeight="1" spans="1:18">
      <c r="A27" s="174" t="s">
        <v>5615</v>
      </c>
      <c r="D27" s="175" t="s">
        <v>5616</v>
      </c>
      <c r="E27" s="175" t="s">
        <v>5617</v>
      </c>
      <c r="F27" s="180">
        <v>518017</v>
      </c>
      <c r="G27" s="180">
        <v>1</v>
      </c>
      <c r="H27" s="181" t="s">
        <v>5618</v>
      </c>
      <c r="I27" s="181" t="s">
        <v>5619</v>
      </c>
      <c r="J27" s="172" t="str">
        <f t="shared" si="0"/>
        <v>DCM_518017_1</v>
      </c>
      <c r="K27" s="172" t="str">
        <f t="shared" si="2"/>
        <v>Detail_DCM_518017_1</v>
      </c>
      <c r="L27" s="182" t="str">
        <f t="shared" si="1"/>
        <v>51801701:</v>
      </c>
      <c r="M27" s="172" t="s">
        <v>5620</v>
      </c>
      <c r="N27" s="172" t="s">
        <v>5621</v>
      </c>
      <c r="O27" s="41" t="s">
        <v>5436</v>
      </c>
      <c r="P27" s="41">
        <v>26</v>
      </c>
      <c r="Q27" s="41" t="s">
        <v>1465</v>
      </c>
      <c r="R27" s="41" t="str">
        <f t="shared" si="3"/>
        <v>51801701:Var_ui_ErrNo := 26;</v>
      </c>
    </row>
  </sheetData>
  <mergeCells count="1">
    <mergeCell ref="D1:E1"/>
  </mergeCells>
  <pageMargins left="0.7" right="0.7" top="0.75" bottom="0.75" header="0.3" footer="0.3"/>
  <pageSetup paperSize="9" orientation="portrait" horizontalDpi="1200" verticalDpi="1200"/>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4"/>
  <sheetViews>
    <sheetView zoomScale="85" zoomScaleNormal="85" workbookViewId="0">
      <pane ySplit="1" topLeftCell="A2" activePane="bottomLeft" state="frozen"/>
      <selection/>
      <selection pane="bottomLeft" activeCell="G17" sqref="G17"/>
    </sheetView>
  </sheetViews>
  <sheetFormatPr defaultColWidth="9" defaultRowHeight="13.5"/>
  <cols>
    <col min="1" max="1" width="4.625" style="162" customWidth="1"/>
    <col min="2" max="2" width="10.625" style="163" customWidth="1"/>
    <col min="3" max="3" width="5.125" style="163" customWidth="1"/>
    <col min="4" max="4" width="57.625" style="162" customWidth="1"/>
    <col min="5" max="5" width="28" style="164" customWidth="1"/>
    <col min="6" max="6" width="39.375" style="164" customWidth="1"/>
    <col min="7" max="7" width="57" style="164" customWidth="1"/>
    <col min="8" max="9" width="15.75" style="162" customWidth="1"/>
    <col min="10" max="10" width="20.875" style="162" customWidth="1"/>
    <col min="11" max="16384" width="9" style="162"/>
  </cols>
  <sheetData>
    <row r="1" s="161" customFormat="1" ht="28.5" spans="1:8">
      <c r="A1" s="165" t="s">
        <v>101</v>
      </c>
      <c r="B1" s="165" t="s">
        <v>104</v>
      </c>
      <c r="C1" s="165" t="s">
        <v>105</v>
      </c>
      <c r="D1" s="166" t="s">
        <v>5622</v>
      </c>
      <c r="E1" s="167"/>
      <c r="F1" s="165" t="s">
        <v>375</v>
      </c>
      <c r="G1" s="165" t="s">
        <v>5426</v>
      </c>
      <c r="H1" s="161" t="s">
        <v>5623</v>
      </c>
    </row>
    <row r="2" ht="25.9" customHeight="1" spans="1:10">
      <c r="A2" s="168" t="s">
        <v>5427</v>
      </c>
      <c r="B2" s="169">
        <v>520001</v>
      </c>
      <c r="C2" s="168">
        <v>9</v>
      </c>
      <c r="D2" s="168" t="s">
        <v>5624</v>
      </c>
      <c r="E2" s="170" t="s">
        <v>5625</v>
      </c>
      <c r="F2" s="171" t="s">
        <v>5626</v>
      </c>
      <c r="G2" s="171" t="s">
        <v>5627</v>
      </c>
      <c r="H2" s="162" t="str">
        <f>"TPMS_"&amp;B2&amp;"_"&amp;C2</f>
        <v>TPMS_520001_9</v>
      </c>
      <c r="I2" s="162">
        <v>1</v>
      </c>
      <c r="J2" s="162" t="str">
        <f>H2&amp;"Var_ui_ErrNo := "&amp;I2&amp;";"</f>
        <v>TPMS_520001_9Var_ui_ErrNo := 1;</v>
      </c>
    </row>
    <row r="3" ht="25.9" customHeight="1" spans="1:10">
      <c r="A3" s="168" t="s">
        <v>5437</v>
      </c>
      <c r="B3" s="169">
        <v>520002</v>
      </c>
      <c r="C3" s="169">
        <v>9</v>
      </c>
      <c r="D3" s="168" t="s">
        <v>5628</v>
      </c>
      <c r="E3" s="170" t="s">
        <v>5629</v>
      </c>
      <c r="F3" s="171" t="s">
        <v>5630</v>
      </c>
      <c r="G3" s="171" t="s">
        <v>5631</v>
      </c>
      <c r="H3" s="162" t="str">
        <f t="shared" ref="H3:H38" si="0">"TPMS_"&amp;B3&amp;"_"&amp;C3</f>
        <v>TPMS_520002_9</v>
      </c>
      <c r="I3" s="162">
        <v>2</v>
      </c>
      <c r="J3" s="162" t="str">
        <f t="shared" ref="J3:J38" si="1">H3&amp;"Var_ui_ErrNo := "&amp;I3&amp;";"</f>
        <v>TPMS_520002_9Var_ui_ErrNo := 2;</v>
      </c>
    </row>
    <row r="4" ht="25.9" customHeight="1" spans="1:10">
      <c r="A4" s="168" t="s">
        <v>5445</v>
      </c>
      <c r="B4" s="169">
        <v>520003</v>
      </c>
      <c r="C4" s="168">
        <v>9</v>
      </c>
      <c r="D4" s="168" t="s">
        <v>5632</v>
      </c>
      <c r="E4" s="170" t="s">
        <v>5633</v>
      </c>
      <c r="F4" s="171" t="s">
        <v>5634</v>
      </c>
      <c r="G4" s="171" t="s">
        <v>5635</v>
      </c>
      <c r="H4" s="162" t="str">
        <f t="shared" si="0"/>
        <v>TPMS_520003_9</v>
      </c>
      <c r="I4" s="162">
        <v>3</v>
      </c>
      <c r="J4" s="162" t="str">
        <f t="shared" si="1"/>
        <v>TPMS_520003_9Var_ui_ErrNo := 3;</v>
      </c>
    </row>
    <row r="5" ht="25.9" customHeight="1" spans="1:10">
      <c r="A5" s="168" t="s">
        <v>5453</v>
      </c>
      <c r="B5" s="169">
        <v>520004</v>
      </c>
      <c r="C5" s="168">
        <v>9</v>
      </c>
      <c r="D5" s="168" t="s">
        <v>5636</v>
      </c>
      <c r="E5" s="170" t="s">
        <v>5637</v>
      </c>
      <c r="F5" s="171" t="s">
        <v>5638</v>
      </c>
      <c r="G5" s="171" t="s">
        <v>5639</v>
      </c>
      <c r="H5" s="162" t="str">
        <f t="shared" si="0"/>
        <v>TPMS_520004_9</v>
      </c>
      <c r="I5" s="162">
        <v>4</v>
      </c>
      <c r="J5" s="162" t="str">
        <f t="shared" si="1"/>
        <v>TPMS_520004_9Var_ui_ErrNo := 4;</v>
      </c>
    </row>
    <row r="6" ht="25.9" customHeight="1" spans="1:10">
      <c r="A6" s="168" t="s">
        <v>5431</v>
      </c>
      <c r="B6" s="169">
        <v>520005</v>
      </c>
      <c r="C6" s="168">
        <v>9</v>
      </c>
      <c r="D6" s="168" t="s">
        <v>5640</v>
      </c>
      <c r="E6" s="170" t="s">
        <v>5641</v>
      </c>
      <c r="F6" s="171" t="s">
        <v>5642</v>
      </c>
      <c r="G6" s="171" t="s">
        <v>5643</v>
      </c>
      <c r="H6" s="162" t="str">
        <f t="shared" si="0"/>
        <v>TPMS_520005_9</v>
      </c>
      <c r="I6" s="162">
        <v>5</v>
      </c>
      <c r="J6" s="162" t="str">
        <f t="shared" si="1"/>
        <v>TPMS_520005_9Var_ui_ErrNo := 5;</v>
      </c>
    </row>
    <row r="7" ht="25.9" customHeight="1" spans="1:10">
      <c r="A7" s="168" t="s">
        <v>5440</v>
      </c>
      <c r="B7" s="169">
        <v>520006</v>
      </c>
      <c r="C7" s="169">
        <v>9</v>
      </c>
      <c r="D7" s="168" t="s">
        <v>5644</v>
      </c>
      <c r="E7" s="170" t="s">
        <v>5645</v>
      </c>
      <c r="F7" s="171" t="s">
        <v>5646</v>
      </c>
      <c r="G7" s="171" t="s">
        <v>5647</v>
      </c>
      <c r="H7" s="162" t="str">
        <f t="shared" si="0"/>
        <v>TPMS_520006_9</v>
      </c>
      <c r="I7" s="162">
        <v>6</v>
      </c>
      <c r="J7" s="162" t="str">
        <f t="shared" si="1"/>
        <v>TPMS_520006_9Var_ui_ErrNo := 6;</v>
      </c>
    </row>
    <row r="8" ht="25.9" customHeight="1" spans="1:10">
      <c r="A8" s="168" t="s">
        <v>5473</v>
      </c>
      <c r="B8" s="169">
        <v>520007</v>
      </c>
      <c r="C8" s="168">
        <v>9</v>
      </c>
      <c r="D8" s="168" t="s">
        <v>5648</v>
      </c>
      <c r="E8" s="170" t="s">
        <v>5649</v>
      </c>
      <c r="F8" s="171" t="s">
        <v>5650</v>
      </c>
      <c r="G8" s="171" t="s">
        <v>5651</v>
      </c>
      <c r="H8" s="162" t="str">
        <f t="shared" si="0"/>
        <v>TPMS_520007_9</v>
      </c>
      <c r="I8" s="162">
        <v>7</v>
      </c>
      <c r="J8" s="162" t="str">
        <f t="shared" si="1"/>
        <v>TPMS_520007_9Var_ui_ErrNo := 7;</v>
      </c>
    </row>
    <row r="9" ht="25.9" customHeight="1" spans="1:10">
      <c r="A9" s="168" t="s">
        <v>5481</v>
      </c>
      <c r="B9" s="169">
        <v>520008</v>
      </c>
      <c r="C9" s="168">
        <v>9</v>
      </c>
      <c r="D9" s="168" t="s">
        <v>5652</v>
      </c>
      <c r="E9" s="170" t="s">
        <v>5653</v>
      </c>
      <c r="F9" s="171" t="s">
        <v>5654</v>
      </c>
      <c r="G9" s="171" t="s">
        <v>5655</v>
      </c>
      <c r="H9" s="162" t="str">
        <f t="shared" si="0"/>
        <v>TPMS_520008_9</v>
      </c>
      <c r="I9" s="162">
        <v>8</v>
      </c>
      <c r="J9" s="162" t="str">
        <f t="shared" si="1"/>
        <v>TPMS_520008_9Var_ui_ErrNo := 8;</v>
      </c>
    </row>
    <row r="10" ht="25.9" customHeight="1" spans="1:10">
      <c r="A10" s="168" t="s">
        <v>5488</v>
      </c>
      <c r="B10" s="169">
        <v>520009</v>
      </c>
      <c r="C10" s="168">
        <v>9</v>
      </c>
      <c r="D10" s="168" t="s">
        <v>5656</v>
      </c>
      <c r="E10" s="170" t="s">
        <v>5657</v>
      </c>
      <c r="F10" s="171" t="s">
        <v>5658</v>
      </c>
      <c r="G10" s="171" t="s">
        <v>5659</v>
      </c>
      <c r="H10" s="162" t="str">
        <f t="shared" si="0"/>
        <v>TPMS_520009_9</v>
      </c>
      <c r="I10" s="162">
        <v>9</v>
      </c>
      <c r="J10" s="162" t="str">
        <f t="shared" si="1"/>
        <v>TPMS_520009_9Var_ui_ErrNo := 9;</v>
      </c>
    </row>
    <row r="11" ht="25.9" customHeight="1" spans="1:10">
      <c r="A11" s="168" t="s">
        <v>5496</v>
      </c>
      <c r="B11" s="169">
        <v>520010</v>
      </c>
      <c r="C11" s="169">
        <v>9</v>
      </c>
      <c r="D11" s="168" t="s">
        <v>5660</v>
      </c>
      <c r="E11" s="170" t="s">
        <v>5661</v>
      </c>
      <c r="F11" s="171" t="s">
        <v>5662</v>
      </c>
      <c r="G11" s="171" t="s">
        <v>5663</v>
      </c>
      <c r="H11" s="162" t="str">
        <f t="shared" si="0"/>
        <v>TPMS_520010_9</v>
      </c>
      <c r="I11" s="162">
        <v>10</v>
      </c>
      <c r="J11" s="162" t="str">
        <f t="shared" si="1"/>
        <v>TPMS_520010_9Var_ui_ErrNo := 10;</v>
      </c>
    </row>
    <row r="12" ht="25.9" customHeight="1" spans="1:10">
      <c r="A12" s="168" t="s">
        <v>5503</v>
      </c>
      <c r="B12" s="169">
        <v>520011</v>
      </c>
      <c r="C12" s="168">
        <v>9</v>
      </c>
      <c r="D12" s="168" t="s">
        <v>5664</v>
      </c>
      <c r="E12" s="170" t="s">
        <v>5665</v>
      </c>
      <c r="F12" s="171" t="s">
        <v>5666</v>
      </c>
      <c r="G12" s="171" t="s">
        <v>5667</v>
      </c>
      <c r="H12" s="162" t="str">
        <f t="shared" si="0"/>
        <v>TPMS_520011_9</v>
      </c>
      <c r="I12" s="162">
        <v>11</v>
      </c>
      <c r="J12" s="162" t="str">
        <f t="shared" si="1"/>
        <v>TPMS_520011_9Var_ui_ErrNo := 11;</v>
      </c>
    </row>
    <row r="13" ht="25.9" customHeight="1" spans="1:10">
      <c r="A13" s="168" t="s">
        <v>5511</v>
      </c>
      <c r="B13" s="169">
        <v>520012</v>
      </c>
      <c r="C13" s="168">
        <v>9</v>
      </c>
      <c r="D13" s="168" t="s">
        <v>5668</v>
      </c>
      <c r="E13" s="170" t="s">
        <v>5669</v>
      </c>
      <c r="F13" s="171" t="s">
        <v>5670</v>
      </c>
      <c r="G13" s="171" t="s">
        <v>5671</v>
      </c>
      <c r="H13" s="162" t="str">
        <f t="shared" si="0"/>
        <v>TPMS_520012_9</v>
      </c>
      <c r="I13" s="162">
        <v>12</v>
      </c>
      <c r="J13" s="162" t="str">
        <f t="shared" si="1"/>
        <v>TPMS_520012_9Var_ui_ErrNo := 12;</v>
      </c>
    </row>
    <row r="14" ht="25.9" customHeight="1" spans="1:10">
      <c r="A14" s="168" t="s">
        <v>5518</v>
      </c>
      <c r="B14" s="169">
        <v>520013</v>
      </c>
      <c r="C14" s="169">
        <v>9</v>
      </c>
      <c r="D14" s="168" t="s">
        <v>5672</v>
      </c>
      <c r="E14" s="170" t="s">
        <v>5673</v>
      </c>
      <c r="F14" s="171" t="s">
        <v>5674</v>
      </c>
      <c r="G14" s="171" t="s">
        <v>5675</v>
      </c>
      <c r="H14" s="162" t="str">
        <f t="shared" si="0"/>
        <v>TPMS_520013_9</v>
      </c>
      <c r="I14" s="162">
        <v>13</v>
      </c>
      <c r="J14" s="162" t="str">
        <f t="shared" si="1"/>
        <v>TPMS_520013_9Var_ui_ErrNo := 13;</v>
      </c>
    </row>
    <row r="15" ht="25.9" customHeight="1" spans="1:10">
      <c r="A15" s="168" t="s">
        <v>5526</v>
      </c>
      <c r="B15" s="169">
        <v>520014</v>
      </c>
      <c r="C15" s="168">
        <v>9</v>
      </c>
      <c r="D15" s="168" t="s">
        <v>5676</v>
      </c>
      <c r="E15" s="170" t="s">
        <v>5677</v>
      </c>
      <c r="F15" s="171" t="s">
        <v>5678</v>
      </c>
      <c r="G15" s="171" t="s">
        <v>5679</v>
      </c>
      <c r="H15" s="162" t="str">
        <f t="shared" si="0"/>
        <v>TPMS_520014_9</v>
      </c>
      <c r="I15" s="162">
        <v>14</v>
      </c>
      <c r="J15" s="162" t="str">
        <f t="shared" si="1"/>
        <v>TPMS_520014_9Var_ui_ErrNo := 14;</v>
      </c>
    </row>
    <row r="16" ht="25.9" customHeight="1" spans="1:10">
      <c r="A16" s="168" t="s">
        <v>844</v>
      </c>
      <c r="B16" s="169">
        <v>3509</v>
      </c>
      <c r="C16" s="168">
        <v>24</v>
      </c>
      <c r="D16" s="168" t="s">
        <v>5680</v>
      </c>
      <c r="E16" s="170" t="s">
        <v>5681</v>
      </c>
      <c r="F16" s="171" t="s">
        <v>5682</v>
      </c>
      <c r="G16" s="171" t="s">
        <v>5683</v>
      </c>
      <c r="H16" s="162" t="str">
        <f t="shared" si="0"/>
        <v>TPMS_3509_24</v>
      </c>
      <c r="I16" s="162">
        <v>15</v>
      </c>
      <c r="J16" s="162" t="str">
        <f t="shared" si="1"/>
        <v>TPMS_3509_24Var_ui_ErrNo := 15;</v>
      </c>
    </row>
    <row r="17" ht="25.9" customHeight="1" spans="1:10">
      <c r="A17" s="168" t="s">
        <v>850</v>
      </c>
      <c r="B17" s="169">
        <v>3510</v>
      </c>
      <c r="C17" s="168">
        <v>24</v>
      </c>
      <c r="D17" s="168" t="s">
        <v>5684</v>
      </c>
      <c r="E17" s="170" t="s">
        <v>5685</v>
      </c>
      <c r="F17" s="171" t="s">
        <v>5686</v>
      </c>
      <c r="G17" s="171" t="s">
        <v>5687</v>
      </c>
      <c r="H17" s="162" t="str">
        <f t="shared" si="0"/>
        <v>TPMS_3510_24</v>
      </c>
      <c r="I17" s="162">
        <v>16</v>
      </c>
      <c r="J17" s="162" t="str">
        <f t="shared" si="1"/>
        <v>TPMS_3510_24Var_ui_ErrNo := 16;</v>
      </c>
    </row>
    <row r="18" ht="25.9" customHeight="1" spans="1:10">
      <c r="A18" s="168" t="s">
        <v>5546</v>
      </c>
      <c r="B18" s="169">
        <v>3511</v>
      </c>
      <c r="C18" s="169">
        <v>24</v>
      </c>
      <c r="D18" s="168" t="s">
        <v>5688</v>
      </c>
      <c r="E18" s="170" t="s">
        <v>5689</v>
      </c>
      <c r="F18" s="171" t="s">
        <v>5690</v>
      </c>
      <c r="G18" s="171" t="s">
        <v>5691</v>
      </c>
      <c r="H18" s="162" t="str">
        <f t="shared" si="0"/>
        <v>TPMS_3511_24</v>
      </c>
      <c r="I18" s="162">
        <v>17</v>
      </c>
      <c r="J18" s="162" t="str">
        <f t="shared" si="1"/>
        <v>TPMS_3511_24Var_ui_ErrNo := 17;</v>
      </c>
    </row>
    <row r="19" ht="25.9" customHeight="1" spans="1:10">
      <c r="A19" s="168" t="s">
        <v>5554</v>
      </c>
      <c r="B19" s="169">
        <v>3512</v>
      </c>
      <c r="C19" s="168">
        <v>24</v>
      </c>
      <c r="D19" s="168" t="s">
        <v>5692</v>
      </c>
      <c r="E19" s="170" t="s">
        <v>5693</v>
      </c>
      <c r="F19" s="171" t="s">
        <v>5694</v>
      </c>
      <c r="G19" s="171" t="s">
        <v>5695</v>
      </c>
      <c r="H19" s="162" t="str">
        <f t="shared" si="0"/>
        <v>TPMS_3512_24</v>
      </c>
      <c r="I19" s="162">
        <v>18</v>
      </c>
      <c r="J19" s="162" t="str">
        <f t="shared" si="1"/>
        <v>TPMS_3512_24Var_ui_ErrNo := 18;</v>
      </c>
    </row>
    <row r="20" ht="25.9" customHeight="1" spans="1:10">
      <c r="A20" s="168" t="s">
        <v>5561</v>
      </c>
      <c r="B20" s="169">
        <v>3513</v>
      </c>
      <c r="C20" s="168">
        <v>24</v>
      </c>
      <c r="D20" s="168" t="s">
        <v>5696</v>
      </c>
      <c r="E20" s="170" t="s">
        <v>5697</v>
      </c>
      <c r="F20" s="171" t="s">
        <v>5698</v>
      </c>
      <c r="G20" s="171" t="s">
        <v>5699</v>
      </c>
      <c r="H20" s="162" t="str">
        <f t="shared" si="0"/>
        <v>TPMS_3513_24</v>
      </c>
      <c r="I20" s="162">
        <v>19</v>
      </c>
      <c r="J20" s="162" t="str">
        <f t="shared" si="1"/>
        <v>TPMS_3513_24Var_ui_ErrNo := 19;</v>
      </c>
    </row>
    <row r="21" ht="25.9" customHeight="1" spans="1:10">
      <c r="A21" s="168" t="s">
        <v>5569</v>
      </c>
      <c r="B21" s="169">
        <v>3514</v>
      </c>
      <c r="C21" s="168">
        <v>24</v>
      </c>
      <c r="D21" s="168" t="s">
        <v>5700</v>
      </c>
      <c r="E21" s="170" t="s">
        <v>5701</v>
      </c>
      <c r="F21" s="171" t="s">
        <v>5702</v>
      </c>
      <c r="G21" s="171" t="s">
        <v>5703</v>
      </c>
      <c r="H21" s="162" t="str">
        <f t="shared" si="0"/>
        <v>TPMS_3514_24</v>
      </c>
      <c r="I21" s="162">
        <v>20</v>
      </c>
      <c r="J21" s="162" t="str">
        <f t="shared" si="1"/>
        <v>TPMS_3514_24Var_ui_ErrNo := 20;</v>
      </c>
    </row>
    <row r="22" ht="25.9" customHeight="1" spans="1:10">
      <c r="A22" s="168" t="s">
        <v>5576</v>
      </c>
      <c r="B22" s="169">
        <v>5125</v>
      </c>
      <c r="C22" s="168">
        <v>24</v>
      </c>
      <c r="D22" s="168" t="s">
        <v>5704</v>
      </c>
      <c r="E22" s="170" t="s">
        <v>5705</v>
      </c>
      <c r="F22" s="171" t="s">
        <v>5706</v>
      </c>
      <c r="G22" s="171" t="s">
        <v>5707</v>
      </c>
      <c r="H22" s="162" t="str">
        <f t="shared" si="0"/>
        <v>TPMS_5125_24</v>
      </c>
      <c r="I22" s="162">
        <v>21</v>
      </c>
      <c r="J22" s="162" t="str">
        <f t="shared" si="1"/>
        <v>TPMS_5125_24Var_ui_ErrNo := 21;</v>
      </c>
    </row>
    <row r="23" ht="25.9" customHeight="1" spans="1:10">
      <c r="A23" s="168" t="s">
        <v>5584</v>
      </c>
      <c r="B23" s="169">
        <v>5126</v>
      </c>
      <c r="C23" s="168">
        <v>24</v>
      </c>
      <c r="D23" s="168" t="s">
        <v>5708</v>
      </c>
      <c r="E23" s="170" t="s">
        <v>5709</v>
      </c>
      <c r="F23" s="171" t="s">
        <v>5710</v>
      </c>
      <c r="G23" s="171" t="s">
        <v>5711</v>
      </c>
      <c r="H23" s="162" t="str">
        <f t="shared" si="0"/>
        <v>TPMS_5126_24</v>
      </c>
      <c r="I23" s="162">
        <v>22</v>
      </c>
      <c r="J23" s="162" t="str">
        <f t="shared" si="1"/>
        <v>TPMS_5126_24Var_ui_ErrNo := 22;</v>
      </c>
    </row>
    <row r="24" ht="25.9" customHeight="1" spans="1:10">
      <c r="A24" s="168" t="s">
        <v>5592</v>
      </c>
      <c r="B24" s="169">
        <v>5127</v>
      </c>
      <c r="C24" s="168">
        <v>24</v>
      </c>
      <c r="D24" s="168" t="s">
        <v>5712</v>
      </c>
      <c r="E24" s="170" t="s">
        <v>5713</v>
      </c>
      <c r="F24" s="171" t="s">
        <v>5714</v>
      </c>
      <c r="G24" s="171" t="s">
        <v>5715</v>
      </c>
      <c r="H24" s="162" t="str">
        <f t="shared" si="0"/>
        <v>TPMS_5127_24</v>
      </c>
      <c r="I24" s="162">
        <v>23</v>
      </c>
      <c r="J24" s="162" t="str">
        <f t="shared" si="1"/>
        <v>TPMS_5127_24Var_ui_ErrNo := 23;</v>
      </c>
    </row>
    <row r="25" ht="25.9" customHeight="1" spans="1:10">
      <c r="A25" s="168" t="s">
        <v>5600</v>
      </c>
      <c r="B25" s="169">
        <v>5128</v>
      </c>
      <c r="C25" s="168">
        <v>24</v>
      </c>
      <c r="D25" s="168" t="s">
        <v>5716</v>
      </c>
      <c r="E25" s="170" t="s">
        <v>5717</v>
      </c>
      <c r="F25" s="171" t="s">
        <v>5718</v>
      </c>
      <c r="G25" s="171" t="s">
        <v>5719</v>
      </c>
      <c r="H25" s="162" t="str">
        <f t="shared" si="0"/>
        <v>TPMS_5128_24</v>
      </c>
      <c r="I25" s="162">
        <v>24</v>
      </c>
      <c r="J25" s="162" t="str">
        <f t="shared" si="1"/>
        <v>TPMS_5128_24Var_ui_ErrNo := 24;</v>
      </c>
    </row>
    <row r="26" ht="25.9" customHeight="1" spans="1:10">
      <c r="A26" s="168" t="s">
        <v>5608</v>
      </c>
      <c r="B26" s="169">
        <v>5129</v>
      </c>
      <c r="C26" s="168">
        <v>24</v>
      </c>
      <c r="D26" s="168" t="s">
        <v>5720</v>
      </c>
      <c r="E26" s="170" t="s">
        <v>5721</v>
      </c>
      <c r="F26" s="171" t="s">
        <v>5722</v>
      </c>
      <c r="G26" s="171" t="s">
        <v>5723</v>
      </c>
      <c r="H26" s="162" t="str">
        <f t="shared" si="0"/>
        <v>TPMS_5129_24</v>
      </c>
      <c r="I26" s="162">
        <v>25</v>
      </c>
      <c r="J26" s="162" t="str">
        <f t="shared" si="1"/>
        <v>TPMS_5129_24Var_ui_ErrNo := 25;</v>
      </c>
    </row>
    <row r="27" ht="25.9" customHeight="1" spans="1:10">
      <c r="A27" s="168" t="s">
        <v>5615</v>
      </c>
      <c r="B27" s="169">
        <v>5130</v>
      </c>
      <c r="C27" s="168">
        <v>24</v>
      </c>
      <c r="D27" s="168" t="s">
        <v>5724</v>
      </c>
      <c r="E27" s="170" t="s">
        <v>5725</v>
      </c>
      <c r="F27" s="171" t="s">
        <v>5726</v>
      </c>
      <c r="G27" s="171" t="s">
        <v>5727</v>
      </c>
      <c r="H27" s="162" t="str">
        <f t="shared" si="0"/>
        <v>TPMS_5130_24</v>
      </c>
      <c r="I27" s="162">
        <v>26</v>
      </c>
      <c r="J27" s="162" t="str">
        <f t="shared" si="1"/>
        <v>TPMS_5130_24Var_ui_ErrNo := 26;</v>
      </c>
    </row>
    <row r="28" ht="25.9" customHeight="1" spans="1:10">
      <c r="A28" s="168" t="s">
        <v>5728</v>
      </c>
      <c r="B28" s="169">
        <v>5131</v>
      </c>
      <c r="C28" s="168">
        <v>24</v>
      </c>
      <c r="D28" s="168" t="s">
        <v>5729</v>
      </c>
      <c r="E28" s="170" t="s">
        <v>5730</v>
      </c>
      <c r="F28" s="171" t="s">
        <v>5731</v>
      </c>
      <c r="G28" s="171" t="s">
        <v>5732</v>
      </c>
      <c r="H28" s="162" t="str">
        <f t="shared" si="0"/>
        <v>TPMS_5131_24</v>
      </c>
      <c r="I28" s="162">
        <v>27</v>
      </c>
      <c r="J28" s="162" t="str">
        <f t="shared" si="1"/>
        <v>TPMS_5131_24Var_ui_ErrNo := 27;</v>
      </c>
    </row>
    <row r="29" ht="25.9" customHeight="1" spans="1:10">
      <c r="A29" s="168" t="s">
        <v>5733</v>
      </c>
      <c r="B29" s="169">
        <v>5132</v>
      </c>
      <c r="C29" s="168">
        <v>24</v>
      </c>
      <c r="D29" s="168" t="s">
        <v>5734</v>
      </c>
      <c r="E29" s="170" t="s">
        <v>5735</v>
      </c>
      <c r="F29" s="171" t="s">
        <v>5736</v>
      </c>
      <c r="G29" s="171" t="s">
        <v>5737</v>
      </c>
      <c r="H29" s="162" t="str">
        <f t="shared" si="0"/>
        <v>TPMS_5132_24</v>
      </c>
      <c r="I29" s="162">
        <v>28</v>
      </c>
      <c r="J29" s="162" t="str">
        <f t="shared" si="1"/>
        <v>TPMS_5132_24Var_ui_ErrNo := 28;</v>
      </c>
    </row>
    <row r="30" ht="25.9" customHeight="1" spans="1:10">
      <c r="A30" s="168" t="s">
        <v>5738</v>
      </c>
      <c r="B30" s="169">
        <v>5133</v>
      </c>
      <c r="C30" s="168">
        <v>24</v>
      </c>
      <c r="D30" s="168" t="s">
        <v>5739</v>
      </c>
      <c r="E30" s="170" t="s">
        <v>5740</v>
      </c>
      <c r="F30" s="171" t="s">
        <v>5741</v>
      </c>
      <c r="G30" s="171" t="s">
        <v>5742</v>
      </c>
      <c r="H30" s="162" t="str">
        <f t="shared" si="0"/>
        <v>TPMS_5133_24</v>
      </c>
      <c r="I30" s="162">
        <v>29</v>
      </c>
      <c r="J30" s="162" t="str">
        <f t="shared" si="1"/>
        <v>TPMS_5133_24Var_ui_ErrNo := 29;</v>
      </c>
    </row>
    <row r="31" ht="25.9" customHeight="1" spans="1:10">
      <c r="A31" s="168" t="s">
        <v>5743</v>
      </c>
      <c r="B31" s="169">
        <v>519001</v>
      </c>
      <c r="C31" s="168" t="s">
        <v>5488</v>
      </c>
      <c r="D31" s="168" t="s">
        <v>5744</v>
      </c>
      <c r="E31" s="170" t="s">
        <v>5745</v>
      </c>
      <c r="F31" s="171" t="s">
        <v>5746</v>
      </c>
      <c r="G31" s="171" t="s">
        <v>5747</v>
      </c>
      <c r="H31" s="162" t="str">
        <f t="shared" si="0"/>
        <v>TPMS_519001_9</v>
      </c>
      <c r="I31" s="162">
        <v>30</v>
      </c>
      <c r="J31" s="162" t="str">
        <f t="shared" si="1"/>
        <v>TPMS_519001_9Var_ui_ErrNo := 30;</v>
      </c>
    </row>
    <row r="32" ht="25.9" customHeight="1" spans="1:10">
      <c r="A32" s="168" t="s">
        <v>5748</v>
      </c>
      <c r="B32" s="169">
        <v>519002</v>
      </c>
      <c r="C32" s="168" t="s">
        <v>5496</v>
      </c>
      <c r="D32" s="168" t="s">
        <v>5744</v>
      </c>
      <c r="E32" s="170" t="s">
        <v>5749</v>
      </c>
      <c r="F32" s="171" t="s">
        <v>5750</v>
      </c>
      <c r="G32" s="171" t="s">
        <v>5751</v>
      </c>
      <c r="H32" s="162" t="str">
        <f t="shared" si="0"/>
        <v>TPMS_519002_10</v>
      </c>
      <c r="I32" s="162">
        <v>31</v>
      </c>
      <c r="J32" s="162" t="str">
        <f t="shared" si="1"/>
        <v>TPMS_519002_10Var_ui_ErrNo := 31;</v>
      </c>
    </row>
    <row r="33" ht="25.9" customHeight="1" spans="1:10">
      <c r="A33" s="168" t="s">
        <v>5752</v>
      </c>
      <c r="B33" s="169">
        <v>519003</v>
      </c>
      <c r="C33" s="168" t="s">
        <v>5503</v>
      </c>
      <c r="D33" s="168" t="s">
        <v>5744</v>
      </c>
      <c r="E33" s="170" t="s">
        <v>5753</v>
      </c>
      <c r="F33" s="171" t="s">
        <v>5754</v>
      </c>
      <c r="G33" s="171" t="s">
        <v>5755</v>
      </c>
      <c r="H33" s="162" t="str">
        <f t="shared" si="0"/>
        <v>TPMS_519003_11</v>
      </c>
      <c r="I33" s="162">
        <v>32</v>
      </c>
      <c r="J33" s="162" t="str">
        <f t="shared" si="1"/>
        <v>TPMS_519003_11Var_ui_ErrNo := 32;</v>
      </c>
    </row>
    <row r="34" ht="25.9" customHeight="1" spans="1:10">
      <c r="A34" s="168" t="s">
        <v>5756</v>
      </c>
      <c r="B34" s="169">
        <v>518005</v>
      </c>
      <c r="C34" s="168">
        <v>11</v>
      </c>
      <c r="D34" s="168" t="s">
        <v>5757</v>
      </c>
      <c r="E34" s="170" t="s">
        <v>5758</v>
      </c>
      <c r="F34" s="171" t="s">
        <v>5759</v>
      </c>
      <c r="G34" s="171" t="s">
        <v>5760</v>
      </c>
      <c r="H34" s="162" t="str">
        <f t="shared" si="0"/>
        <v>TPMS_518005_11</v>
      </c>
      <c r="I34" s="162">
        <v>33</v>
      </c>
      <c r="J34" s="162" t="str">
        <f t="shared" si="1"/>
        <v>TPMS_518005_11Var_ui_ErrNo := 33;</v>
      </c>
    </row>
    <row r="35" ht="25.9" customHeight="1" spans="1:10">
      <c r="A35" s="168" t="s">
        <v>5761</v>
      </c>
      <c r="B35" s="169">
        <v>168</v>
      </c>
      <c r="C35" s="168">
        <v>4</v>
      </c>
      <c r="D35" s="168" t="s">
        <v>5762</v>
      </c>
      <c r="E35" s="170" t="s">
        <v>5763</v>
      </c>
      <c r="F35" s="171" t="s">
        <v>5764</v>
      </c>
      <c r="G35" s="171" t="s">
        <v>5765</v>
      </c>
      <c r="H35" s="162" t="str">
        <f t="shared" si="0"/>
        <v>TPMS_168_4</v>
      </c>
      <c r="I35" s="162">
        <v>34</v>
      </c>
      <c r="J35" s="162" t="str">
        <f t="shared" si="1"/>
        <v>TPMS_168_4Var_ui_ErrNo := 34;</v>
      </c>
    </row>
    <row r="36" ht="25.9" customHeight="1" spans="1:10">
      <c r="A36" s="168" t="s">
        <v>5766</v>
      </c>
      <c r="B36" s="169">
        <v>168</v>
      </c>
      <c r="C36" s="168">
        <v>3</v>
      </c>
      <c r="D36" s="168" t="s">
        <v>5767</v>
      </c>
      <c r="E36" s="170" t="s">
        <v>5768</v>
      </c>
      <c r="F36" s="171" t="s">
        <v>5769</v>
      </c>
      <c r="G36" s="171" t="s">
        <v>5770</v>
      </c>
      <c r="H36" s="162" t="str">
        <f t="shared" si="0"/>
        <v>TPMS_168_3</v>
      </c>
      <c r="I36" s="162">
        <v>35</v>
      </c>
      <c r="J36" s="162" t="str">
        <f t="shared" si="1"/>
        <v>TPMS_168_3Var_ui_ErrNo := 35;</v>
      </c>
    </row>
    <row r="37" ht="25.9" customHeight="1" spans="1:10">
      <c r="A37" s="168" t="s">
        <v>5771</v>
      </c>
      <c r="B37" s="169">
        <v>518002</v>
      </c>
      <c r="C37" s="168">
        <v>9</v>
      </c>
      <c r="D37" s="168" t="s">
        <v>5772</v>
      </c>
      <c r="E37" s="170" t="s">
        <v>5773</v>
      </c>
      <c r="F37" s="171" t="s">
        <v>5774</v>
      </c>
      <c r="G37" s="171" t="s">
        <v>5775</v>
      </c>
      <c r="H37" s="162" t="str">
        <f t="shared" si="0"/>
        <v>TPMS_518002_9</v>
      </c>
      <c r="I37" s="162">
        <v>36</v>
      </c>
      <c r="J37" s="162" t="str">
        <f t="shared" si="1"/>
        <v>TPMS_518002_9Var_ui_ErrNo := 36;</v>
      </c>
    </row>
    <row r="38" ht="25.9" customHeight="1" spans="1:10">
      <c r="A38" s="168" t="s">
        <v>5776</v>
      </c>
      <c r="B38" s="169">
        <v>171</v>
      </c>
      <c r="C38" s="168">
        <v>9</v>
      </c>
      <c r="D38" s="168" t="s">
        <v>5777</v>
      </c>
      <c r="E38" s="170" t="s">
        <v>5778</v>
      </c>
      <c r="F38" s="171" t="s">
        <v>5779</v>
      </c>
      <c r="G38" s="171" t="s">
        <v>5780</v>
      </c>
      <c r="H38" s="162" t="str">
        <f t="shared" si="0"/>
        <v>TPMS_171_9</v>
      </c>
      <c r="I38" s="162">
        <v>37</v>
      </c>
      <c r="J38" s="162" t="str">
        <f t="shared" si="1"/>
        <v>TPMS_171_9Var_ui_ErrNo := 37;</v>
      </c>
    </row>
    <row r="44" spans="5:7">
      <c r="E44" s="162"/>
      <c r="F44" s="162"/>
      <c r="G44" s="162"/>
    </row>
  </sheetData>
  <mergeCells count="1">
    <mergeCell ref="D1:E1"/>
  </mergeCells>
  <pageMargins left="0.7" right="0.7" top="0.75" bottom="0.75" header="0.3" footer="0.3"/>
  <pageSetup paperSize="9" orientation="portrait" horizontalDpi="300" verticalDpi="300"/>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8"/>
  <sheetViews>
    <sheetView workbookViewId="0">
      <selection activeCell="A1" sqref="A1:F1"/>
    </sheetView>
  </sheetViews>
  <sheetFormatPr defaultColWidth="8.875" defaultRowHeight="13.5"/>
  <cols>
    <col min="1" max="2" width="8.875" style="41"/>
    <col min="3" max="3" width="8.125" style="41" customWidth="1"/>
    <col min="4" max="4" width="23.25" style="41" customWidth="1"/>
    <col min="5" max="5" width="36.125" style="41" customWidth="1"/>
    <col min="6" max="6" width="34.5" style="41" customWidth="1"/>
    <col min="7" max="7" width="34.25" style="41" customWidth="1"/>
    <col min="8" max="8" width="21.125" style="41" customWidth="1"/>
    <col min="9" max="14" width="8.875" style="41"/>
    <col min="15" max="15" width="14.375" style="41" customWidth="1"/>
    <col min="16" max="16384" width="8.875" style="41"/>
  </cols>
  <sheetData>
    <row r="1" spans="1:6">
      <c r="A1" s="153" t="s">
        <v>5781</v>
      </c>
      <c r="B1" s="153"/>
      <c r="C1" s="153"/>
      <c r="D1" s="153"/>
      <c r="E1" s="153"/>
      <c r="F1" s="153"/>
    </row>
    <row r="2" ht="24.95" customHeight="1" spans="1:6">
      <c r="A2" s="154" t="s">
        <v>101</v>
      </c>
      <c r="B2" s="154" t="s">
        <v>104</v>
      </c>
      <c r="C2" s="154" t="s">
        <v>105</v>
      </c>
      <c r="D2" s="154" t="s">
        <v>103</v>
      </c>
      <c r="E2" s="154" t="s">
        <v>5782</v>
      </c>
      <c r="F2" s="154" t="s">
        <v>5783</v>
      </c>
    </row>
    <row r="3" ht="24.95" customHeight="1" spans="1:18">
      <c r="A3" s="155">
        <v>1</v>
      </c>
      <c r="B3" s="155" t="s">
        <v>5784</v>
      </c>
      <c r="C3" s="155" t="s">
        <v>5488</v>
      </c>
      <c r="D3" s="155" t="s">
        <v>5785</v>
      </c>
      <c r="E3" s="155" t="s">
        <v>5786</v>
      </c>
      <c r="F3" s="155" t="s">
        <v>5787</v>
      </c>
      <c r="G3" s="155" t="s">
        <v>5786</v>
      </c>
      <c r="H3" s="41">
        <v>42</v>
      </c>
      <c r="I3" s="41" t="str">
        <f>"HJYX_"&amp;B3&amp;"_"&amp;C3</f>
        <v>HJYX_66_9</v>
      </c>
      <c r="M3" s="41">
        <f>B3*100+C3</f>
        <v>6609</v>
      </c>
      <c r="N3" s="41" t="s">
        <v>5788</v>
      </c>
      <c r="O3" s="41" t="s">
        <v>1464</v>
      </c>
      <c r="P3" s="41">
        <v>1</v>
      </c>
      <c r="Q3" s="41" t="s">
        <v>1465</v>
      </c>
      <c r="R3" s="41" t="str">
        <f>N3&amp;$O$3&amp;P3&amp;$Q$3</f>
        <v>6609:Var_ui_ErrNo:=1;</v>
      </c>
    </row>
    <row r="4" ht="24.95" customHeight="1" spans="1:18">
      <c r="A4" s="157">
        <v>2</v>
      </c>
      <c r="B4" s="157" t="s">
        <v>5789</v>
      </c>
      <c r="C4" s="157" t="s">
        <v>5511</v>
      </c>
      <c r="D4" s="157" t="s">
        <v>5790</v>
      </c>
      <c r="E4" s="157" t="s">
        <v>5791</v>
      </c>
      <c r="F4" s="157" t="s">
        <v>5792</v>
      </c>
      <c r="G4" s="157" t="s">
        <v>5791</v>
      </c>
      <c r="H4" s="41">
        <v>42</v>
      </c>
      <c r="I4" s="41" t="str">
        <f t="shared" ref="I4:I10" si="0">"HJYX_"&amp;B4&amp;"_"&amp;C4</f>
        <v>HJYX_67_12</v>
      </c>
      <c r="M4" s="41">
        <f t="shared" ref="M4:M10" si="1">B4*100+C4</f>
        <v>6712</v>
      </c>
      <c r="N4" s="41" t="s">
        <v>5793</v>
      </c>
      <c r="P4" s="41">
        <v>2</v>
      </c>
      <c r="R4" s="41" t="str">
        <f t="shared" ref="R4:R10" si="2">N4&amp;$O$3&amp;P4&amp;$Q$3</f>
        <v>6712:Var_ui_ErrNo:=2;</v>
      </c>
    </row>
    <row r="5" ht="24.95" customHeight="1" spans="1:18">
      <c r="A5" s="158">
        <v>3</v>
      </c>
      <c r="B5" s="158" t="s">
        <v>5794</v>
      </c>
      <c r="C5" s="158" t="s">
        <v>5511</v>
      </c>
      <c r="D5" s="158" t="s">
        <v>5795</v>
      </c>
      <c r="E5" s="158" t="s">
        <v>5796</v>
      </c>
      <c r="F5" s="158" t="s">
        <v>5797</v>
      </c>
      <c r="G5" s="158" t="s">
        <v>5796</v>
      </c>
      <c r="H5" s="41">
        <v>44</v>
      </c>
      <c r="I5" s="41" t="str">
        <f t="shared" si="0"/>
        <v>HJYX_68_12</v>
      </c>
      <c r="M5" s="41">
        <f t="shared" si="1"/>
        <v>6812</v>
      </c>
      <c r="N5" s="41" t="s">
        <v>5798</v>
      </c>
      <c r="P5" s="41">
        <v>3</v>
      </c>
      <c r="R5" s="41" t="str">
        <f t="shared" si="2"/>
        <v>6812:Var_ui_ErrNo:=3;</v>
      </c>
    </row>
    <row r="6" ht="24.95" customHeight="1" spans="1:18">
      <c r="A6" s="155">
        <v>4</v>
      </c>
      <c r="B6" s="155" t="s">
        <v>5799</v>
      </c>
      <c r="C6" s="155" t="s">
        <v>5511</v>
      </c>
      <c r="D6" s="155" t="s">
        <v>5800</v>
      </c>
      <c r="E6" s="155" t="s">
        <v>5801</v>
      </c>
      <c r="F6" s="155" t="s">
        <v>5802</v>
      </c>
      <c r="G6" s="155" t="s">
        <v>5801</v>
      </c>
      <c r="H6" s="41">
        <v>45</v>
      </c>
      <c r="I6" s="41" t="str">
        <f t="shared" si="0"/>
        <v>HJYX_69_12</v>
      </c>
      <c r="M6" s="41">
        <f t="shared" si="1"/>
        <v>6912</v>
      </c>
      <c r="N6" s="41" t="s">
        <v>5803</v>
      </c>
      <c r="P6" s="41">
        <v>4</v>
      </c>
      <c r="R6" s="41" t="str">
        <f t="shared" si="2"/>
        <v>6912:Var_ui_ErrNo:=4;</v>
      </c>
    </row>
    <row r="7" ht="24.95" customHeight="1" spans="1:18">
      <c r="A7" s="155">
        <v>5</v>
      </c>
      <c r="B7" s="155" t="s">
        <v>5804</v>
      </c>
      <c r="C7" s="155" t="s">
        <v>5511</v>
      </c>
      <c r="D7" s="155" t="s">
        <v>5805</v>
      </c>
      <c r="E7" s="155" t="s">
        <v>5806</v>
      </c>
      <c r="F7" s="155" t="s">
        <v>5807</v>
      </c>
      <c r="G7" s="155" t="s">
        <v>5806</v>
      </c>
      <c r="H7" s="41">
        <v>46</v>
      </c>
      <c r="I7" s="41" t="str">
        <f t="shared" si="0"/>
        <v>HJYX_70_12</v>
      </c>
      <c r="M7" s="41">
        <f t="shared" si="1"/>
        <v>7012</v>
      </c>
      <c r="N7" s="41" t="s">
        <v>5808</v>
      </c>
      <c r="P7" s="41">
        <v>5</v>
      </c>
      <c r="R7" s="41" t="str">
        <f t="shared" si="2"/>
        <v>7012:Var_ui_ErrNo:=5;</v>
      </c>
    </row>
    <row r="8" ht="24.95" customHeight="1" spans="1:18">
      <c r="A8" s="155">
        <v>6</v>
      </c>
      <c r="B8" s="155" t="s">
        <v>5809</v>
      </c>
      <c r="C8" s="155" t="s">
        <v>5511</v>
      </c>
      <c r="D8" s="155" t="s">
        <v>5810</v>
      </c>
      <c r="E8" s="155" t="s">
        <v>5811</v>
      </c>
      <c r="F8" s="155" t="s">
        <v>5812</v>
      </c>
      <c r="G8" s="155" t="s">
        <v>5811</v>
      </c>
      <c r="I8" s="41" t="str">
        <f t="shared" si="0"/>
        <v>HJYX_71_12</v>
      </c>
      <c r="M8" s="41">
        <f t="shared" si="1"/>
        <v>7112</v>
      </c>
      <c r="N8" s="41" t="s">
        <v>5813</v>
      </c>
      <c r="P8" s="41">
        <v>6</v>
      </c>
      <c r="R8" s="41" t="str">
        <f t="shared" si="2"/>
        <v>7112:Var_ui_ErrNo:=6;</v>
      </c>
    </row>
    <row r="9" ht="24.95" customHeight="1" spans="1:18">
      <c r="A9" s="157">
        <v>7</v>
      </c>
      <c r="B9" s="157" t="s">
        <v>5814</v>
      </c>
      <c r="C9" s="157" t="s">
        <v>5511</v>
      </c>
      <c r="D9" s="157" t="s">
        <v>5815</v>
      </c>
      <c r="E9" s="159" t="s">
        <v>5816</v>
      </c>
      <c r="F9" s="157" t="s">
        <v>5817</v>
      </c>
      <c r="G9" s="159" t="s">
        <v>5816</v>
      </c>
      <c r="I9" s="41" t="str">
        <f t="shared" si="0"/>
        <v>HJYX_72_12</v>
      </c>
      <c r="M9" s="41">
        <f t="shared" si="1"/>
        <v>7212</v>
      </c>
      <c r="N9" s="41" t="s">
        <v>5818</v>
      </c>
      <c r="P9" s="41">
        <v>7</v>
      </c>
      <c r="R9" s="41" t="str">
        <f t="shared" si="2"/>
        <v>7212:Var_ui_ErrNo:=7;</v>
      </c>
    </row>
    <row r="10" ht="24.95" customHeight="1" spans="1:18">
      <c r="A10" s="158">
        <v>8</v>
      </c>
      <c r="B10" s="158" t="s">
        <v>5819</v>
      </c>
      <c r="C10" s="158" t="s">
        <v>5511</v>
      </c>
      <c r="D10" s="158" t="s">
        <v>5820</v>
      </c>
      <c r="E10" s="160" t="s">
        <v>5821</v>
      </c>
      <c r="F10" s="158" t="s">
        <v>5822</v>
      </c>
      <c r="G10" s="160" t="s">
        <v>5821</v>
      </c>
      <c r="I10" s="41" t="str">
        <f t="shared" si="0"/>
        <v>HJYX_73_12</v>
      </c>
      <c r="M10" s="41">
        <f t="shared" si="1"/>
        <v>7312</v>
      </c>
      <c r="N10" s="41" t="s">
        <v>5823</v>
      </c>
      <c r="P10" s="41">
        <v>8</v>
      </c>
      <c r="R10" s="41" t="str">
        <f t="shared" si="2"/>
        <v>7312:Var_ui_ErrNo:=8;</v>
      </c>
    </row>
    <row r="11" spans="11:13">
      <c r="K11" s="41">
        <v>6609</v>
      </c>
      <c r="L11" s="41" t="str">
        <f>K11&amp;","</f>
        <v>6609,</v>
      </c>
      <c r="M11" s="41" t="s">
        <v>5824</v>
      </c>
    </row>
    <row r="12" spans="11:21">
      <c r="K12" s="41">
        <v>6712</v>
      </c>
      <c r="L12" s="41" t="str">
        <f t="shared" ref="L12:L18" si="3">K12&amp;","</f>
        <v>6712,</v>
      </c>
      <c r="M12" s="41" t="s">
        <v>5825</v>
      </c>
      <c r="N12" s="41" t="s">
        <v>5824</v>
      </c>
      <c r="O12" s="41" t="s">
        <v>5825</v>
      </c>
      <c r="P12" s="41" t="s">
        <v>5826</v>
      </c>
      <c r="Q12" s="41" t="s">
        <v>5827</v>
      </c>
      <c r="R12" s="41" t="s">
        <v>5828</v>
      </c>
      <c r="S12" s="41" t="s">
        <v>5829</v>
      </c>
      <c r="T12" s="41" t="s">
        <v>5830</v>
      </c>
      <c r="U12" s="41" t="s">
        <v>5831</v>
      </c>
    </row>
    <row r="13" spans="11:13">
      <c r="K13" s="41">
        <v>6812</v>
      </c>
      <c r="L13" s="41" t="str">
        <f t="shared" si="3"/>
        <v>6812,</v>
      </c>
      <c r="M13" s="41" t="s">
        <v>5826</v>
      </c>
    </row>
    <row r="14" spans="11:13">
      <c r="K14" s="41">
        <v>6912</v>
      </c>
      <c r="L14" s="41" t="str">
        <f t="shared" si="3"/>
        <v>6912,</v>
      </c>
      <c r="M14" s="41" t="s">
        <v>5827</v>
      </c>
    </row>
    <row r="15" spans="11:13">
      <c r="K15" s="41">
        <v>7012</v>
      </c>
      <c r="L15" s="41" t="str">
        <f t="shared" si="3"/>
        <v>7012,</v>
      </c>
      <c r="M15" s="41" t="s">
        <v>5828</v>
      </c>
    </row>
    <row r="16" spans="11:13">
      <c r="K16" s="41">
        <v>7112</v>
      </c>
      <c r="L16" s="41" t="str">
        <f t="shared" si="3"/>
        <v>7112,</v>
      </c>
      <c r="M16" s="41" t="s">
        <v>5829</v>
      </c>
    </row>
    <row r="17" spans="11:13">
      <c r="K17" s="41">
        <v>7212</v>
      </c>
      <c r="L17" s="41" t="str">
        <f t="shared" si="3"/>
        <v>7212,</v>
      </c>
      <c r="M17" s="41" t="s">
        <v>5830</v>
      </c>
    </row>
    <row r="18" spans="11:13">
      <c r="K18" s="41">
        <v>7312</v>
      </c>
      <c r="L18" s="41" t="str">
        <f t="shared" si="3"/>
        <v>7312,</v>
      </c>
      <c r="M18" s="41" t="s">
        <v>5831</v>
      </c>
    </row>
  </sheetData>
  <mergeCells count="1">
    <mergeCell ref="A1:F1"/>
  </mergeCells>
  <pageMargins left="0.7" right="0.7" top="0.75" bottom="0.75" header="0.3" footer="0.3"/>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2"/>
  <sheetViews>
    <sheetView workbookViewId="0">
      <selection activeCell="E23" sqref="E23"/>
    </sheetView>
  </sheetViews>
  <sheetFormatPr defaultColWidth="8.875" defaultRowHeight="13.5"/>
  <cols>
    <col min="1" max="1" width="6.75" style="41" customWidth="1"/>
    <col min="2" max="2" width="7.125" style="41" customWidth="1"/>
    <col min="3" max="3" width="7.875" style="41" customWidth="1"/>
    <col min="4" max="4" width="15.625" style="41" customWidth="1"/>
    <col min="5" max="5" width="43.375" style="41" customWidth="1"/>
    <col min="6" max="6" width="36.75" style="41" customWidth="1"/>
    <col min="7" max="16384" width="8.875" style="41"/>
  </cols>
  <sheetData>
    <row r="1" spans="1:6">
      <c r="A1" s="153" t="s">
        <v>5832</v>
      </c>
      <c r="B1" s="153"/>
      <c r="C1" s="153"/>
      <c r="D1" s="153"/>
      <c r="E1" s="153"/>
      <c r="F1" s="153"/>
    </row>
    <row r="2" ht="14.25" spans="1:6">
      <c r="A2" s="154" t="s">
        <v>101</v>
      </c>
      <c r="B2" s="154" t="s">
        <v>104</v>
      </c>
      <c r="C2" s="154" t="s">
        <v>105</v>
      </c>
      <c r="D2" s="154" t="s">
        <v>103</v>
      </c>
      <c r="E2" s="154" t="s">
        <v>5782</v>
      </c>
      <c r="F2" s="154" t="s">
        <v>5783</v>
      </c>
    </row>
    <row r="3" ht="14.25" spans="1:18">
      <c r="A3" s="155">
        <v>1</v>
      </c>
      <c r="B3" s="155">
        <v>91</v>
      </c>
      <c r="C3" s="155">
        <v>5</v>
      </c>
      <c r="D3" s="155" t="s">
        <v>5833</v>
      </c>
      <c r="E3" s="156" t="s">
        <v>5834</v>
      </c>
      <c r="F3" s="155" t="s">
        <v>5835</v>
      </c>
      <c r="G3" s="41" t="s">
        <v>5836</v>
      </c>
      <c r="I3" s="41" t="str">
        <f>"FDW_"&amp;B3&amp;"_"&amp;C3</f>
        <v>FDW_91_5</v>
      </c>
      <c r="M3" s="41">
        <f>B3*100+C3</f>
        <v>9105</v>
      </c>
      <c r="N3" s="41" t="s">
        <v>5837</v>
      </c>
      <c r="O3" s="41" t="s">
        <v>1464</v>
      </c>
      <c r="P3" s="41">
        <v>1</v>
      </c>
      <c r="Q3" s="41" t="s">
        <v>1465</v>
      </c>
      <c r="R3" s="41" t="str">
        <f>N3&amp;$O$3&amp;P3&amp;$Q$3</f>
        <v>9105:Var_ui_ErrNo:=1;</v>
      </c>
    </row>
    <row r="4" ht="26.25" spans="1:18">
      <c r="A4" s="157">
        <v>2</v>
      </c>
      <c r="B4" s="155">
        <v>92</v>
      </c>
      <c r="C4" s="155">
        <v>6</v>
      </c>
      <c r="D4" s="155" t="s">
        <v>5838</v>
      </c>
      <c r="E4" s="156" t="s">
        <v>5839</v>
      </c>
      <c r="F4" s="155" t="s">
        <v>5840</v>
      </c>
      <c r="G4" s="41" t="s">
        <v>5841</v>
      </c>
      <c r="I4" s="41" t="str">
        <f>"FDW_"&amp;B4&amp;"_"&amp;C4</f>
        <v>FDW_92_6</v>
      </c>
      <c r="M4" s="41">
        <f>B4*100+C4</f>
        <v>9206</v>
      </c>
      <c r="N4" s="41" t="s">
        <v>5842</v>
      </c>
      <c r="P4" s="41">
        <v>2</v>
      </c>
      <c r="R4" s="41" t="str">
        <f>N4&amp;$O$3&amp;P4&amp;$Q$3</f>
        <v>9206:Var_ui_ErrNo:=2;</v>
      </c>
    </row>
    <row r="5" ht="14.25" spans="1:18">
      <c r="A5" s="158">
        <v>3</v>
      </c>
      <c r="B5" s="155">
        <v>93</v>
      </c>
      <c r="C5" s="155">
        <v>5</v>
      </c>
      <c r="D5" s="155" t="s">
        <v>5843</v>
      </c>
      <c r="E5" s="156" t="s">
        <v>5844</v>
      </c>
      <c r="F5" s="155" t="s">
        <v>5845</v>
      </c>
      <c r="G5" s="41" t="s">
        <v>5846</v>
      </c>
      <c r="I5" s="41" t="str">
        <f>"FDW_"&amp;B5&amp;"_"&amp;C5</f>
        <v>FDW_93_5</v>
      </c>
      <c r="M5" s="41">
        <f>B5*100+C5</f>
        <v>9305</v>
      </c>
      <c r="N5" s="41" t="s">
        <v>5847</v>
      </c>
      <c r="P5" s="41">
        <v>3</v>
      </c>
      <c r="R5" s="41" t="str">
        <f>N5&amp;$O$3&amp;P5&amp;$Q$3</f>
        <v>9305:Var_ui_ErrNo:=3;</v>
      </c>
    </row>
    <row r="6" ht="14.25" spans="1:18">
      <c r="A6" s="155">
        <v>4</v>
      </c>
      <c r="B6" s="155">
        <v>94</v>
      </c>
      <c r="C6" s="155">
        <v>6</v>
      </c>
      <c r="D6" s="155" t="s">
        <v>5848</v>
      </c>
      <c r="E6" s="156" t="s">
        <v>5849</v>
      </c>
      <c r="F6" s="155" t="s">
        <v>5850</v>
      </c>
      <c r="I6" s="41" t="str">
        <f>"FDW_"&amp;B6&amp;"_"&amp;C6</f>
        <v>FDW_94_6</v>
      </c>
      <c r="M6" s="41">
        <f>B6*100+C6</f>
        <v>9406</v>
      </c>
      <c r="N6" s="41" t="s">
        <v>5851</v>
      </c>
      <c r="P6" s="41">
        <v>4</v>
      </c>
      <c r="R6" s="41" t="str">
        <f>N6&amp;$O$3&amp;P6&amp;$Q$3</f>
        <v>9406:Var_ui_ErrNo:=4;</v>
      </c>
    </row>
    <row r="9" spans="13:19">
      <c r="M9" s="41">
        <v>9105</v>
      </c>
      <c r="N9" s="41" t="str">
        <f>M9&amp;","</f>
        <v>9105,</v>
      </c>
      <c r="O9" s="41" t="s">
        <v>5852</v>
      </c>
      <c r="P9" s="41" t="s">
        <v>5852</v>
      </c>
      <c r="Q9" s="41" t="s">
        <v>5853</v>
      </c>
      <c r="R9" s="41" t="s">
        <v>5854</v>
      </c>
      <c r="S9" s="41" t="s">
        <v>5855</v>
      </c>
    </row>
    <row r="10" spans="13:15">
      <c r="M10" s="41">
        <v>9206</v>
      </c>
      <c r="N10" s="41" t="str">
        <f>M10&amp;","</f>
        <v>9206,</v>
      </c>
      <c r="O10" s="41" t="s">
        <v>5853</v>
      </c>
    </row>
    <row r="11" spans="13:15">
      <c r="M11" s="41">
        <v>9305</v>
      </c>
      <c r="N11" s="41" t="str">
        <f>M11&amp;","</f>
        <v>9305,</v>
      </c>
      <c r="O11" s="41" t="s">
        <v>5854</v>
      </c>
    </row>
    <row r="12" spans="13:15">
      <c r="M12" s="41">
        <v>9406</v>
      </c>
      <c r="N12" s="41" t="str">
        <f>M12&amp;","</f>
        <v>9406,</v>
      </c>
      <c r="O12" s="41" t="s">
        <v>5855</v>
      </c>
    </row>
  </sheetData>
  <mergeCells count="1">
    <mergeCell ref="A1:F1"/>
  </mergeCells>
  <pageMargins left="0.7" right="0.7" top="0.75" bottom="0.75" header="0.3" footer="0.3"/>
  <pageSetup paperSize="9" orientation="portrait"/>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1"/>
  <sheetViews>
    <sheetView zoomScale="130" zoomScaleNormal="130" topLeftCell="A36" workbookViewId="0">
      <selection activeCell="E36" sqref="E36"/>
    </sheetView>
  </sheetViews>
  <sheetFormatPr defaultColWidth="8.875" defaultRowHeight="13.5"/>
  <cols>
    <col min="1" max="1" width="8.875" style="67"/>
    <col min="2" max="2" width="5.75" style="32" customWidth="1"/>
    <col min="3" max="4" width="9" style="32" customWidth="1"/>
    <col min="5" max="5" width="47" style="32" customWidth="1"/>
    <col min="6" max="6" width="9.875" style="32" customWidth="1"/>
    <col min="7" max="7" width="12.125" style="32" customWidth="1"/>
    <col min="8" max="8" width="47" style="32" customWidth="1"/>
    <col min="9" max="9" width="19.75" style="128" customWidth="1"/>
    <col min="10" max="10" width="16.5" style="67" customWidth="1"/>
    <col min="11" max="16384" width="8.875" style="67"/>
  </cols>
  <sheetData>
    <row r="1" ht="19.15" customHeight="1" spans="1:10">
      <c r="A1" s="69" t="s">
        <v>101</v>
      </c>
      <c r="B1" s="129" t="s">
        <v>101</v>
      </c>
      <c r="C1" s="129" t="s">
        <v>116</v>
      </c>
      <c r="D1" s="129" t="s">
        <v>117</v>
      </c>
      <c r="E1" s="130" t="s">
        <v>103</v>
      </c>
      <c r="F1" s="130" t="s">
        <v>118</v>
      </c>
      <c r="G1" s="130" t="s">
        <v>963</v>
      </c>
      <c r="H1" s="130" t="s">
        <v>258</v>
      </c>
      <c r="I1" s="145" t="s">
        <v>5856</v>
      </c>
      <c r="J1" s="146"/>
    </row>
    <row r="2" spans="1:10">
      <c r="A2" s="122">
        <v>1</v>
      </c>
      <c r="B2" s="129">
        <v>1</v>
      </c>
      <c r="C2" s="131" t="s">
        <v>133</v>
      </c>
      <c r="D2" s="132" t="s">
        <v>259</v>
      </c>
      <c r="E2" s="130" t="s">
        <v>5857</v>
      </c>
      <c r="F2" s="4">
        <v>11181</v>
      </c>
      <c r="G2" s="4">
        <v>0</v>
      </c>
      <c r="H2" s="130" t="s">
        <v>5858</v>
      </c>
      <c r="I2" s="145"/>
      <c r="J2" s="146"/>
    </row>
    <row r="3" spans="1:10">
      <c r="A3" s="122">
        <v>2</v>
      </c>
      <c r="B3" s="129">
        <v>2</v>
      </c>
      <c r="C3" s="131" t="s">
        <v>133</v>
      </c>
      <c r="D3" s="132" t="s">
        <v>259</v>
      </c>
      <c r="E3" s="130" t="s">
        <v>5859</v>
      </c>
      <c r="F3" s="4">
        <v>522000</v>
      </c>
      <c r="G3" s="4">
        <v>0</v>
      </c>
      <c r="H3" s="130" t="s">
        <v>5860</v>
      </c>
      <c r="I3" s="145"/>
      <c r="J3" s="146"/>
    </row>
    <row r="4" spans="1:10">
      <c r="A4" s="122">
        <v>3</v>
      </c>
      <c r="B4" s="129">
        <v>3</v>
      </c>
      <c r="C4" s="131" t="s">
        <v>133</v>
      </c>
      <c r="D4" s="132" t="s">
        <v>259</v>
      </c>
      <c r="E4" s="130" t="s">
        <v>5861</v>
      </c>
      <c r="F4" s="4">
        <v>522000</v>
      </c>
      <c r="G4" s="4">
        <v>1</v>
      </c>
      <c r="H4" s="130" t="s">
        <v>5862</v>
      </c>
      <c r="I4" s="145"/>
      <c r="J4" s="146"/>
    </row>
    <row r="5" spans="1:10">
      <c r="A5" s="122">
        <v>4</v>
      </c>
      <c r="B5" s="129">
        <v>4</v>
      </c>
      <c r="C5" s="131" t="s">
        <v>133</v>
      </c>
      <c r="D5" s="132" t="s">
        <v>259</v>
      </c>
      <c r="E5" s="130" t="s">
        <v>5863</v>
      </c>
      <c r="F5" s="4">
        <v>522001</v>
      </c>
      <c r="G5" s="4">
        <v>0</v>
      </c>
      <c r="H5" s="130" t="s">
        <v>5864</v>
      </c>
      <c r="I5" s="145"/>
      <c r="J5" s="146"/>
    </row>
    <row r="6" spans="1:10">
      <c r="A6" s="122">
        <v>5</v>
      </c>
      <c r="B6" s="129">
        <v>5</v>
      </c>
      <c r="C6" s="131" t="s">
        <v>133</v>
      </c>
      <c r="D6" s="132" t="s">
        <v>259</v>
      </c>
      <c r="E6" s="130" t="s">
        <v>5865</v>
      </c>
      <c r="F6" s="4">
        <v>522001</v>
      </c>
      <c r="G6" s="4">
        <v>1</v>
      </c>
      <c r="H6" s="130" t="s">
        <v>5866</v>
      </c>
      <c r="I6" s="145"/>
      <c r="J6" s="146"/>
    </row>
    <row r="7" spans="1:10">
      <c r="A7" s="122">
        <v>6</v>
      </c>
      <c r="B7" s="129">
        <v>6</v>
      </c>
      <c r="C7" s="131" t="s">
        <v>133</v>
      </c>
      <c r="D7" s="132" t="s">
        <v>259</v>
      </c>
      <c r="E7" s="130" t="s">
        <v>5867</v>
      </c>
      <c r="F7" s="4">
        <v>522002</v>
      </c>
      <c r="G7" s="4">
        <v>0</v>
      </c>
      <c r="H7" s="130" t="s">
        <v>5868</v>
      </c>
      <c r="I7" s="145"/>
      <c r="J7" s="146"/>
    </row>
    <row r="8" spans="1:10">
      <c r="A8" s="122">
        <v>7</v>
      </c>
      <c r="B8" s="129">
        <v>7</v>
      </c>
      <c r="C8" s="131" t="s">
        <v>133</v>
      </c>
      <c r="D8" s="132" t="s">
        <v>259</v>
      </c>
      <c r="E8" s="130" t="s">
        <v>5869</v>
      </c>
      <c r="F8" s="4">
        <v>522002</v>
      </c>
      <c r="G8" s="4">
        <v>1</v>
      </c>
      <c r="H8" s="130" t="s">
        <v>5870</v>
      </c>
      <c r="I8" s="145"/>
      <c r="J8" s="146"/>
    </row>
    <row r="9" spans="1:10">
      <c r="A9" s="122">
        <v>8</v>
      </c>
      <c r="B9" s="129">
        <v>8</v>
      </c>
      <c r="C9" s="131" t="s">
        <v>133</v>
      </c>
      <c r="D9" s="132" t="s">
        <v>259</v>
      </c>
      <c r="E9" s="4" t="s">
        <v>5871</v>
      </c>
      <c r="F9" s="4">
        <v>11187</v>
      </c>
      <c r="G9" s="4">
        <v>0</v>
      </c>
      <c r="H9" s="130" t="s">
        <v>5872</v>
      </c>
      <c r="I9" s="145"/>
      <c r="J9" s="146"/>
    </row>
    <row r="10" spans="1:10">
      <c r="A10" s="122">
        <v>9</v>
      </c>
      <c r="B10" s="129">
        <v>9</v>
      </c>
      <c r="C10" s="131" t="s">
        <v>133</v>
      </c>
      <c r="D10" s="132" t="s">
        <v>259</v>
      </c>
      <c r="E10" s="4" t="s">
        <v>5858</v>
      </c>
      <c r="F10" s="4">
        <v>11188</v>
      </c>
      <c r="G10" s="4">
        <v>0</v>
      </c>
      <c r="H10" s="130" t="s">
        <v>5873</v>
      </c>
      <c r="I10" s="145"/>
      <c r="J10" s="146"/>
    </row>
    <row r="11" ht="27" spans="1:10">
      <c r="A11" s="122">
        <v>10</v>
      </c>
      <c r="B11" s="129">
        <v>10</v>
      </c>
      <c r="C11" s="131" t="s">
        <v>133</v>
      </c>
      <c r="D11" s="132" t="s">
        <v>259</v>
      </c>
      <c r="E11" s="4" t="s">
        <v>5874</v>
      </c>
      <c r="F11" s="4">
        <v>11172</v>
      </c>
      <c r="G11" s="4">
        <v>1</v>
      </c>
      <c r="H11" s="130" t="s">
        <v>5875</v>
      </c>
      <c r="I11" s="145" t="s">
        <v>5876</v>
      </c>
      <c r="J11" s="146" t="s">
        <v>5877</v>
      </c>
    </row>
    <row r="12" spans="1:10">
      <c r="A12" s="122">
        <v>11</v>
      </c>
      <c r="B12" s="129">
        <v>11</v>
      </c>
      <c r="C12" s="131" t="s">
        <v>133</v>
      </c>
      <c r="D12" s="132" t="s">
        <v>259</v>
      </c>
      <c r="E12" s="4" t="s">
        <v>5878</v>
      </c>
      <c r="F12" s="4">
        <v>522003</v>
      </c>
      <c r="G12" s="4">
        <v>0</v>
      </c>
      <c r="H12" s="130" t="s">
        <v>5879</v>
      </c>
      <c r="I12" s="145"/>
      <c r="J12" s="146"/>
    </row>
    <row r="13" spans="1:10">
      <c r="A13" s="122">
        <v>12</v>
      </c>
      <c r="B13" s="129">
        <v>12</v>
      </c>
      <c r="C13" s="131" t="s">
        <v>133</v>
      </c>
      <c r="D13" s="132" t="s">
        <v>259</v>
      </c>
      <c r="E13" s="4" t="s">
        <v>5880</v>
      </c>
      <c r="F13" s="4">
        <v>522004</v>
      </c>
      <c r="G13" s="4">
        <v>1</v>
      </c>
      <c r="H13" s="130" t="s">
        <v>5881</v>
      </c>
      <c r="I13" s="145"/>
      <c r="J13" s="146"/>
    </row>
    <row r="14" spans="1:10">
      <c r="A14" s="122">
        <v>13</v>
      </c>
      <c r="B14" s="129">
        <v>13</v>
      </c>
      <c r="C14" s="131" t="s">
        <v>133</v>
      </c>
      <c r="D14" s="132" t="s">
        <v>259</v>
      </c>
      <c r="E14" s="4" t="s">
        <v>5882</v>
      </c>
      <c r="F14" s="4">
        <v>522005</v>
      </c>
      <c r="G14" s="4">
        <v>0</v>
      </c>
      <c r="H14" s="130" t="s">
        <v>5883</v>
      </c>
      <c r="I14" s="145"/>
      <c r="J14" s="146"/>
    </row>
    <row r="15" spans="1:10">
      <c r="A15" s="122">
        <v>14</v>
      </c>
      <c r="B15" s="129">
        <v>14</v>
      </c>
      <c r="C15" s="131" t="s">
        <v>133</v>
      </c>
      <c r="D15" s="132" t="s">
        <v>259</v>
      </c>
      <c r="E15" s="4" t="s">
        <v>5884</v>
      </c>
      <c r="F15" s="4">
        <v>522006</v>
      </c>
      <c r="G15" s="4">
        <v>12</v>
      </c>
      <c r="H15" s="130" t="s">
        <v>5885</v>
      </c>
      <c r="I15" s="145"/>
      <c r="J15" s="146"/>
    </row>
    <row r="16" spans="1:10">
      <c r="A16" s="122">
        <v>15</v>
      </c>
      <c r="B16" s="129">
        <v>15</v>
      </c>
      <c r="C16" s="131" t="s">
        <v>133</v>
      </c>
      <c r="D16" s="132" t="s">
        <v>259</v>
      </c>
      <c r="E16" s="4" t="s">
        <v>5886</v>
      </c>
      <c r="F16" s="4">
        <v>522007</v>
      </c>
      <c r="G16" s="4">
        <v>12</v>
      </c>
      <c r="H16" s="130" t="s">
        <v>5887</v>
      </c>
      <c r="I16" s="145"/>
      <c r="J16" s="146"/>
    </row>
    <row r="17" spans="1:10">
      <c r="A17" s="122">
        <v>16</v>
      </c>
      <c r="B17" s="129">
        <v>16</v>
      </c>
      <c r="C17" s="131" t="s">
        <v>133</v>
      </c>
      <c r="D17" s="132" t="s">
        <v>827</v>
      </c>
      <c r="E17" s="130" t="s">
        <v>5888</v>
      </c>
      <c r="F17" s="130">
        <v>11181</v>
      </c>
      <c r="G17" s="130">
        <v>6</v>
      </c>
      <c r="H17" s="130" t="s">
        <v>5889</v>
      </c>
      <c r="I17" s="145"/>
      <c r="J17" s="146"/>
    </row>
    <row r="18" spans="1:10">
      <c r="A18" s="122">
        <v>17</v>
      </c>
      <c r="B18" s="129">
        <v>17</v>
      </c>
      <c r="C18" s="131" t="s">
        <v>133</v>
      </c>
      <c r="D18" s="132" t="s">
        <v>827</v>
      </c>
      <c r="E18" s="130" t="s">
        <v>5890</v>
      </c>
      <c r="F18" s="130">
        <v>522000</v>
      </c>
      <c r="G18" s="130">
        <v>16</v>
      </c>
      <c r="H18" s="130" t="s">
        <v>5891</v>
      </c>
      <c r="I18" s="145"/>
      <c r="J18" s="146"/>
    </row>
    <row r="19" spans="1:10">
      <c r="A19" s="122">
        <v>18</v>
      </c>
      <c r="B19" s="129">
        <v>18</v>
      </c>
      <c r="C19" s="131" t="s">
        <v>133</v>
      </c>
      <c r="D19" s="132" t="s">
        <v>827</v>
      </c>
      <c r="E19" s="130" t="s">
        <v>5892</v>
      </c>
      <c r="F19" s="130">
        <v>522000</v>
      </c>
      <c r="G19" s="130">
        <v>18</v>
      </c>
      <c r="H19" s="130" t="s">
        <v>5893</v>
      </c>
      <c r="I19" s="145"/>
      <c r="J19" s="146"/>
    </row>
    <row r="20" spans="1:10">
      <c r="A20" s="122">
        <v>19</v>
      </c>
      <c r="B20" s="129">
        <v>19</v>
      </c>
      <c r="C20" s="131" t="s">
        <v>133</v>
      </c>
      <c r="D20" s="132" t="s">
        <v>827</v>
      </c>
      <c r="E20" s="130" t="s">
        <v>5894</v>
      </c>
      <c r="F20" s="130">
        <v>522001</v>
      </c>
      <c r="G20" s="130">
        <v>16</v>
      </c>
      <c r="H20" s="130" t="s">
        <v>5895</v>
      </c>
      <c r="I20" s="145"/>
      <c r="J20" s="146"/>
    </row>
    <row r="21" spans="1:10">
      <c r="A21" s="122">
        <v>20</v>
      </c>
      <c r="B21" s="129">
        <v>20</v>
      </c>
      <c r="C21" s="131" t="s">
        <v>133</v>
      </c>
      <c r="D21" s="132" t="s">
        <v>827</v>
      </c>
      <c r="E21" s="130" t="s">
        <v>5896</v>
      </c>
      <c r="F21" s="130">
        <v>522001</v>
      </c>
      <c r="G21" s="130">
        <v>18</v>
      </c>
      <c r="H21" s="130" t="s">
        <v>5897</v>
      </c>
      <c r="I21" s="145"/>
      <c r="J21" s="146"/>
    </row>
    <row r="22" spans="1:10">
      <c r="A22" s="122">
        <v>21</v>
      </c>
      <c r="B22" s="129">
        <v>21</v>
      </c>
      <c r="C22" s="131" t="s">
        <v>133</v>
      </c>
      <c r="D22" s="132" t="s">
        <v>827</v>
      </c>
      <c r="E22" s="130" t="s">
        <v>5898</v>
      </c>
      <c r="F22" s="130">
        <v>522002</v>
      </c>
      <c r="G22" s="130">
        <v>16</v>
      </c>
      <c r="H22" s="130" t="s">
        <v>5899</v>
      </c>
      <c r="I22" s="145"/>
      <c r="J22" s="146"/>
    </row>
    <row r="23" spans="1:10">
      <c r="A23" s="122">
        <v>22</v>
      </c>
      <c r="B23" s="129">
        <v>22</v>
      </c>
      <c r="C23" s="131" t="s">
        <v>133</v>
      </c>
      <c r="D23" s="132" t="s">
        <v>827</v>
      </c>
      <c r="E23" s="130" t="s">
        <v>5900</v>
      </c>
      <c r="F23" s="130">
        <v>522002</v>
      </c>
      <c r="G23" s="130">
        <v>18</v>
      </c>
      <c r="H23" s="130" t="s">
        <v>5901</v>
      </c>
      <c r="I23" s="145"/>
      <c r="J23" s="146"/>
    </row>
    <row r="24" spans="1:10">
      <c r="A24" s="122">
        <v>23</v>
      </c>
      <c r="B24" s="129">
        <v>23</v>
      </c>
      <c r="C24" s="131" t="s">
        <v>133</v>
      </c>
      <c r="D24" s="132" t="s">
        <v>827</v>
      </c>
      <c r="E24" s="4" t="s">
        <v>5902</v>
      </c>
      <c r="F24" s="130">
        <v>11187</v>
      </c>
      <c r="G24" s="130">
        <v>16</v>
      </c>
      <c r="H24" s="4" t="s">
        <v>5903</v>
      </c>
      <c r="I24" s="145"/>
      <c r="J24" s="146"/>
    </row>
    <row r="25" spans="1:10">
      <c r="A25" s="122">
        <v>24</v>
      </c>
      <c r="B25" s="129">
        <v>24</v>
      </c>
      <c r="C25" s="131" t="s">
        <v>133</v>
      </c>
      <c r="D25" s="132" t="s">
        <v>827</v>
      </c>
      <c r="E25" s="4" t="s">
        <v>5904</v>
      </c>
      <c r="F25" s="130">
        <v>11188</v>
      </c>
      <c r="G25" s="130">
        <v>16</v>
      </c>
      <c r="H25" s="4" t="s">
        <v>5905</v>
      </c>
      <c r="I25" s="145"/>
      <c r="J25" s="146"/>
    </row>
    <row r="26" spans="1:10">
      <c r="A26" s="122">
        <v>25</v>
      </c>
      <c r="B26" s="129">
        <v>25</v>
      </c>
      <c r="C26" s="131" t="s">
        <v>133</v>
      </c>
      <c r="D26" s="132" t="s">
        <v>827</v>
      </c>
      <c r="E26" s="4" t="s">
        <v>5906</v>
      </c>
      <c r="F26" s="130">
        <v>11172</v>
      </c>
      <c r="G26" s="130">
        <v>18</v>
      </c>
      <c r="H26" s="4" t="s">
        <v>5907</v>
      </c>
      <c r="I26" s="145"/>
      <c r="J26" s="146"/>
    </row>
    <row r="27" spans="1:10">
      <c r="A27" s="122">
        <v>26</v>
      </c>
      <c r="B27" s="129">
        <v>26</v>
      </c>
      <c r="C27" s="131" t="s">
        <v>133</v>
      </c>
      <c r="D27" s="132" t="s">
        <v>827</v>
      </c>
      <c r="E27" s="4" t="s">
        <v>5908</v>
      </c>
      <c r="F27" s="130">
        <v>522003</v>
      </c>
      <c r="G27" s="130">
        <v>16</v>
      </c>
      <c r="H27" s="4" t="s">
        <v>5909</v>
      </c>
      <c r="I27" s="145"/>
      <c r="J27" s="146"/>
    </row>
    <row r="28" spans="1:10">
      <c r="A28" s="122">
        <v>27</v>
      </c>
      <c r="B28" s="129">
        <v>27</v>
      </c>
      <c r="C28" s="131" t="s">
        <v>133</v>
      </c>
      <c r="D28" s="132" t="s">
        <v>827</v>
      </c>
      <c r="E28" s="4" t="s">
        <v>5910</v>
      </c>
      <c r="F28" s="130">
        <v>522004</v>
      </c>
      <c r="G28" s="130">
        <v>18</v>
      </c>
      <c r="H28" s="4" t="s">
        <v>5911</v>
      </c>
      <c r="I28" s="145"/>
      <c r="J28" s="146"/>
    </row>
    <row r="29" spans="1:10">
      <c r="A29" s="122">
        <v>28</v>
      </c>
      <c r="B29" s="129">
        <v>28</v>
      </c>
      <c r="C29" s="131" t="s">
        <v>133</v>
      </c>
      <c r="D29" s="132" t="s">
        <v>827</v>
      </c>
      <c r="E29" s="4" t="s">
        <v>5912</v>
      </c>
      <c r="F29" s="130">
        <v>522005</v>
      </c>
      <c r="G29" s="130">
        <v>16</v>
      </c>
      <c r="H29" s="4" t="s">
        <v>5913</v>
      </c>
      <c r="I29" s="145"/>
      <c r="J29" s="146"/>
    </row>
    <row r="30" spans="1:10">
      <c r="A30" s="122">
        <v>29</v>
      </c>
      <c r="B30" s="129">
        <v>29</v>
      </c>
      <c r="C30" s="131" t="s">
        <v>133</v>
      </c>
      <c r="D30" s="132" t="s">
        <v>827</v>
      </c>
      <c r="E30" s="4" t="s">
        <v>5914</v>
      </c>
      <c r="F30" s="130">
        <v>522008</v>
      </c>
      <c r="G30" s="130">
        <v>19</v>
      </c>
      <c r="H30" s="4" t="s">
        <v>5915</v>
      </c>
      <c r="I30" s="145"/>
      <c r="J30" s="146"/>
    </row>
    <row r="31" spans="1:10">
      <c r="A31" s="122">
        <v>30</v>
      </c>
      <c r="B31" s="129">
        <v>30</v>
      </c>
      <c r="C31" s="131" t="s">
        <v>133</v>
      </c>
      <c r="D31" s="132" t="s">
        <v>827</v>
      </c>
      <c r="E31" s="4" t="s">
        <v>5916</v>
      </c>
      <c r="F31" s="130">
        <v>522009</v>
      </c>
      <c r="G31" s="130">
        <v>19</v>
      </c>
      <c r="H31" s="4" t="s">
        <v>5917</v>
      </c>
      <c r="I31" s="145"/>
      <c r="J31" s="146"/>
    </row>
    <row r="32" spans="1:10">
      <c r="A32" s="122">
        <v>31</v>
      </c>
      <c r="B32" s="129">
        <v>31</v>
      </c>
      <c r="C32" s="131" t="s">
        <v>133</v>
      </c>
      <c r="D32" s="132" t="s">
        <v>827</v>
      </c>
      <c r="E32" s="4" t="s">
        <v>5918</v>
      </c>
      <c r="F32" s="130">
        <v>522010</v>
      </c>
      <c r="G32" s="130">
        <v>19</v>
      </c>
      <c r="H32" s="4" t="s">
        <v>5919</v>
      </c>
      <c r="I32" s="145"/>
      <c r="J32" s="146"/>
    </row>
    <row r="33" spans="1:10">
      <c r="A33" s="122">
        <v>32</v>
      </c>
      <c r="B33" s="129">
        <v>32</v>
      </c>
      <c r="C33" s="131" t="s">
        <v>133</v>
      </c>
      <c r="D33" s="132" t="s">
        <v>827</v>
      </c>
      <c r="E33" s="4" t="s">
        <v>5920</v>
      </c>
      <c r="F33" s="130">
        <v>522011</v>
      </c>
      <c r="G33" s="130">
        <v>19</v>
      </c>
      <c r="H33" s="4" t="s">
        <v>5921</v>
      </c>
      <c r="I33" s="145"/>
      <c r="J33" s="146"/>
    </row>
    <row r="34" spans="1:10">
      <c r="A34" s="122">
        <v>33</v>
      </c>
      <c r="B34" s="129">
        <v>33</v>
      </c>
      <c r="C34" s="131" t="s">
        <v>133</v>
      </c>
      <c r="D34" s="132" t="s">
        <v>827</v>
      </c>
      <c r="E34" s="4" t="s">
        <v>5922</v>
      </c>
      <c r="F34" s="130">
        <v>522012</v>
      </c>
      <c r="G34" s="130">
        <v>19</v>
      </c>
      <c r="H34" s="4" t="s">
        <v>5923</v>
      </c>
      <c r="I34" s="145"/>
      <c r="J34" s="146"/>
    </row>
    <row r="35" spans="1:10">
      <c r="A35" s="122">
        <v>34</v>
      </c>
      <c r="B35" s="129">
        <v>34</v>
      </c>
      <c r="C35" s="131" t="s">
        <v>133</v>
      </c>
      <c r="D35" s="132" t="s">
        <v>827</v>
      </c>
      <c r="E35" s="4" t="s">
        <v>5924</v>
      </c>
      <c r="F35" s="130">
        <v>522004</v>
      </c>
      <c r="G35" s="130">
        <v>16</v>
      </c>
      <c r="H35" s="4" t="s">
        <v>5925</v>
      </c>
      <c r="I35" s="145"/>
      <c r="J35" s="146"/>
    </row>
    <row r="36" spans="1:10">
      <c r="A36" s="122">
        <v>35</v>
      </c>
      <c r="B36" s="129">
        <v>35</v>
      </c>
      <c r="C36" s="133" t="s">
        <v>122</v>
      </c>
      <c r="D36" s="132"/>
      <c r="E36" s="134" t="s">
        <v>5926</v>
      </c>
      <c r="F36" s="134">
        <v>11181</v>
      </c>
      <c r="G36" s="134">
        <v>15</v>
      </c>
      <c r="H36" s="134" t="s">
        <v>5927</v>
      </c>
      <c r="I36" s="147" t="s">
        <v>5928</v>
      </c>
      <c r="J36" s="146"/>
    </row>
    <row r="37" spans="1:10">
      <c r="A37" s="122">
        <v>36</v>
      </c>
      <c r="B37" s="129">
        <v>36</v>
      </c>
      <c r="C37" s="133" t="s">
        <v>122</v>
      </c>
      <c r="D37" s="132"/>
      <c r="E37" s="134" t="s">
        <v>5929</v>
      </c>
      <c r="F37" s="134">
        <v>522000</v>
      </c>
      <c r="G37" s="134">
        <v>15</v>
      </c>
      <c r="H37" s="134" t="s">
        <v>5930</v>
      </c>
      <c r="I37" s="148"/>
      <c r="J37" s="146"/>
    </row>
    <row r="38" spans="1:10">
      <c r="A38" s="122">
        <v>37</v>
      </c>
      <c r="B38" s="129">
        <v>37</v>
      </c>
      <c r="C38" s="133" t="s">
        <v>122</v>
      </c>
      <c r="D38" s="132"/>
      <c r="E38" s="134" t="s">
        <v>5931</v>
      </c>
      <c r="F38" s="134">
        <v>522000</v>
      </c>
      <c r="G38" s="134">
        <v>17</v>
      </c>
      <c r="H38" s="134" t="s">
        <v>5932</v>
      </c>
      <c r="I38" s="148"/>
      <c r="J38" s="146"/>
    </row>
    <row r="39" spans="1:10">
      <c r="A39" s="122">
        <v>38</v>
      </c>
      <c r="B39" s="129">
        <v>38</v>
      </c>
      <c r="C39" s="133" t="s">
        <v>122</v>
      </c>
      <c r="D39" s="132"/>
      <c r="E39" s="134" t="s">
        <v>5933</v>
      </c>
      <c r="F39" s="134">
        <v>522001</v>
      </c>
      <c r="G39" s="134">
        <v>15</v>
      </c>
      <c r="H39" s="134" t="s">
        <v>5934</v>
      </c>
      <c r="I39" s="148"/>
      <c r="J39" s="146"/>
    </row>
    <row r="40" spans="1:10">
      <c r="A40" s="122">
        <v>39</v>
      </c>
      <c r="B40" s="129">
        <v>39</v>
      </c>
      <c r="C40" s="133" t="s">
        <v>122</v>
      </c>
      <c r="D40" s="132"/>
      <c r="E40" s="134" t="s">
        <v>5935</v>
      </c>
      <c r="F40" s="134">
        <v>522001</v>
      </c>
      <c r="G40" s="134">
        <v>17</v>
      </c>
      <c r="H40" s="134" t="s">
        <v>5936</v>
      </c>
      <c r="I40" s="148"/>
      <c r="J40" s="146"/>
    </row>
    <row r="41" spans="1:10">
      <c r="A41" s="122">
        <v>40</v>
      </c>
      <c r="B41" s="129">
        <v>40</v>
      </c>
      <c r="C41" s="133" t="s">
        <v>122</v>
      </c>
      <c r="D41" s="132"/>
      <c r="E41" s="134" t="s">
        <v>5937</v>
      </c>
      <c r="F41" s="134">
        <v>522002</v>
      </c>
      <c r="G41" s="134">
        <v>15</v>
      </c>
      <c r="H41" s="134" t="s">
        <v>5938</v>
      </c>
      <c r="I41" s="148"/>
      <c r="J41" s="146"/>
    </row>
    <row r="42" spans="1:10">
      <c r="A42" s="122">
        <v>41</v>
      </c>
      <c r="B42" s="129">
        <v>41</v>
      </c>
      <c r="C42" s="133" t="s">
        <v>122</v>
      </c>
      <c r="D42" s="132"/>
      <c r="E42" s="134" t="s">
        <v>5939</v>
      </c>
      <c r="F42" s="134">
        <v>522002</v>
      </c>
      <c r="G42" s="134">
        <v>17</v>
      </c>
      <c r="H42" s="134" t="s">
        <v>5940</v>
      </c>
      <c r="I42" s="148"/>
      <c r="J42" s="146"/>
    </row>
    <row r="43" spans="1:10">
      <c r="A43" s="122">
        <v>42</v>
      </c>
      <c r="B43" s="129">
        <v>42</v>
      </c>
      <c r="C43" s="133" t="s">
        <v>122</v>
      </c>
      <c r="D43" s="132"/>
      <c r="E43" s="135" t="s">
        <v>5941</v>
      </c>
      <c r="F43" s="134">
        <v>11187</v>
      </c>
      <c r="G43" s="134">
        <v>15</v>
      </c>
      <c r="H43" s="135" t="s">
        <v>5942</v>
      </c>
      <c r="I43" s="148"/>
      <c r="J43" s="146"/>
    </row>
    <row r="44" spans="1:10">
      <c r="A44" s="122">
        <v>43</v>
      </c>
      <c r="B44" s="129">
        <v>43</v>
      </c>
      <c r="C44" s="133" t="s">
        <v>122</v>
      </c>
      <c r="D44" s="132"/>
      <c r="E44" s="135" t="s">
        <v>5943</v>
      </c>
      <c r="F44" s="134">
        <v>11188</v>
      </c>
      <c r="G44" s="134">
        <v>15</v>
      </c>
      <c r="H44" s="135" t="s">
        <v>5944</v>
      </c>
      <c r="I44" s="148"/>
      <c r="J44" s="146"/>
    </row>
    <row r="45" spans="1:10">
      <c r="A45" s="122">
        <v>44</v>
      </c>
      <c r="B45" s="129">
        <v>44</v>
      </c>
      <c r="C45" s="133" t="s">
        <v>122</v>
      </c>
      <c r="D45" s="132"/>
      <c r="E45" s="135" t="s">
        <v>5945</v>
      </c>
      <c r="F45" s="134">
        <v>11172</v>
      </c>
      <c r="G45" s="134">
        <v>17</v>
      </c>
      <c r="H45" s="135" t="s">
        <v>5946</v>
      </c>
      <c r="I45" s="148"/>
      <c r="J45" s="146"/>
    </row>
    <row r="46" spans="1:10">
      <c r="A46" s="122">
        <v>45</v>
      </c>
      <c r="B46" s="129">
        <v>45</v>
      </c>
      <c r="C46" s="133" t="s">
        <v>122</v>
      </c>
      <c r="D46" s="132"/>
      <c r="E46" s="135" t="s">
        <v>5947</v>
      </c>
      <c r="F46" s="134">
        <v>522003</v>
      </c>
      <c r="G46" s="134">
        <v>15</v>
      </c>
      <c r="H46" s="135" t="s">
        <v>5948</v>
      </c>
      <c r="I46" s="148"/>
      <c r="J46" s="146"/>
    </row>
    <row r="47" spans="1:10">
      <c r="A47" s="122">
        <v>46</v>
      </c>
      <c r="B47" s="129">
        <v>46</v>
      </c>
      <c r="C47" s="133" t="s">
        <v>122</v>
      </c>
      <c r="D47" s="132"/>
      <c r="E47" s="135" t="s">
        <v>5949</v>
      </c>
      <c r="F47" s="134">
        <v>522004</v>
      </c>
      <c r="G47" s="134">
        <v>17</v>
      </c>
      <c r="H47" s="135" t="s">
        <v>5950</v>
      </c>
      <c r="I47" s="148"/>
      <c r="J47" s="146"/>
    </row>
    <row r="48" spans="1:10">
      <c r="A48" s="122">
        <v>47</v>
      </c>
      <c r="B48" s="129">
        <v>47</v>
      </c>
      <c r="C48" s="133" t="s">
        <v>122</v>
      </c>
      <c r="D48" s="132"/>
      <c r="E48" s="135" t="s">
        <v>5951</v>
      </c>
      <c r="F48" s="134">
        <v>522005</v>
      </c>
      <c r="G48" s="134">
        <v>15</v>
      </c>
      <c r="H48" s="135" t="s">
        <v>5952</v>
      </c>
      <c r="I48" s="149"/>
      <c r="J48" s="146"/>
    </row>
    <row r="49" spans="1:10">
      <c r="A49" s="124">
        <v>48</v>
      </c>
      <c r="B49" s="129">
        <v>48</v>
      </c>
      <c r="C49" s="131" t="s">
        <v>133</v>
      </c>
      <c r="D49" s="132" t="s">
        <v>259</v>
      </c>
      <c r="E49" s="4" t="s">
        <v>5953</v>
      </c>
      <c r="F49" s="4">
        <v>522004</v>
      </c>
      <c r="G49" s="4">
        <v>0</v>
      </c>
      <c r="H49" s="4" t="str">
        <f>"FCU"&amp;":"&amp;E49&amp;"("&amp;F49&amp;","&amp;G49&amp;")"</f>
        <v>FCU:电堆电压高(522004,0)</v>
      </c>
      <c r="I49" s="145" t="s">
        <v>5954</v>
      </c>
      <c r="J49" s="146"/>
    </row>
    <row r="50" spans="1:10">
      <c r="A50" s="124">
        <v>49</v>
      </c>
      <c r="B50" s="129">
        <v>49</v>
      </c>
      <c r="C50" s="131" t="s">
        <v>133</v>
      </c>
      <c r="D50" s="132" t="s">
        <v>259</v>
      </c>
      <c r="E50" s="4" t="s">
        <v>5955</v>
      </c>
      <c r="F50" s="4">
        <v>522008</v>
      </c>
      <c r="G50" s="4">
        <v>12</v>
      </c>
      <c r="H50" s="4" t="str">
        <f t="shared" ref="H50:H58" si="0">"FCU"&amp;":"&amp;E50&amp;"("&amp;F50&amp;","&amp;G50&amp;")"</f>
        <v>FCU:空压机通讯故障(522008,12)</v>
      </c>
      <c r="I50" s="145" t="s">
        <v>5954</v>
      </c>
      <c r="J50" s="146"/>
    </row>
    <row r="51" spans="1:10">
      <c r="A51" s="124">
        <v>50</v>
      </c>
      <c r="B51" s="129">
        <v>50</v>
      </c>
      <c r="C51" s="131" t="s">
        <v>133</v>
      </c>
      <c r="D51" s="132" t="s">
        <v>259</v>
      </c>
      <c r="E51" s="4" t="s">
        <v>5956</v>
      </c>
      <c r="F51" s="4">
        <v>522010</v>
      </c>
      <c r="G51" s="4">
        <v>12</v>
      </c>
      <c r="H51" s="4" t="str">
        <f t="shared" si="0"/>
        <v>FCU:巡检1通讯故障(522010,12)</v>
      </c>
      <c r="I51" s="145" t="s">
        <v>5954</v>
      </c>
      <c r="J51" s="146"/>
    </row>
    <row r="52" spans="1:10">
      <c r="A52" s="124">
        <v>51</v>
      </c>
      <c r="B52" s="129">
        <v>51</v>
      </c>
      <c r="C52" s="131" t="s">
        <v>133</v>
      </c>
      <c r="D52" s="132" t="s">
        <v>827</v>
      </c>
      <c r="E52" s="4" t="s">
        <v>5957</v>
      </c>
      <c r="F52" s="4">
        <v>522013</v>
      </c>
      <c r="G52" s="4">
        <v>19</v>
      </c>
      <c r="H52" s="4" t="str">
        <f t="shared" si="0"/>
        <v>FCU:电堆散热器控制器通讯故障(522013,19)</v>
      </c>
      <c r="I52" s="145" t="s">
        <v>5954</v>
      </c>
      <c r="J52" s="146"/>
    </row>
    <row r="53" spans="1:10">
      <c r="A53" s="124">
        <v>52</v>
      </c>
      <c r="B53" s="129">
        <v>52</v>
      </c>
      <c r="C53" s="131" t="s">
        <v>133</v>
      </c>
      <c r="D53" s="132" t="s">
        <v>827</v>
      </c>
      <c r="E53" s="4" t="s">
        <v>5958</v>
      </c>
      <c r="F53" s="4">
        <v>522014</v>
      </c>
      <c r="G53" s="4">
        <v>16</v>
      </c>
      <c r="H53" s="4" t="str">
        <f t="shared" si="0"/>
        <v>FCU:空压机控制器过温警告(522014,16)</v>
      </c>
      <c r="I53" s="145" t="s">
        <v>5954</v>
      </c>
      <c r="J53" s="146"/>
    </row>
    <row r="54" spans="1:10">
      <c r="A54" s="124">
        <v>53</v>
      </c>
      <c r="B54" s="129">
        <v>53</v>
      </c>
      <c r="C54" s="131" t="s">
        <v>133</v>
      </c>
      <c r="D54" s="132" t="s">
        <v>259</v>
      </c>
      <c r="E54" s="4" t="s">
        <v>5959</v>
      </c>
      <c r="F54" s="4">
        <v>522014</v>
      </c>
      <c r="G54" s="4">
        <v>0</v>
      </c>
      <c r="H54" s="4" t="str">
        <f t="shared" si="0"/>
        <v>FCU:空压机控制器过温报警(522014,0)</v>
      </c>
      <c r="I54" s="145" t="s">
        <v>5954</v>
      </c>
      <c r="J54" s="146"/>
    </row>
    <row r="55" spans="1:10">
      <c r="A55" s="124">
        <v>54</v>
      </c>
      <c r="B55" s="129">
        <v>54</v>
      </c>
      <c r="C55" s="131" t="s">
        <v>133</v>
      </c>
      <c r="D55" s="132" t="s">
        <v>259</v>
      </c>
      <c r="E55" s="4" t="s">
        <v>5960</v>
      </c>
      <c r="F55" s="4">
        <v>522015</v>
      </c>
      <c r="G55" s="4">
        <v>16</v>
      </c>
      <c r="H55" s="4" t="str">
        <f t="shared" si="0"/>
        <v>FCU:空压机过温警告(522015,16)</v>
      </c>
      <c r="I55" s="145" t="s">
        <v>5954</v>
      </c>
      <c r="J55" s="146"/>
    </row>
    <row r="56" spans="1:10">
      <c r="A56" s="124">
        <v>55</v>
      </c>
      <c r="B56" s="129">
        <v>55</v>
      </c>
      <c r="C56" s="131" t="s">
        <v>133</v>
      </c>
      <c r="D56" s="132" t="s">
        <v>259</v>
      </c>
      <c r="E56" s="4" t="s">
        <v>5961</v>
      </c>
      <c r="F56" s="4">
        <v>522015</v>
      </c>
      <c r="G56" s="4">
        <v>0</v>
      </c>
      <c r="H56" s="4" t="str">
        <f t="shared" si="0"/>
        <v>FCU:空压机过温报警(522015,0)</v>
      </c>
      <c r="I56" s="145" t="s">
        <v>5954</v>
      </c>
      <c r="J56" s="146"/>
    </row>
    <row r="57" spans="1:10">
      <c r="A57" s="124">
        <v>56</v>
      </c>
      <c r="B57" s="129">
        <v>56</v>
      </c>
      <c r="C57" s="131" t="s">
        <v>133</v>
      </c>
      <c r="D57" s="132" t="s">
        <v>827</v>
      </c>
      <c r="E57" s="4" t="s">
        <v>5962</v>
      </c>
      <c r="F57" s="4">
        <v>522029</v>
      </c>
      <c r="G57" s="4">
        <v>19</v>
      </c>
      <c r="H57" s="4" t="str">
        <f t="shared" si="0"/>
        <v>FCU:燃料电池系统故障(522029,19)</v>
      </c>
      <c r="I57" s="145" t="s">
        <v>5954</v>
      </c>
      <c r="J57" s="146"/>
    </row>
    <row r="58" spans="1:10">
      <c r="A58" s="124">
        <v>57</v>
      </c>
      <c r="B58" s="129">
        <v>57</v>
      </c>
      <c r="C58" s="131" t="s">
        <v>133</v>
      </c>
      <c r="D58" s="132" t="s">
        <v>259</v>
      </c>
      <c r="E58" s="4" t="s">
        <v>5962</v>
      </c>
      <c r="F58" s="4">
        <v>522029</v>
      </c>
      <c r="G58" s="4">
        <v>12</v>
      </c>
      <c r="H58" s="4" t="str">
        <f t="shared" si="0"/>
        <v>FCU:燃料电池系统故障(522029,12)</v>
      </c>
      <c r="I58" s="145" t="s">
        <v>5954</v>
      </c>
      <c r="J58" s="146"/>
    </row>
    <row r="59" spans="1:10">
      <c r="A59" s="136">
        <v>58</v>
      </c>
      <c r="B59" s="129">
        <v>58</v>
      </c>
      <c r="C59" s="131" t="s">
        <v>133</v>
      </c>
      <c r="D59" s="132" t="s">
        <v>259</v>
      </c>
      <c r="E59" s="4" t="s">
        <v>5963</v>
      </c>
      <c r="F59" s="4">
        <v>522017</v>
      </c>
      <c r="G59" s="4">
        <v>1</v>
      </c>
      <c r="H59" s="4" t="s">
        <v>5964</v>
      </c>
      <c r="I59" s="145" t="s">
        <v>5965</v>
      </c>
      <c r="J59" s="146"/>
    </row>
    <row r="60" ht="48" spans="1:10">
      <c r="A60" s="136">
        <v>59</v>
      </c>
      <c r="B60" s="129">
        <v>59</v>
      </c>
      <c r="C60" s="131" t="s">
        <v>239</v>
      </c>
      <c r="D60" s="137" t="s">
        <v>5966</v>
      </c>
      <c r="E60" s="4" t="s">
        <v>5967</v>
      </c>
      <c r="F60" s="4">
        <v>522016</v>
      </c>
      <c r="G60" s="4">
        <v>18</v>
      </c>
      <c r="H60" s="4" t="s">
        <v>5968</v>
      </c>
      <c r="I60" s="145" t="s">
        <v>5965</v>
      </c>
      <c r="J60" s="146"/>
    </row>
    <row r="61" spans="1:10">
      <c r="A61" s="136">
        <v>60</v>
      </c>
      <c r="B61" s="129">
        <v>60</v>
      </c>
      <c r="C61" s="131" t="s">
        <v>133</v>
      </c>
      <c r="D61" s="132" t="s">
        <v>259</v>
      </c>
      <c r="E61" s="4" t="s">
        <v>5969</v>
      </c>
      <c r="F61" s="4">
        <v>522027</v>
      </c>
      <c r="G61" s="4">
        <v>12</v>
      </c>
      <c r="H61" s="138" t="s">
        <v>5970</v>
      </c>
      <c r="I61" s="145" t="s">
        <v>5965</v>
      </c>
      <c r="J61" s="146"/>
    </row>
    <row r="62" ht="40.5" spans="1:10">
      <c r="A62" s="139">
        <v>61</v>
      </c>
      <c r="B62" s="140">
        <v>61</v>
      </c>
      <c r="C62" s="131" t="s">
        <v>133</v>
      </c>
      <c r="D62" s="132" t="s">
        <v>259</v>
      </c>
      <c r="E62" s="141" t="s">
        <v>5971</v>
      </c>
      <c r="F62" s="141">
        <v>522028</v>
      </c>
      <c r="G62" s="141">
        <v>12</v>
      </c>
      <c r="H62" s="141" t="s">
        <v>5972</v>
      </c>
      <c r="I62" s="150" t="s">
        <v>5965</v>
      </c>
      <c r="J62" s="151" t="s">
        <v>5973</v>
      </c>
    </row>
    <row r="63" ht="16.5" spans="1:9">
      <c r="A63" s="139">
        <v>62</v>
      </c>
      <c r="B63" s="142">
        <v>62</v>
      </c>
      <c r="C63" s="131" t="s">
        <v>133</v>
      </c>
      <c r="D63" s="132" t="s">
        <v>827</v>
      </c>
      <c r="E63" s="143" t="s">
        <v>5962</v>
      </c>
      <c r="F63" s="144">
        <v>522029</v>
      </c>
      <c r="G63" s="144">
        <v>19</v>
      </c>
      <c r="H63" s="141" t="s">
        <v>5974</v>
      </c>
      <c r="I63" s="152" t="s">
        <v>5975</v>
      </c>
    </row>
    <row r="64" ht="16.5" spans="1:9">
      <c r="A64" s="139">
        <v>63</v>
      </c>
      <c r="B64" s="142">
        <v>63</v>
      </c>
      <c r="C64" s="131" t="s">
        <v>133</v>
      </c>
      <c r="D64" s="132" t="s">
        <v>259</v>
      </c>
      <c r="E64" s="143" t="s">
        <v>5962</v>
      </c>
      <c r="F64" s="144">
        <v>522029</v>
      </c>
      <c r="G64" s="144">
        <v>12</v>
      </c>
      <c r="H64" s="141" t="s">
        <v>5976</v>
      </c>
      <c r="I64" s="152" t="s">
        <v>5975</v>
      </c>
    </row>
    <row r="65" ht="16.5" spans="1:9">
      <c r="A65" s="139">
        <v>64</v>
      </c>
      <c r="B65" s="142">
        <v>64</v>
      </c>
      <c r="C65" s="131" t="s">
        <v>133</v>
      </c>
      <c r="D65" s="132" t="s">
        <v>827</v>
      </c>
      <c r="E65" s="143" t="s">
        <v>5977</v>
      </c>
      <c r="F65" s="144">
        <v>522030</v>
      </c>
      <c r="G65" s="144">
        <v>16</v>
      </c>
      <c r="H65" s="141" t="s">
        <v>5978</v>
      </c>
      <c r="I65" s="152" t="s">
        <v>5975</v>
      </c>
    </row>
    <row r="66" ht="16.5" spans="1:9">
      <c r="A66" s="139">
        <v>65</v>
      </c>
      <c r="B66" s="142">
        <v>65</v>
      </c>
      <c r="C66" s="131" t="s">
        <v>133</v>
      </c>
      <c r="D66" s="132" t="s">
        <v>259</v>
      </c>
      <c r="E66" s="143" t="s">
        <v>5977</v>
      </c>
      <c r="F66" s="144">
        <v>522030</v>
      </c>
      <c r="G66" s="144">
        <v>0</v>
      </c>
      <c r="H66" s="141" t="s">
        <v>5979</v>
      </c>
      <c r="I66" s="152" t="s">
        <v>5975</v>
      </c>
    </row>
    <row r="67" ht="16.5" spans="1:9">
      <c r="A67" s="139">
        <v>66</v>
      </c>
      <c r="B67" s="142">
        <v>66</v>
      </c>
      <c r="C67" s="131" t="s">
        <v>133</v>
      </c>
      <c r="D67" s="132" t="s">
        <v>827</v>
      </c>
      <c r="E67" s="143" t="s">
        <v>5980</v>
      </c>
      <c r="F67" s="144">
        <v>522030</v>
      </c>
      <c r="G67" s="144">
        <v>18</v>
      </c>
      <c r="H67" s="141" t="s">
        <v>5981</v>
      </c>
      <c r="I67" s="152" t="s">
        <v>5975</v>
      </c>
    </row>
    <row r="68" ht="16.5" spans="1:9">
      <c r="A68" s="139">
        <v>67</v>
      </c>
      <c r="B68" s="142">
        <v>67</v>
      </c>
      <c r="C68" s="131" t="s">
        <v>133</v>
      </c>
      <c r="D68" s="132" t="s">
        <v>259</v>
      </c>
      <c r="E68" s="143" t="s">
        <v>5980</v>
      </c>
      <c r="F68" s="144">
        <v>522030</v>
      </c>
      <c r="G68" s="144">
        <v>1</v>
      </c>
      <c r="H68" s="141" t="s">
        <v>5982</v>
      </c>
      <c r="I68" s="152" t="s">
        <v>5975</v>
      </c>
    </row>
    <row r="69" ht="16.5" spans="1:9">
      <c r="A69" s="139">
        <v>68</v>
      </c>
      <c r="B69" s="142">
        <v>68</v>
      </c>
      <c r="C69" s="131" t="s">
        <v>133</v>
      </c>
      <c r="D69" s="132" t="s">
        <v>827</v>
      </c>
      <c r="E69" s="143" t="s">
        <v>5983</v>
      </c>
      <c r="F69" s="144">
        <v>522031</v>
      </c>
      <c r="G69" s="144">
        <v>16</v>
      </c>
      <c r="H69" s="141" t="s">
        <v>5984</v>
      </c>
      <c r="I69" s="152" t="s">
        <v>5975</v>
      </c>
    </row>
    <row r="70" ht="16.5" spans="1:9">
      <c r="A70" s="139">
        <v>69</v>
      </c>
      <c r="B70" s="142">
        <v>69</v>
      </c>
      <c r="C70" s="131" t="s">
        <v>133</v>
      </c>
      <c r="D70" s="132" t="s">
        <v>259</v>
      </c>
      <c r="E70" s="143" t="s">
        <v>5983</v>
      </c>
      <c r="F70" s="144">
        <v>522031</v>
      </c>
      <c r="G70" s="144">
        <v>0</v>
      </c>
      <c r="H70" s="141" t="s">
        <v>5985</v>
      </c>
      <c r="I70" s="152" t="s">
        <v>5975</v>
      </c>
    </row>
    <row r="71" ht="16.5" spans="1:9">
      <c r="A71" s="139">
        <v>70</v>
      </c>
      <c r="B71" s="142">
        <v>70</v>
      </c>
      <c r="C71" s="131" t="s">
        <v>133</v>
      </c>
      <c r="D71" s="132" t="s">
        <v>827</v>
      </c>
      <c r="E71" s="143" t="s">
        <v>5986</v>
      </c>
      <c r="F71" s="144">
        <v>522032</v>
      </c>
      <c r="G71" s="144">
        <v>16</v>
      </c>
      <c r="H71" s="141" t="s">
        <v>5987</v>
      </c>
      <c r="I71" s="152" t="s">
        <v>5975</v>
      </c>
    </row>
    <row r="72" ht="16.5" spans="1:9">
      <c r="A72" s="139">
        <v>71</v>
      </c>
      <c r="B72" s="142">
        <v>71</v>
      </c>
      <c r="C72" s="131" t="s">
        <v>133</v>
      </c>
      <c r="D72" s="132" t="s">
        <v>259</v>
      </c>
      <c r="E72" s="143" t="s">
        <v>5986</v>
      </c>
      <c r="F72" s="144">
        <v>522032</v>
      </c>
      <c r="G72" s="144">
        <v>0</v>
      </c>
      <c r="H72" s="141" t="s">
        <v>5988</v>
      </c>
      <c r="I72" s="152" t="s">
        <v>5975</v>
      </c>
    </row>
    <row r="73" ht="16.5" spans="1:9">
      <c r="A73" s="139">
        <v>72</v>
      </c>
      <c r="B73" s="142">
        <v>72</v>
      </c>
      <c r="C73" s="131" t="s">
        <v>133</v>
      </c>
      <c r="D73" s="132" t="s">
        <v>827</v>
      </c>
      <c r="E73" s="143" t="s">
        <v>5989</v>
      </c>
      <c r="F73" s="144">
        <v>522032</v>
      </c>
      <c r="G73" s="144">
        <v>18</v>
      </c>
      <c r="H73" s="141" t="s">
        <v>5990</v>
      </c>
      <c r="I73" s="152" t="s">
        <v>5975</v>
      </c>
    </row>
    <row r="74" ht="16.5" spans="1:9">
      <c r="A74" s="139">
        <v>73</v>
      </c>
      <c r="B74" s="142">
        <v>73</v>
      </c>
      <c r="C74" s="131" t="s">
        <v>133</v>
      </c>
      <c r="D74" s="132" t="s">
        <v>259</v>
      </c>
      <c r="E74" s="143" t="s">
        <v>5989</v>
      </c>
      <c r="F74" s="144">
        <v>522032</v>
      </c>
      <c r="G74" s="144">
        <v>1</v>
      </c>
      <c r="H74" s="141" t="s">
        <v>5991</v>
      </c>
      <c r="I74" s="152" t="s">
        <v>5975</v>
      </c>
    </row>
    <row r="75" ht="16.5" spans="1:9">
      <c r="A75" s="139">
        <v>74</v>
      </c>
      <c r="B75" s="142">
        <v>74</v>
      </c>
      <c r="C75" s="131" t="s">
        <v>133</v>
      </c>
      <c r="D75" s="132" t="s">
        <v>827</v>
      </c>
      <c r="E75" s="143" t="s">
        <v>5992</v>
      </c>
      <c r="F75" s="144">
        <v>522033</v>
      </c>
      <c r="G75" s="144">
        <v>16</v>
      </c>
      <c r="H75" s="141" t="s">
        <v>5993</v>
      </c>
      <c r="I75" s="152" t="s">
        <v>5975</v>
      </c>
    </row>
    <row r="76" ht="16.5" spans="1:9">
      <c r="A76" s="139">
        <v>75</v>
      </c>
      <c r="B76" s="142">
        <v>75</v>
      </c>
      <c r="C76" s="131" t="s">
        <v>133</v>
      </c>
      <c r="D76" s="132" t="s">
        <v>259</v>
      </c>
      <c r="E76" s="143" t="s">
        <v>5992</v>
      </c>
      <c r="F76" s="144">
        <v>522033</v>
      </c>
      <c r="G76" s="144">
        <v>0</v>
      </c>
      <c r="H76" s="141" t="s">
        <v>5994</v>
      </c>
      <c r="I76" s="152" t="s">
        <v>5975</v>
      </c>
    </row>
    <row r="77" ht="16.5" spans="1:9">
      <c r="A77" s="139">
        <v>76</v>
      </c>
      <c r="B77" s="142">
        <v>76</v>
      </c>
      <c r="C77" s="131" t="s">
        <v>133</v>
      </c>
      <c r="D77" s="132" t="s">
        <v>827</v>
      </c>
      <c r="E77" s="143" t="s">
        <v>5995</v>
      </c>
      <c r="F77" s="144">
        <v>522034</v>
      </c>
      <c r="G77" s="144">
        <v>16</v>
      </c>
      <c r="H77" s="141" t="s">
        <v>5996</v>
      </c>
      <c r="I77" s="152" t="s">
        <v>5975</v>
      </c>
    </row>
    <row r="78" ht="16.5" spans="1:9">
      <c r="A78" s="139">
        <v>77</v>
      </c>
      <c r="B78" s="142">
        <v>77</v>
      </c>
      <c r="C78" s="131" t="s">
        <v>133</v>
      </c>
      <c r="D78" s="132" t="s">
        <v>259</v>
      </c>
      <c r="E78" s="143" t="s">
        <v>5995</v>
      </c>
      <c r="F78" s="144">
        <v>522034</v>
      </c>
      <c r="G78" s="144">
        <v>0</v>
      </c>
      <c r="H78" s="141" t="s">
        <v>5997</v>
      </c>
      <c r="I78" s="152" t="s">
        <v>5975</v>
      </c>
    </row>
    <row r="79" ht="16.5" spans="1:9">
      <c r="A79" s="139">
        <v>78</v>
      </c>
      <c r="B79" s="142">
        <v>78</v>
      </c>
      <c r="C79" s="131" t="s">
        <v>133</v>
      </c>
      <c r="D79" s="132" t="s">
        <v>827</v>
      </c>
      <c r="E79" s="143" t="s">
        <v>5998</v>
      </c>
      <c r="F79" s="144">
        <v>522035</v>
      </c>
      <c r="G79" s="144">
        <v>4</v>
      </c>
      <c r="H79" s="141" t="s">
        <v>5999</v>
      </c>
      <c r="I79" s="152" t="s">
        <v>5975</v>
      </c>
    </row>
    <row r="80" ht="16.5" spans="1:9">
      <c r="A80" s="139">
        <v>79</v>
      </c>
      <c r="B80" s="142">
        <v>79</v>
      </c>
      <c r="C80" s="131" t="s">
        <v>133</v>
      </c>
      <c r="D80" s="132" t="s">
        <v>827</v>
      </c>
      <c r="E80" s="143" t="s">
        <v>6000</v>
      </c>
      <c r="F80" s="144">
        <v>2853</v>
      </c>
      <c r="G80" s="144">
        <v>19</v>
      </c>
      <c r="H80" s="141" t="s">
        <v>6001</v>
      </c>
      <c r="I80" s="152" t="s">
        <v>5975</v>
      </c>
    </row>
    <row r="81" ht="16.5" spans="1:9">
      <c r="A81" s="139">
        <v>80</v>
      </c>
      <c r="B81" s="142">
        <v>80</v>
      </c>
      <c r="C81" s="131" t="s">
        <v>133</v>
      </c>
      <c r="D81" s="132" t="s">
        <v>259</v>
      </c>
      <c r="E81" s="143" t="s">
        <v>6000</v>
      </c>
      <c r="F81" s="144">
        <v>2853</v>
      </c>
      <c r="G81" s="144">
        <v>12</v>
      </c>
      <c r="H81" s="141" t="s">
        <v>6002</v>
      </c>
      <c r="I81" s="152" t="s">
        <v>5975</v>
      </c>
    </row>
  </sheetData>
  <autoFilter ref="A1:J81">
    <extLst/>
  </autoFilter>
  <mergeCells count="1">
    <mergeCell ref="I36:I48"/>
  </mergeCells>
  <pageMargins left="0.7" right="0.7" top="0.75" bottom="0.75" header="0.3" footer="0.3"/>
  <pageSetup paperSize="9" orientation="portrait"/>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zoomScale="130" zoomScaleNormal="130" workbookViewId="0">
      <selection activeCell="E27" sqref="E27"/>
    </sheetView>
  </sheetViews>
  <sheetFormatPr defaultColWidth="9" defaultRowHeight="13.5" outlineLevelCol="5"/>
  <cols>
    <col min="1" max="1" width="5.5" style="67" customWidth="1"/>
    <col min="2" max="2" width="19.375" customWidth="1"/>
    <col min="3" max="4" width="9.5" customWidth="1"/>
    <col min="5" max="5" width="33.625" customWidth="1"/>
    <col min="6" max="6" width="14.5" customWidth="1"/>
  </cols>
  <sheetData>
    <row r="1" spans="1:5">
      <c r="A1" s="122" t="s">
        <v>101</v>
      </c>
      <c r="B1" s="37" t="s">
        <v>103</v>
      </c>
      <c r="C1" s="37" t="s">
        <v>118</v>
      </c>
      <c r="D1" s="37" t="s">
        <v>119</v>
      </c>
      <c r="E1" s="68" t="s">
        <v>258</v>
      </c>
    </row>
    <row r="2" spans="1:5">
      <c r="A2" s="122">
        <v>1</v>
      </c>
      <c r="B2" s="123" t="s">
        <v>5977</v>
      </c>
      <c r="C2" s="37">
        <v>522030</v>
      </c>
      <c r="D2" s="37">
        <v>16</v>
      </c>
      <c r="E2" s="29" t="str">
        <f t="shared" ref="E2:E11" si="0">"FCU"&amp;":"&amp;B2&amp;"("&amp;C2&amp;","&amp;D2&amp;")"</f>
        <v>FCU:DCDC 电容端过压(522030,16)</v>
      </c>
    </row>
    <row r="3" spans="1:5">
      <c r="A3" s="122">
        <v>2</v>
      </c>
      <c r="B3" s="123" t="s">
        <v>5980</v>
      </c>
      <c r="C3" s="37">
        <v>522030</v>
      </c>
      <c r="D3" s="37">
        <v>18</v>
      </c>
      <c r="E3" s="29" t="str">
        <f t="shared" si="0"/>
        <v>FCU:DCDC 电容端欠压(522030,18)</v>
      </c>
    </row>
    <row r="4" spans="1:5">
      <c r="A4" s="122">
        <v>3</v>
      </c>
      <c r="B4" s="123" t="s">
        <v>5983</v>
      </c>
      <c r="C4" s="37">
        <v>522031</v>
      </c>
      <c r="D4" s="37">
        <v>16</v>
      </c>
      <c r="E4" s="29" t="str">
        <f t="shared" si="0"/>
        <v>FCU:DCDC 电容端过流(522031,16)</v>
      </c>
    </row>
    <row r="5" spans="1:5">
      <c r="A5" s="122">
        <v>4</v>
      </c>
      <c r="B5" s="123" t="s">
        <v>5986</v>
      </c>
      <c r="C5" s="37">
        <v>522032</v>
      </c>
      <c r="D5" s="37">
        <v>16</v>
      </c>
      <c r="E5" s="29" t="str">
        <f t="shared" si="0"/>
        <v>FCU:DCDC 电池端过压(522032,16)</v>
      </c>
    </row>
    <row r="6" spans="1:5">
      <c r="A6" s="122">
        <v>5</v>
      </c>
      <c r="B6" s="123" t="s">
        <v>5989</v>
      </c>
      <c r="C6" s="37">
        <v>522032</v>
      </c>
      <c r="D6" s="37">
        <v>18</v>
      </c>
      <c r="E6" s="29" t="str">
        <f t="shared" si="0"/>
        <v>FCU:DCDC 电池端欠压(522032,18)</v>
      </c>
    </row>
    <row r="7" spans="1:5">
      <c r="A7" s="122">
        <v>6</v>
      </c>
      <c r="B7" s="123" t="s">
        <v>5992</v>
      </c>
      <c r="C7" s="37">
        <v>522033</v>
      </c>
      <c r="D7" s="37">
        <v>16</v>
      </c>
      <c r="E7" s="29" t="str">
        <f t="shared" si="0"/>
        <v>FCU:DCDC 电池端过流(522033,16)</v>
      </c>
    </row>
    <row r="8" spans="1:5">
      <c r="A8" s="122">
        <v>7</v>
      </c>
      <c r="B8" s="123" t="s">
        <v>6003</v>
      </c>
      <c r="C8" s="37">
        <v>522034</v>
      </c>
      <c r="D8" s="37">
        <v>16</v>
      </c>
      <c r="E8" s="29" t="str">
        <f t="shared" si="0"/>
        <v>FCU:DCDC 过热(522034,16)</v>
      </c>
    </row>
    <row r="9" spans="1:5">
      <c r="A9" s="122">
        <v>8</v>
      </c>
      <c r="B9" s="123" t="s">
        <v>6004</v>
      </c>
      <c r="C9" s="37">
        <v>522035</v>
      </c>
      <c r="D9" s="37">
        <v>4</v>
      </c>
      <c r="E9" s="29" t="str">
        <f t="shared" si="0"/>
        <v>FCU:DCDC 短路保护(522035,4)</v>
      </c>
    </row>
    <row r="10" spans="1:5">
      <c r="A10" s="122">
        <v>9</v>
      </c>
      <c r="B10" s="123" t="s">
        <v>6005</v>
      </c>
      <c r="C10" s="37">
        <v>2853</v>
      </c>
      <c r="D10" s="37">
        <v>19</v>
      </c>
      <c r="E10" s="29" t="str">
        <f t="shared" si="0"/>
        <v>FCU:DCDC 通信丢失故障(2853,19)</v>
      </c>
    </row>
    <row r="11" spans="1:6">
      <c r="A11" s="124">
        <v>10</v>
      </c>
      <c r="B11" s="125" t="s">
        <v>5977</v>
      </c>
      <c r="C11" s="126">
        <v>522030</v>
      </c>
      <c r="D11" s="126">
        <v>0</v>
      </c>
      <c r="E11" s="127" t="str">
        <f t="shared" si="0"/>
        <v>FCU:DCDC 电容端过压(522030,0)</v>
      </c>
      <c r="F11" t="s">
        <v>5954</v>
      </c>
    </row>
    <row r="12" spans="1:6">
      <c r="A12" s="124">
        <v>11</v>
      </c>
      <c r="B12" s="125" t="s">
        <v>5980</v>
      </c>
      <c r="C12" s="126">
        <v>522030</v>
      </c>
      <c r="D12" s="126">
        <v>1</v>
      </c>
      <c r="E12" s="127" t="str">
        <f t="shared" ref="E12:E18" si="1">"FCU"&amp;":"&amp;B12&amp;"("&amp;C12&amp;","&amp;D12&amp;")"</f>
        <v>FCU:DCDC 电容端欠压(522030,1)</v>
      </c>
      <c r="F12" t="s">
        <v>5954</v>
      </c>
    </row>
    <row r="13" spans="1:6">
      <c r="A13" s="124">
        <v>12</v>
      </c>
      <c r="B13" s="125" t="s">
        <v>5983</v>
      </c>
      <c r="C13" s="126">
        <v>522031</v>
      </c>
      <c r="D13" s="126">
        <v>0</v>
      </c>
      <c r="E13" s="127" t="str">
        <f t="shared" si="1"/>
        <v>FCU:DCDC 电容端过流(522031,0)</v>
      </c>
      <c r="F13" t="s">
        <v>5954</v>
      </c>
    </row>
    <row r="14" spans="1:6">
      <c r="A14" s="124">
        <v>13</v>
      </c>
      <c r="B14" s="125" t="s">
        <v>5986</v>
      </c>
      <c r="C14" s="126">
        <v>522032</v>
      </c>
      <c r="D14" s="126">
        <v>0</v>
      </c>
      <c r="E14" s="127" t="str">
        <f t="shared" si="1"/>
        <v>FCU:DCDC 电池端过压(522032,0)</v>
      </c>
      <c r="F14" t="s">
        <v>5954</v>
      </c>
    </row>
    <row r="15" spans="1:6">
      <c r="A15" s="124">
        <v>14</v>
      </c>
      <c r="B15" s="125" t="s">
        <v>5989</v>
      </c>
      <c r="C15" s="126">
        <v>522032</v>
      </c>
      <c r="D15" s="126">
        <v>1</v>
      </c>
      <c r="E15" s="127" t="str">
        <f t="shared" si="1"/>
        <v>FCU:DCDC 电池端欠压(522032,1)</v>
      </c>
      <c r="F15" t="s">
        <v>5954</v>
      </c>
    </row>
    <row r="16" spans="1:6">
      <c r="A16" s="124">
        <v>15</v>
      </c>
      <c r="B16" s="125" t="s">
        <v>5992</v>
      </c>
      <c r="C16" s="126">
        <v>522033</v>
      </c>
      <c r="D16" s="126">
        <v>0</v>
      </c>
      <c r="E16" s="127" t="str">
        <f t="shared" si="1"/>
        <v>FCU:DCDC 电池端过流(522033,0)</v>
      </c>
      <c r="F16" t="s">
        <v>5954</v>
      </c>
    </row>
    <row r="17" spans="1:6">
      <c r="A17" s="124">
        <v>16</v>
      </c>
      <c r="B17" s="125" t="s">
        <v>6003</v>
      </c>
      <c r="C17" s="126">
        <v>522034</v>
      </c>
      <c r="D17" s="126">
        <v>0</v>
      </c>
      <c r="E17" s="127" t="str">
        <f t="shared" si="1"/>
        <v>FCU:DCDC 过热(522034,0)</v>
      </c>
      <c r="F17" t="s">
        <v>5954</v>
      </c>
    </row>
    <row r="18" spans="1:6">
      <c r="A18" s="124">
        <v>17</v>
      </c>
      <c r="B18" s="125" t="s">
        <v>6005</v>
      </c>
      <c r="C18" s="126">
        <v>2853</v>
      </c>
      <c r="D18" s="126">
        <v>12</v>
      </c>
      <c r="E18" s="127" t="str">
        <f t="shared" si="1"/>
        <v>FCU:DCDC 通信丢失故障(2853,12)</v>
      </c>
      <c r="F18" t="s">
        <v>5954</v>
      </c>
    </row>
  </sheetData>
  <pageMargins left="0.7" right="0.7" top="0.75" bottom="0.75" header="0.3" footer="0.3"/>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7"/>
  <sheetViews>
    <sheetView zoomScale="115" zoomScaleNormal="115" topLeftCell="A13" workbookViewId="0">
      <selection activeCell="D20" sqref="D20"/>
    </sheetView>
  </sheetViews>
  <sheetFormatPr defaultColWidth="9" defaultRowHeight="13.5"/>
  <cols>
    <col min="4" max="4" width="36.875" customWidth="1"/>
    <col min="5" max="6" width="9.5" customWidth="1"/>
    <col min="7" max="7" width="51.25" customWidth="1"/>
    <col min="8" max="8" width="28.125" customWidth="1"/>
    <col min="9" max="9" width="28.375" customWidth="1"/>
  </cols>
  <sheetData>
    <row r="2" spans="1:7">
      <c r="A2" s="38" t="s">
        <v>101</v>
      </c>
      <c r="B2" s="38" t="s">
        <v>116</v>
      </c>
      <c r="C2" s="38" t="s">
        <v>117</v>
      </c>
      <c r="D2" s="37" t="s">
        <v>103</v>
      </c>
      <c r="E2" s="37" t="s">
        <v>118</v>
      </c>
      <c r="F2" s="37" t="s">
        <v>119</v>
      </c>
      <c r="G2" s="68" t="s">
        <v>258</v>
      </c>
    </row>
    <row r="3" spans="1:8">
      <c r="A3" s="96">
        <v>1</v>
      </c>
      <c r="B3" s="97" t="s">
        <v>133</v>
      </c>
      <c r="C3" s="98" t="s">
        <v>259</v>
      </c>
      <c r="D3" s="99" t="s">
        <v>6006</v>
      </c>
      <c r="E3" s="100">
        <v>522040</v>
      </c>
      <c r="F3" s="100">
        <v>0</v>
      </c>
      <c r="G3" s="5" t="s">
        <v>6007</v>
      </c>
      <c r="H3" s="101"/>
    </row>
    <row r="4" spans="1:8">
      <c r="A4" s="96">
        <v>2</v>
      </c>
      <c r="B4" s="102" t="s">
        <v>122</v>
      </c>
      <c r="C4" s="98"/>
      <c r="D4" s="99" t="s">
        <v>6008</v>
      </c>
      <c r="E4" s="100">
        <v>522040</v>
      </c>
      <c r="F4" s="100">
        <v>16</v>
      </c>
      <c r="G4" s="5" t="s">
        <v>6009</v>
      </c>
      <c r="H4" s="101"/>
    </row>
    <row r="5" spans="1:8">
      <c r="A5" s="103">
        <v>3</v>
      </c>
      <c r="B5" s="104" t="s">
        <v>133</v>
      </c>
      <c r="C5" s="105"/>
      <c r="D5" s="106" t="s">
        <v>6010</v>
      </c>
      <c r="E5" s="107">
        <v>522041</v>
      </c>
      <c r="F5" s="107">
        <v>1</v>
      </c>
      <c r="G5" s="108" t="s">
        <v>6011</v>
      </c>
      <c r="H5" s="109" t="s">
        <v>586</v>
      </c>
    </row>
    <row r="6" ht="36" spans="1:8">
      <c r="A6" s="96">
        <v>4</v>
      </c>
      <c r="B6" s="97" t="s">
        <v>239</v>
      </c>
      <c r="C6" s="110" t="s">
        <v>6012</v>
      </c>
      <c r="D6" s="111" t="s">
        <v>6013</v>
      </c>
      <c r="E6" s="69">
        <v>522041</v>
      </c>
      <c r="F6" s="69">
        <v>18</v>
      </c>
      <c r="G6" s="111" t="s">
        <v>6014</v>
      </c>
      <c r="H6" s="101"/>
    </row>
    <row r="7" spans="1:8">
      <c r="A7" s="96">
        <v>5</v>
      </c>
      <c r="B7" s="102" t="s">
        <v>122</v>
      </c>
      <c r="C7" s="98"/>
      <c r="D7" s="99" t="s">
        <v>6015</v>
      </c>
      <c r="E7" s="100">
        <v>522042</v>
      </c>
      <c r="F7" s="100">
        <v>16</v>
      </c>
      <c r="G7" s="5" t="s">
        <v>6016</v>
      </c>
      <c r="H7" s="101"/>
    </row>
    <row r="8" spans="1:8">
      <c r="A8" s="96">
        <v>6</v>
      </c>
      <c r="B8" s="97" t="s">
        <v>133</v>
      </c>
      <c r="C8" s="98" t="s">
        <v>259</v>
      </c>
      <c r="D8" s="99" t="s">
        <v>6017</v>
      </c>
      <c r="E8" s="100">
        <v>522042</v>
      </c>
      <c r="F8" s="100">
        <v>0</v>
      </c>
      <c r="G8" s="5" t="s">
        <v>6018</v>
      </c>
      <c r="H8" s="101"/>
    </row>
    <row r="9" spans="1:8">
      <c r="A9" s="96">
        <v>7</v>
      </c>
      <c r="B9" s="102" t="s">
        <v>122</v>
      </c>
      <c r="C9" s="98"/>
      <c r="D9" s="99" t="s">
        <v>6019</v>
      </c>
      <c r="E9" s="100">
        <v>522043</v>
      </c>
      <c r="F9" s="100">
        <v>18</v>
      </c>
      <c r="G9" s="5" t="s">
        <v>6020</v>
      </c>
      <c r="H9" s="101"/>
    </row>
    <row r="10" spans="1:8">
      <c r="A10" s="96">
        <v>8</v>
      </c>
      <c r="B10" s="97" t="s">
        <v>133</v>
      </c>
      <c r="C10" s="98" t="s">
        <v>259</v>
      </c>
      <c r="D10" s="99" t="s">
        <v>6021</v>
      </c>
      <c r="E10" s="100">
        <v>522043</v>
      </c>
      <c r="F10" s="100">
        <v>1</v>
      </c>
      <c r="G10" s="5" t="s">
        <v>6022</v>
      </c>
      <c r="H10" s="101"/>
    </row>
    <row r="11" spans="1:8">
      <c r="A11" s="96">
        <v>9</v>
      </c>
      <c r="B11" s="97" t="s">
        <v>133</v>
      </c>
      <c r="C11" s="98" t="s">
        <v>259</v>
      </c>
      <c r="D11" s="99" t="s">
        <v>6023</v>
      </c>
      <c r="E11" s="100">
        <v>522044</v>
      </c>
      <c r="F11" s="100">
        <v>0</v>
      </c>
      <c r="G11" s="5" t="s">
        <v>6024</v>
      </c>
      <c r="H11" s="101"/>
    </row>
    <row r="12" spans="1:8">
      <c r="A12" s="96">
        <v>10</v>
      </c>
      <c r="B12" s="102" t="s">
        <v>122</v>
      </c>
      <c r="C12" s="98"/>
      <c r="D12" s="99" t="s">
        <v>6025</v>
      </c>
      <c r="E12" s="100">
        <v>522044</v>
      </c>
      <c r="F12" s="100">
        <v>16</v>
      </c>
      <c r="G12" s="5" t="s">
        <v>6026</v>
      </c>
      <c r="H12" s="101"/>
    </row>
    <row r="13" spans="1:8">
      <c r="A13" s="96">
        <v>11</v>
      </c>
      <c r="B13" s="97" t="s">
        <v>133</v>
      </c>
      <c r="C13" s="98" t="s">
        <v>827</v>
      </c>
      <c r="D13" s="99" t="s">
        <v>6027</v>
      </c>
      <c r="E13" s="100">
        <v>522045</v>
      </c>
      <c r="F13" s="100">
        <v>16</v>
      </c>
      <c r="G13" s="5" t="s">
        <v>6028</v>
      </c>
      <c r="H13" s="101"/>
    </row>
    <row r="14" spans="1:9">
      <c r="A14" s="112">
        <v>12</v>
      </c>
      <c r="B14" s="113" t="s">
        <v>133</v>
      </c>
      <c r="C14" s="114" t="s">
        <v>827</v>
      </c>
      <c r="D14" s="115" t="s">
        <v>6029</v>
      </c>
      <c r="E14" s="116">
        <v>522045</v>
      </c>
      <c r="F14" s="116">
        <v>15</v>
      </c>
      <c r="G14" s="117" t="s">
        <v>6030</v>
      </c>
      <c r="H14" t="s">
        <v>6031</v>
      </c>
      <c r="I14" t="s">
        <v>6032</v>
      </c>
    </row>
    <row r="15" spans="1:7">
      <c r="A15" s="96">
        <v>13</v>
      </c>
      <c r="B15" s="97" t="s">
        <v>133</v>
      </c>
      <c r="C15" s="98" t="s">
        <v>827</v>
      </c>
      <c r="D15" s="99" t="s">
        <v>6033</v>
      </c>
      <c r="E15" s="100">
        <v>522046</v>
      </c>
      <c r="F15" s="100">
        <v>11</v>
      </c>
      <c r="G15" s="5" t="str">
        <f t="shared" ref="G15:G36" si="0">"HMS"&amp;":"&amp;D15&amp;"("&amp;E15&amp;","&amp;F15&amp;")"</f>
        <v>HMS:氢泄露传感器1故障数据异常(522046,11)</v>
      </c>
    </row>
    <row r="16" spans="1:7">
      <c r="A16" s="96">
        <v>14</v>
      </c>
      <c r="B16" s="97" t="s">
        <v>133</v>
      </c>
      <c r="C16" s="98" t="s">
        <v>827</v>
      </c>
      <c r="D16" s="99" t="s">
        <v>6034</v>
      </c>
      <c r="E16" s="100">
        <v>522047</v>
      </c>
      <c r="F16" s="100">
        <v>11</v>
      </c>
      <c r="G16" s="5" t="str">
        <f t="shared" si="0"/>
        <v>HMS:氢泄露传感器2故障数据异常(522047,11)</v>
      </c>
    </row>
    <row r="17" spans="1:7">
      <c r="A17" s="96">
        <v>15</v>
      </c>
      <c r="B17" s="97" t="s">
        <v>133</v>
      </c>
      <c r="C17" s="98" t="s">
        <v>827</v>
      </c>
      <c r="D17" s="99" t="s">
        <v>6035</v>
      </c>
      <c r="E17" s="100">
        <v>522048</v>
      </c>
      <c r="F17" s="100">
        <v>11</v>
      </c>
      <c r="G17" s="5" t="str">
        <f t="shared" si="0"/>
        <v>HMS:氢泄露传感器3故障数据异常(522048,11)</v>
      </c>
    </row>
    <row r="18" spans="1:7">
      <c r="A18" s="96">
        <v>16</v>
      </c>
      <c r="B18" s="97" t="s">
        <v>133</v>
      </c>
      <c r="C18" s="98" t="s">
        <v>827</v>
      </c>
      <c r="D18" s="99" t="s">
        <v>6036</v>
      </c>
      <c r="E18" s="100">
        <v>522049</v>
      </c>
      <c r="F18" s="100">
        <v>11</v>
      </c>
      <c r="G18" s="5" t="str">
        <f t="shared" si="0"/>
        <v>HMS:氢泄露传感器4故障数据异常(522049,11)</v>
      </c>
    </row>
    <row r="19" spans="1:7">
      <c r="A19" s="96">
        <v>17</v>
      </c>
      <c r="B19" s="97" t="s">
        <v>133</v>
      </c>
      <c r="C19" s="98" t="s">
        <v>827</v>
      </c>
      <c r="D19" s="99" t="s">
        <v>6037</v>
      </c>
      <c r="E19" s="100">
        <v>522050</v>
      </c>
      <c r="F19" s="100">
        <v>11</v>
      </c>
      <c r="G19" s="5" t="str">
        <f t="shared" si="0"/>
        <v>HMS:氢泄露传感器5故障数据异常(522050,11)</v>
      </c>
    </row>
    <row r="20" spans="1:7">
      <c r="A20" s="96">
        <v>18</v>
      </c>
      <c r="B20" s="97" t="s">
        <v>133</v>
      </c>
      <c r="C20" s="98" t="s">
        <v>827</v>
      </c>
      <c r="D20" s="99" t="s">
        <v>6038</v>
      </c>
      <c r="E20" s="100">
        <v>2853</v>
      </c>
      <c r="F20" s="100">
        <v>19</v>
      </c>
      <c r="G20" s="5" t="str">
        <f t="shared" si="0"/>
        <v>HMS:通讯故障，收不到控制报文60s后关闭(2853,19)</v>
      </c>
    </row>
    <row r="21" spans="1:7">
      <c r="A21" s="96">
        <v>19</v>
      </c>
      <c r="B21" s="97" t="s">
        <v>133</v>
      </c>
      <c r="C21" s="98" t="s">
        <v>827</v>
      </c>
      <c r="D21" s="99" t="s">
        <v>6039</v>
      </c>
      <c r="E21" s="100">
        <v>522051</v>
      </c>
      <c r="F21" s="100">
        <v>11</v>
      </c>
      <c r="G21" s="5" t="str">
        <f t="shared" si="0"/>
        <v>HMS:温度传感器1故障 数据异常(522051,11)</v>
      </c>
    </row>
    <row r="22" spans="1:7">
      <c r="A22" s="96">
        <v>20</v>
      </c>
      <c r="B22" s="97" t="s">
        <v>133</v>
      </c>
      <c r="C22" s="98" t="s">
        <v>827</v>
      </c>
      <c r="D22" s="99" t="s">
        <v>6040</v>
      </c>
      <c r="E22" s="100">
        <v>522052</v>
      </c>
      <c r="F22" s="100">
        <v>11</v>
      </c>
      <c r="G22" s="5" t="str">
        <f t="shared" si="0"/>
        <v>HMS:温度传感器2故障 数据异常(522052,11)</v>
      </c>
    </row>
    <row r="23" spans="1:7">
      <c r="A23" s="96">
        <v>21</v>
      </c>
      <c r="B23" s="97" t="s">
        <v>133</v>
      </c>
      <c r="C23" s="98" t="s">
        <v>827</v>
      </c>
      <c r="D23" s="99" t="s">
        <v>6041</v>
      </c>
      <c r="E23" s="100">
        <v>522053</v>
      </c>
      <c r="F23" s="100">
        <v>11</v>
      </c>
      <c r="G23" s="5" t="str">
        <f t="shared" si="0"/>
        <v>HMS:温度传感器3故障 数据异常(522053,11)</v>
      </c>
    </row>
    <row r="24" spans="1:7">
      <c r="A24" s="96">
        <v>22</v>
      </c>
      <c r="B24" s="97" t="s">
        <v>133</v>
      </c>
      <c r="C24" s="98" t="s">
        <v>827</v>
      </c>
      <c r="D24" s="99" t="s">
        <v>6042</v>
      </c>
      <c r="E24" s="100">
        <v>522054</v>
      </c>
      <c r="F24" s="100">
        <v>11</v>
      </c>
      <c r="G24" s="5" t="str">
        <f t="shared" si="0"/>
        <v>HMS:温度传感器4故障 数据异常(522054,11)</v>
      </c>
    </row>
    <row r="25" spans="1:7">
      <c r="A25" s="96">
        <v>23</v>
      </c>
      <c r="B25" s="97" t="s">
        <v>133</v>
      </c>
      <c r="C25" s="98" t="s">
        <v>827</v>
      </c>
      <c r="D25" s="99" t="s">
        <v>6043</v>
      </c>
      <c r="E25" s="100">
        <v>522055</v>
      </c>
      <c r="F25" s="100">
        <v>11</v>
      </c>
      <c r="G25" s="5" t="str">
        <f t="shared" si="0"/>
        <v>HMS:温度传感器5故障 数据异常(522055,11)</v>
      </c>
    </row>
    <row r="26" spans="1:7">
      <c r="A26" s="96">
        <v>24</v>
      </c>
      <c r="B26" s="97" t="s">
        <v>133</v>
      </c>
      <c r="C26" s="98" t="s">
        <v>827</v>
      </c>
      <c r="D26" s="99" t="s">
        <v>6044</v>
      </c>
      <c r="E26" s="100">
        <v>522056</v>
      </c>
      <c r="F26" s="100">
        <v>11</v>
      </c>
      <c r="G26" s="5" t="str">
        <f t="shared" si="0"/>
        <v>HMS:温度传感器6故障 数据异常(522056,11)</v>
      </c>
    </row>
    <row r="27" spans="1:7">
      <c r="A27" s="96">
        <v>25</v>
      </c>
      <c r="B27" s="97" t="s">
        <v>133</v>
      </c>
      <c r="C27" s="98" t="s">
        <v>827</v>
      </c>
      <c r="D27" s="99" t="s">
        <v>6045</v>
      </c>
      <c r="E27" s="100">
        <v>522057</v>
      </c>
      <c r="F27" s="100">
        <v>11</v>
      </c>
      <c r="G27" s="5" t="str">
        <f t="shared" si="0"/>
        <v>HMS:温度传感器7故障 数据异常(522057,11)</v>
      </c>
    </row>
    <row r="28" spans="1:7">
      <c r="A28" s="96">
        <v>26</v>
      </c>
      <c r="B28" s="97" t="s">
        <v>133</v>
      </c>
      <c r="C28" s="98" t="s">
        <v>827</v>
      </c>
      <c r="D28" s="99" t="s">
        <v>6046</v>
      </c>
      <c r="E28" s="100">
        <v>522058</v>
      </c>
      <c r="F28" s="100">
        <v>11</v>
      </c>
      <c r="G28" s="5" t="str">
        <f t="shared" si="0"/>
        <v>HMS:温度传感器8故障 数据异常(522058,11)</v>
      </c>
    </row>
    <row r="29" spans="1:7">
      <c r="A29" s="96">
        <v>27</v>
      </c>
      <c r="B29" s="97" t="s">
        <v>133</v>
      </c>
      <c r="C29" s="98" t="s">
        <v>827</v>
      </c>
      <c r="D29" s="99" t="s">
        <v>6047</v>
      </c>
      <c r="E29" s="100">
        <v>522059</v>
      </c>
      <c r="F29" s="100">
        <v>11</v>
      </c>
      <c r="G29" s="5" t="str">
        <f t="shared" si="0"/>
        <v>HMS:压力传感器1故障数据异常(522059,11)</v>
      </c>
    </row>
    <row r="30" spans="1:7">
      <c r="A30" s="96">
        <v>28</v>
      </c>
      <c r="B30" s="97" t="s">
        <v>133</v>
      </c>
      <c r="C30" s="98" t="s">
        <v>827</v>
      </c>
      <c r="D30" s="99" t="s">
        <v>6048</v>
      </c>
      <c r="E30" s="100">
        <v>522060</v>
      </c>
      <c r="F30" s="100">
        <v>11</v>
      </c>
      <c r="G30" s="5" t="str">
        <f t="shared" si="0"/>
        <v>HMS:压力传感器2故障数据异常(522060,11)</v>
      </c>
    </row>
    <row r="31" spans="1:7">
      <c r="A31" s="96">
        <v>29</v>
      </c>
      <c r="B31" s="97" t="s">
        <v>133</v>
      </c>
      <c r="C31" s="98" t="s">
        <v>827</v>
      </c>
      <c r="D31" s="99" t="s">
        <v>6049</v>
      </c>
      <c r="E31" s="100">
        <v>522061</v>
      </c>
      <c r="F31" s="100">
        <v>11</v>
      </c>
      <c r="G31" s="5" t="str">
        <f t="shared" si="0"/>
        <v>HMS:压力传感器3故障数据异常(522061,11)</v>
      </c>
    </row>
    <row r="32" spans="1:8">
      <c r="A32" s="96">
        <v>30</v>
      </c>
      <c r="B32" s="97" t="s">
        <v>133</v>
      </c>
      <c r="C32" s="98" t="s">
        <v>259</v>
      </c>
      <c r="D32" s="118" t="s">
        <v>6050</v>
      </c>
      <c r="E32" s="100">
        <v>522044</v>
      </c>
      <c r="F32" s="100">
        <v>1</v>
      </c>
      <c r="G32" s="5" t="str">
        <f t="shared" si="0"/>
        <v>HMS:瓶温过低(522044,1)</v>
      </c>
      <c r="H32" t="s">
        <v>5954</v>
      </c>
    </row>
    <row r="33" spans="1:8">
      <c r="A33" s="96">
        <v>31</v>
      </c>
      <c r="B33" s="102" t="s">
        <v>122</v>
      </c>
      <c r="C33" s="98"/>
      <c r="D33" s="118" t="s">
        <v>6050</v>
      </c>
      <c r="E33" s="100">
        <v>522044</v>
      </c>
      <c r="F33" s="100">
        <v>18</v>
      </c>
      <c r="G33" s="5" t="str">
        <f t="shared" si="0"/>
        <v>HMS:瓶温过低(522044,18)</v>
      </c>
      <c r="H33" t="s">
        <v>5954</v>
      </c>
    </row>
    <row r="34" spans="1:8">
      <c r="A34" s="96">
        <v>32</v>
      </c>
      <c r="B34" s="119" t="s">
        <v>124</v>
      </c>
      <c r="C34" s="98" t="s">
        <v>259</v>
      </c>
      <c r="D34" s="99" t="s">
        <v>6051</v>
      </c>
      <c r="E34" s="100">
        <v>522045</v>
      </c>
      <c r="F34" s="100">
        <v>0</v>
      </c>
      <c r="G34" s="5" t="str">
        <f t="shared" si="0"/>
        <v>HMS:氢气泄露(522045,0)</v>
      </c>
      <c r="H34" t="s">
        <v>5954</v>
      </c>
    </row>
    <row r="35" spans="1:8">
      <c r="A35" s="96">
        <v>33</v>
      </c>
      <c r="B35" s="97" t="s">
        <v>133</v>
      </c>
      <c r="C35" s="98" t="s">
        <v>827</v>
      </c>
      <c r="D35" s="118" t="s">
        <v>6052</v>
      </c>
      <c r="E35" s="100">
        <v>522079</v>
      </c>
      <c r="F35" s="100">
        <v>19</v>
      </c>
      <c r="G35" s="5" t="str">
        <f t="shared" si="0"/>
        <v>HMS:车载供氢系统故障(522079,19)</v>
      </c>
      <c r="H35" t="s">
        <v>5954</v>
      </c>
    </row>
    <row r="36" spans="1:8">
      <c r="A36" s="96">
        <v>34</v>
      </c>
      <c r="B36" s="97" t="s">
        <v>133</v>
      </c>
      <c r="C36" s="98" t="s">
        <v>259</v>
      </c>
      <c r="D36" s="118" t="s">
        <v>6052</v>
      </c>
      <c r="E36" s="100">
        <v>522079</v>
      </c>
      <c r="F36" s="100">
        <v>12</v>
      </c>
      <c r="G36" s="5" t="str">
        <f t="shared" si="0"/>
        <v>HMS:车载供氢系统故障(522079,12)</v>
      </c>
      <c r="H36" t="s">
        <v>5954</v>
      </c>
    </row>
    <row r="37" spans="1:8">
      <c r="A37" s="38">
        <v>35</v>
      </c>
      <c r="B37" s="97" t="s">
        <v>133</v>
      </c>
      <c r="C37" s="38" t="s">
        <v>259</v>
      </c>
      <c r="D37" s="120" t="s">
        <v>6053</v>
      </c>
      <c r="E37" s="121">
        <v>2853</v>
      </c>
      <c r="F37" s="121">
        <v>12</v>
      </c>
      <c r="G37" s="29" t="str">
        <f t="shared" ref="G37" si="1">"HMS"&amp;":"&amp;D37&amp;"("&amp;E37&amp;","&amp;F37&amp;")"</f>
        <v>HMS:通讯故障(2853,12)</v>
      </c>
      <c r="H37" s="87" t="s">
        <v>329</v>
      </c>
    </row>
  </sheetData>
  <pageMargins left="0.7" right="0.7" top="0.75" bottom="0.75" header="0.3" footer="0.3"/>
  <pageSetup paperSize="9" orientation="portrait"/>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9"/>
  <sheetViews>
    <sheetView zoomScale="115" zoomScaleNormal="115" workbookViewId="0">
      <selection activeCell="E25" sqref="E25"/>
    </sheetView>
  </sheetViews>
  <sheetFormatPr defaultColWidth="9" defaultRowHeight="13.5"/>
  <cols>
    <col min="1" max="1" width="5.5" customWidth="1"/>
    <col min="2" max="3" width="8.5" customWidth="1"/>
    <col min="4" max="4" width="19.375" customWidth="1"/>
    <col min="5" max="5" width="9.25" customWidth="1"/>
    <col min="6" max="6" width="7.125" customWidth="1"/>
    <col min="7" max="7" width="9.5" customWidth="1"/>
    <col min="8" max="8" width="40.25" customWidth="1"/>
    <col min="9" max="9" width="13.125" customWidth="1"/>
  </cols>
  <sheetData>
    <row r="1" spans="1:8">
      <c r="A1" s="79" t="s">
        <v>6054</v>
      </c>
      <c r="B1" s="79"/>
      <c r="C1" s="79"/>
      <c r="D1" s="79"/>
      <c r="E1" s="79"/>
      <c r="F1" s="79"/>
      <c r="G1" s="79"/>
      <c r="H1" s="79"/>
    </row>
    <row r="2" ht="14.45" customHeight="1" spans="1:8">
      <c r="A2" s="80" t="s">
        <v>101</v>
      </c>
      <c r="B2" s="81" t="s">
        <v>116</v>
      </c>
      <c r="C2" s="81" t="s">
        <v>117</v>
      </c>
      <c r="D2" s="80" t="s">
        <v>103</v>
      </c>
      <c r="E2" s="80" t="s">
        <v>962</v>
      </c>
      <c r="F2" s="80" t="s">
        <v>105</v>
      </c>
      <c r="G2" s="80" t="s">
        <v>6055</v>
      </c>
      <c r="H2" s="80" t="s">
        <v>6056</v>
      </c>
    </row>
    <row r="3" spans="1:8">
      <c r="A3" s="80"/>
      <c r="B3" s="82"/>
      <c r="C3" s="82"/>
      <c r="D3" s="80"/>
      <c r="E3" s="80"/>
      <c r="F3" s="80" t="s">
        <v>6057</v>
      </c>
      <c r="G3" s="80"/>
      <c r="H3" s="80"/>
    </row>
    <row r="4" spans="1:8">
      <c r="A4" s="83">
        <v>1</v>
      </c>
      <c r="B4" s="84" t="s">
        <v>133</v>
      </c>
      <c r="C4" s="84" t="s">
        <v>134</v>
      </c>
      <c r="D4" s="85" t="s">
        <v>6058</v>
      </c>
      <c r="E4" s="86">
        <v>9691</v>
      </c>
      <c r="F4" s="86">
        <v>12</v>
      </c>
      <c r="G4" s="86" t="s">
        <v>134</v>
      </c>
      <c r="H4" s="87" t="s">
        <v>6059</v>
      </c>
    </row>
    <row r="5" spans="1:8">
      <c r="A5" s="83">
        <v>2</v>
      </c>
      <c r="B5" s="84" t="s">
        <v>133</v>
      </c>
      <c r="C5" s="84" t="s">
        <v>134</v>
      </c>
      <c r="D5" s="88" t="s">
        <v>6060</v>
      </c>
      <c r="E5" s="86">
        <v>12836</v>
      </c>
      <c r="F5" s="86">
        <v>12</v>
      </c>
      <c r="G5" s="86" t="s">
        <v>134</v>
      </c>
      <c r="H5" s="87" t="s">
        <v>6061</v>
      </c>
    </row>
    <row r="6" spans="1:8">
      <c r="A6" s="83">
        <v>3</v>
      </c>
      <c r="B6" s="84" t="s">
        <v>133</v>
      </c>
      <c r="C6" s="84" t="s">
        <v>134</v>
      </c>
      <c r="D6" s="88" t="s">
        <v>6062</v>
      </c>
      <c r="E6" s="86">
        <v>12837</v>
      </c>
      <c r="F6" s="86">
        <v>12</v>
      </c>
      <c r="G6" s="86" t="s">
        <v>134</v>
      </c>
      <c r="H6" s="87" t="s">
        <v>6063</v>
      </c>
    </row>
    <row r="7" spans="1:8">
      <c r="A7" s="83">
        <v>4</v>
      </c>
      <c r="B7" s="84" t="s">
        <v>133</v>
      </c>
      <c r="C7" s="84" t="s">
        <v>134</v>
      </c>
      <c r="D7" s="88" t="s">
        <v>6064</v>
      </c>
      <c r="E7" s="86">
        <v>12836</v>
      </c>
      <c r="F7" s="86">
        <v>5</v>
      </c>
      <c r="G7" s="86" t="s">
        <v>134</v>
      </c>
      <c r="H7" s="87" t="s">
        <v>6065</v>
      </c>
    </row>
    <row r="8" spans="1:8">
      <c r="A8" s="83">
        <v>5</v>
      </c>
      <c r="B8" s="84" t="s">
        <v>133</v>
      </c>
      <c r="C8" s="84" t="s">
        <v>134</v>
      </c>
      <c r="D8" s="88" t="s">
        <v>6066</v>
      </c>
      <c r="E8" s="86">
        <v>12837</v>
      </c>
      <c r="F8" s="86">
        <v>5</v>
      </c>
      <c r="G8" s="86" t="s">
        <v>134</v>
      </c>
      <c r="H8" s="87" t="s">
        <v>6067</v>
      </c>
    </row>
    <row r="9" spans="1:9">
      <c r="A9" s="89">
        <v>6</v>
      </c>
      <c r="B9" s="84" t="s">
        <v>133</v>
      </c>
      <c r="C9" s="84" t="s">
        <v>134</v>
      </c>
      <c r="D9" s="90" t="s">
        <v>6068</v>
      </c>
      <c r="E9" s="8">
        <v>639</v>
      </c>
      <c r="F9" s="8">
        <v>23</v>
      </c>
      <c r="G9" s="91" t="s">
        <v>134</v>
      </c>
      <c r="H9" s="9" t="s">
        <v>6069</v>
      </c>
      <c r="I9" t="s">
        <v>264</v>
      </c>
    </row>
    <row r="11" spans="1:8">
      <c r="A11" s="79" t="s">
        <v>6070</v>
      </c>
      <c r="B11" s="79"/>
      <c r="C11" s="79"/>
      <c r="D11" s="79"/>
      <c r="E11" s="79"/>
      <c r="F11" s="79"/>
      <c r="G11" s="79"/>
      <c r="H11" s="79"/>
    </row>
    <row r="12" spans="1:8">
      <c r="A12" s="80" t="s">
        <v>101</v>
      </c>
      <c r="B12" s="81" t="s">
        <v>116</v>
      </c>
      <c r="C12" s="81" t="s">
        <v>117</v>
      </c>
      <c r="D12" s="80" t="s">
        <v>103</v>
      </c>
      <c r="E12" s="80" t="s">
        <v>962</v>
      </c>
      <c r="F12" s="80" t="s">
        <v>105</v>
      </c>
      <c r="G12" s="80" t="s">
        <v>6055</v>
      </c>
      <c r="H12" s="80" t="s">
        <v>6056</v>
      </c>
    </row>
    <row r="13" spans="1:8">
      <c r="A13" s="80"/>
      <c r="B13" s="82"/>
      <c r="C13" s="82"/>
      <c r="D13" s="80"/>
      <c r="E13" s="80"/>
      <c r="F13" s="80" t="s">
        <v>6057</v>
      </c>
      <c r="G13" s="80"/>
      <c r="H13" s="80"/>
    </row>
    <row r="14" spans="1:9">
      <c r="A14" s="92">
        <v>1</v>
      </c>
      <c r="B14" s="84" t="s">
        <v>133</v>
      </c>
      <c r="C14" s="84" t="s">
        <v>134</v>
      </c>
      <c r="D14" s="93" t="s">
        <v>6058</v>
      </c>
      <c r="E14" s="91">
        <v>9691</v>
      </c>
      <c r="F14" s="91">
        <v>12</v>
      </c>
      <c r="G14" s="91" t="s">
        <v>134</v>
      </c>
      <c r="H14" s="94" t="s">
        <v>6059</v>
      </c>
      <c r="I14" t="s">
        <v>264</v>
      </c>
    </row>
    <row r="15" spans="1:9">
      <c r="A15" s="92">
        <v>2</v>
      </c>
      <c r="B15" s="84" t="s">
        <v>133</v>
      </c>
      <c r="C15" s="84" t="s">
        <v>134</v>
      </c>
      <c r="D15" s="95" t="s">
        <v>6060</v>
      </c>
      <c r="E15" s="91">
        <v>12836</v>
      </c>
      <c r="F15" s="91">
        <v>12</v>
      </c>
      <c r="G15" s="91" t="s">
        <v>134</v>
      </c>
      <c r="H15" s="94" t="s">
        <v>6061</v>
      </c>
      <c r="I15" t="s">
        <v>264</v>
      </c>
    </row>
    <row r="16" spans="1:9">
      <c r="A16" s="92">
        <v>3</v>
      </c>
      <c r="B16" s="84" t="s">
        <v>133</v>
      </c>
      <c r="C16" s="84" t="s">
        <v>134</v>
      </c>
      <c r="D16" s="95" t="s">
        <v>6062</v>
      </c>
      <c r="E16" s="91">
        <v>12837</v>
      </c>
      <c r="F16" s="91">
        <v>12</v>
      </c>
      <c r="G16" s="91" t="s">
        <v>134</v>
      </c>
      <c r="H16" s="94" t="s">
        <v>6063</v>
      </c>
      <c r="I16" t="s">
        <v>264</v>
      </c>
    </row>
    <row r="17" spans="1:9">
      <c r="A17" s="92">
        <v>4</v>
      </c>
      <c r="B17" s="84" t="s">
        <v>133</v>
      </c>
      <c r="C17" s="84" t="s">
        <v>134</v>
      </c>
      <c r="D17" s="95" t="s">
        <v>6064</v>
      </c>
      <c r="E17" s="91">
        <v>12836</v>
      </c>
      <c r="F17" s="91">
        <v>5</v>
      </c>
      <c r="G17" s="91" t="s">
        <v>134</v>
      </c>
      <c r="H17" s="94" t="s">
        <v>6065</v>
      </c>
      <c r="I17" t="s">
        <v>264</v>
      </c>
    </row>
    <row r="18" spans="1:9">
      <c r="A18" s="92">
        <v>5</v>
      </c>
      <c r="B18" s="84" t="s">
        <v>133</v>
      </c>
      <c r="C18" s="84" t="s">
        <v>134</v>
      </c>
      <c r="D18" s="95" t="s">
        <v>6066</v>
      </c>
      <c r="E18" s="91">
        <v>12837</v>
      </c>
      <c r="F18" s="91">
        <v>5</v>
      </c>
      <c r="G18" s="91" t="s">
        <v>134</v>
      </c>
      <c r="H18" s="94" t="s">
        <v>6067</v>
      </c>
      <c r="I18" t="s">
        <v>264</v>
      </c>
    </row>
    <row r="19" spans="1:9">
      <c r="A19" s="89">
        <v>6</v>
      </c>
      <c r="B19" s="84" t="s">
        <v>133</v>
      </c>
      <c r="C19" s="84" t="s">
        <v>134</v>
      </c>
      <c r="D19" s="90" t="s">
        <v>6068</v>
      </c>
      <c r="E19" s="8">
        <v>639</v>
      </c>
      <c r="F19" s="8">
        <v>23</v>
      </c>
      <c r="G19" s="91" t="s">
        <v>134</v>
      </c>
      <c r="H19" s="9" t="s">
        <v>6069</v>
      </c>
      <c r="I19" t="s">
        <v>264</v>
      </c>
    </row>
  </sheetData>
  <mergeCells count="16">
    <mergeCell ref="A1:H1"/>
    <mergeCell ref="A11:H11"/>
    <mergeCell ref="A2:A3"/>
    <mergeCell ref="A12:A13"/>
    <mergeCell ref="B2:B3"/>
    <mergeCell ref="B12:B13"/>
    <mergeCell ref="C2:C3"/>
    <mergeCell ref="C12:C13"/>
    <mergeCell ref="D2:D3"/>
    <mergeCell ref="D12:D13"/>
    <mergeCell ref="E2:E3"/>
    <mergeCell ref="E12:E13"/>
    <mergeCell ref="G2:G3"/>
    <mergeCell ref="G12:G13"/>
    <mergeCell ref="H2:H3"/>
    <mergeCell ref="H12:H13"/>
  </mergeCells>
  <pageMargins left="0.7" right="0.7" top="0.75" bottom="0.75" header="0.3" footer="0.3"/>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
  <sheetViews>
    <sheetView zoomScale="85" zoomScaleNormal="85" workbookViewId="0">
      <selection activeCell="B1" sqref="B1"/>
    </sheetView>
  </sheetViews>
  <sheetFormatPr defaultColWidth="9" defaultRowHeight="13.5" outlineLevelCol="1"/>
  <cols>
    <col min="1" max="1" width="5.25" customWidth="1"/>
    <col min="2" max="2" width="46.75" style="20" customWidth="1"/>
    <col min="3" max="4" width="9.5" customWidth="1"/>
    <col min="5" max="5" width="74.125" customWidth="1"/>
    <col min="6" max="6" width="11.5" customWidth="1"/>
    <col min="7" max="7" width="9.375" customWidth="1"/>
  </cols>
  <sheetData>
    <row r="1" ht="27" spans="2:2">
      <c r="B1" s="20" t="s">
        <v>6071</v>
      </c>
    </row>
  </sheetData>
  <pageMargins left="0.7" right="0.7" top="0.75" bottom="0.75" header="0.3" footer="0.3"/>
  <pageSetup paperSize="9" orientation="portrait"/>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L16" sqref="L16"/>
    </sheetView>
  </sheetViews>
  <sheetFormatPr defaultColWidth="9" defaultRowHeight="13.5" outlineLevelCol="5"/>
  <cols>
    <col min="1" max="1" width="7.5" customWidth="1"/>
    <col min="5" max="5" width="13.375" customWidth="1"/>
    <col min="6" max="6" width="36.5" customWidth="1"/>
  </cols>
  <sheetData>
    <row r="1" spans="1:6">
      <c r="A1" s="72" t="s">
        <v>101</v>
      </c>
      <c r="B1" s="73" t="s">
        <v>6072</v>
      </c>
      <c r="C1" s="74" t="s">
        <v>104</v>
      </c>
      <c r="D1" s="74" t="s">
        <v>105</v>
      </c>
      <c r="E1" s="72" t="s">
        <v>6055</v>
      </c>
      <c r="F1" s="72" t="s">
        <v>6056</v>
      </c>
    </row>
    <row r="2" ht="24" spans="1:6">
      <c r="A2" s="75">
        <v>1</v>
      </c>
      <c r="B2" s="76" t="s">
        <v>6073</v>
      </c>
      <c r="C2" s="77">
        <v>521600</v>
      </c>
      <c r="D2" s="77">
        <v>0</v>
      </c>
      <c r="E2" s="77" t="s">
        <v>344</v>
      </c>
      <c r="F2" s="5" t="s">
        <v>6074</v>
      </c>
    </row>
    <row r="3" spans="1:6">
      <c r="A3" s="75">
        <v>2</v>
      </c>
      <c r="B3" s="76" t="s">
        <v>1144</v>
      </c>
      <c r="C3" s="77">
        <v>521600</v>
      </c>
      <c r="D3" s="77">
        <v>16</v>
      </c>
      <c r="E3" s="77" t="s">
        <v>368</v>
      </c>
      <c r="F3" s="5" t="s">
        <v>6075</v>
      </c>
    </row>
    <row r="4" spans="1:6">
      <c r="A4" s="75">
        <v>3</v>
      </c>
      <c r="B4" s="76" t="s">
        <v>6076</v>
      </c>
      <c r="C4" s="77">
        <v>521601</v>
      </c>
      <c r="D4" s="77">
        <v>0</v>
      </c>
      <c r="E4" s="77" t="s">
        <v>344</v>
      </c>
      <c r="F4" s="5" t="s">
        <v>6077</v>
      </c>
    </row>
    <row r="5" spans="1:6">
      <c r="A5" s="75">
        <v>4</v>
      </c>
      <c r="B5" s="76" t="s">
        <v>6078</v>
      </c>
      <c r="C5" s="77">
        <v>521602</v>
      </c>
      <c r="D5" s="77">
        <v>7</v>
      </c>
      <c r="E5" s="77" t="s">
        <v>368</v>
      </c>
      <c r="F5" s="5" t="s">
        <v>6079</v>
      </c>
    </row>
    <row r="6" spans="1:6">
      <c r="A6" s="75">
        <v>5</v>
      </c>
      <c r="B6" s="76" t="s">
        <v>6080</v>
      </c>
      <c r="C6" s="77">
        <v>521603</v>
      </c>
      <c r="D6" s="77">
        <v>0</v>
      </c>
      <c r="E6" s="77" t="s">
        <v>344</v>
      </c>
      <c r="F6" s="5" t="s">
        <v>6081</v>
      </c>
    </row>
    <row r="7" spans="1:6">
      <c r="A7" s="75">
        <v>6</v>
      </c>
      <c r="B7" s="76" t="s">
        <v>6082</v>
      </c>
      <c r="C7" s="77">
        <v>521604</v>
      </c>
      <c r="D7" s="77">
        <v>4</v>
      </c>
      <c r="E7" s="77" t="s">
        <v>344</v>
      </c>
      <c r="F7" s="5" t="s">
        <v>6083</v>
      </c>
    </row>
    <row r="8" spans="1:6">
      <c r="A8" s="75">
        <v>7</v>
      </c>
      <c r="B8" s="76" t="s">
        <v>1154</v>
      </c>
      <c r="C8" s="77">
        <v>521605</v>
      </c>
      <c r="D8" s="77">
        <v>3</v>
      </c>
      <c r="E8" s="77" t="s">
        <v>368</v>
      </c>
      <c r="F8" s="5" t="s">
        <v>6084</v>
      </c>
    </row>
    <row r="9" spans="1:6">
      <c r="A9" s="75">
        <v>8</v>
      </c>
      <c r="B9" s="76" t="s">
        <v>6085</v>
      </c>
      <c r="C9" s="77">
        <v>521606</v>
      </c>
      <c r="D9" s="77">
        <v>1</v>
      </c>
      <c r="E9" s="77" t="s">
        <v>344</v>
      </c>
      <c r="F9" s="5" t="s">
        <v>6086</v>
      </c>
    </row>
    <row r="10" spans="1:6">
      <c r="A10" s="75">
        <v>9</v>
      </c>
      <c r="B10" s="76" t="s">
        <v>1197</v>
      </c>
      <c r="C10" s="77">
        <v>521607</v>
      </c>
      <c r="D10" s="77">
        <v>12</v>
      </c>
      <c r="E10" s="77" t="s">
        <v>368</v>
      </c>
      <c r="F10" s="5" t="s">
        <v>6087</v>
      </c>
    </row>
    <row r="11" spans="1:6">
      <c r="A11" s="75">
        <v>10</v>
      </c>
      <c r="B11" s="78" t="s">
        <v>1160</v>
      </c>
      <c r="C11" s="77">
        <v>521608</v>
      </c>
      <c r="D11" s="77">
        <v>11</v>
      </c>
      <c r="E11" s="77" t="s">
        <v>344</v>
      </c>
      <c r="F11" s="5" t="s">
        <v>6088</v>
      </c>
    </row>
    <row r="12" spans="1:6">
      <c r="A12" s="75">
        <v>11</v>
      </c>
      <c r="B12" s="76" t="s">
        <v>6089</v>
      </c>
      <c r="C12" s="77">
        <v>521609</v>
      </c>
      <c r="D12" s="77">
        <v>1</v>
      </c>
      <c r="E12" s="77" t="s">
        <v>344</v>
      </c>
      <c r="F12" s="5" t="s">
        <v>6090</v>
      </c>
    </row>
  </sheetData>
  <pageMargins left="0.7" right="0.7" top="0.75" bottom="0.75" header="0.3" footer="0.3"/>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
  <sheetViews>
    <sheetView workbookViewId="0">
      <selection activeCell="F5" sqref="F5"/>
    </sheetView>
  </sheetViews>
  <sheetFormatPr defaultColWidth="9" defaultRowHeight="13.5" outlineLevelCol="5"/>
  <cols>
    <col min="1" max="1" width="6" customWidth="1"/>
    <col min="2" max="2" width="16" customWidth="1"/>
    <col min="3" max="3" width="10.25" style="67" customWidth="1"/>
    <col min="4" max="4" width="9.75" style="67" customWidth="1"/>
    <col min="5" max="5" width="17.5" customWidth="1"/>
    <col min="6" max="6" width="37" customWidth="1"/>
    <col min="7" max="7" width="8.875" customWidth="1"/>
  </cols>
  <sheetData>
    <row r="1" spans="1:6">
      <c r="A1" s="72" t="s">
        <v>101</v>
      </c>
      <c r="B1" s="73" t="s">
        <v>6072</v>
      </c>
      <c r="C1" s="74" t="s">
        <v>104</v>
      </c>
      <c r="D1" s="74" t="s">
        <v>105</v>
      </c>
      <c r="E1" s="72" t="s">
        <v>6055</v>
      </c>
      <c r="F1" s="72" t="s">
        <v>6056</v>
      </c>
    </row>
    <row r="2" spans="1:6">
      <c r="A2" s="75">
        <v>1</v>
      </c>
      <c r="B2" s="76" t="s">
        <v>6091</v>
      </c>
      <c r="C2" s="77">
        <v>521600</v>
      </c>
      <c r="D2" s="77">
        <v>0</v>
      </c>
      <c r="E2" s="77" t="s">
        <v>344</v>
      </c>
      <c r="F2" s="5" t="s">
        <v>6092</v>
      </c>
    </row>
    <row r="3" spans="1:6">
      <c r="A3" s="75">
        <v>2</v>
      </c>
      <c r="B3" s="76" t="s">
        <v>1144</v>
      </c>
      <c r="C3" s="77">
        <v>521600</v>
      </c>
      <c r="D3" s="77">
        <v>16</v>
      </c>
      <c r="E3" s="77" t="s">
        <v>368</v>
      </c>
      <c r="F3" s="5" t="s">
        <v>6093</v>
      </c>
    </row>
    <row r="4" spans="1:6">
      <c r="A4" s="75">
        <v>3</v>
      </c>
      <c r="B4" s="76" t="s">
        <v>6094</v>
      </c>
      <c r="C4" s="77">
        <v>521601</v>
      </c>
      <c r="D4" s="77">
        <v>0</v>
      </c>
      <c r="E4" s="77" t="s">
        <v>344</v>
      </c>
      <c r="F4" s="5" t="s">
        <v>6095</v>
      </c>
    </row>
    <row r="5" spans="1:6">
      <c r="A5" s="75">
        <v>4</v>
      </c>
      <c r="B5" s="76" t="s">
        <v>6096</v>
      </c>
      <c r="C5" s="77">
        <v>521602</v>
      </c>
      <c r="D5" s="77">
        <v>7</v>
      </c>
      <c r="E5" s="77" t="s">
        <v>368</v>
      </c>
      <c r="F5" s="5" t="s">
        <v>6097</v>
      </c>
    </row>
    <row r="6" spans="1:6">
      <c r="A6" s="75">
        <v>5</v>
      </c>
      <c r="B6" s="76" t="s">
        <v>6098</v>
      </c>
      <c r="C6" s="77">
        <v>521603</v>
      </c>
      <c r="D6" s="77">
        <v>0</v>
      </c>
      <c r="E6" s="77" t="s">
        <v>344</v>
      </c>
      <c r="F6" s="5" t="s">
        <v>6099</v>
      </c>
    </row>
    <row r="7" spans="1:6">
      <c r="A7" s="75">
        <v>6</v>
      </c>
      <c r="B7" s="76" t="s">
        <v>6100</v>
      </c>
      <c r="C7" s="77">
        <v>521604</v>
      </c>
      <c r="D7" s="77">
        <v>4</v>
      </c>
      <c r="E7" s="77" t="s">
        <v>344</v>
      </c>
      <c r="F7" s="5" t="s">
        <v>6101</v>
      </c>
    </row>
    <row r="8" spans="1:6">
      <c r="A8" s="75">
        <v>7</v>
      </c>
      <c r="B8" s="76" t="s">
        <v>1154</v>
      </c>
      <c r="C8" s="77">
        <v>521605</v>
      </c>
      <c r="D8" s="77">
        <v>3</v>
      </c>
      <c r="E8" s="77" t="s">
        <v>368</v>
      </c>
      <c r="F8" s="5" t="s">
        <v>6102</v>
      </c>
    </row>
    <row r="9" spans="1:6">
      <c r="A9" s="75">
        <v>8</v>
      </c>
      <c r="B9" s="76" t="s">
        <v>6103</v>
      </c>
      <c r="C9" s="77">
        <v>521606</v>
      </c>
      <c r="D9" s="77">
        <v>1</v>
      </c>
      <c r="E9" s="77" t="s">
        <v>344</v>
      </c>
      <c r="F9" s="5" t="s">
        <v>6104</v>
      </c>
    </row>
    <row r="10" spans="1:6">
      <c r="A10" s="75">
        <v>9</v>
      </c>
      <c r="B10" s="76" t="s">
        <v>6105</v>
      </c>
      <c r="C10" s="77">
        <v>521607</v>
      </c>
      <c r="D10" s="77">
        <v>12</v>
      </c>
      <c r="E10" s="77" t="s">
        <v>368</v>
      </c>
      <c r="F10" s="5" t="s">
        <v>6106</v>
      </c>
    </row>
    <row r="11" ht="15.6" customHeight="1" spans="1:6">
      <c r="A11" s="75">
        <v>10</v>
      </c>
      <c r="B11" s="78" t="s">
        <v>1160</v>
      </c>
      <c r="C11" s="77">
        <v>521608</v>
      </c>
      <c r="D11" s="77">
        <v>11</v>
      </c>
      <c r="E11" s="77" t="s">
        <v>344</v>
      </c>
      <c r="F11" s="5" t="s">
        <v>6107</v>
      </c>
    </row>
    <row r="12" spans="1:6">
      <c r="A12" s="75">
        <v>11</v>
      </c>
      <c r="B12" s="76" t="s">
        <v>6108</v>
      </c>
      <c r="C12" s="77">
        <v>521609</v>
      </c>
      <c r="D12" s="77">
        <v>1</v>
      </c>
      <c r="E12" s="77" t="s">
        <v>344</v>
      </c>
      <c r="F12" s="5" t="s">
        <v>6109</v>
      </c>
    </row>
  </sheetData>
  <pageMargins left="0.7" right="0.7" top="0.75" bottom="0.75" header="0.3" footer="0.3"/>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6"/>
  <sheetViews>
    <sheetView workbookViewId="0">
      <selection activeCell="F34" sqref="F34"/>
    </sheetView>
  </sheetViews>
  <sheetFormatPr defaultColWidth="9" defaultRowHeight="19.15" customHeight="1" outlineLevelCol="4"/>
  <cols>
    <col min="1" max="1" width="9" style="67"/>
    <col min="2" max="2" width="65.5" customWidth="1"/>
    <col min="3" max="4" width="9.5" customWidth="1"/>
    <col min="5" max="5" width="39.125" customWidth="1"/>
  </cols>
  <sheetData>
    <row r="1" customHeight="1" spans="1:5">
      <c r="A1" s="38" t="s">
        <v>101</v>
      </c>
      <c r="B1" s="37" t="s">
        <v>103</v>
      </c>
      <c r="C1" s="37" t="s">
        <v>118</v>
      </c>
      <c r="D1" s="37" t="s">
        <v>119</v>
      </c>
      <c r="E1" s="68" t="s">
        <v>258</v>
      </c>
    </row>
    <row r="2" customHeight="1" spans="1:5">
      <c r="A2" s="69">
        <v>1</v>
      </c>
      <c r="B2" s="70" t="s">
        <v>6110</v>
      </c>
      <c r="C2" s="71">
        <v>1121</v>
      </c>
      <c r="D2" s="71">
        <v>8</v>
      </c>
      <c r="E2" s="70" t="s">
        <v>6111</v>
      </c>
    </row>
    <row r="3" customHeight="1" spans="1:5">
      <c r="A3" s="69">
        <v>2</v>
      </c>
      <c r="B3" s="70" t="s">
        <v>6112</v>
      </c>
      <c r="C3" s="71">
        <v>1121</v>
      </c>
      <c r="D3" s="71">
        <v>9</v>
      </c>
      <c r="E3" s="70" t="s">
        <v>6113</v>
      </c>
    </row>
    <row r="4" customHeight="1" spans="1:5">
      <c r="A4" s="69">
        <v>3</v>
      </c>
      <c r="B4" s="70" t="s">
        <v>6114</v>
      </c>
      <c r="C4" s="71">
        <v>1324</v>
      </c>
      <c r="D4" s="71">
        <v>9</v>
      </c>
      <c r="E4" s="70" t="s">
        <v>6115</v>
      </c>
    </row>
    <row r="5" customHeight="1" spans="1:5">
      <c r="A5" s="69">
        <v>4</v>
      </c>
      <c r="B5" s="70" t="s">
        <v>6116</v>
      </c>
      <c r="C5" s="71">
        <v>158</v>
      </c>
      <c r="D5" s="71">
        <v>10</v>
      </c>
      <c r="E5" s="70" t="s">
        <v>6117</v>
      </c>
    </row>
    <row r="6" customHeight="1" spans="1:5">
      <c r="A6" s="69">
        <v>5</v>
      </c>
      <c r="B6" s="70" t="s">
        <v>6118</v>
      </c>
      <c r="C6" s="71">
        <v>158</v>
      </c>
      <c r="D6" s="71">
        <v>3</v>
      </c>
      <c r="E6" s="70" t="s">
        <v>6119</v>
      </c>
    </row>
    <row r="7" customHeight="1" spans="1:5">
      <c r="A7" s="69">
        <v>6</v>
      </c>
      <c r="B7" s="70" t="s">
        <v>6120</v>
      </c>
      <c r="C7" s="71">
        <v>168</v>
      </c>
      <c r="D7" s="71">
        <v>0</v>
      </c>
      <c r="E7" s="70" t="s">
        <v>6121</v>
      </c>
    </row>
    <row r="8" customHeight="1" spans="1:5">
      <c r="A8" s="69">
        <v>7</v>
      </c>
      <c r="B8" s="70" t="s">
        <v>6122</v>
      </c>
      <c r="C8" s="71">
        <v>168</v>
      </c>
      <c r="D8" s="71">
        <v>1</v>
      </c>
      <c r="E8" s="70" t="s">
        <v>6123</v>
      </c>
    </row>
    <row r="9" customHeight="1" spans="1:5">
      <c r="A9" s="69">
        <v>8</v>
      </c>
      <c r="B9" s="70" t="s">
        <v>6124</v>
      </c>
      <c r="C9" s="71">
        <v>168</v>
      </c>
      <c r="D9" s="71">
        <v>12</v>
      </c>
      <c r="E9" s="70" t="s">
        <v>6125</v>
      </c>
    </row>
    <row r="10" customHeight="1" spans="1:5">
      <c r="A10" s="69">
        <v>9</v>
      </c>
      <c r="B10" s="70" t="s">
        <v>6126</v>
      </c>
      <c r="C10" s="71">
        <v>168</v>
      </c>
      <c r="D10" s="71">
        <v>5</v>
      </c>
      <c r="E10" s="70" t="s">
        <v>6127</v>
      </c>
    </row>
    <row r="11" customHeight="1" spans="1:5">
      <c r="A11" s="69">
        <v>10</v>
      </c>
      <c r="B11" s="70" t="s">
        <v>6128</v>
      </c>
      <c r="C11" s="71">
        <v>1814</v>
      </c>
      <c r="D11" s="71">
        <v>9</v>
      </c>
      <c r="E11" s="70" t="s">
        <v>6129</v>
      </c>
    </row>
    <row r="12" customHeight="1" spans="1:5">
      <c r="A12" s="69">
        <v>11</v>
      </c>
      <c r="B12" s="70" t="s">
        <v>6130</v>
      </c>
      <c r="C12" s="71">
        <v>3132</v>
      </c>
      <c r="D12" s="71">
        <v>12</v>
      </c>
      <c r="E12" s="70" t="s">
        <v>6131</v>
      </c>
    </row>
    <row r="13" customHeight="1" spans="1:5">
      <c r="A13" s="69">
        <v>12</v>
      </c>
      <c r="B13" s="70" t="s">
        <v>6132</v>
      </c>
      <c r="C13" s="71">
        <v>3132</v>
      </c>
      <c r="D13" s="71">
        <v>3</v>
      </c>
      <c r="E13" s="70" t="s">
        <v>6133</v>
      </c>
    </row>
    <row r="14" customHeight="1" spans="1:5">
      <c r="A14" s="69">
        <v>13</v>
      </c>
      <c r="B14" s="70" t="s">
        <v>6134</v>
      </c>
      <c r="C14" s="71">
        <v>3132</v>
      </c>
      <c r="D14" s="71">
        <v>4</v>
      </c>
      <c r="E14" s="70" t="s">
        <v>6135</v>
      </c>
    </row>
    <row r="15" customHeight="1" spans="1:5">
      <c r="A15" s="69">
        <v>14</v>
      </c>
      <c r="B15" s="70" t="s">
        <v>6136</v>
      </c>
      <c r="C15" s="71">
        <v>3132</v>
      </c>
      <c r="D15" s="71">
        <v>5</v>
      </c>
      <c r="E15" s="70" t="s">
        <v>6137</v>
      </c>
    </row>
    <row r="16" customHeight="1" spans="1:5">
      <c r="A16" s="69">
        <v>15</v>
      </c>
      <c r="B16" s="70" t="s">
        <v>6138</v>
      </c>
      <c r="C16" s="71">
        <v>3136</v>
      </c>
      <c r="D16" s="71">
        <v>0</v>
      </c>
      <c r="E16" s="70" t="s">
        <v>6139</v>
      </c>
    </row>
    <row r="17" customHeight="1" spans="1:5">
      <c r="A17" s="69">
        <v>16</v>
      </c>
      <c r="B17" s="70" t="s">
        <v>6140</v>
      </c>
      <c r="C17" s="71">
        <v>3136</v>
      </c>
      <c r="D17" s="71">
        <v>16</v>
      </c>
      <c r="E17" s="70" t="s">
        <v>6141</v>
      </c>
    </row>
    <row r="18" customHeight="1" spans="1:5">
      <c r="A18" s="69">
        <v>17</v>
      </c>
      <c r="B18" s="70" t="s">
        <v>6142</v>
      </c>
      <c r="C18" s="71">
        <v>46</v>
      </c>
      <c r="D18" s="71">
        <v>9</v>
      </c>
      <c r="E18" s="70" t="s">
        <v>6143</v>
      </c>
    </row>
    <row r="19" customHeight="1" spans="1:5">
      <c r="A19" s="69">
        <v>18</v>
      </c>
      <c r="B19" s="70" t="s">
        <v>6144</v>
      </c>
      <c r="C19" s="71">
        <v>513</v>
      </c>
      <c r="D19" s="71">
        <v>9</v>
      </c>
      <c r="E19" s="70" t="s">
        <v>6145</v>
      </c>
    </row>
    <row r="20" customHeight="1" spans="1:5">
      <c r="A20" s="69">
        <v>19</v>
      </c>
      <c r="B20" s="70" t="s">
        <v>6146</v>
      </c>
      <c r="C20" s="71">
        <v>516096</v>
      </c>
      <c r="D20" s="71">
        <v>2</v>
      </c>
      <c r="E20" s="70" t="s">
        <v>6147</v>
      </c>
    </row>
    <row r="21" customHeight="1" spans="1:5">
      <c r="A21" s="69">
        <v>20</v>
      </c>
      <c r="B21" s="70" t="s">
        <v>6148</v>
      </c>
      <c r="C21" s="71">
        <v>516096</v>
      </c>
      <c r="D21" s="71">
        <v>8</v>
      </c>
      <c r="E21" s="70" t="s">
        <v>6149</v>
      </c>
    </row>
    <row r="22" customHeight="1" spans="1:5">
      <c r="A22" s="69">
        <v>21</v>
      </c>
      <c r="B22" s="70" t="s">
        <v>6150</v>
      </c>
      <c r="C22" s="71">
        <v>516097</v>
      </c>
      <c r="D22" s="71">
        <v>12</v>
      </c>
      <c r="E22" s="70" t="s">
        <v>6151</v>
      </c>
    </row>
    <row r="23" customHeight="1" spans="1:5">
      <c r="A23" s="69">
        <v>22</v>
      </c>
      <c r="B23" s="70" t="s">
        <v>6152</v>
      </c>
      <c r="C23" s="71">
        <v>516097</v>
      </c>
      <c r="D23" s="71">
        <v>2</v>
      </c>
      <c r="E23" s="70" t="s">
        <v>6153</v>
      </c>
    </row>
    <row r="24" customHeight="1" spans="1:5">
      <c r="A24" s="69">
        <v>23</v>
      </c>
      <c r="B24" s="70" t="s">
        <v>6154</v>
      </c>
      <c r="C24" s="71">
        <v>516097</v>
      </c>
      <c r="D24" s="71">
        <v>8</v>
      </c>
      <c r="E24" s="70" t="s">
        <v>6155</v>
      </c>
    </row>
    <row r="25" customHeight="1" spans="1:5">
      <c r="A25" s="69">
        <v>24</v>
      </c>
      <c r="B25" s="70" t="s">
        <v>6156</v>
      </c>
      <c r="C25" s="71">
        <v>516097</v>
      </c>
      <c r="D25" s="71">
        <v>9</v>
      </c>
      <c r="E25" s="70" t="s">
        <v>6157</v>
      </c>
    </row>
    <row r="26" customHeight="1" spans="1:5">
      <c r="A26" s="69">
        <v>25</v>
      </c>
      <c r="B26" s="70" t="s">
        <v>6158</v>
      </c>
      <c r="C26" s="71">
        <v>516098</v>
      </c>
      <c r="D26" s="71">
        <v>12</v>
      </c>
      <c r="E26" s="70" t="s">
        <v>6159</v>
      </c>
    </row>
    <row r="27" customHeight="1" spans="1:5">
      <c r="A27" s="69">
        <v>26</v>
      </c>
      <c r="B27" s="70" t="s">
        <v>6160</v>
      </c>
      <c r="C27" s="71">
        <v>516098</v>
      </c>
      <c r="D27" s="71">
        <v>2</v>
      </c>
      <c r="E27" s="70" t="s">
        <v>6161</v>
      </c>
    </row>
    <row r="28" customHeight="1" spans="1:5">
      <c r="A28" s="69">
        <v>27</v>
      </c>
      <c r="B28" s="70" t="s">
        <v>6162</v>
      </c>
      <c r="C28" s="71">
        <v>516098</v>
      </c>
      <c r="D28" s="71">
        <v>8</v>
      </c>
      <c r="E28" s="70" t="s">
        <v>6163</v>
      </c>
    </row>
    <row r="29" customHeight="1" spans="1:5">
      <c r="A29" s="69">
        <v>28</v>
      </c>
      <c r="B29" s="70" t="s">
        <v>6164</v>
      </c>
      <c r="C29" s="71">
        <v>516098</v>
      </c>
      <c r="D29" s="71">
        <v>9</v>
      </c>
      <c r="E29" s="70" t="s">
        <v>6165</v>
      </c>
    </row>
    <row r="30" customHeight="1" spans="1:5">
      <c r="A30" s="69">
        <v>29</v>
      </c>
      <c r="B30" s="70" t="s">
        <v>6166</v>
      </c>
      <c r="C30" s="71">
        <v>516099</v>
      </c>
      <c r="D30" s="71">
        <v>12</v>
      </c>
      <c r="E30" s="70" t="s">
        <v>6167</v>
      </c>
    </row>
    <row r="31" customHeight="1" spans="1:5">
      <c r="A31" s="69">
        <v>30</v>
      </c>
      <c r="B31" s="70" t="s">
        <v>6168</v>
      </c>
      <c r="C31" s="71">
        <v>516099</v>
      </c>
      <c r="D31" s="71">
        <v>2</v>
      </c>
      <c r="E31" s="70" t="s">
        <v>6169</v>
      </c>
    </row>
    <row r="32" customHeight="1" spans="1:5">
      <c r="A32" s="69">
        <v>31</v>
      </c>
      <c r="B32" s="70" t="s">
        <v>6170</v>
      </c>
      <c r="C32" s="71">
        <v>516099</v>
      </c>
      <c r="D32" s="71">
        <v>8</v>
      </c>
      <c r="E32" s="70" t="s">
        <v>6171</v>
      </c>
    </row>
    <row r="33" customHeight="1" spans="1:5">
      <c r="A33" s="69">
        <v>32</v>
      </c>
      <c r="B33" s="70" t="s">
        <v>6172</v>
      </c>
      <c r="C33" s="71">
        <v>516099</v>
      </c>
      <c r="D33" s="71">
        <v>9</v>
      </c>
      <c r="E33" s="70" t="s">
        <v>6173</v>
      </c>
    </row>
    <row r="34" customHeight="1" spans="1:5">
      <c r="A34" s="69">
        <v>33</v>
      </c>
      <c r="B34" s="70" t="s">
        <v>6174</v>
      </c>
      <c r="C34" s="71">
        <v>523</v>
      </c>
      <c r="D34" s="71">
        <v>9</v>
      </c>
      <c r="E34" s="70" t="s">
        <v>6175</v>
      </c>
    </row>
    <row r="35" customHeight="1" spans="1:5">
      <c r="A35" s="69">
        <v>34</v>
      </c>
      <c r="B35" s="70" t="s">
        <v>6176</v>
      </c>
      <c r="C35" s="71">
        <v>5630</v>
      </c>
      <c r="D35" s="71">
        <v>10</v>
      </c>
      <c r="E35" s="70" t="s">
        <v>6177</v>
      </c>
    </row>
    <row r="36" customHeight="1" spans="1:5">
      <c r="A36" s="69">
        <v>35</v>
      </c>
      <c r="B36" s="70" t="s">
        <v>6178</v>
      </c>
      <c r="C36" s="71">
        <v>5630</v>
      </c>
      <c r="D36" s="71">
        <v>12</v>
      </c>
      <c r="E36" s="70" t="s">
        <v>6179</v>
      </c>
    </row>
    <row r="37" customHeight="1" spans="1:5">
      <c r="A37" s="69">
        <v>36</v>
      </c>
      <c r="B37" s="70" t="s">
        <v>6180</v>
      </c>
      <c r="C37" s="71">
        <v>5630</v>
      </c>
      <c r="D37" s="71">
        <v>2</v>
      </c>
      <c r="E37" s="70" t="s">
        <v>6181</v>
      </c>
    </row>
    <row r="38" customHeight="1" spans="1:5">
      <c r="A38" s="69">
        <v>37</v>
      </c>
      <c r="B38" s="70" t="s">
        <v>6182</v>
      </c>
      <c r="C38" s="71">
        <v>5630</v>
      </c>
      <c r="D38" s="71">
        <v>20</v>
      </c>
      <c r="E38" s="70" t="s">
        <v>6183</v>
      </c>
    </row>
    <row r="39" customHeight="1" spans="1:5">
      <c r="A39" s="69">
        <v>38</v>
      </c>
      <c r="B39" s="70" t="s">
        <v>6184</v>
      </c>
      <c r="C39" s="71">
        <v>5630</v>
      </c>
      <c r="D39" s="71">
        <v>8</v>
      </c>
      <c r="E39" s="70" t="s">
        <v>6185</v>
      </c>
    </row>
    <row r="40" customHeight="1" spans="1:5">
      <c r="A40" s="69">
        <v>39</v>
      </c>
      <c r="B40" s="70" t="s">
        <v>6186</v>
      </c>
      <c r="C40" s="71">
        <v>5360</v>
      </c>
      <c r="D40" s="71">
        <v>9</v>
      </c>
      <c r="E40" s="70" t="s">
        <v>6187</v>
      </c>
    </row>
    <row r="41" customHeight="1" spans="1:5">
      <c r="A41" s="69">
        <v>40</v>
      </c>
      <c r="B41" s="70" t="s">
        <v>6188</v>
      </c>
      <c r="C41" s="71">
        <v>617</v>
      </c>
      <c r="D41" s="71">
        <v>7</v>
      </c>
      <c r="E41" s="70" t="s">
        <v>6189</v>
      </c>
    </row>
    <row r="42" customHeight="1" spans="1:5">
      <c r="A42" s="69">
        <v>41</v>
      </c>
      <c r="B42" s="70" t="s">
        <v>6190</v>
      </c>
      <c r="C42" s="71">
        <v>618</v>
      </c>
      <c r="D42" s="71">
        <v>7</v>
      </c>
      <c r="E42" s="70" t="s">
        <v>6191</v>
      </c>
    </row>
    <row r="43" customHeight="1" spans="1:5">
      <c r="A43" s="69">
        <v>42</v>
      </c>
      <c r="B43" s="70" t="s">
        <v>6192</v>
      </c>
      <c r="C43" s="71">
        <v>619</v>
      </c>
      <c r="D43" s="71">
        <v>10</v>
      </c>
      <c r="E43" s="70" t="s">
        <v>6193</v>
      </c>
    </row>
    <row r="44" customHeight="1" spans="1:5">
      <c r="A44" s="69">
        <v>43</v>
      </c>
      <c r="B44" s="70" t="s">
        <v>6194</v>
      </c>
      <c r="C44" s="71">
        <v>619</v>
      </c>
      <c r="D44" s="71">
        <v>14</v>
      </c>
      <c r="E44" s="70" t="s">
        <v>6195</v>
      </c>
    </row>
    <row r="45" customHeight="1" spans="1:5">
      <c r="A45" s="69">
        <v>44</v>
      </c>
      <c r="B45" s="70" t="s">
        <v>6196</v>
      </c>
      <c r="C45" s="71">
        <v>619</v>
      </c>
      <c r="D45" s="71">
        <v>7</v>
      </c>
      <c r="E45" s="70" t="s">
        <v>6197</v>
      </c>
    </row>
    <row r="46" customHeight="1" spans="1:5">
      <c r="A46" s="69">
        <v>45</v>
      </c>
      <c r="B46" s="70" t="s">
        <v>6198</v>
      </c>
      <c r="C46" s="71">
        <v>625</v>
      </c>
      <c r="D46" s="71">
        <v>5</v>
      </c>
      <c r="E46" s="70" t="s">
        <v>6199</v>
      </c>
    </row>
    <row r="47" customHeight="1" spans="1:5">
      <c r="A47" s="69">
        <v>46</v>
      </c>
      <c r="B47" s="70" t="s">
        <v>6200</v>
      </c>
      <c r="C47" s="71">
        <v>629</v>
      </c>
      <c r="D47" s="71">
        <v>13</v>
      </c>
      <c r="E47" s="70" t="s">
        <v>6201</v>
      </c>
    </row>
    <row r="48" customHeight="1" spans="1:5">
      <c r="A48" s="69">
        <v>47</v>
      </c>
      <c r="B48" s="70" t="s">
        <v>6202</v>
      </c>
      <c r="C48" s="71">
        <v>629</v>
      </c>
      <c r="D48" s="71">
        <v>14</v>
      </c>
      <c r="E48" s="70" t="s">
        <v>6203</v>
      </c>
    </row>
    <row r="49" customHeight="1" spans="1:5">
      <c r="A49" s="69">
        <v>48</v>
      </c>
      <c r="B49" s="70" t="s">
        <v>6204</v>
      </c>
      <c r="C49" s="71">
        <v>629</v>
      </c>
      <c r="D49" s="71">
        <v>2</v>
      </c>
      <c r="E49" s="70" t="s">
        <v>6205</v>
      </c>
    </row>
    <row r="50" customHeight="1" spans="1:5">
      <c r="A50" s="69">
        <v>49</v>
      </c>
      <c r="B50" s="70" t="s">
        <v>6206</v>
      </c>
      <c r="C50" s="71">
        <v>629</v>
      </c>
      <c r="D50" s="71">
        <v>9</v>
      </c>
      <c r="E50" s="70" t="s">
        <v>6207</v>
      </c>
    </row>
    <row r="51" customHeight="1" spans="1:5">
      <c r="A51" s="69">
        <v>50</v>
      </c>
      <c r="B51" s="70" t="s">
        <v>6208</v>
      </c>
      <c r="C51" s="71">
        <v>630</v>
      </c>
      <c r="D51" s="71">
        <v>13</v>
      </c>
      <c r="E51" s="70" t="s">
        <v>6209</v>
      </c>
    </row>
    <row r="52" customHeight="1" spans="1:5">
      <c r="A52" s="69">
        <v>51</v>
      </c>
      <c r="B52" s="70" t="s">
        <v>6210</v>
      </c>
      <c r="C52" s="71">
        <v>630</v>
      </c>
      <c r="D52" s="71">
        <v>2</v>
      </c>
      <c r="E52" s="70" t="s">
        <v>6211</v>
      </c>
    </row>
    <row r="53" customHeight="1" spans="1:5">
      <c r="A53" s="69">
        <v>52</v>
      </c>
      <c r="B53" s="70" t="s">
        <v>6212</v>
      </c>
      <c r="C53" s="71">
        <v>639</v>
      </c>
      <c r="D53" s="71">
        <v>5</v>
      </c>
      <c r="E53" s="70" t="s">
        <v>6213</v>
      </c>
    </row>
    <row r="54" customHeight="1" spans="1:5">
      <c r="A54" s="69">
        <v>53</v>
      </c>
      <c r="B54" s="70" t="s">
        <v>6214</v>
      </c>
      <c r="C54" s="71">
        <v>708</v>
      </c>
      <c r="D54" s="71">
        <v>9</v>
      </c>
      <c r="E54" s="70" t="s">
        <v>6215</v>
      </c>
    </row>
    <row r="55" customHeight="1" spans="1:5">
      <c r="A55" s="69">
        <v>54</v>
      </c>
      <c r="B55" s="70" t="s">
        <v>6216</v>
      </c>
      <c r="C55" s="71">
        <v>887</v>
      </c>
      <c r="D55" s="71">
        <v>12</v>
      </c>
      <c r="E55" s="70" t="s">
        <v>6217</v>
      </c>
    </row>
    <row r="56" customHeight="1" spans="1:5">
      <c r="A56" s="69">
        <v>55</v>
      </c>
      <c r="B56" s="70" t="s">
        <v>6218</v>
      </c>
      <c r="C56" s="71">
        <v>887</v>
      </c>
      <c r="D56" s="71">
        <v>9</v>
      </c>
      <c r="E56" s="70" t="s">
        <v>6219</v>
      </c>
    </row>
  </sheetData>
  <pageMargins left="0.7" right="0.7" top="0.75" bottom="0.75" header="0.3" footer="0.3"/>
  <pageSetup paperSize="9" orientation="portrait"/>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0"/>
  <sheetViews>
    <sheetView view="pageBreakPreview" zoomScale="80" zoomScaleNormal="70" workbookViewId="0">
      <pane xSplit="3" ySplit="2" topLeftCell="D124" activePane="bottomRight" state="frozen"/>
      <selection/>
      <selection pane="topRight"/>
      <selection pane="bottomLeft"/>
      <selection pane="bottomRight" activeCell="F9" sqref="F9"/>
    </sheetView>
  </sheetViews>
  <sheetFormatPr defaultColWidth="9" defaultRowHeight="13.5"/>
  <cols>
    <col min="1" max="1" width="9" style="41"/>
    <col min="2" max="2" width="22.125" style="41" customWidth="1"/>
    <col min="3" max="3" width="10.875" style="41" customWidth="1"/>
    <col min="4" max="4" width="6.125" style="41" customWidth="1"/>
    <col min="5" max="5" width="26.875" style="41" customWidth="1"/>
    <col min="6" max="6" width="33.375" style="41" customWidth="1"/>
    <col min="7" max="7" width="12.375" style="41" customWidth="1"/>
    <col min="8" max="8" width="7.25" style="41" customWidth="1"/>
    <col min="9" max="9" width="16" style="41" customWidth="1"/>
    <col min="10" max="16384" width="9" style="41"/>
  </cols>
  <sheetData>
    <row r="1" s="40" customFormat="1" spans="1:9">
      <c r="A1" s="42" t="s">
        <v>101</v>
      </c>
      <c r="B1" s="42" t="s">
        <v>6220</v>
      </c>
      <c r="C1" s="42" t="s">
        <v>6221</v>
      </c>
      <c r="D1" s="42" t="s">
        <v>116</v>
      </c>
      <c r="E1" s="42" t="s">
        <v>103</v>
      </c>
      <c r="F1" s="42" t="s">
        <v>6056</v>
      </c>
      <c r="G1" s="42" t="s">
        <v>104</v>
      </c>
      <c r="H1" s="42" t="s">
        <v>105</v>
      </c>
      <c r="I1" s="42" t="s">
        <v>6222</v>
      </c>
    </row>
    <row r="2" spans="1:9">
      <c r="A2" s="43"/>
      <c r="B2" s="43"/>
      <c r="C2" s="43"/>
      <c r="D2" s="43"/>
      <c r="E2" s="43"/>
      <c r="F2" s="43"/>
      <c r="G2" s="43"/>
      <c r="H2" s="43"/>
      <c r="I2" s="43"/>
    </row>
    <row r="3" ht="49.5" spans="1:9">
      <c r="A3" s="44">
        <v>1</v>
      </c>
      <c r="B3" s="45" t="s">
        <v>6223</v>
      </c>
      <c r="C3" s="45" t="s">
        <v>6224</v>
      </c>
      <c r="D3" s="46" t="s">
        <v>6225</v>
      </c>
      <c r="E3" s="45" t="s">
        <v>6226</v>
      </c>
      <c r="F3" s="47" t="s">
        <v>6227</v>
      </c>
      <c r="G3" s="47">
        <v>13138</v>
      </c>
      <c r="H3" s="47">
        <v>3</v>
      </c>
      <c r="I3" s="56" t="s">
        <v>6228</v>
      </c>
    </row>
    <row r="4" ht="49.5" spans="1:9">
      <c r="A4" s="44">
        <v>2</v>
      </c>
      <c r="B4" s="45" t="s">
        <v>6229</v>
      </c>
      <c r="C4" s="45" t="s">
        <v>6230</v>
      </c>
      <c r="D4" s="46" t="s">
        <v>6225</v>
      </c>
      <c r="E4" s="45" t="s">
        <v>6231</v>
      </c>
      <c r="F4" s="47" t="s">
        <v>6232</v>
      </c>
      <c r="G4" s="47">
        <v>13138</v>
      </c>
      <c r="H4" s="47">
        <v>4</v>
      </c>
      <c r="I4" s="56" t="s">
        <v>6228</v>
      </c>
    </row>
    <row r="5" ht="49.5" spans="1:9">
      <c r="A5" s="44">
        <v>3</v>
      </c>
      <c r="B5" s="45" t="s">
        <v>6233</v>
      </c>
      <c r="C5" s="45" t="s">
        <v>6234</v>
      </c>
      <c r="D5" s="46" t="s">
        <v>6225</v>
      </c>
      <c r="E5" s="45" t="s">
        <v>6235</v>
      </c>
      <c r="F5" s="47" t="s">
        <v>6236</v>
      </c>
      <c r="G5" s="47">
        <v>13138</v>
      </c>
      <c r="H5" s="47">
        <v>5</v>
      </c>
      <c r="I5" s="56" t="s">
        <v>6228</v>
      </c>
    </row>
    <row r="6" ht="78" customHeight="1" spans="1:9">
      <c r="A6" s="44">
        <v>4</v>
      </c>
      <c r="B6" s="45" t="s">
        <v>6237</v>
      </c>
      <c r="C6" s="45" t="s">
        <v>6238</v>
      </c>
      <c r="D6" s="48" t="s">
        <v>6239</v>
      </c>
      <c r="E6" s="45" t="s">
        <v>6231</v>
      </c>
      <c r="F6" s="45" t="s">
        <v>6240</v>
      </c>
      <c r="G6" s="47">
        <v>193</v>
      </c>
      <c r="H6" s="47">
        <v>9</v>
      </c>
      <c r="I6" s="56" t="s">
        <v>6228</v>
      </c>
    </row>
    <row r="7" ht="77.1" customHeight="1" spans="1:9">
      <c r="A7" s="44">
        <v>5</v>
      </c>
      <c r="B7" s="45" t="s">
        <v>6241</v>
      </c>
      <c r="C7" s="45" t="s">
        <v>6242</v>
      </c>
      <c r="D7" s="49" t="s">
        <v>6243</v>
      </c>
      <c r="E7" s="45" t="s">
        <v>6244</v>
      </c>
      <c r="F7" s="45" t="s">
        <v>6245</v>
      </c>
      <c r="G7" s="47">
        <v>4289</v>
      </c>
      <c r="H7" s="47">
        <v>5</v>
      </c>
      <c r="I7" s="56" t="s">
        <v>6228</v>
      </c>
    </row>
    <row r="8" ht="79.15" customHeight="1" spans="1:9">
      <c r="A8" s="44">
        <v>6</v>
      </c>
      <c r="B8" s="50" t="s">
        <v>6246</v>
      </c>
      <c r="C8" s="50" t="s">
        <v>6247</v>
      </c>
      <c r="D8" s="49" t="s">
        <v>6243</v>
      </c>
      <c r="E8" s="45" t="s">
        <v>6248</v>
      </c>
      <c r="F8" s="45" t="s">
        <v>6249</v>
      </c>
      <c r="G8" s="45">
        <v>14418</v>
      </c>
      <c r="H8" s="45">
        <v>11</v>
      </c>
      <c r="I8" s="56" t="s">
        <v>6228</v>
      </c>
    </row>
    <row r="9" ht="78" customHeight="1" spans="1:9">
      <c r="A9" s="44">
        <v>7</v>
      </c>
      <c r="B9" s="50" t="s">
        <v>6250</v>
      </c>
      <c r="C9" s="50" t="s">
        <v>6251</v>
      </c>
      <c r="D9" s="46" t="s">
        <v>6225</v>
      </c>
      <c r="E9" s="45" t="s">
        <v>6252</v>
      </c>
      <c r="F9" s="45" t="s">
        <v>6253</v>
      </c>
      <c r="G9" s="45">
        <v>14674</v>
      </c>
      <c r="H9" s="45">
        <v>11</v>
      </c>
      <c r="I9" s="56" t="s">
        <v>6228</v>
      </c>
    </row>
    <row r="10" ht="33" spans="1:9">
      <c r="A10" s="44">
        <v>8</v>
      </c>
      <c r="B10" s="51" t="s">
        <v>6254</v>
      </c>
      <c r="C10" s="51" t="s">
        <v>6255</v>
      </c>
      <c r="D10" s="49" t="s">
        <v>6243</v>
      </c>
      <c r="E10" s="52" t="s">
        <v>6256</v>
      </c>
      <c r="F10" s="51" t="s">
        <v>6257</v>
      </c>
      <c r="G10" s="52">
        <v>15186</v>
      </c>
      <c r="H10" s="52">
        <v>3</v>
      </c>
      <c r="I10" s="57" t="s">
        <v>6258</v>
      </c>
    </row>
    <row r="11" ht="33" spans="1:9">
      <c r="A11" s="44">
        <v>9</v>
      </c>
      <c r="B11" s="51" t="s">
        <v>6259</v>
      </c>
      <c r="C11" s="51" t="s">
        <v>6260</v>
      </c>
      <c r="D11" s="49" t="s">
        <v>6243</v>
      </c>
      <c r="E11" s="52" t="s">
        <v>6261</v>
      </c>
      <c r="F11" s="51" t="s">
        <v>6262</v>
      </c>
      <c r="G11" s="52">
        <v>15186</v>
      </c>
      <c r="H11" s="52">
        <v>4</v>
      </c>
      <c r="I11" s="57" t="s">
        <v>6258</v>
      </c>
    </row>
    <row r="12" ht="33" spans="1:9">
      <c r="A12" s="44">
        <v>10</v>
      </c>
      <c r="B12" s="51" t="s">
        <v>6263</v>
      </c>
      <c r="C12" s="51" t="s">
        <v>6264</v>
      </c>
      <c r="D12" s="49" t="s">
        <v>6243</v>
      </c>
      <c r="E12" s="52" t="s">
        <v>6265</v>
      </c>
      <c r="F12" s="51" t="s">
        <v>6266</v>
      </c>
      <c r="G12" s="52">
        <v>15186</v>
      </c>
      <c r="H12" s="52">
        <v>5</v>
      </c>
      <c r="I12" s="57" t="s">
        <v>6258</v>
      </c>
    </row>
    <row r="13" ht="33" spans="1:9">
      <c r="A13" s="44">
        <v>11</v>
      </c>
      <c r="B13" s="51" t="s">
        <v>6267</v>
      </c>
      <c r="C13" s="51" t="s">
        <v>6268</v>
      </c>
      <c r="D13" s="49" t="s">
        <v>6243</v>
      </c>
      <c r="E13" s="52" t="s">
        <v>6269</v>
      </c>
      <c r="F13" s="52" t="s">
        <v>6270</v>
      </c>
      <c r="G13" s="52">
        <v>13650</v>
      </c>
      <c r="H13" s="52">
        <v>5</v>
      </c>
      <c r="I13" s="57" t="s">
        <v>6258</v>
      </c>
    </row>
    <row r="14" ht="87" customHeight="1" spans="1:9">
      <c r="A14" s="44">
        <v>12</v>
      </c>
      <c r="B14" s="51" t="s">
        <v>6271</v>
      </c>
      <c r="C14" s="51" t="s">
        <v>6272</v>
      </c>
      <c r="D14" s="49" t="s">
        <v>6243</v>
      </c>
      <c r="E14" s="52" t="s">
        <v>6273</v>
      </c>
      <c r="F14" s="52" t="s">
        <v>6274</v>
      </c>
      <c r="G14" s="52">
        <v>12370</v>
      </c>
      <c r="H14" s="52">
        <v>3</v>
      </c>
      <c r="I14" s="57" t="s">
        <v>6228</v>
      </c>
    </row>
    <row r="15" ht="33" spans="1:9">
      <c r="A15" s="44">
        <v>13</v>
      </c>
      <c r="B15" s="51" t="s">
        <v>6275</v>
      </c>
      <c r="C15" s="51" t="s">
        <v>6276</v>
      </c>
      <c r="D15" s="49" t="s">
        <v>6243</v>
      </c>
      <c r="E15" s="52" t="s">
        <v>6277</v>
      </c>
      <c r="F15" s="52" t="s">
        <v>6278</v>
      </c>
      <c r="G15" s="52">
        <v>12370</v>
      </c>
      <c r="H15" s="52">
        <v>6</v>
      </c>
      <c r="I15" s="57" t="s">
        <v>6279</v>
      </c>
    </row>
    <row r="16" ht="33" spans="1:9">
      <c r="A16" s="44">
        <v>14</v>
      </c>
      <c r="B16" s="51" t="s">
        <v>6280</v>
      </c>
      <c r="C16" s="51" t="s">
        <v>6281</v>
      </c>
      <c r="D16" s="49" t="s">
        <v>6243</v>
      </c>
      <c r="E16" s="52" t="s">
        <v>6282</v>
      </c>
      <c r="F16" s="52" t="s">
        <v>6283</v>
      </c>
      <c r="G16" s="52">
        <v>12370</v>
      </c>
      <c r="H16" s="52">
        <v>5</v>
      </c>
      <c r="I16" s="57" t="s">
        <v>6279</v>
      </c>
    </row>
    <row r="17" ht="49.5" spans="1:9">
      <c r="A17" s="44">
        <v>15</v>
      </c>
      <c r="B17" s="51" t="s">
        <v>6284</v>
      </c>
      <c r="C17" s="51" t="s">
        <v>6285</v>
      </c>
      <c r="D17" s="49" t="s">
        <v>6243</v>
      </c>
      <c r="E17" s="52" t="s">
        <v>6286</v>
      </c>
      <c r="F17" s="52" t="s">
        <v>6287</v>
      </c>
      <c r="G17" s="52">
        <v>13394</v>
      </c>
      <c r="H17" s="52">
        <v>3</v>
      </c>
      <c r="I17" s="57" t="s">
        <v>6228</v>
      </c>
    </row>
    <row r="18" ht="33" spans="1:9">
      <c r="A18" s="44">
        <v>16</v>
      </c>
      <c r="B18" s="51" t="s">
        <v>6288</v>
      </c>
      <c r="C18" s="51" t="s">
        <v>6289</v>
      </c>
      <c r="D18" s="49" t="s">
        <v>6243</v>
      </c>
      <c r="E18" s="52" t="s">
        <v>6290</v>
      </c>
      <c r="F18" s="52" t="s">
        <v>6291</v>
      </c>
      <c r="G18" s="52">
        <v>13394</v>
      </c>
      <c r="H18" s="52">
        <v>6</v>
      </c>
      <c r="I18" s="57" t="s">
        <v>6279</v>
      </c>
    </row>
    <row r="19" ht="33" spans="1:9">
      <c r="A19" s="44">
        <v>17</v>
      </c>
      <c r="B19" s="51" t="s">
        <v>6292</v>
      </c>
      <c r="C19" s="51" t="s">
        <v>6293</v>
      </c>
      <c r="D19" s="49" t="s">
        <v>6243</v>
      </c>
      <c r="E19" s="52" t="s">
        <v>6294</v>
      </c>
      <c r="F19" s="52" t="s">
        <v>6295</v>
      </c>
      <c r="G19" s="52">
        <v>13394</v>
      </c>
      <c r="H19" s="52">
        <v>5</v>
      </c>
      <c r="I19" s="57" t="s">
        <v>6279</v>
      </c>
    </row>
    <row r="20" ht="100.15" customHeight="1" spans="1:9">
      <c r="A20" s="44">
        <v>18</v>
      </c>
      <c r="B20" s="53" t="s">
        <v>6296</v>
      </c>
      <c r="C20" s="53" t="s">
        <v>6297</v>
      </c>
      <c r="D20" s="54" t="s">
        <v>6243</v>
      </c>
      <c r="E20" s="54" t="s">
        <v>6298</v>
      </c>
      <c r="F20" s="55" t="s">
        <v>6299</v>
      </c>
      <c r="G20" s="54">
        <v>13906</v>
      </c>
      <c r="H20" s="54">
        <v>3</v>
      </c>
      <c r="I20" s="55" t="s">
        <v>6228</v>
      </c>
    </row>
    <row r="21" ht="90" customHeight="1" spans="1:9">
      <c r="A21" s="44">
        <v>19</v>
      </c>
      <c r="B21" s="53" t="s">
        <v>6300</v>
      </c>
      <c r="C21" s="53" t="s">
        <v>6301</v>
      </c>
      <c r="D21" s="54" t="s">
        <v>6225</v>
      </c>
      <c r="E21" s="54" t="s">
        <v>6302</v>
      </c>
      <c r="F21" s="55" t="s">
        <v>6303</v>
      </c>
      <c r="G21" s="54">
        <v>13906</v>
      </c>
      <c r="H21" s="54">
        <v>6</v>
      </c>
      <c r="I21" s="55" t="s">
        <v>6228</v>
      </c>
    </row>
    <row r="22" ht="76.15" customHeight="1" spans="1:9">
      <c r="A22" s="44">
        <v>20</v>
      </c>
      <c r="B22" s="53" t="s">
        <v>6304</v>
      </c>
      <c r="C22" s="53" t="s">
        <v>6305</v>
      </c>
      <c r="D22" s="54" t="s">
        <v>6243</v>
      </c>
      <c r="E22" s="54" t="s">
        <v>6306</v>
      </c>
      <c r="F22" s="55" t="s">
        <v>6307</v>
      </c>
      <c r="G22" s="54">
        <v>13906</v>
      </c>
      <c r="H22" s="54">
        <v>5</v>
      </c>
      <c r="I22" s="55" t="s">
        <v>6228</v>
      </c>
    </row>
    <row r="23" ht="84" customHeight="1" spans="1:9">
      <c r="A23" s="44">
        <v>21</v>
      </c>
      <c r="B23" s="51" t="s">
        <v>6308</v>
      </c>
      <c r="C23" s="51" t="s">
        <v>6309</v>
      </c>
      <c r="D23" s="49" t="s">
        <v>6243</v>
      </c>
      <c r="E23" s="52" t="s">
        <v>6310</v>
      </c>
      <c r="F23" s="52" t="s">
        <v>6311</v>
      </c>
      <c r="G23" s="52">
        <v>14930</v>
      </c>
      <c r="H23" s="52">
        <v>4</v>
      </c>
      <c r="I23" s="57" t="s">
        <v>6279</v>
      </c>
    </row>
    <row r="24" ht="92.1" customHeight="1" spans="1:9">
      <c r="A24" s="44">
        <v>22</v>
      </c>
      <c r="B24" s="51" t="s">
        <v>6312</v>
      </c>
      <c r="C24" s="51" t="s">
        <v>6313</v>
      </c>
      <c r="D24" s="49" t="s">
        <v>6243</v>
      </c>
      <c r="E24" s="52" t="s">
        <v>6310</v>
      </c>
      <c r="F24" s="52" t="s">
        <v>6314</v>
      </c>
      <c r="G24" s="52">
        <v>14930</v>
      </c>
      <c r="H24" s="52">
        <v>3</v>
      </c>
      <c r="I24" s="57" t="s">
        <v>6279</v>
      </c>
    </row>
    <row r="25" ht="85.15" customHeight="1" spans="1:9">
      <c r="A25" s="44">
        <v>23</v>
      </c>
      <c r="B25" s="51" t="s">
        <v>6315</v>
      </c>
      <c r="C25" s="51" t="s">
        <v>6316</v>
      </c>
      <c r="D25" s="49" t="s">
        <v>6243</v>
      </c>
      <c r="E25" s="52" t="s">
        <v>6317</v>
      </c>
      <c r="F25" s="52" t="s">
        <v>6318</v>
      </c>
      <c r="G25" s="52">
        <v>19026</v>
      </c>
      <c r="H25" s="52">
        <v>1</v>
      </c>
      <c r="I25" s="57" t="s">
        <v>6279</v>
      </c>
    </row>
    <row r="26" ht="91.15" customHeight="1" spans="1:9">
      <c r="A26" s="44">
        <v>24</v>
      </c>
      <c r="B26" s="51" t="s">
        <v>6319</v>
      </c>
      <c r="C26" s="51" t="s">
        <v>6320</v>
      </c>
      <c r="D26" s="49" t="s">
        <v>6243</v>
      </c>
      <c r="E26" s="52" t="s">
        <v>6321</v>
      </c>
      <c r="F26" s="52" t="s">
        <v>6322</v>
      </c>
      <c r="G26" s="52">
        <v>19282</v>
      </c>
      <c r="H26" s="52">
        <v>0</v>
      </c>
      <c r="I26" s="57" t="s">
        <v>6279</v>
      </c>
    </row>
    <row r="27" ht="97.5" customHeight="1" spans="1:9">
      <c r="A27" s="44">
        <v>25</v>
      </c>
      <c r="B27" s="51" t="s">
        <v>6323</v>
      </c>
      <c r="C27" s="51" t="s">
        <v>6324</v>
      </c>
      <c r="D27" s="49" t="s">
        <v>6243</v>
      </c>
      <c r="E27" s="52" t="s">
        <v>6325</v>
      </c>
      <c r="F27" s="52" t="s">
        <v>6326</v>
      </c>
      <c r="G27" s="52">
        <v>19538</v>
      </c>
      <c r="H27" s="52">
        <v>10</v>
      </c>
      <c r="I27" s="57" t="s">
        <v>6279</v>
      </c>
    </row>
    <row r="28" ht="98.1" customHeight="1" spans="1:9">
      <c r="A28" s="44">
        <v>26</v>
      </c>
      <c r="B28" s="51" t="s">
        <v>6327</v>
      </c>
      <c r="C28" s="51" t="s">
        <v>6328</v>
      </c>
      <c r="D28" s="49" t="s">
        <v>6243</v>
      </c>
      <c r="E28" s="52" t="s">
        <v>6329</v>
      </c>
      <c r="F28" s="52" t="s">
        <v>6330</v>
      </c>
      <c r="G28" s="52">
        <v>26450</v>
      </c>
      <c r="H28" s="52">
        <v>3</v>
      </c>
      <c r="I28" s="57" t="s">
        <v>6331</v>
      </c>
    </row>
    <row r="29" ht="123" customHeight="1" spans="1:9">
      <c r="A29" s="44">
        <v>27</v>
      </c>
      <c r="B29" s="53" t="s">
        <v>6332</v>
      </c>
      <c r="C29" s="53" t="s">
        <v>6333</v>
      </c>
      <c r="D29" s="54" t="s">
        <v>6243</v>
      </c>
      <c r="E29" s="54" t="s">
        <v>6334</v>
      </c>
      <c r="F29" s="54" t="s">
        <v>6335</v>
      </c>
      <c r="G29" s="54">
        <v>14162</v>
      </c>
      <c r="H29" s="54">
        <v>3</v>
      </c>
      <c r="I29" s="55" t="s">
        <v>6228</v>
      </c>
    </row>
    <row r="30" ht="76.15" customHeight="1" spans="1:9">
      <c r="A30" s="44">
        <v>28</v>
      </c>
      <c r="B30" s="51" t="s">
        <v>6336</v>
      </c>
      <c r="C30" s="51" t="s">
        <v>6337</v>
      </c>
      <c r="D30" s="49" t="s">
        <v>6243</v>
      </c>
      <c r="E30" s="52" t="s">
        <v>6338</v>
      </c>
      <c r="F30" s="52" t="s">
        <v>6339</v>
      </c>
      <c r="G30" s="52">
        <v>18770</v>
      </c>
      <c r="H30" s="52">
        <v>7</v>
      </c>
      <c r="I30" s="57" t="s">
        <v>6331</v>
      </c>
    </row>
    <row r="31" ht="76.15" customHeight="1" spans="1:9">
      <c r="A31" s="44">
        <v>29</v>
      </c>
      <c r="B31" s="51" t="s">
        <v>6340</v>
      </c>
      <c r="C31" s="51" t="s">
        <v>6341</v>
      </c>
      <c r="D31" s="49" t="s">
        <v>6243</v>
      </c>
      <c r="E31" s="52" t="s">
        <v>6342</v>
      </c>
      <c r="F31" s="52" t="s">
        <v>6343</v>
      </c>
      <c r="G31" s="52">
        <v>22866</v>
      </c>
      <c r="H31" s="52">
        <v>7</v>
      </c>
      <c r="I31" s="57" t="s">
        <v>6331</v>
      </c>
    </row>
    <row r="32" ht="111.95" customHeight="1" spans="1:9">
      <c r="A32" s="44">
        <v>30</v>
      </c>
      <c r="B32" s="51" t="s">
        <v>6344</v>
      </c>
      <c r="C32" s="51" t="s">
        <v>6345</v>
      </c>
      <c r="D32" s="49" t="s">
        <v>6243</v>
      </c>
      <c r="E32" s="52" t="s">
        <v>6346</v>
      </c>
      <c r="F32" s="52" t="s">
        <v>6347</v>
      </c>
      <c r="G32" s="52">
        <v>23122</v>
      </c>
      <c r="H32" s="52">
        <v>4</v>
      </c>
      <c r="I32" s="57" t="s">
        <v>6228</v>
      </c>
    </row>
    <row r="33" ht="102" customHeight="1" spans="1:9">
      <c r="A33" s="44">
        <v>31</v>
      </c>
      <c r="B33" s="51" t="s">
        <v>6348</v>
      </c>
      <c r="C33" s="51" t="s">
        <v>6349</v>
      </c>
      <c r="D33" s="49" t="s">
        <v>6243</v>
      </c>
      <c r="E33" s="52" t="s">
        <v>6346</v>
      </c>
      <c r="F33" s="52" t="s">
        <v>6350</v>
      </c>
      <c r="G33" s="52">
        <v>23122</v>
      </c>
      <c r="H33" s="52">
        <v>3</v>
      </c>
      <c r="I33" s="57" t="s">
        <v>6228</v>
      </c>
    </row>
    <row r="34" ht="85.5" customHeight="1" spans="1:9">
      <c r="A34" s="44">
        <v>32</v>
      </c>
      <c r="B34" s="51" t="s">
        <v>6351</v>
      </c>
      <c r="C34" s="51" t="s">
        <v>6352</v>
      </c>
      <c r="D34" s="48" t="s">
        <v>6239</v>
      </c>
      <c r="E34" s="52" t="s">
        <v>6353</v>
      </c>
      <c r="F34" s="52" t="s">
        <v>6354</v>
      </c>
      <c r="G34" s="52">
        <v>4187</v>
      </c>
      <c r="H34" s="52">
        <v>16</v>
      </c>
      <c r="I34" s="57" t="s">
        <v>6279</v>
      </c>
    </row>
    <row r="35" ht="72" customHeight="1" spans="1:9">
      <c r="A35" s="44">
        <v>33</v>
      </c>
      <c r="B35" s="51" t="s">
        <v>6355</v>
      </c>
      <c r="C35" s="51" t="s">
        <v>6356</v>
      </c>
      <c r="D35" s="48" t="s">
        <v>6239</v>
      </c>
      <c r="E35" s="52" t="s">
        <v>6357</v>
      </c>
      <c r="F35" s="52" t="s">
        <v>6358</v>
      </c>
      <c r="G35" s="52">
        <v>135250</v>
      </c>
      <c r="H35" s="52">
        <v>2</v>
      </c>
      <c r="I35" s="57" t="s">
        <v>6279</v>
      </c>
    </row>
    <row r="36" ht="76.15" customHeight="1" spans="1:9">
      <c r="A36" s="44">
        <v>34</v>
      </c>
      <c r="B36" s="51" t="s">
        <v>6359</v>
      </c>
      <c r="C36" s="51" t="s">
        <v>6360</v>
      </c>
      <c r="D36" s="46" t="s">
        <v>6225</v>
      </c>
      <c r="E36" s="52" t="s">
        <v>6361</v>
      </c>
      <c r="F36" s="52" t="s">
        <v>6362</v>
      </c>
      <c r="G36" s="52">
        <v>16722</v>
      </c>
      <c r="H36" s="52">
        <v>3</v>
      </c>
      <c r="I36" s="57" t="s">
        <v>6228</v>
      </c>
    </row>
    <row r="37" ht="69" customHeight="1" spans="1:9">
      <c r="A37" s="44">
        <v>35</v>
      </c>
      <c r="B37" s="51" t="s">
        <v>6363</v>
      </c>
      <c r="C37" s="51" t="s">
        <v>6364</v>
      </c>
      <c r="D37" s="46" t="s">
        <v>6225</v>
      </c>
      <c r="E37" s="52" t="s">
        <v>6365</v>
      </c>
      <c r="F37" s="52" t="s">
        <v>6366</v>
      </c>
      <c r="G37" s="52">
        <v>16722</v>
      </c>
      <c r="H37" s="52">
        <v>6</v>
      </c>
      <c r="I37" s="57" t="s">
        <v>6228</v>
      </c>
    </row>
    <row r="38" ht="71.1" customHeight="1" spans="1:9">
      <c r="A38" s="44">
        <v>36</v>
      </c>
      <c r="B38" s="51" t="s">
        <v>6367</v>
      </c>
      <c r="C38" s="51" t="s">
        <v>6368</v>
      </c>
      <c r="D38" s="46" t="s">
        <v>6225</v>
      </c>
      <c r="E38" s="52" t="s">
        <v>6369</v>
      </c>
      <c r="F38" s="52" t="s">
        <v>6370</v>
      </c>
      <c r="G38" s="52">
        <v>16722</v>
      </c>
      <c r="H38" s="52">
        <v>5</v>
      </c>
      <c r="I38" s="57" t="s">
        <v>6228</v>
      </c>
    </row>
    <row r="39" ht="80.1" customHeight="1" spans="1:9">
      <c r="A39" s="44">
        <v>37</v>
      </c>
      <c r="B39" s="51" t="s">
        <v>6371</v>
      </c>
      <c r="C39" s="51" t="s">
        <v>6372</v>
      </c>
      <c r="D39" s="46" t="s">
        <v>6225</v>
      </c>
      <c r="E39" s="52" t="s">
        <v>6373</v>
      </c>
      <c r="F39" s="52" t="s">
        <v>6374</v>
      </c>
      <c r="G39" s="52">
        <v>16978</v>
      </c>
      <c r="H39" s="52">
        <v>3</v>
      </c>
      <c r="I39" s="57" t="s">
        <v>6228</v>
      </c>
    </row>
    <row r="40" ht="75" customHeight="1" spans="1:9">
      <c r="A40" s="44">
        <v>38</v>
      </c>
      <c r="B40" s="51" t="s">
        <v>6375</v>
      </c>
      <c r="C40" s="51" t="s">
        <v>6376</v>
      </c>
      <c r="D40" s="46" t="s">
        <v>6225</v>
      </c>
      <c r="E40" s="52" t="s">
        <v>6377</v>
      </c>
      <c r="F40" s="52" t="s">
        <v>6378</v>
      </c>
      <c r="G40" s="52">
        <v>16978</v>
      </c>
      <c r="H40" s="52">
        <v>6</v>
      </c>
      <c r="I40" s="57" t="s">
        <v>6228</v>
      </c>
    </row>
    <row r="41" ht="77.1" customHeight="1" spans="1:9">
      <c r="A41" s="44">
        <v>39</v>
      </c>
      <c r="B41" s="51" t="s">
        <v>6379</v>
      </c>
      <c r="C41" s="51" t="s">
        <v>6380</v>
      </c>
      <c r="D41" s="46" t="s">
        <v>6225</v>
      </c>
      <c r="E41" s="52" t="s">
        <v>6381</v>
      </c>
      <c r="F41" s="52" t="s">
        <v>6382</v>
      </c>
      <c r="G41" s="52">
        <v>16978</v>
      </c>
      <c r="H41" s="52">
        <v>5</v>
      </c>
      <c r="I41" s="57" t="s">
        <v>6228</v>
      </c>
    </row>
    <row r="42" ht="79.15" customHeight="1" spans="1:9">
      <c r="A42" s="44">
        <v>40</v>
      </c>
      <c r="B42" s="51" t="s">
        <v>6383</v>
      </c>
      <c r="C42" s="51" t="s">
        <v>6384</v>
      </c>
      <c r="D42" s="49" t="s">
        <v>6243</v>
      </c>
      <c r="E42" s="52" t="s">
        <v>6385</v>
      </c>
      <c r="F42" s="52" t="s">
        <v>6386</v>
      </c>
      <c r="G42" s="52">
        <v>17234</v>
      </c>
      <c r="H42" s="52">
        <v>3</v>
      </c>
      <c r="I42" s="57" t="s">
        <v>6279</v>
      </c>
    </row>
    <row r="43" ht="73.15" customHeight="1" spans="1:9">
      <c r="A43" s="44">
        <v>41</v>
      </c>
      <c r="B43" s="51" t="s">
        <v>6387</v>
      </c>
      <c r="C43" s="51" t="s">
        <v>6388</v>
      </c>
      <c r="D43" s="49" t="s">
        <v>6243</v>
      </c>
      <c r="E43" s="52" t="s">
        <v>6389</v>
      </c>
      <c r="F43" s="52" t="s">
        <v>6390</v>
      </c>
      <c r="G43" s="52">
        <v>17234</v>
      </c>
      <c r="H43" s="52">
        <v>6</v>
      </c>
      <c r="I43" s="57" t="s">
        <v>6279</v>
      </c>
    </row>
    <row r="44" ht="83.1" customHeight="1" spans="1:9">
      <c r="A44" s="44">
        <v>42</v>
      </c>
      <c r="B44" s="51" t="s">
        <v>6391</v>
      </c>
      <c r="C44" s="51" t="s">
        <v>6392</v>
      </c>
      <c r="D44" s="49" t="s">
        <v>6243</v>
      </c>
      <c r="E44" s="52" t="s">
        <v>6393</v>
      </c>
      <c r="F44" s="52" t="s">
        <v>6394</v>
      </c>
      <c r="G44" s="52">
        <v>17234</v>
      </c>
      <c r="H44" s="52">
        <v>5</v>
      </c>
      <c r="I44" s="57" t="s">
        <v>6279</v>
      </c>
    </row>
    <row r="45" ht="81" customHeight="1" spans="1:9">
      <c r="A45" s="44">
        <v>43</v>
      </c>
      <c r="B45" s="51" t="s">
        <v>6395</v>
      </c>
      <c r="C45" s="51" t="s">
        <v>6396</v>
      </c>
      <c r="D45" s="46" t="s">
        <v>6225</v>
      </c>
      <c r="E45" s="52" t="s">
        <v>6395</v>
      </c>
      <c r="F45" s="52" t="s">
        <v>6397</v>
      </c>
      <c r="G45" s="52">
        <v>21330</v>
      </c>
      <c r="H45" s="52">
        <v>25</v>
      </c>
      <c r="I45" s="57" t="s">
        <v>6228</v>
      </c>
    </row>
    <row r="46" ht="81" customHeight="1" spans="1:9">
      <c r="A46" s="44">
        <v>44</v>
      </c>
      <c r="B46" s="51" t="s">
        <v>6398</v>
      </c>
      <c r="C46" s="51" t="s">
        <v>6399</v>
      </c>
      <c r="D46" s="46" t="s">
        <v>6225</v>
      </c>
      <c r="E46" s="52" t="s">
        <v>6398</v>
      </c>
      <c r="F46" s="52" t="s">
        <v>6400</v>
      </c>
      <c r="G46" s="52">
        <v>21330</v>
      </c>
      <c r="H46" s="52">
        <v>24</v>
      </c>
      <c r="I46" s="57" t="s">
        <v>6228</v>
      </c>
    </row>
    <row r="47" ht="92.1" customHeight="1" spans="1:9">
      <c r="A47" s="44">
        <v>45</v>
      </c>
      <c r="B47" s="51" t="s">
        <v>6401</v>
      </c>
      <c r="C47" s="51" t="s">
        <v>6402</v>
      </c>
      <c r="D47" s="49" t="s">
        <v>6243</v>
      </c>
      <c r="E47" s="52" t="s">
        <v>6401</v>
      </c>
      <c r="F47" s="52" t="s">
        <v>6403</v>
      </c>
      <c r="G47" s="52">
        <v>17794</v>
      </c>
      <c r="H47" s="52">
        <v>3</v>
      </c>
      <c r="I47" s="57" t="s">
        <v>6228</v>
      </c>
    </row>
    <row r="48" ht="87" customHeight="1" spans="1:9">
      <c r="A48" s="44">
        <v>46</v>
      </c>
      <c r="B48" s="51" t="s">
        <v>6404</v>
      </c>
      <c r="C48" s="51" t="s">
        <v>6405</v>
      </c>
      <c r="D48" s="49" t="s">
        <v>6243</v>
      </c>
      <c r="E48" s="52" t="s">
        <v>6404</v>
      </c>
      <c r="F48" s="52" t="s">
        <v>6406</v>
      </c>
      <c r="G48" s="52">
        <v>17794</v>
      </c>
      <c r="H48" s="52">
        <v>6</v>
      </c>
      <c r="I48" s="57" t="s">
        <v>6228</v>
      </c>
    </row>
    <row r="49" ht="90" customHeight="1" spans="1:9">
      <c r="A49" s="44">
        <v>47</v>
      </c>
      <c r="B49" s="51" t="s">
        <v>6407</v>
      </c>
      <c r="C49" s="51" t="s">
        <v>6408</v>
      </c>
      <c r="D49" s="49" t="s">
        <v>6243</v>
      </c>
      <c r="E49" s="52" t="s">
        <v>6407</v>
      </c>
      <c r="F49" s="52" t="s">
        <v>6409</v>
      </c>
      <c r="G49" s="52">
        <v>17794</v>
      </c>
      <c r="H49" s="52">
        <v>5</v>
      </c>
      <c r="I49" s="57" t="s">
        <v>6228</v>
      </c>
    </row>
    <row r="50" ht="95.1" customHeight="1" spans="1:9">
      <c r="A50" s="44">
        <v>48</v>
      </c>
      <c r="B50" s="51" t="s">
        <v>6410</v>
      </c>
      <c r="C50" s="51" t="s">
        <v>6411</v>
      </c>
      <c r="D50" s="49" t="s">
        <v>6243</v>
      </c>
      <c r="E50" s="52" t="s">
        <v>6410</v>
      </c>
      <c r="F50" s="52" t="s">
        <v>6412</v>
      </c>
      <c r="G50" s="52">
        <v>18050</v>
      </c>
      <c r="H50" s="52">
        <v>3</v>
      </c>
      <c r="I50" s="57" t="s">
        <v>6228</v>
      </c>
    </row>
    <row r="51" ht="86.1" customHeight="1" spans="1:9">
      <c r="A51" s="44">
        <v>49</v>
      </c>
      <c r="B51" s="51" t="s">
        <v>6413</v>
      </c>
      <c r="C51" s="51" t="s">
        <v>6414</v>
      </c>
      <c r="D51" s="49" t="s">
        <v>6243</v>
      </c>
      <c r="E51" s="52" t="s">
        <v>6413</v>
      </c>
      <c r="F51" s="52" t="s">
        <v>6415</v>
      </c>
      <c r="G51" s="52">
        <v>18050</v>
      </c>
      <c r="H51" s="52">
        <v>6</v>
      </c>
      <c r="I51" s="57" t="s">
        <v>6228</v>
      </c>
    </row>
    <row r="52" ht="89.1" customHeight="1" spans="1:9">
      <c r="A52" s="44">
        <v>50</v>
      </c>
      <c r="B52" s="51" t="s">
        <v>6416</v>
      </c>
      <c r="C52" s="51" t="s">
        <v>6417</v>
      </c>
      <c r="D52" s="49" t="s">
        <v>6243</v>
      </c>
      <c r="E52" s="52" t="s">
        <v>6416</v>
      </c>
      <c r="F52" s="52" t="s">
        <v>6418</v>
      </c>
      <c r="G52" s="52">
        <v>18050</v>
      </c>
      <c r="H52" s="52">
        <v>5</v>
      </c>
      <c r="I52" s="57" t="s">
        <v>6228</v>
      </c>
    </row>
    <row r="53" ht="86.1" customHeight="1" spans="1:9">
      <c r="A53" s="44">
        <v>51</v>
      </c>
      <c r="B53" s="51" t="s">
        <v>6419</v>
      </c>
      <c r="C53" s="51" t="s">
        <v>6420</v>
      </c>
      <c r="D53" s="49" t="s">
        <v>6243</v>
      </c>
      <c r="E53" s="52" t="s">
        <v>6419</v>
      </c>
      <c r="F53" s="52" t="s">
        <v>6421</v>
      </c>
      <c r="G53" s="52">
        <v>18050</v>
      </c>
      <c r="H53" s="52">
        <v>0</v>
      </c>
      <c r="I53" s="57" t="s">
        <v>6228</v>
      </c>
    </row>
    <row r="54" ht="71.1" customHeight="1" spans="1:9">
      <c r="A54" s="44">
        <v>52</v>
      </c>
      <c r="B54" s="51" t="s">
        <v>6422</v>
      </c>
      <c r="C54" s="51" t="s">
        <v>6423</v>
      </c>
      <c r="D54" s="49" t="s">
        <v>6243</v>
      </c>
      <c r="E54" s="52" t="s">
        <v>6422</v>
      </c>
      <c r="F54" s="52" t="s">
        <v>6424</v>
      </c>
      <c r="G54" s="52">
        <v>18050</v>
      </c>
      <c r="H54" s="52">
        <v>10</v>
      </c>
      <c r="I54" s="57" t="s">
        <v>6279</v>
      </c>
    </row>
    <row r="55" ht="87" customHeight="1" spans="1:9">
      <c r="A55" s="44">
        <v>53</v>
      </c>
      <c r="B55" s="51" t="s">
        <v>6425</v>
      </c>
      <c r="C55" s="51" t="s">
        <v>6426</v>
      </c>
      <c r="D55" s="49" t="s">
        <v>6243</v>
      </c>
      <c r="E55" s="52" t="s">
        <v>6425</v>
      </c>
      <c r="F55" s="52" t="s">
        <v>6427</v>
      </c>
      <c r="G55" s="52">
        <v>18050</v>
      </c>
      <c r="H55" s="52">
        <v>2</v>
      </c>
      <c r="I55" s="57" t="s">
        <v>6228</v>
      </c>
    </row>
    <row r="56" ht="98.1" customHeight="1" spans="1:9">
      <c r="A56" s="44">
        <v>54</v>
      </c>
      <c r="B56" s="51" t="s">
        <v>6428</v>
      </c>
      <c r="C56" s="51" t="s">
        <v>6429</v>
      </c>
      <c r="D56" s="49" t="s">
        <v>6243</v>
      </c>
      <c r="E56" s="52" t="s">
        <v>6428</v>
      </c>
      <c r="F56" s="52" t="s">
        <v>6430</v>
      </c>
      <c r="G56" s="52">
        <v>18306</v>
      </c>
      <c r="H56" s="52">
        <v>5</v>
      </c>
      <c r="I56" s="57" t="s">
        <v>6228</v>
      </c>
    </row>
    <row r="57" ht="90.95" customHeight="1" spans="1:9">
      <c r="A57" s="44">
        <v>55</v>
      </c>
      <c r="B57" s="51" t="s">
        <v>6431</v>
      </c>
      <c r="C57" s="51" t="s">
        <v>6432</v>
      </c>
      <c r="D57" s="49" t="s">
        <v>6243</v>
      </c>
      <c r="E57" s="52" t="s">
        <v>6431</v>
      </c>
      <c r="F57" s="52" t="s">
        <v>6433</v>
      </c>
      <c r="G57" s="52">
        <v>18114</v>
      </c>
      <c r="H57" s="52">
        <v>19</v>
      </c>
      <c r="I57" s="57" t="s">
        <v>6228</v>
      </c>
    </row>
    <row r="58" ht="93" customHeight="1" spans="1:9">
      <c r="A58" s="44">
        <v>56</v>
      </c>
      <c r="B58" s="51" t="s">
        <v>6434</v>
      </c>
      <c r="C58" s="51" t="s">
        <v>6435</v>
      </c>
      <c r="D58" s="49" t="s">
        <v>6243</v>
      </c>
      <c r="E58" s="52" t="s">
        <v>6434</v>
      </c>
      <c r="F58" s="52" t="s">
        <v>6436</v>
      </c>
      <c r="G58" s="52">
        <v>22465</v>
      </c>
      <c r="H58" s="52">
        <v>19</v>
      </c>
      <c r="I58" s="57" t="s">
        <v>6228</v>
      </c>
    </row>
    <row r="59" ht="71.1" customHeight="1" spans="1:9">
      <c r="A59" s="44">
        <v>57</v>
      </c>
      <c r="B59" s="51" t="s">
        <v>6437</v>
      </c>
      <c r="C59" s="51" t="s">
        <v>6438</v>
      </c>
      <c r="D59" s="49" t="s">
        <v>6243</v>
      </c>
      <c r="E59" s="52" t="s">
        <v>6437</v>
      </c>
      <c r="F59" s="52" t="s">
        <v>6439</v>
      </c>
      <c r="G59" s="52">
        <v>12995</v>
      </c>
      <c r="H59" s="52">
        <v>9</v>
      </c>
      <c r="I59" s="57" t="s">
        <v>6279</v>
      </c>
    </row>
    <row r="60" ht="60" customHeight="1" spans="1:9">
      <c r="A60" s="44">
        <v>58</v>
      </c>
      <c r="B60" s="51" t="s">
        <v>6440</v>
      </c>
      <c r="C60" s="51" t="s">
        <v>6441</v>
      </c>
      <c r="D60" s="49" t="s">
        <v>6243</v>
      </c>
      <c r="E60" s="52" t="s">
        <v>6440</v>
      </c>
      <c r="F60" s="52" t="s">
        <v>6442</v>
      </c>
      <c r="G60" s="52">
        <v>13251</v>
      </c>
      <c r="H60" s="52">
        <v>9</v>
      </c>
      <c r="I60" s="57" t="s">
        <v>6279</v>
      </c>
    </row>
    <row r="61" ht="60" customHeight="1" spans="1:9">
      <c r="A61" s="44">
        <v>59</v>
      </c>
      <c r="B61" s="51" t="s">
        <v>6443</v>
      </c>
      <c r="C61" s="51" t="s">
        <v>6444</v>
      </c>
      <c r="D61" s="49" t="s">
        <v>6243</v>
      </c>
      <c r="E61" s="52" t="s">
        <v>6443</v>
      </c>
      <c r="F61" s="52" t="s">
        <v>6445</v>
      </c>
      <c r="G61" s="52">
        <v>13507</v>
      </c>
      <c r="H61" s="52">
        <v>9</v>
      </c>
      <c r="I61" s="57" t="s">
        <v>6279</v>
      </c>
    </row>
    <row r="62" ht="60" customHeight="1" spans="1:9">
      <c r="A62" s="44">
        <v>60</v>
      </c>
      <c r="B62" s="51" t="s">
        <v>6446</v>
      </c>
      <c r="C62" s="51" t="s">
        <v>6447</v>
      </c>
      <c r="D62" s="49" t="s">
        <v>6243</v>
      </c>
      <c r="E62" s="52" t="s">
        <v>6446</v>
      </c>
      <c r="F62" s="52" t="s">
        <v>6448</v>
      </c>
      <c r="G62" s="52">
        <v>13763</v>
      </c>
      <c r="H62" s="52">
        <v>9</v>
      </c>
      <c r="I62" s="57" t="s">
        <v>6279</v>
      </c>
    </row>
    <row r="63" ht="60" customHeight="1" spans="1:9">
      <c r="A63" s="44">
        <v>61</v>
      </c>
      <c r="B63" s="51" t="s">
        <v>6449</v>
      </c>
      <c r="C63" s="51" t="s">
        <v>6450</v>
      </c>
      <c r="D63" s="49" t="s">
        <v>6243</v>
      </c>
      <c r="E63" s="52" t="s">
        <v>6449</v>
      </c>
      <c r="F63" s="52" t="s">
        <v>6451</v>
      </c>
      <c r="G63" s="52">
        <v>14019</v>
      </c>
      <c r="H63" s="52">
        <v>9</v>
      </c>
      <c r="I63" s="57" t="s">
        <v>6279</v>
      </c>
    </row>
    <row r="64" ht="60" customHeight="1" spans="1:9">
      <c r="A64" s="44">
        <v>62</v>
      </c>
      <c r="B64" s="51" t="s">
        <v>6452</v>
      </c>
      <c r="C64" s="51" t="s">
        <v>6453</v>
      </c>
      <c r="D64" s="49" t="s">
        <v>6243</v>
      </c>
      <c r="E64" s="52" t="s">
        <v>6452</v>
      </c>
      <c r="F64" s="52" t="s">
        <v>6454</v>
      </c>
      <c r="G64" s="52">
        <v>14275</v>
      </c>
      <c r="H64" s="52">
        <v>9</v>
      </c>
      <c r="I64" s="57" t="s">
        <v>6279</v>
      </c>
    </row>
    <row r="65" ht="93.95" customHeight="1" spans="1:9">
      <c r="A65" s="44">
        <v>63</v>
      </c>
      <c r="B65" s="51" t="s">
        <v>6455</v>
      </c>
      <c r="C65" s="51" t="s">
        <v>6456</v>
      </c>
      <c r="D65" s="49" t="s">
        <v>6243</v>
      </c>
      <c r="E65" s="52" t="s">
        <v>6455</v>
      </c>
      <c r="F65" s="52" t="s">
        <v>6457</v>
      </c>
      <c r="G65" s="52">
        <v>14531</v>
      </c>
      <c r="H65" s="52">
        <v>9</v>
      </c>
      <c r="I65" s="57" t="s">
        <v>6228</v>
      </c>
    </row>
    <row r="66" ht="93.95" customHeight="1" spans="1:9">
      <c r="A66" s="44">
        <v>64</v>
      </c>
      <c r="B66" s="51" t="s">
        <v>6458</v>
      </c>
      <c r="C66" s="51" t="s">
        <v>6459</v>
      </c>
      <c r="D66" s="49" t="s">
        <v>6243</v>
      </c>
      <c r="E66" s="52" t="s">
        <v>6458</v>
      </c>
      <c r="F66" s="52" t="s">
        <v>6460</v>
      </c>
      <c r="G66" s="52">
        <v>14787</v>
      </c>
      <c r="H66" s="52">
        <v>9</v>
      </c>
      <c r="I66" s="57" t="s">
        <v>6228</v>
      </c>
    </row>
    <row r="67" ht="60" customHeight="1" spans="1:9">
      <c r="A67" s="44">
        <v>65</v>
      </c>
      <c r="B67" s="51" t="s">
        <v>6461</v>
      </c>
      <c r="C67" s="51" t="s">
        <v>6462</v>
      </c>
      <c r="D67" s="49" t="s">
        <v>6243</v>
      </c>
      <c r="E67" s="52" t="s">
        <v>6461</v>
      </c>
      <c r="F67" s="52" t="s">
        <v>6463</v>
      </c>
      <c r="G67" s="52">
        <v>12739</v>
      </c>
      <c r="H67" s="52">
        <v>9</v>
      </c>
      <c r="I67" s="57" t="s">
        <v>6279</v>
      </c>
    </row>
    <row r="68" ht="60" customHeight="1" spans="1:9">
      <c r="A68" s="44">
        <v>66</v>
      </c>
      <c r="B68" s="51" t="s">
        <v>6464</v>
      </c>
      <c r="C68" s="51" t="s">
        <v>6465</v>
      </c>
      <c r="D68" s="49" t="s">
        <v>6243</v>
      </c>
      <c r="E68" s="52" t="s">
        <v>6466</v>
      </c>
      <c r="F68" s="52" t="s">
        <v>6467</v>
      </c>
      <c r="G68" s="52">
        <v>15043</v>
      </c>
      <c r="H68" s="52">
        <v>9</v>
      </c>
      <c r="I68" s="57" t="s">
        <v>6279</v>
      </c>
    </row>
    <row r="69" ht="60" customHeight="1" spans="1:9">
      <c r="A69" s="44">
        <v>67</v>
      </c>
      <c r="B69" s="51" t="s">
        <v>6468</v>
      </c>
      <c r="C69" s="51" t="s">
        <v>6469</v>
      </c>
      <c r="D69" s="49" t="s">
        <v>6243</v>
      </c>
      <c r="E69" s="52" t="s">
        <v>6470</v>
      </c>
      <c r="F69" s="52" t="s">
        <v>6471</v>
      </c>
      <c r="G69" s="52">
        <v>15299</v>
      </c>
      <c r="H69" s="52">
        <v>9</v>
      </c>
      <c r="I69" s="57" t="s">
        <v>6279</v>
      </c>
    </row>
    <row r="70" ht="60" customHeight="1" spans="1:9">
      <c r="A70" s="44">
        <v>68</v>
      </c>
      <c r="B70" s="51" t="s">
        <v>6472</v>
      </c>
      <c r="C70" s="51" t="s">
        <v>6473</v>
      </c>
      <c r="D70" s="49" t="s">
        <v>6243</v>
      </c>
      <c r="E70" s="52" t="s">
        <v>6474</v>
      </c>
      <c r="F70" s="52" t="s">
        <v>6475</v>
      </c>
      <c r="G70" s="52">
        <v>15555</v>
      </c>
      <c r="H70" s="52">
        <v>9</v>
      </c>
      <c r="I70" s="57" t="s">
        <v>6279</v>
      </c>
    </row>
    <row r="71" ht="60" customHeight="1" spans="1:9">
      <c r="A71" s="44">
        <v>69</v>
      </c>
      <c r="B71" s="51" t="s">
        <v>6476</v>
      </c>
      <c r="C71" s="51" t="s">
        <v>6477</v>
      </c>
      <c r="D71" s="49" t="s">
        <v>6243</v>
      </c>
      <c r="E71" s="52" t="s">
        <v>6476</v>
      </c>
      <c r="F71" s="52" t="s">
        <v>6478</v>
      </c>
      <c r="G71" s="52">
        <v>12993</v>
      </c>
      <c r="H71" s="52">
        <v>2</v>
      </c>
      <c r="I71" s="57" t="s">
        <v>6279</v>
      </c>
    </row>
    <row r="72" ht="60" customHeight="1" spans="1:9">
      <c r="A72" s="44">
        <v>70</v>
      </c>
      <c r="B72" s="51" t="s">
        <v>6479</v>
      </c>
      <c r="C72" s="51" t="s">
        <v>6480</v>
      </c>
      <c r="D72" s="49" t="s">
        <v>6243</v>
      </c>
      <c r="E72" s="52" t="s">
        <v>6479</v>
      </c>
      <c r="F72" s="52" t="s">
        <v>6481</v>
      </c>
      <c r="G72" s="52">
        <v>13249</v>
      </c>
      <c r="H72" s="52">
        <v>2</v>
      </c>
      <c r="I72" s="57" t="s">
        <v>6279</v>
      </c>
    </row>
    <row r="73" ht="60" customHeight="1" spans="1:9">
      <c r="A73" s="44">
        <v>71</v>
      </c>
      <c r="B73" s="51" t="s">
        <v>6482</v>
      </c>
      <c r="C73" s="51" t="s">
        <v>6483</v>
      </c>
      <c r="D73" s="49" t="s">
        <v>6243</v>
      </c>
      <c r="E73" s="52" t="s">
        <v>6482</v>
      </c>
      <c r="F73" s="52" t="s">
        <v>6484</v>
      </c>
      <c r="G73" s="52">
        <v>13505</v>
      </c>
      <c r="H73" s="52">
        <v>2</v>
      </c>
      <c r="I73" s="57" t="s">
        <v>6279</v>
      </c>
    </row>
    <row r="74" ht="60" customHeight="1" spans="1:9">
      <c r="A74" s="44">
        <v>72</v>
      </c>
      <c r="B74" s="51" t="s">
        <v>6485</v>
      </c>
      <c r="C74" s="51" t="s">
        <v>6486</v>
      </c>
      <c r="D74" s="49" t="s">
        <v>6243</v>
      </c>
      <c r="E74" s="52" t="s">
        <v>6485</v>
      </c>
      <c r="F74" s="52" t="s">
        <v>6487</v>
      </c>
      <c r="G74" s="52">
        <v>13761</v>
      </c>
      <c r="H74" s="52">
        <v>2</v>
      </c>
      <c r="I74" s="57" t="s">
        <v>6279</v>
      </c>
    </row>
    <row r="75" ht="60" customHeight="1" spans="1:9">
      <c r="A75" s="44">
        <v>73</v>
      </c>
      <c r="B75" s="51" t="s">
        <v>6488</v>
      </c>
      <c r="C75" s="51" t="s">
        <v>6489</v>
      </c>
      <c r="D75" s="49" t="s">
        <v>6243</v>
      </c>
      <c r="E75" s="52" t="s">
        <v>6488</v>
      </c>
      <c r="F75" s="52" t="s">
        <v>6490</v>
      </c>
      <c r="G75" s="52">
        <v>14017</v>
      </c>
      <c r="H75" s="52">
        <v>2</v>
      </c>
      <c r="I75" s="57" t="s">
        <v>6279</v>
      </c>
    </row>
    <row r="76" ht="60" customHeight="1" spans="1:9">
      <c r="A76" s="44">
        <v>74</v>
      </c>
      <c r="B76" s="51" t="s">
        <v>6491</v>
      </c>
      <c r="C76" s="51" t="s">
        <v>6492</v>
      </c>
      <c r="D76" s="49" t="s">
        <v>6243</v>
      </c>
      <c r="E76" s="52" t="s">
        <v>6491</v>
      </c>
      <c r="F76" s="52" t="s">
        <v>6493</v>
      </c>
      <c r="G76" s="52">
        <v>14273</v>
      </c>
      <c r="H76" s="52">
        <v>2</v>
      </c>
      <c r="I76" s="57" t="s">
        <v>6279</v>
      </c>
    </row>
    <row r="77" ht="87.95" customHeight="1" spans="1:9">
      <c r="A77" s="44">
        <v>75</v>
      </c>
      <c r="B77" s="51" t="s">
        <v>987</v>
      </c>
      <c r="C77" s="51" t="s">
        <v>6494</v>
      </c>
      <c r="D77" s="49" t="s">
        <v>6243</v>
      </c>
      <c r="E77" s="52" t="s">
        <v>987</v>
      </c>
      <c r="F77" s="52" t="s">
        <v>6495</v>
      </c>
      <c r="G77" s="52">
        <v>14529</v>
      </c>
      <c r="H77" s="52">
        <v>2</v>
      </c>
      <c r="I77" s="57" t="s">
        <v>6228</v>
      </c>
    </row>
    <row r="78" ht="86.1" customHeight="1" spans="1:9">
      <c r="A78" s="44">
        <v>76</v>
      </c>
      <c r="B78" s="51" t="s">
        <v>6496</v>
      </c>
      <c r="C78" s="51" t="s">
        <v>6497</v>
      </c>
      <c r="D78" s="49" t="s">
        <v>6243</v>
      </c>
      <c r="E78" s="52" t="s">
        <v>6496</v>
      </c>
      <c r="F78" s="52" t="s">
        <v>6498</v>
      </c>
      <c r="G78" s="52">
        <v>14785</v>
      </c>
      <c r="H78" s="52">
        <v>2</v>
      </c>
      <c r="I78" s="57" t="s">
        <v>6228</v>
      </c>
    </row>
    <row r="79" ht="60" customHeight="1" spans="1:9">
      <c r="A79" s="44">
        <v>77</v>
      </c>
      <c r="B79" s="51" t="s">
        <v>6499</v>
      </c>
      <c r="C79" s="51" t="s">
        <v>6500</v>
      </c>
      <c r="D79" s="49" t="s">
        <v>6243</v>
      </c>
      <c r="E79" s="52" t="s">
        <v>6499</v>
      </c>
      <c r="F79" s="52" t="s">
        <v>6501</v>
      </c>
      <c r="G79" s="52">
        <v>14737</v>
      </c>
      <c r="H79" s="52">
        <v>2</v>
      </c>
      <c r="I79" s="57" t="s">
        <v>6279</v>
      </c>
    </row>
    <row r="80" ht="60" customHeight="1" spans="1:9">
      <c r="A80" s="44">
        <v>78</v>
      </c>
      <c r="B80" s="51" t="s">
        <v>6502</v>
      </c>
      <c r="C80" s="51" t="s">
        <v>6503</v>
      </c>
      <c r="D80" s="49" t="s">
        <v>6243</v>
      </c>
      <c r="E80" s="52" t="s">
        <v>6504</v>
      </c>
      <c r="F80" s="52" t="s">
        <v>6505</v>
      </c>
      <c r="G80" s="52">
        <v>15041</v>
      </c>
      <c r="H80" s="52">
        <v>2</v>
      </c>
      <c r="I80" s="57" t="s">
        <v>6279</v>
      </c>
    </row>
    <row r="81" ht="73.15" customHeight="1" spans="1:9">
      <c r="A81" s="44">
        <v>79</v>
      </c>
      <c r="B81" s="51" t="s">
        <v>6506</v>
      </c>
      <c r="C81" s="51" t="s">
        <v>6507</v>
      </c>
      <c r="D81" s="49" t="s">
        <v>6243</v>
      </c>
      <c r="E81" s="52" t="s">
        <v>6508</v>
      </c>
      <c r="F81" s="52" t="s">
        <v>6509</v>
      </c>
      <c r="G81" s="52">
        <v>15297</v>
      </c>
      <c r="H81" s="52">
        <v>2</v>
      </c>
      <c r="I81" s="57" t="s">
        <v>6279</v>
      </c>
    </row>
    <row r="82" ht="60" customHeight="1" spans="1:9">
      <c r="A82" s="44">
        <v>80</v>
      </c>
      <c r="B82" s="51" t="s">
        <v>6510</v>
      </c>
      <c r="C82" s="51" t="s">
        <v>6511</v>
      </c>
      <c r="D82" s="49" t="s">
        <v>6243</v>
      </c>
      <c r="E82" s="52" t="s">
        <v>6512</v>
      </c>
      <c r="F82" s="52" t="s">
        <v>6513</v>
      </c>
      <c r="G82" s="52">
        <v>15553</v>
      </c>
      <c r="H82" s="52">
        <v>2</v>
      </c>
      <c r="I82" s="57" t="s">
        <v>6279</v>
      </c>
    </row>
    <row r="83" ht="87" customHeight="1" spans="1:9">
      <c r="A83" s="44">
        <v>81</v>
      </c>
      <c r="B83" s="51" t="s">
        <v>6514</v>
      </c>
      <c r="C83" s="51" t="s">
        <v>6515</v>
      </c>
      <c r="D83" s="49" t="s">
        <v>6243</v>
      </c>
      <c r="E83" s="52" t="s">
        <v>6516</v>
      </c>
      <c r="F83" s="52" t="s">
        <v>6517</v>
      </c>
      <c r="G83" s="52">
        <v>8899</v>
      </c>
      <c r="H83" s="52">
        <v>10</v>
      </c>
      <c r="I83" s="57" t="s">
        <v>6228</v>
      </c>
    </row>
    <row r="84" ht="87" customHeight="1" spans="1:9">
      <c r="A84" s="44">
        <v>82</v>
      </c>
      <c r="B84" s="51" t="s">
        <v>6518</v>
      </c>
      <c r="C84" s="51" t="s">
        <v>6519</v>
      </c>
      <c r="D84" s="49" t="s">
        <v>6243</v>
      </c>
      <c r="E84" s="52" t="s">
        <v>6518</v>
      </c>
      <c r="F84" s="52" t="s">
        <v>6520</v>
      </c>
      <c r="G84" s="52">
        <v>8899</v>
      </c>
      <c r="H84" s="52">
        <v>26</v>
      </c>
      <c r="I84" s="57" t="s">
        <v>6228</v>
      </c>
    </row>
    <row r="85" ht="76.15" customHeight="1" spans="1:9">
      <c r="A85" s="44">
        <v>83</v>
      </c>
      <c r="B85" s="51" t="s">
        <v>6521</v>
      </c>
      <c r="C85" s="51" t="s">
        <v>6522</v>
      </c>
      <c r="D85" s="49" t="s">
        <v>6243</v>
      </c>
      <c r="E85" s="52" t="s">
        <v>6523</v>
      </c>
      <c r="F85" s="52" t="s">
        <v>6524</v>
      </c>
      <c r="G85" s="52">
        <v>19027</v>
      </c>
      <c r="H85" s="52">
        <v>1</v>
      </c>
      <c r="I85" s="57" t="s">
        <v>6331</v>
      </c>
    </row>
    <row r="86" ht="74.1" customHeight="1" spans="1:9">
      <c r="A86" s="44">
        <v>84</v>
      </c>
      <c r="B86" s="51" t="s">
        <v>6525</v>
      </c>
      <c r="C86" s="51" t="s">
        <v>6526</v>
      </c>
      <c r="D86" s="49" t="s">
        <v>6243</v>
      </c>
      <c r="E86" s="52" t="s">
        <v>6527</v>
      </c>
      <c r="F86" s="52" t="s">
        <v>6528</v>
      </c>
      <c r="G86" s="52">
        <v>19283</v>
      </c>
      <c r="H86" s="52">
        <v>0</v>
      </c>
      <c r="I86" s="57" t="s">
        <v>6331</v>
      </c>
    </row>
    <row r="87" ht="84.95" customHeight="1" spans="1:9">
      <c r="A87" s="44">
        <v>85</v>
      </c>
      <c r="B87" s="51" t="s">
        <v>6529</v>
      </c>
      <c r="C87" s="51" t="s">
        <v>6530</v>
      </c>
      <c r="D87" s="49" t="s">
        <v>6243</v>
      </c>
      <c r="E87" s="52" t="s">
        <v>6531</v>
      </c>
      <c r="F87" s="52" t="s">
        <v>6532</v>
      </c>
      <c r="G87" s="52">
        <v>19539</v>
      </c>
      <c r="H87" s="52">
        <v>10</v>
      </c>
      <c r="I87" s="57" t="s">
        <v>6228</v>
      </c>
    </row>
    <row r="88" ht="72" customHeight="1" spans="1:9">
      <c r="A88" s="44">
        <v>86</v>
      </c>
      <c r="B88" s="51" t="s">
        <v>6533</v>
      </c>
      <c r="C88" s="51" t="s">
        <v>6534</v>
      </c>
      <c r="D88" s="48" t="s">
        <v>6239</v>
      </c>
      <c r="E88" s="52" t="s">
        <v>6533</v>
      </c>
      <c r="F88" s="57" t="s">
        <v>6535</v>
      </c>
      <c r="G88" s="52">
        <v>13249</v>
      </c>
      <c r="H88" s="52">
        <v>9</v>
      </c>
      <c r="I88" s="57" t="s">
        <v>6279</v>
      </c>
    </row>
    <row r="89" ht="79.15" customHeight="1" spans="1:9">
      <c r="A89" s="44">
        <v>87</v>
      </c>
      <c r="B89" s="51" t="s">
        <v>6536</v>
      </c>
      <c r="C89" s="51" t="s">
        <v>6537</v>
      </c>
      <c r="D89" s="48" t="s">
        <v>6239</v>
      </c>
      <c r="E89" s="52" t="s">
        <v>6536</v>
      </c>
      <c r="F89" s="57" t="s">
        <v>6538</v>
      </c>
      <c r="G89" s="52">
        <v>13505</v>
      </c>
      <c r="H89" s="52">
        <v>9</v>
      </c>
      <c r="I89" s="57" t="s">
        <v>6279</v>
      </c>
    </row>
    <row r="90" ht="79.15" customHeight="1" spans="1:9">
      <c r="A90" s="44">
        <v>88</v>
      </c>
      <c r="B90" s="51" t="s">
        <v>6539</v>
      </c>
      <c r="C90" s="51" t="s">
        <v>6540</v>
      </c>
      <c r="D90" s="48" t="s">
        <v>6239</v>
      </c>
      <c r="E90" s="52" t="s">
        <v>6539</v>
      </c>
      <c r="F90" s="57" t="s">
        <v>6541</v>
      </c>
      <c r="G90" s="52">
        <v>13761</v>
      </c>
      <c r="H90" s="52">
        <v>9</v>
      </c>
      <c r="I90" s="57" t="s">
        <v>6279</v>
      </c>
    </row>
    <row r="91" ht="79.15" customHeight="1" spans="1:9">
      <c r="A91" s="44">
        <v>89</v>
      </c>
      <c r="B91" s="51" t="s">
        <v>6542</v>
      </c>
      <c r="C91" s="51" t="s">
        <v>6543</v>
      </c>
      <c r="D91" s="48" t="s">
        <v>6239</v>
      </c>
      <c r="E91" s="52" t="s">
        <v>6542</v>
      </c>
      <c r="F91" s="57" t="s">
        <v>6544</v>
      </c>
      <c r="G91" s="52">
        <v>14017</v>
      </c>
      <c r="H91" s="52">
        <v>9</v>
      </c>
      <c r="I91" s="57" t="s">
        <v>6279</v>
      </c>
    </row>
    <row r="92" ht="73.15" customHeight="1" spans="1:9">
      <c r="A92" s="44">
        <v>90</v>
      </c>
      <c r="B92" s="51" t="s">
        <v>6545</v>
      </c>
      <c r="C92" s="51" t="s">
        <v>6546</v>
      </c>
      <c r="D92" s="48" t="s">
        <v>6239</v>
      </c>
      <c r="E92" s="52" t="s">
        <v>6545</v>
      </c>
      <c r="F92" s="57" t="s">
        <v>6547</v>
      </c>
      <c r="G92" s="52">
        <v>14273</v>
      </c>
      <c r="H92" s="52">
        <v>9</v>
      </c>
      <c r="I92" s="57" t="s">
        <v>6279</v>
      </c>
    </row>
    <row r="93" ht="72" customHeight="1" spans="1:9">
      <c r="A93" s="44">
        <v>91</v>
      </c>
      <c r="B93" s="51" t="s">
        <v>6548</v>
      </c>
      <c r="C93" s="51" t="s">
        <v>6549</v>
      </c>
      <c r="D93" s="48" t="s">
        <v>6239</v>
      </c>
      <c r="E93" s="52" t="s">
        <v>6548</v>
      </c>
      <c r="F93" s="57" t="s">
        <v>6550</v>
      </c>
      <c r="G93" s="52">
        <v>14529</v>
      </c>
      <c r="H93" s="52">
        <v>9</v>
      </c>
      <c r="I93" s="57" t="s">
        <v>6279</v>
      </c>
    </row>
    <row r="94" ht="74.1" customHeight="1" spans="1:9">
      <c r="A94" s="44">
        <v>92</v>
      </c>
      <c r="B94" s="51" t="s">
        <v>6551</v>
      </c>
      <c r="C94" s="51" t="s">
        <v>6552</v>
      </c>
      <c r="D94" s="48" t="s">
        <v>6239</v>
      </c>
      <c r="E94" s="52" t="s">
        <v>6551</v>
      </c>
      <c r="F94" s="57" t="s">
        <v>6553</v>
      </c>
      <c r="G94" s="52">
        <v>14785</v>
      </c>
      <c r="H94" s="52">
        <v>9</v>
      </c>
      <c r="I94" s="57" t="s">
        <v>6279</v>
      </c>
    </row>
    <row r="95" ht="75" customHeight="1" spans="1:9">
      <c r="A95" s="44">
        <v>93</v>
      </c>
      <c r="B95" s="51" t="s">
        <v>6554</v>
      </c>
      <c r="C95" s="51" t="s">
        <v>6555</v>
      </c>
      <c r="D95" s="48" t="s">
        <v>6239</v>
      </c>
      <c r="E95" s="52" t="s">
        <v>6554</v>
      </c>
      <c r="F95" s="57" t="s">
        <v>6556</v>
      </c>
      <c r="G95" s="52">
        <v>19137</v>
      </c>
      <c r="H95" s="52">
        <v>9</v>
      </c>
      <c r="I95" s="57" t="s">
        <v>6279</v>
      </c>
    </row>
    <row r="96" ht="70.15" customHeight="1" spans="1:9">
      <c r="A96" s="44">
        <v>94</v>
      </c>
      <c r="B96" s="51" t="s">
        <v>6557</v>
      </c>
      <c r="C96" s="51" t="s">
        <v>6558</v>
      </c>
      <c r="D96" s="48" t="s">
        <v>6239</v>
      </c>
      <c r="E96" s="52" t="s">
        <v>6557</v>
      </c>
      <c r="F96" s="57" t="s">
        <v>6559</v>
      </c>
      <c r="G96" s="52">
        <v>19393</v>
      </c>
      <c r="H96" s="52">
        <v>9</v>
      </c>
      <c r="I96" s="57" t="s">
        <v>6279</v>
      </c>
    </row>
    <row r="97" ht="73.15" customHeight="1" spans="1:9">
      <c r="A97" s="44">
        <v>95</v>
      </c>
      <c r="B97" s="51" t="s">
        <v>6560</v>
      </c>
      <c r="C97" s="51" t="s">
        <v>6561</v>
      </c>
      <c r="D97" s="48" t="s">
        <v>6239</v>
      </c>
      <c r="E97" s="52" t="s">
        <v>6560</v>
      </c>
      <c r="F97" s="57" t="s">
        <v>6562</v>
      </c>
      <c r="G97" s="52">
        <v>19649</v>
      </c>
      <c r="H97" s="52">
        <v>9</v>
      </c>
      <c r="I97" s="57" t="s">
        <v>6279</v>
      </c>
    </row>
    <row r="98" ht="69" customHeight="1" spans="1:9">
      <c r="A98" s="44">
        <v>96</v>
      </c>
      <c r="B98" s="51" t="s">
        <v>6563</v>
      </c>
      <c r="C98" s="51" t="s">
        <v>6564</v>
      </c>
      <c r="D98" s="48" t="s">
        <v>6239</v>
      </c>
      <c r="E98" s="52" t="s">
        <v>6563</v>
      </c>
      <c r="F98" s="57" t="s">
        <v>6565</v>
      </c>
      <c r="G98" s="52">
        <v>19905</v>
      </c>
      <c r="H98" s="52">
        <v>9</v>
      </c>
      <c r="I98" s="57" t="s">
        <v>6279</v>
      </c>
    </row>
    <row r="99" ht="73.15" customHeight="1" spans="1:9">
      <c r="A99" s="44">
        <v>97</v>
      </c>
      <c r="B99" s="51" t="s">
        <v>6566</v>
      </c>
      <c r="C99" s="51" t="s">
        <v>6567</v>
      </c>
      <c r="D99" s="48" t="s">
        <v>6239</v>
      </c>
      <c r="E99" s="52" t="s">
        <v>6566</v>
      </c>
      <c r="F99" s="57" t="s">
        <v>6568</v>
      </c>
      <c r="G99" s="52">
        <v>20161</v>
      </c>
      <c r="H99" s="52">
        <v>9</v>
      </c>
      <c r="I99" s="57" t="s">
        <v>6279</v>
      </c>
    </row>
    <row r="100" ht="77.1" customHeight="1" spans="1:9">
      <c r="A100" s="44">
        <v>98</v>
      </c>
      <c r="B100" s="51" t="s">
        <v>6569</v>
      </c>
      <c r="C100" s="51" t="s">
        <v>6570</v>
      </c>
      <c r="D100" s="48" t="s">
        <v>6239</v>
      </c>
      <c r="E100" s="52" t="s">
        <v>6569</v>
      </c>
      <c r="F100" s="52" t="s">
        <v>6571</v>
      </c>
      <c r="G100" s="52">
        <v>20305</v>
      </c>
      <c r="H100" s="52">
        <v>13</v>
      </c>
      <c r="I100" s="57" t="s">
        <v>6279</v>
      </c>
    </row>
    <row r="101" ht="75" customHeight="1" spans="1:9">
      <c r="A101" s="44">
        <v>99</v>
      </c>
      <c r="B101" s="51" t="s">
        <v>6572</v>
      </c>
      <c r="C101" s="51" t="s">
        <v>6573</v>
      </c>
      <c r="D101" s="48" t="s">
        <v>6239</v>
      </c>
      <c r="E101" s="52" t="s">
        <v>6572</v>
      </c>
      <c r="F101" s="52" t="s">
        <v>6574</v>
      </c>
      <c r="G101" s="52">
        <v>20561</v>
      </c>
      <c r="H101" s="52">
        <v>13</v>
      </c>
      <c r="I101" s="57" t="s">
        <v>6279</v>
      </c>
    </row>
    <row r="102" ht="73.15" customHeight="1" spans="1:9">
      <c r="A102" s="44">
        <v>100</v>
      </c>
      <c r="B102" s="51" t="s">
        <v>6575</v>
      </c>
      <c r="C102" s="51" t="s">
        <v>6576</v>
      </c>
      <c r="D102" s="48" t="s">
        <v>6239</v>
      </c>
      <c r="E102" s="52" t="s">
        <v>6575</v>
      </c>
      <c r="F102" s="52" t="s">
        <v>6577</v>
      </c>
      <c r="G102" s="52">
        <v>29009</v>
      </c>
      <c r="H102" s="52">
        <v>6</v>
      </c>
      <c r="I102" s="57" t="s">
        <v>6279</v>
      </c>
    </row>
    <row r="103" ht="82.15" customHeight="1" spans="1:9">
      <c r="A103" s="44">
        <v>101</v>
      </c>
      <c r="B103" s="51" t="s">
        <v>6578</v>
      </c>
      <c r="C103" s="51" t="s">
        <v>6579</v>
      </c>
      <c r="D103" s="48" t="s">
        <v>6239</v>
      </c>
      <c r="E103" s="52" t="s">
        <v>6578</v>
      </c>
      <c r="F103" s="52" t="s">
        <v>6580</v>
      </c>
      <c r="G103" s="52">
        <v>29009</v>
      </c>
      <c r="H103" s="52">
        <v>3</v>
      </c>
      <c r="I103" s="57" t="s">
        <v>6279</v>
      </c>
    </row>
    <row r="104" ht="71.1" customHeight="1" spans="1:9">
      <c r="A104" s="44">
        <v>102</v>
      </c>
      <c r="B104" s="51" t="s">
        <v>6581</v>
      </c>
      <c r="C104" s="51" t="s">
        <v>6582</v>
      </c>
      <c r="D104" s="48" t="s">
        <v>6239</v>
      </c>
      <c r="E104" s="52" t="s">
        <v>6581</v>
      </c>
      <c r="F104" s="52" t="s">
        <v>6583</v>
      </c>
      <c r="G104" s="52">
        <v>29009</v>
      </c>
      <c r="H104" s="52">
        <v>5</v>
      </c>
      <c r="I104" s="57" t="s">
        <v>6279</v>
      </c>
    </row>
    <row r="105" ht="74.1" customHeight="1" spans="1:9">
      <c r="A105" s="44">
        <v>103</v>
      </c>
      <c r="B105" s="51" t="s">
        <v>6584</v>
      </c>
      <c r="C105" s="51" t="s">
        <v>6585</v>
      </c>
      <c r="D105" s="48" t="s">
        <v>6239</v>
      </c>
      <c r="E105" s="52" t="s">
        <v>6584</v>
      </c>
      <c r="F105" s="52" t="s">
        <v>6586</v>
      </c>
      <c r="G105" s="52">
        <v>29009</v>
      </c>
      <c r="H105" s="52">
        <v>7</v>
      </c>
      <c r="I105" s="57" t="s">
        <v>6331</v>
      </c>
    </row>
    <row r="106" ht="73.15" customHeight="1" spans="1:9">
      <c r="A106" s="44">
        <v>104</v>
      </c>
      <c r="B106" s="51" t="s">
        <v>6587</v>
      </c>
      <c r="C106" s="51" t="s">
        <v>6588</v>
      </c>
      <c r="D106" s="48" t="s">
        <v>6239</v>
      </c>
      <c r="E106" s="52" t="s">
        <v>6587</v>
      </c>
      <c r="F106" s="52" t="s">
        <v>6589</v>
      </c>
      <c r="G106" s="52">
        <v>29009</v>
      </c>
      <c r="H106" s="52">
        <v>1</v>
      </c>
      <c r="I106" s="57" t="s">
        <v>6331</v>
      </c>
    </row>
    <row r="107" ht="72" customHeight="1" spans="1:9">
      <c r="A107" s="44">
        <v>105</v>
      </c>
      <c r="B107" s="51" t="s">
        <v>6590</v>
      </c>
      <c r="C107" s="51" t="s">
        <v>6591</v>
      </c>
      <c r="D107" s="48" t="s">
        <v>6239</v>
      </c>
      <c r="E107" s="52" t="s">
        <v>6590</v>
      </c>
      <c r="F107" s="52" t="s">
        <v>6592</v>
      </c>
      <c r="G107" s="52">
        <v>33105</v>
      </c>
      <c r="H107" s="52">
        <v>6</v>
      </c>
      <c r="I107" s="57" t="s">
        <v>6279</v>
      </c>
    </row>
    <row r="108" ht="74.1" customHeight="1" spans="1:9">
      <c r="A108" s="44">
        <v>106</v>
      </c>
      <c r="B108" s="51" t="s">
        <v>6593</v>
      </c>
      <c r="C108" s="51" t="s">
        <v>6594</v>
      </c>
      <c r="D108" s="48" t="s">
        <v>6239</v>
      </c>
      <c r="E108" s="52" t="s">
        <v>6593</v>
      </c>
      <c r="F108" s="52" t="s">
        <v>6595</v>
      </c>
      <c r="G108" s="52">
        <v>33105</v>
      </c>
      <c r="H108" s="52">
        <v>3</v>
      </c>
      <c r="I108" s="57" t="s">
        <v>6279</v>
      </c>
    </row>
    <row r="109" ht="72" customHeight="1" spans="1:9">
      <c r="A109" s="44">
        <v>107</v>
      </c>
      <c r="B109" s="51" t="s">
        <v>6596</v>
      </c>
      <c r="C109" s="51" t="s">
        <v>6597</v>
      </c>
      <c r="D109" s="48" t="s">
        <v>6239</v>
      </c>
      <c r="E109" s="52" t="s">
        <v>6596</v>
      </c>
      <c r="F109" s="52" t="s">
        <v>6598</v>
      </c>
      <c r="G109" s="52">
        <v>33105</v>
      </c>
      <c r="H109" s="52">
        <v>5</v>
      </c>
      <c r="I109" s="57" t="s">
        <v>6279</v>
      </c>
    </row>
    <row r="110" ht="66.95" customHeight="1" spans="1:9">
      <c r="A110" s="44">
        <v>108</v>
      </c>
      <c r="B110" s="51" t="s">
        <v>6599</v>
      </c>
      <c r="C110" s="51" t="s">
        <v>6600</v>
      </c>
      <c r="D110" s="48" t="s">
        <v>6239</v>
      </c>
      <c r="E110" s="52" t="s">
        <v>6599</v>
      </c>
      <c r="F110" s="52" t="s">
        <v>6601</v>
      </c>
      <c r="G110" s="52">
        <v>33105</v>
      </c>
      <c r="H110" s="52">
        <v>7</v>
      </c>
      <c r="I110" s="57" t="s">
        <v>6331</v>
      </c>
    </row>
    <row r="111" ht="71.1" customHeight="1" spans="1:9">
      <c r="A111" s="44">
        <v>109</v>
      </c>
      <c r="B111" s="51" t="s">
        <v>6602</v>
      </c>
      <c r="C111" s="51" t="s">
        <v>6603</v>
      </c>
      <c r="D111" s="48" t="s">
        <v>6239</v>
      </c>
      <c r="E111" s="52" t="s">
        <v>6602</v>
      </c>
      <c r="F111" s="52" t="s">
        <v>6604</v>
      </c>
      <c r="G111" s="52">
        <v>33105</v>
      </c>
      <c r="H111" s="52">
        <v>1</v>
      </c>
      <c r="I111" s="57" t="s">
        <v>6331</v>
      </c>
    </row>
    <row r="112" ht="81" customHeight="1" spans="1:9">
      <c r="A112" s="44">
        <v>110</v>
      </c>
      <c r="B112" s="51" t="s">
        <v>6605</v>
      </c>
      <c r="C112" s="51" t="s">
        <v>6606</v>
      </c>
      <c r="D112" s="49" t="s">
        <v>6243</v>
      </c>
      <c r="E112" s="52" t="s">
        <v>6605</v>
      </c>
      <c r="F112" s="52" t="s">
        <v>6607</v>
      </c>
      <c r="G112" s="52">
        <v>12882</v>
      </c>
      <c r="H112" s="52">
        <v>4</v>
      </c>
      <c r="I112" s="57" t="s">
        <v>6331</v>
      </c>
    </row>
    <row r="113" ht="68.1" customHeight="1" spans="1:9">
      <c r="A113" s="44">
        <v>111</v>
      </c>
      <c r="B113" s="51" t="s">
        <v>6608</v>
      </c>
      <c r="C113" s="51" t="s">
        <v>6609</v>
      </c>
      <c r="D113" s="49" t="s">
        <v>6243</v>
      </c>
      <c r="E113" s="52" t="s">
        <v>6608</v>
      </c>
      <c r="F113" s="52" t="s">
        <v>6610</v>
      </c>
      <c r="G113" s="52">
        <v>12626</v>
      </c>
      <c r="H113" s="52">
        <v>4</v>
      </c>
      <c r="I113" s="57" t="s">
        <v>6331</v>
      </c>
    </row>
    <row r="114" ht="66" customHeight="1" spans="1:9">
      <c r="A114" s="44">
        <v>112</v>
      </c>
      <c r="B114" s="51" t="s">
        <v>6611</v>
      </c>
      <c r="C114" s="51" t="s">
        <v>6612</v>
      </c>
      <c r="D114" s="49" t="s">
        <v>6243</v>
      </c>
      <c r="E114" s="52" t="s">
        <v>6611</v>
      </c>
      <c r="F114" s="52" t="s">
        <v>6613</v>
      </c>
      <c r="G114" s="52">
        <v>12882</v>
      </c>
      <c r="H114" s="52">
        <v>3</v>
      </c>
      <c r="I114" s="57" t="s">
        <v>6331</v>
      </c>
    </row>
    <row r="115" ht="74.1" customHeight="1" spans="1:9">
      <c r="A115" s="44">
        <v>113</v>
      </c>
      <c r="B115" s="51" t="s">
        <v>6614</v>
      </c>
      <c r="C115" s="51" t="s">
        <v>6615</v>
      </c>
      <c r="D115" s="49" t="s">
        <v>6243</v>
      </c>
      <c r="E115" s="52" t="s">
        <v>6614</v>
      </c>
      <c r="F115" s="52" t="s">
        <v>6616</v>
      </c>
      <c r="G115" s="52">
        <v>12626</v>
      </c>
      <c r="H115" s="52">
        <v>3</v>
      </c>
      <c r="I115" s="57" t="s">
        <v>6331</v>
      </c>
    </row>
    <row r="116" ht="49.5" spans="1:9">
      <c r="A116" s="44">
        <v>114</v>
      </c>
      <c r="B116" s="51" t="s">
        <v>6617</v>
      </c>
      <c r="C116" s="51" t="s">
        <v>6618</v>
      </c>
      <c r="D116" s="49" t="s">
        <v>6243</v>
      </c>
      <c r="E116" s="52" t="s">
        <v>6617</v>
      </c>
      <c r="F116" s="52" t="s">
        <v>6619</v>
      </c>
      <c r="G116" s="52">
        <v>14418</v>
      </c>
      <c r="H116" s="52">
        <v>3</v>
      </c>
      <c r="I116" s="57" t="s">
        <v>6331</v>
      </c>
    </row>
    <row r="117" ht="49.5" spans="1:9">
      <c r="A117" s="44">
        <v>115</v>
      </c>
      <c r="B117" s="51" t="s">
        <v>6620</v>
      </c>
      <c r="C117" s="51" t="s">
        <v>6621</v>
      </c>
      <c r="D117" s="49" t="s">
        <v>6243</v>
      </c>
      <c r="E117" s="52" t="s">
        <v>6620</v>
      </c>
      <c r="F117" s="52" t="s">
        <v>6622</v>
      </c>
      <c r="G117" s="52">
        <v>14418</v>
      </c>
      <c r="H117" s="52">
        <v>4</v>
      </c>
      <c r="I117" s="57" t="s">
        <v>6331</v>
      </c>
    </row>
    <row r="118" ht="49.5" spans="1:9">
      <c r="A118" s="44">
        <v>116</v>
      </c>
      <c r="B118" s="51" t="s">
        <v>6623</v>
      </c>
      <c r="C118" s="51" t="s">
        <v>6624</v>
      </c>
      <c r="D118" s="49" t="s">
        <v>6243</v>
      </c>
      <c r="E118" s="52" t="s">
        <v>6623</v>
      </c>
      <c r="F118" s="52" t="s">
        <v>6625</v>
      </c>
      <c r="G118" s="52">
        <v>13650</v>
      </c>
      <c r="H118" s="52">
        <v>3</v>
      </c>
      <c r="I118" s="57" t="s">
        <v>6331</v>
      </c>
    </row>
    <row r="119" ht="49.5" spans="1:9">
      <c r="A119" s="44">
        <v>117</v>
      </c>
      <c r="B119" s="51" t="s">
        <v>6626</v>
      </c>
      <c r="C119" s="51" t="s">
        <v>6627</v>
      </c>
      <c r="D119" s="49" t="s">
        <v>6243</v>
      </c>
      <c r="E119" s="52" t="s">
        <v>6626</v>
      </c>
      <c r="F119" s="52" t="s">
        <v>6628</v>
      </c>
      <c r="G119" s="52">
        <v>13650</v>
      </c>
      <c r="H119" s="52">
        <v>4</v>
      </c>
      <c r="I119" s="57" t="s">
        <v>6331</v>
      </c>
    </row>
    <row r="120" ht="60" customHeight="1" spans="1:9">
      <c r="A120" s="44">
        <v>118</v>
      </c>
      <c r="B120" s="51" t="s">
        <v>6629</v>
      </c>
      <c r="C120" s="51" t="s">
        <v>6630</v>
      </c>
      <c r="D120" s="49" t="s">
        <v>6243</v>
      </c>
      <c r="E120" s="52" t="s">
        <v>6629</v>
      </c>
      <c r="F120" s="52" t="s">
        <v>6631</v>
      </c>
      <c r="G120" s="52">
        <v>15811</v>
      </c>
      <c r="H120" s="52">
        <v>9</v>
      </c>
      <c r="I120" s="57" t="s">
        <v>6279</v>
      </c>
    </row>
    <row r="121" ht="60" customHeight="1" spans="1:9">
      <c r="A121" s="44">
        <v>119</v>
      </c>
      <c r="B121" s="58" t="s">
        <v>6632</v>
      </c>
      <c r="C121" s="58" t="s">
        <v>6633</v>
      </c>
      <c r="D121" s="59" t="s">
        <v>6243</v>
      </c>
      <c r="E121" s="60" t="s">
        <v>6632</v>
      </c>
      <c r="F121" s="60" t="s">
        <v>6634</v>
      </c>
      <c r="G121" s="60">
        <v>20417</v>
      </c>
      <c r="H121" s="60">
        <v>2</v>
      </c>
      <c r="I121" s="57" t="s">
        <v>6279</v>
      </c>
    </row>
    <row r="122" ht="86.1" customHeight="1" spans="1:9">
      <c r="A122" s="44">
        <v>120</v>
      </c>
      <c r="B122" s="51" t="s">
        <v>6635</v>
      </c>
      <c r="C122" s="51" t="s">
        <v>6636</v>
      </c>
      <c r="D122" s="49" t="s">
        <v>6243</v>
      </c>
      <c r="E122" s="52" t="s">
        <v>6635</v>
      </c>
      <c r="F122" s="52" t="s">
        <v>6637</v>
      </c>
      <c r="G122" s="52">
        <v>18562</v>
      </c>
      <c r="H122" s="52">
        <v>4</v>
      </c>
      <c r="I122" s="57" t="s">
        <v>6331</v>
      </c>
    </row>
    <row r="123" ht="98.1" customHeight="1" spans="1:9">
      <c r="A123" s="44">
        <v>121</v>
      </c>
      <c r="B123" s="51" t="s">
        <v>6638</v>
      </c>
      <c r="C123" s="51" t="s">
        <v>6639</v>
      </c>
      <c r="D123" s="49" t="s">
        <v>6243</v>
      </c>
      <c r="E123" s="52" t="s">
        <v>6638</v>
      </c>
      <c r="F123" s="52" t="s">
        <v>6640</v>
      </c>
      <c r="G123" s="52">
        <v>18818</v>
      </c>
      <c r="H123" s="52">
        <v>3</v>
      </c>
      <c r="I123" s="57" t="s">
        <v>6331</v>
      </c>
    </row>
    <row r="124" ht="70.15" customHeight="1" spans="1:9">
      <c r="A124" s="44">
        <v>122</v>
      </c>
      <c r="B124" s="61" t="s">
        <v>6641</v>
      </c>
      <c r="C124" s="51" t="s">
        <v>6642</v>
      </c>
      <c r="D124" s="48" t="s">
        <v>6239</v>
      </c>
      <c r="E124" s="52" t="s">
        <v>6641</v>
      </c>
      <c r="F124" s="52" t="s">
        <v>6643</v>
      </c>
      <c r="G124" s="52">
        <v>19074</v>
      </c>
      <c r="H124" s="52">
        <v>3</v>
      </c>
      <c r="I124" s="57" t="s">
        <v>6331</v>
      </c>
    </row>
    <row r="125" ht="72" customHeight="1" spans="1:9">
      <c r="A125" s="44">
        <v>123</v>
      </c>
      <c r="B125" s="61" t="s">
        <v>6644</v>
      </c>
      <c r="C125" s="51" t="s">
        <v>6645</v>
      </c>
      <c r="D125" s="48" t="s">
        <v>6239</v>
      </c>
      <c r="E125" s="52" t="s">
        <v>6644</v>
      </c>
      <c r="F125" s="52" t="s">
        <v>6646</v>
      </c>
      <c r="G125" s="52">
        <v>19330</v>
      </c>
      <c r="H125" s="52">
        <v>5</v>
      </c>
      <c r="I125" s="57" t="s">
        <v>6331</v>
      </c>
    </row>
    <row r="126" ht="72" customHeight="1" spans="1:9">
      <c r="A126" s="44">
        <v>124</v>
      </c>
      <c r="B126" s="61" t="s">
        <v>6647</v>
      </c>
      <c r="C126" s="51" t="s">
        <v>6648</v>
      </c>
      <c r="D126" s="48" t="s">
        <v>6239</v>
      </c>
      <c r="E126" s="52" t="s">
        <v>6647</v>
      </c>
      <c r="F126" s="52" t="s">
        <v>6649</v>
      </c>
      <c r="G126" s="52">
        <v>19586</v>
      </c>
      <c r="H126" s="52">
        <v>3</v>
      </c>
      <c r="I126" s="57" t="s">
        <v>6331</v>
      </c>
    </row>
    <row r="127" ht="72" customHeight="1" spans="1:9">
      <c r="A127" s="44">
        <v>125</v>
      </c>
      <c r="B127" s="61" t="s">
        <v>6650</v>
      </c>
      <c r="C127" s="51" t="s">
        <v>6651</v>
      </c>
      <c r="D127" s="48" t="s">
        <v>6239</v>
      </c>
      <c r="E127" s="52" t="s">
        <v>6650</v>
      </c>
      <c r="F127" s="52" t="s">
        <v>6652</v>
      </c>
      <c r="G127" s="52">
        <v>19842</v>
      </c>
      <c r="H127" s="52">
        <v>5</v>
      </c>
      <c r="I127" s="57" t="s">
        <v>6331</v>
      </c>
    </row>
    <row r="128" ht="75.95" customHeight="1" spans="1:9">
      <c r="A128" s="44">
        <v>126</v>
      </c>
      <c r="B128" s="61" t="s">
        <v>6653</v>
      </c>
      <c r="C128" s="51" t="s">
        <v>6654</v>
      </c>
      <c r="D128" s="48" t="s">
        <v>6239</v>
      </c>
      <c r="E128" s="52" t="s">
        <v>6653</v>
      </c>
      <c r="F128" s="52" t="s">
        <v>6655</v>
      </c>
      <c r="G128" s="52">
        <v>20098</v>
      </c>
      <c r="H128" s="52">
        <v>3</v>
      </c>
      <c r="I128" s="57" t="s">
        <v>6331</v>
      </c>
    </row>
    <row r="129" ht="72.95" customHeight="1" spans="1:9">
      <c r="A129" s="44">
        <v>127</v>
      </c>
      <c r="B129" s="51" t="s">
        <v>6656</v>
      </c>
      <c r="C129" s="51" t="s">
        <v>6657</v>
      </c>
      <c r="D129" s="48" t="s">
        <v>6239</v>
      </c>
      <c r="E129" s="52" t="s">
        <v>6656</v>
      </c>
      <c r="F129" s="52" t="s">
        <v>6658</v>
      </c>
      <c r="G129" s="52">
        <v>20354</v>
      </c>
      <c r="H129" s="52">
        <v>5</v>
      </c>
      <c r="I129" s="57" t="s">
        <v>6331</v>
      </c>
    </row>
    <row r="130" ht="95.1" customHeight="1" spans="1:9">
      <c r="A130" s="44">
        <v>128</v>
      </c>
      <c r="B130" s="52" t="s">
        <v>6659</v>
      </c>
      <c r="C130" s="51" t="s">
        <v>6660</v>
      </c>
      <c r="D130" s="46" t="s">
        <v>6661</v>
      </c>
      <c r="E130" s="52" t="s">
        <v>6662</v>
      </c>
      <c r="F130" s="52" t="s">
        <v>6663</v>
      </c>
      <c r="G130" s="52">
        <v>34898</v>
      </c>
      <c r="H130" s="52">
        <v>11</v>
      </c>
      <c r="I130" s="57" t="s">
        <v>6228</v>
      </c>
    </row>
    <row r="131" ht="49.5" spans="1:9">
      <c r="A131" s="44">
        <v>129</v>
      </c>
      <c r="B131" s="52" t="s">
        <v>6664</v>
      </c>
      <c r="C131" s="51" t="s">
        <v>6665</v>
      </c>
      <c r="D131" s="48" t="s">
        <v>6239</v>
      </c>
      <c r="E131" s="52" t="s">
        <v>6664</v>
      </c>
      <c r="F131" s="52" t="s">
        <v>6666</v>
      </c>
      <c r="G131" s="52">
        <v>9603</v>
      </c>
      <c r="H131" s="52">
        <v>5</v>
      </c>
      <c r="I131" s="57" t="s">
        <v>6331</v>
      </c>
    </row>
    <row r="132" ht="49.5" spans="1:9">
      <c r="A132" s="62">
        <v>130</v>
      </c>
      <c r="B132" s="60" t="s">
        <v>6667</v>
      </c>
      <c r="C132" s="58" t="s">
        <v>6668</v>
      </c>
      <c r="D132" s="63" t="s">
        <v>6239</v>
      </c>
      <c r="E132" s="60" t="s">
        <v>6667</v>
      </c>
      <c r="F132" s="60" t="s">
        <v>6669</v>
      </c>
      <c r="G132" s="60">
        <v>9603</v>
      </c>
      <c r="H132" s="60">
        <v>3</v>
      </c>
      <c r="I132" s="66" t="s">
        <v>6331</v>
      </c>
    </row>
    <row r="133" ht="49.5" spans="1:9">
      <c r="A133" s="44">
        <v>131</v>
      </c>
      <c r="B133" s="60" t="s">
        <v>6670</v>
      </c>
      <c r="C133" s="58" t="s">
        <v>6671</v>
      </c>
      <c r="D133" s="48" t="s">
        <v>6239</v>
      </c>
      <c r="E133" s="60" t="s">
        <v>6670</v>
      </c>
      <c r="F133" s="60" t="s">
        <v>6672</v>
      </c>
      <c r="G133" s="60">
        <v>9859</v>
      </c>
      <c r="H133" s="52">
        <v>5</v>
      </c>
      <c r="I133" s="66" t="s">
        <v>6331</v>
      </c>
    </row>
    <row r="134" ht="49.5" spans="1:9">
      <c r="A134" s="44">
        <v>132</v>
      </c>
      <c r="B134" s="60" t="s">
        <v>6673</v>
      </c>
      <c r="C134" s="58" t="s">
        <v>6674</v>
      </c>
      <c r="D134" s="63" t="s">
        <v>6239</v>
      </c>
      <c r="E134" s="60" t="s">
        <v>6673</v>
      </c>
      <c r="F134" s="60" t="s">
        <v>6675</v>
      </c>
      <c r="G134" s="60">
        <v>10115</v>
      </c>
      <c r="H134" s="60">
        <v>5</v>
      </c>
      <c r="I134" s="66" t="s">
        <v>6331</v>
      </c>
    </row>
    <row r="135" ht="44.25" customHeight="1" spans="1:9">
      <c r="A135" s="64">
        <v>133</v>
      </c>
      <c r="B135" s="52" t="s">
        <v>6676</v>
      </c>
      <c r="C135" s="51" t="s">
        <v>6677</v>
      </c>
      <c r="D135" s="63" t="s">
        <v>6239</v>
      </c>
      <c r="E135" s="52" t="s">
        <v>6676</v>
      </c>
      <c r="F135" s="52" t="s">
        <v>6678</v>
      </c>
      <c r="G135" s="52">
        <v>22721</v>
      </c>
      <c r="H135" s="52">
        <v>19</v>
      </c>
      <c r="I135" s="66" t="s">
        <v>6331</v>
      </c>
    </row>
    <row r="136" ht="49.5" spans="1:9">
      <c r="A136" s="64">
        <v>134</v>
      </c>
      <c r="B136" s="52" t="s">
        <v>6679</v>
      </c>
      <c r="C136" s="51" t="s">
        <v>6680</v>
      </c>
      <c r="D136" s="48" t="s">
        <v>6239</v>
      </c>
      <c r="E136" s="52" t="s">
        <v>6681</v>
      </c>
      <c r="F136" s="52" t="s">
        <v>6682</v>
      </c>
      <c r="G136" s="52">
        <v>195</v>
      </c>
      <c r="H136" s="52">
        <v>9</v>
      </c>
      <c r="I136" s="57" t="s">
        <v>6331</v>
      </c>
    </row>
    <row r="139" spans="1:9">
      <c r="A139" s="65" t="s">
        <v>6683</v>
      </c>
      <c r="B139" s="65"/>
      <c r="C139" s="65"/>
      <c r="D139" s="65"/>
      <c r="E139" s="65"/>
      <c r="F139" s="65"/>
      <c r="G139" s="65"/>
      <c r="H139" s="65"/>
      <c r="I139" s="65"/>
    </row>
    <row r="140" spans="1:9">
      <c r="A140" s="65"/>
      <c r="B140" s="65"/>
      <c r="C140" s="65"/>
      <c r="D140" s="65"/>
      <c r="E140" s="65"/>
      <c r="F140" s="65"/>
      <c r="G140" s="65"/>
      <c r="H140" s="65"/>
      <c r="I140" s="65"/>
    </row>
  </sheetData>
  <sheetProtection formatCells="0" insertHyperlinks="0" autoFilter="0"/>
  <autoFilter ref="A1:I136">
    <extLst/>
  </autoFilter>
  <mergeCells count="10">
    <mergeCell ref="A1:A2"/>
    <mergeCell ref="B1:B2"/>
    <mergeCell ref="C1:C2"/>
    <mergeCell ref="D1:D2"/>
    <mergeCell ref="E1:E2"/>
    <mergeCell ref="F1:F2"/>
    <mergeCell ref="G1:G2"/>
    <mergeCell ref="H1:H2"/>
    <mergeCell ref="I1:I2"/>
    <mergeCell ref="A139:I140"/>
  </mergeCells>
  <pageMargins left="0.7" right="0.7" top="0.75" bottom="0.75" header="0.3" footer="0.3"/>
  <pageSetup paperSize="9" scale="10"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5"/>
  <sheetViews>
    <sheetView zoomScale="90" zoomScaleNormal="90" workbookViewId="0">
      <selection activeCell="D28" sqref="D28"/>
    </sheetView>
  </sheetViews>
  <sheetFormatPr defaultColWidth="8.875" defaultRowHeight="13.5" outlineLevelCol="4"/>
  <cols>
    <col min="1" max="2" width="8.25" style="34" customWidth="1"/>
    <col min="3" max="3" width="4.875" style="34" customWidth="1"/>
    <col min="4" max="4" width="43.5" style="35" customWidth="1"/>
    <col min="5" max="5" width="50.625" style="35" customWidth="1"/>
    <col min="6" max="16384" width="8.875" style="35"/>
  </cols>
  <sheetData>
    <row r="1" ht="18" customHeight="1" spans="1:5">
      <c r="A1" s="36" t="s">
        <v>101</v>
      </c>
      <c r="B1" s="36" t="s">
        <v>104</v>
      </c>
      <c r="C1" s="36" t="s">
        <v>105</v>
      </c>
      <c r="D1" s="37" t="s">
        <v>103</v>
      </c>
      <c r="E1" s="38" t="s">
        <v>258</v>
      </c>
    </row>
    <row r="2" ht="18" customHeight="1" spans="1:5">
      <c r="A2" s="33">
        <v>1</v>
      </c>
      <c r="B2" s="33">
        <v>629</v>
      </c>
      <c r="C2" s="33">
        <v>11</v>
      </c>
      <c r="D2" s="39" t="s">
        <v>6684</v>
      </c>
      <c r="E2" s="39" t="s">
        <v>6685</v>
      </c>
    </row>
    <row r="3" ht="18" customHeight="1" spans="1:5">
      <c r="A3" s="33">
        <v>2</v>
      </c>
      <c r="B3" s="33">
        <v>629</v>
      </c>
      <c r="C3" s="33">
        <v>14</v>
      </c>
      <c r="D3" s="39" t="s">
        <v>6686</v>
      </c>
      <c r="E3" s="39" t="s">
        <v>6687</v>
      </c>
    </row>
    <row r="4" ht="18" customHeight="1" spans="1:5">
      <c r="A4" s="33">
        <v>3</v>
      </c>
      <c r="B4" s="33" t="s">
        <v>6688</v>
      </c>
      <c r="C4" s="33">
        <v>2</v>
      </c>
      <c r="D4" s="39" t="s">
        <v>6689</v>
      </c>
      <c r="E4" s="39" t="s">
        <v>6690</v>
      </c>
    </row>
    <row r="5" ht="18" customHeight="1" spans="1:5">
      <c r="A5" s="33">
        <v>4</v>
      </c>
      <c r="B5" s="33">
        <v>630</v>
      </c>
      <c r="C5" s="33">
        <v>14</v>
      </c>
      <c r="D5" s="39" t="s">
        <v>6691</v>
      </c>
      <c r="E5" s="39" t="s">
        <v>6692</v>
      </c>
    </row>
    <row r="6" ht="18" customHeight="1" spans="1:5">
      <c r="A6" s="33">
        <v>5</v>
      </c>
      <c r="B6" s="33">
        <v>1635</v>
      </c>
      <c r="C6" s="33">
        <v>12</v>
      </c>
      <c r="D6" s="39" t="s">
        <v>6693</v>
      </c>
      <c r="E6" s="39" t="s">
        <v>6694</v>
      </c>
    </row>
    <row r="7" ht="18" customHeight="1" spans="1:5">
      <c r="A7" s="33">
        <v>6</v>
      </c>
      <c r="B7" s="33">
        <v>1635</v>
      </c>
      <c r="C7" s="33">
        <v>2</v>
      </c>
      <c r="D7" s="39" t="s">
        <v>6695</v>
      </c>
      <c r="E7" s="39" t="s">
        <v>6696</v>
      </c>
    </row>
    <row r="8" ht="18" customHeight="1" spans="1:5">
      <c r="A8" s="33">
        <v>7</v>
      </c>
      <c r="B8" s="33">
        <v>630</v>
      </c>
      <c r="C8" s="33">
        <v>11</v>
      </c>
      <c r="D8" s="39" t="s">
        <v>6697</v>
      </c>
      <c r="E8" s="39" t="s">
        <v>6698</v>
      </c>
    </row>
    <row r="9" ht="18" customHeight="1" spans="1:5">
      <c r="A9" s="33">
        <v>8</v>
      </c>
      <c r="B9" s="33">
        <v>630</v>
      </c>
      <c r="C9" s="33">
        <v>13</v>
      </c>
      <c r="D9" s="39" t="s">
        <v>6699</v>
      </c>
      <c r="E9" s="39" t="s">
        <v>6700</v>
      </c>
    </row>
    <row r="10" ht="18" customHeight="1" spans="1:5">
      <c r="A10" s="33">
        <v>9</v>
      </c>
      <c r="B10" s="33">
        <v>629</v>
      </c>
      <c r="C10" s="33">
        <v>12</v>
      </c>
      <c r="D10" s="39" t="s">
        <v>6701</v>
      </c>
      <c r="E10" s="39" t="s">
        <v>6702</v>
      </c>
    </row>
    <row r="11" ht="18" customHeight="1" spans="1:5">
      <c r="A11" s="33">
        <v>10</v>
      </c>
      <c r="B11" s="33">
        <v>629</v>
      </c>
      <c r="C11" s="33">
        <v>10</v>
      </c>
      <c r="D11" s="39" t="s">
        <v>6703</v>
      </c>
      <c r="E11" s="39" t="s">
        <v>6704</v>
      </c>
    </row>
    <row r="12" ht="18" customHeight="1" spans="1:5">
      <c r="A12" s="33">
        <v>11</v>
      </c>
      <c r="B12" s="33">
        <v>234</v>
      </c>
      <c r="C12" s="33">
        <v>12</v>
      </c>
      <c r="D12" s="39" t="s">
        <v>6705</v>
      </c>
      <c r="E12" s="39" t="s">
        <v>6706</v>
      </c>
    </row>
    <row r="13" ht="18" customHeight="1" spans="1:5">
      <c r="A13" s="33">
        <v>12</v>
      </c>
      <c r="B13" s="33">
        <v>234</v>
      </c>
      <c r="C13" s="33">
        <v>1</v>
      </c>
      <c r="D13" s="39" t="s">
        <v>6707</v>
      </c>
      <c r="E13" s="39" t="s">
        <v>6708</v>
      </c>
    </row>
    <row r="14" ht="18" customHeight="1" spans="1:5">
      <c r="A14" s="33">
        <v>13</v>
      </c>
      <c r="B14" s="33">
        <v>234</v>
      </c>
      <c r="C14" s="33">
        <v>2</v>
      </c>
      <c r="D14" s="39" t="s">
        <v>6709</v>
      </c>
      <c r="E14" s="39" t="s">
        <v>6710</v>
      </c>
    </row>
    <row r="15" ht="18" customHeight="1" spans="1:5">
      <c r="A15" s="33">
        <v>14</v>
      </c>
      <c r="B15" s="33">
        <v>630</v>
      </c>
      <c r="C15" s="33">
        <v>12</v>
      </c>
      <c r="D15" s="39" t="s">
        <v>6711</v>
      </c>
      <c r="E15" s="39" t="s">
        <v>6712</v>
      </c>
    </row>
    <row r="16" ht="18" customHeight="1" spans="1:5">
      <c r="A16" s="33">
        <v>15</v>
      </c>
      <c r="B16" s="33">
        <v>630</v>
      </c>
      <c r="C16" s="33">
        <v>2</v>
      </c>
      <c r="D16" s="39" t="s">
        <v>6713</v>
      </c>
      <c r="E16" s="39" t="s">
        <v>6714</v>
      </c>
    </row>
    <row r="17" ht="18" customHeight="1" spans="1:5">
      <c r="A17" s="33">
        <v>16</v>
      </c>
      <c r="B17" s="33">
        <v>1827</v>
      </c>
      <c r="C17" s="33">
        <v>11</v>
      </c>
      <c r="D17" s="39" t="s">
        <v>6715</v>
      </c>
      <c r="E17" s="39" t="s">
        <v>6716</v>
      </c>
    </row>
    <row r="18" ht="18" customHeight="1" spans="1:5">
      <c r="A18" s="33">
        <v>17</v>
      </c>
      <c r="B18" s="33">
        <v>627</v>
      </c>
      <c r="C18" s="33">
        <v>3</v>
      </c>
      <c r="D18" s="39" t="s">
        <v>6717</v>
      </c>
      <c r="E18" s="39" t="s">
        <v>6718</v>
      </c>
    </row>
    <row r="19" ht="18" customHeight="1" spans="1:5">
      <c r="A19" s="33">
        <v>18</v>
      </c>
      <c r="B19" s="33">
        <v>627</v>
      </c>
      <c r="C19" s="33">
        <v>4</v>
      </c>
      <c r="D19" s="39" t="s">
        <v>6719</v>
      </c>
      <c r="E19" s="39" t="s">
        <v>6720</v>
      </c>
    </row>
    <row r="20" ht="18" customHeight="1" spans="1:5">
      <c r="A20" s="33">
        <v>19</v>
      </c>
      <c r="B20" s="33">
        <v>627</v>
      </c>
      <c r="C20" s="33">
        <v>5</v>
      </c>
      <c r="D20" s="39" t="s">
        <v>6721</v>
      </c>
      <c r="E20" s="39" t="s">
        <v>6722</v>
      </c>
    </row>
    <row r="21" ht="18" customHeight="1" spans="1:5">
      <c r="A21" s="33">
        <v>20</v>
      </c>
      <c r="B21" s="33">
        <v>3509</v>
      </c>
      <c r="C21" s="33">
        <v>13</v>
      </c>
      <c r="D21" s="39" t="s">
        <v>6723</v>
      </c>
      <c r="E21" s="39" t="s">
        <v>6724</v>
      </c>
    </row>
    <row r="22" ht="18" customHeight="1" spans="1:5">
      <c r="A22" s="33">
        <v>21</v>
      </c>
      <c r="B22" s="33">
        <v>3509</v>
      </c>
      <c r="C22" s="33">
        <v>4</v>
      </c>
      <c r="D22" s="39" t="s">
        <v>6725</v>
      </c>
      <c r="E22" s="39" t="s">
        <v>6726</v>
      </c>
    </row>
    <row r="23" ht="18" customHeight="1" spans="1:5">
      <c r="A23" s="33">
        <v>22</v>
      </c>
      <c r="B23" s="33">
        <v>3509</v>
      </c>
      <c r="C23" s="33">
        <v>3</v>
      </c>
      <c r="D23" s="39" t="s">
        <v>6727</v>
      </c>
      <c r="E23" s="39" t="s">
        <v>6728</v>
      </c>
    </row>
    <row r="24" ht="18" customHeight="1" spans="1:5">
      <c r="A24" s="33">
        <v>23</v>
      </c>
      <c r="B24" s="33">
        <v>639</v>
      </c>
      <c r="C24" s="33">
        <v>11</v>
      </c>
      <c r="D24" s="39" t="s">
        <v>6729</v>
      </c>
      <c r="E24" s="39" t="s">
        <v>6730</v>
      </c>
    </row>
    <row r="25" ht="18" customHeight="1" spans="1:5">
      <c r="A25" s="33">
        <v>24</v>
      </c>
      <c r="B25" s="33">
        <v>523860</v>
      </c>
      <c r="C25" s="33">
        <v>19</v>
      </c>
      <c r="D25" s="39" t="s">
        <v>6731</v>
      </c>
      <c r="E25" s="39" t="s">
        <v>6732</v>
      </c>
    </row>
    <row r="26" ht="18" customHeight="1" spans="1:5">
      <c r="A26" s="33">
        <v>25</v>
      </c>
      <c r="B26" s="33">
        <v>523861</v>
      </c>
      <c r="C26" s="33">
        <v>19</v>
      </c>
      <c r="D26" s="39" t="s">
        <v>6733</v>
      </c>
      <c r="E26" s="39" t="s">
        <v>6734</v>
      </c>
    </row>
    <row r="27" ht="18" customHeight="1" spans="1:5">
      <c r="A27" s="33">
        <v>26</v>
      </c>
      <c r="B27" s="33">
        <v>523862</v>
      </c>
      <c r="C27" s="33">
        <v>19</v>
      </c>
      <c r="D27" s="39" t="s">
        <v>6735</v>
      </c>
      <c r="E27" s="39" t="s">
        <v>6736</v>
      </c>
    </row>
    <row r="28" ht="18" customHeight="1" spans="1:5">
      <c r="A28" s="33">
        <v>27</v>
      </c>
      <c r="B28" s="33">
        <v>523863</v>
      </c>
      <c r="C28" s="33">
        <v>19</v>
      </c>
      <c r="D28" s="39" t="s">
        <v>6737</v>
      </c>
      <c r="E28" s="39" t="s">
        <v>6738</v>
      </c>
    </row>
    <row r="29" ht="18" customHeight="1" spans="1:5">
      <c r="A29" s="33">
        <v>28</v>
      </c>
      <c r="B29" s="33">
        <v>523864</v>
      </c>
      <c r="C29" s="33">
        <v>19</v>
      </c>
      <c r="D29" s="39" t="s">
        <v>6739</v>
      </c>
      <c r="E29" s="39" t="s">
        <v>6740</v>
      </c>
    </row>
    <row r="30" ht="18" customHeight="1" spans="1:5">
      <c r="A30" s="33">
        <v>29</v>
      </c>
      <c r="B30" s="33">
        <v>523865</v>
      </c>
      <c r="C30" s="33">
        <v>19</v>
      </c>
      <c r="D30" s="39" t="s">
        <v>6741</v>
      </c>
      <c r="E30" s="39" t="s">
        <v>6742</v>
      </c>
    </row>
    <row r="31" ht="18" customHeight="1" spans="1:5">
      <c r="A31" s="33">
        <v>30</v>
      </c>
      <c r="B31" s="33">
        <v>523866</v>
      </c>
      <c r="C31" s="33">
        <v>19</v>
      </c>
      <c r="D31" s="39" t="s">
        <v>6743</v>
      </c>
      <c r="E31" s="39" t="s">
        <v>6744</v>
      </c>
    </row>
    <row r="32" ht="18" customHeight="1" spans="1:5">
      <c r="A32" s="33">
        <v>31</v>
      </c>
      <c r="B32" s="33">
        <v>523867</v>
      </c>
      <c r="C32" s="33">
        <v>19</v>
      </c>
      <c r="D32" s="39" t="s">
        <v>6745</v>
      </c>
      <c r="E32" s="39" t="s">
        <v>6746</v>
      </c>
    </row>
    <row r="33" ht="18" customHeight="1" spans="1:5">
      <c r="A33" s="33">
        <v>32</v>
      </c>
      <c r="B33" s="33">
        <v>523868</v>
      </c>
      <c r="C33" s="33">
        <v>19</v>
      </c>
      <c r="D33" s="39" t="s">
        <v>6747</v>
      </c>
      <c r="E33" s="39" t="s">
        <v>6748</v>
      </c>
    </row>
    <row r="34" ht="18" customHeight="1" spans="1:5">
      <c r="A34" s="33">
        <v>33</v>
      </c>
      <c r="B34" s="33">
        <v>523869</v>
      </c>
      <c r="C34" s="33">
        <v>19</v>
      </c>
      <c r="D34" s="39" t="s">
        <v>6749</v>
      </c>
      <c r="E34" s="39" t="s">
        <v>6750</v>
      </c>
    </row>
    <row r="35" ht="18" customHeight="1" spans="1:5">
      <c r="A35" s="33">
        <v>34</v>
      </c>
      <c r="B35" s="33">
        <v>523870</v>
      </c>
      <c r="C35" s="33">
        <v>19</v>
      </c>
      <c r="D35" s="39" t="s">
        <v>6751</v>
      </c>
      <c r="E35" s="39" t="s">
        <v>6752</v>
      </c>
    </row>
    <row r="36" ht="18" customHeight="1" spans="1:5">
      <c r="A36" s="33">
        <v>35</v>
      </c>
      <c r="B36" s="33">
        <v>523871</v>
      </c>
      <c r="C36" s="33">
        <v>19</v>
      </c>
      <c r="D36" s="39" t="s">
        <v>6753</v>
      </c>
      <c r="E36" s="39" t="s">
        <v>6754</v>
      </c>
    </row>
    <row r="37" ht="18" customHeight="1" spans="1:5">
      <c r="A37" s="33">
        <v>36</v>
      </c>
      <c r="B37" s="33">
        <v>1066</v>
      </c>
      <c r="C37" s="33">
        <v>11</v>
      </c>
      <c r="D37" s="39" t="s">
        <v>6755</v>
      </c>
      <c r="E37" s="39" t="s">
        <v>6756</v>
      </c>
    </row>
    <row r="38" ht="18" customHeight="1" spans="1:5">
      <c r="A38" s="33">
        <v>37</v>
      </c>
      <c r="B38" s="33">
        <v>701</v>
      </c>
      <c r="C38" s="33">
        <v>4</v>
      </c>
      <c r="D38" s="39" t="s">
        <v>6757</v>
      </c>
      <c r="E38" s="39" t="s">
        <v>6758</v>
      </c>
    </row>
    <row r="39" ht="18" customHeight="1" spans="1:5">
      <c r="A39" s="33">
        <v>38</v>
      </c>
      <c r="B39" s="33">
        <v>701</v>
      </c>
      <c r="C39" s="33">
        <v>3</v>
      </c>
      <c r="D39" s="39" t="s">
        <v>6759</v>
      </c>
      <c r="E39" s="39" t="s">
        <v>6760</v>
      </c>
    </row>
    <row r="40" ht="18" customHeight="1" spans="1:5">
      <c r="A40" s="33">
        <v>39</v>
      </c>
      <c r="B40" s="33">
        <v>701</v>
      </c>
      <c r="C40" s="33">
        <v>5</v>
      </c>
      <c r="D40" s="39" t="s">
        <v>6761</v>
      </c>
      <c r="E40" s="39" t="s">
        <v>6762</v>
      </c>
    </row>
    <row r="41" ht="18" customHeight="1" spans="1:5">
      <c r="A41" s="33">
        <v>40</v>
      </c>
      <c r="B41" s="33">
        <v>701</v>
      </c>
      <c r="C41" s="33">
        <v>6</v>
      </c>
      <c r="D41" s="39" t="s">
        <v>6763</v>
      </c>
      <c r="E41" s="39" t="s">
        <v>6764</v>
      </c>
    </row>
    <row r="42" ht="18" customHeight="1" spans="1:5">
      <c r="A42" s="33">
        <v>41</v>
      </c>
      <c r="B42" s="33">
        <v>701</v>
      </c>
      <c r="C42" s="33">
        <v>1</v>
      </c>
      <c r="D42" s="39" t="s">
        <v>6765</v>
      </c>
      <c r="E42" s="39" t="s">
        <v>6766</v>
      </c>
    </row>
    <row r="43" ht="18" customHeight="1" spans="1:5">
      <c r="A43" s="33">
        <v>42</v>
      </c>
      <c r="B43" s="33">
        <v>702</v>
      </c>
      <c r="C43" s="33">
        <v>4</v>
      </c>
      <c r="D43" s="39" t="s">
        <v>6767</v>
      </c>
      <c r="E43" s="39" t="s">
        <v>6768</v>
      </c>
    </row>
    <row r="44" ht="18" customHeight="1" spans="1:5">
      <c r="A44" s="33">
        <v>43</v>
      </c>
      <c r="B44" s="33">
        <v>702</v>
      </c>
      <c r="C44" s="33">
        <v>3</v>
      </c>
      <c r="D44" s="39" t="s">
        <v>6769</v>
      </c>
      <c r="E44" s="39" t="s">
        <v>6770</v>
      </c>
    </row>
    <row r="45" ht="18" customHeight="1" spans="1:5">
      <c r="A45" s="33">
        <v>44</v>
      </c>
      <c r="B45" s="33">
        <v>702</v>
      </c>
      <c r="C45" s="33">
        <v>5</v>
      </c>
      <c r="D45" s="39" t="s">
        <v>6771</v>
      </c>
      <c r="E45" s="39" t="s">
        <v>6772</v>
      </c>
    </row>
    <row r="46" ht="18" customHeight="1" spans="1:5">
      <c r="A46" s="33">
        <v>45</v>
      </c>
      <c r="B46" s="33">
        <v>702</v>
      </c>
      <c r="C46" s="33">
        <v>6</v>
      </c>
      <c r="D46" s="39" t="s">
        <v>6773</v>
      </c>
      <c r="E46" s="39" t="s">
        <v>6774</v>
      </c>
    </row>
    <row r="47" ht="18" customHeight="1" spans="1:5">
      <c r="A47" s="33">
        <v>46</v>
      </c>
      <c r="B47" s="33">
        <v>702</v>
      </c>
      <c r="C47" s="33">
        <v>1</v>
      </c>
      <c r="D47" s="39" t="s">
        <v>6775</v>
      </c>
      <c r="E47" s="39" t="s">
        <v>6776</v>
      </c>
    </row>
    <row r="48" ht="18" customHeight="1" spans="1:5">
      <c r="A48" s="33">
        <v>47</v>
      </c>
      <c r="B48" s="33">
        <v>713</v>
      </c>
      <c r="C48" s="33">
        <v>4</v>
      </c>
      <c r="D48" s="39" t="s">
        <v>6777</v>
      </c>
      <c r="E48" s="39" t="s">
        <v>6778</v>
      </c>
    </row>
    <row r="49" ht="18" customHeight="1" spans="1:5">
      <c r="A49" s="33">
        <v>48</v>
      </c>
      <c r="B49" s="33">
        <v>713</v>
      </c>
      <c r="C49" s="33">
        <v>3</v>
      </c>
      <c r="D49" s="39" t="s">
        <v>6779</v>
      </c>
      <c r="E49" s="39" t="s">
        <v>6780</v>
      </c>
    </row>
    <row r="50" ht="18" customHeight="1" spans="1:5">
      <c r="A50" s="33">
        <v>49</v>
      </c>
      <c r="B50" s="33">
        <v>713</v>
      </c>
      <c r="C50" s="33">
        <v>5</v>
      </c>
      <c r="D50" s="39" t="s">
        <v>6781</v>
      </c>
      <c r="E50" s="39" t="s">
        <v>6782</v>
      </c>
    </row>
    <row r="51" ht="18" customHeight="1" spans="1:5">
      <c r="A51" s="33">
        <v>50</v>
      </c>
      <c r="B51" s="33">
        <v>713</v>
      </c>
      <c r="C51" s="33">
        <v>6</v>
      </c>
      <c r="D51" s="39" t="s">
        <v>6783</v>
      </c>
      <c r="E51" s="39" t="s">
        <v>6784</v>
      </c>
    </row>
    <row r="52" ht="18" customHeight="1" spans="1:5">
      <c r="A52" s="33">
        <v>51</v>
      </c>
      <c r="B52" s="33">
        <v>713</v>
      </c>
      <c r="C52" s="33">
        <v>1</v>
      </c>
      <c r="D52" s="39" t="s">
        <v>6785</v>
      </c>
      <c r="E52" s="39" t="s">
        <v>6786</v>
      </c>
    </row>
    <row r="53" ht="18" customHeight="1" spans="1:5">
      <c r="A53" s="33">
        <v>52</v>
      </c>
      <c r="B53" s="33">
        <v>3840</v>
      </c>
      <c r="C53" s="33">
        <v>11</v>
      </c>
      <c r="D53" s="39" t="s">
        <v>6787</v>
      </c>
      <c r="E53" s="39" t="s">
        <v>6788</v>
      </c>
    </row>
    <row r="54" ht="18" customHeight="1" spans="1:5">
      <c r="A54" s="33">
        <v>53</v>
      </c>
      <c r="B54" s="33">
        <v>3840</v>
      </c>
      <c r="C54" s="33">
        <v>13</v>
      </c>
      <c r="D54" s="39" t="s">
        <v>6789</v>
      </c>
      <c r="E54" s="39" t="s">
        <v>6790</v>
      </c>
    </row>
    <row r="55" ht="18" customHeight="1" spans="1:5">
      <c r="A55" s="33">
        <v>54</v>
      </c>
      <c r="B55" s="33">
        <v>3840</v>
      </c>
      <c r="C55" s="33">
        <v>12</v>
      </c>
      <c r="D55" s="39" t="s">
        <v>6791</v>
      </c>
      <c r="E55" s="39" t="s">
        <v>6792</v>
      </c>
    </row>
    <row r="56" ht="18" customHeight="1" spans="1:5">
      <c r="A56" s="33">
        <v>55</v>
      </c>
      <c r="B56" s="33">
        <v>3841</v>
      </c>
      <c r="C56" s="33">
        <v>11</v>
      </c>
      <c r="D56" s="39" t="s">
        <v>6793</v>
      </c>
      <c r="E56" s="39" t="s">
        <v>6794</v>
      </c>
    </row>
    <row r="57" ht="18" customHeight="1" spans="1:5">
      <c r="A57" s="33">
        <v>56</v>
      </c>
      <c r="B57" s="33">
        <v>3841</v>
      </c>
      <c r="C57" s="33">
        <v>13</v>
      </c>
      <c r="D57" s="39" t="s">
        <v>6795</v>
      </c>
      <c r="E57" s="39" t="s">
        <v>6796</v>
      </c>
    </row>
    <row r="58" ht="18" customHeight="1" spans="1:5">
      <c r="A58" s="33">
        <v>57</v>
      </c>
      <c r="B58" s="33">
        <v>3841</v>
      </c>
      <c r="C58" s="33">
        <v>12</v>
      </c>
      <c r="D58" s="39" t="s">
        <v>6797</v>
      </c>
      <c r="E58" s="39" t="s">
        <v>6798</v>
      </c>
    </row>
    <row r="59" ht="18" customHeight="1" spans="1:5">
      <c r="A59" s="33">
        <v>58</v>
      </c>
      <c r="B59" s="33">
        <v>523880</v>
      </c>
      <c r="C59" s="33">
        <v>2</v>
      </c>
      <c r="D59" s="39" t="s">
        <v>6799</v>
      </c>
      <c r="E59" s="39" t="s">
        <v>6800</v>
      </c>
    </row>
    <row r="60" ht="18" customHeight="1" spans="1:5">
      <c r="A60" s="33">
        <v>59</v>
      </c>
      <c r="B60" s="33">
        <v>3039</v>
      </c>
      <c r="C60" s="33">
        <v>31</v>
      </c>
      <c r="D60" s="39" t="s">
        <v>6801</v>
      </c>
      <c r="E60" s="39" t="s">
        <v>6802</v>
      </c>
    </row>
    <row r="61" ht="18" customHeight="1" spans="1:5">
      <c r="A61" s="33">
        <v>60</v>
      </c>
      <c r="B61" s="33">
        <v>1742</v>
      </c>
      <c r="C61" s="33">
        <v>31</v>
      </c>
      <c r="D61" s="39" t="s">
        <v>6801</v>
      </c>
      <c r="E61" s="39" t="s">
        <v>6803</v>
      </c>
    </row>
    <row r="62" ht="18" customHeight="1" spans="1:5">
      <c r="A62" s="33">
        <v>61</v>
      </c>
      <c r="B62" s="33">
        <v>1753</v>
      </c>
      <c r="C62" s="33">
        <v>31</v>
      </c>
      <c r="D62" s="39" t="s">
        <v>6801</v>
      </c>
      <c r="E62" s="39" t="s">
        <v>6804</v>
      </c>
    </row>
    <row r="63" ht="18" customHeight="1" spans="1:5">
      <c r="A63" s="33">
        <v>62</v>
      </c>
      <c r="B63" s="33">
        <v>1741</v>
      </c>
      <c r="C63" s="33">
        <v>15</v>
      </c>
      <c r="D63" s="39" t="s">
        <v>6801</v>
      </c>
      <c r="E63" s="39" t="s">
        <v>6805</v>
      </c>
    </row>
    <row r="64" ht="18" customHeight="1" spans="1:5">
      <c r="A64" s="33">
        <v>63</v>
      </c>
      <c r="B64" s="33">
        <v>521121</v>
      </c>
      <c r="C64" s="33">
        <v>15</v>
      </c>
      <c r="D64" s="39" t="s">
        <v>6806</v>
      </c>
      <c r="E64" s="39" t="s">
        <v>6807</v>
      </c>
    </row>
    <row r="65" ht="18" customHeight="1" spans="1:5">
      <c r="A65" s="33">
        <v>65</v>
      </c>
      <c r="B65" s="33">
        <v>521122</v>
      </c>
      <c r="C65" s="33">
        <v>15</v>
      </c>
      <c r="D65" s="39" t="s">
        <v>6808</v>
      </c>
      <c r="E65" s="39" t="s">
        <v>6809</v>
      </c>
    </row>
  </sheetData>
  <pageMargins left="0.7" right="0.7" top="0.75" bottom="0.75" header="0.3" footer="0.3"/>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2"/>
  <sheetViews>
    <sheetView workbookViewId="0">
      <selection activeCell="A1" sqref="A1:E1"/>
    </sheetView>
  </sheetViews>
  <sheetFormatPr defaultColWidth="9" defaultRowHeight="13.5" outlineLevelCol="4"/>
  <cols>
    <col min="1" max="1" width="8.875" style="32"/>
    <col min="2" max="2" width="31.5" style="32" customWidth="1"/>
    <col min="3" max="3" width="7.5" style="32" customWidth="1"/>
    <col min="4" max="4" width="4.875" style="32" customWidth="1"/>
    <col min="5" max="5" width="50.125" style="32" customWidth="1"/>
  </cols>
  <sheetData>
    <row r="1" spans="1:5">
      <c r="A1" s="11" t="s">
        <v>6810</v>
      </c>
      <c r="B1" s="11" t="s">
        <v>103</v>
      </c>
      <c r="C1" s="11" t="s">
        <v>104</v>
      </c>
      <c r="D1" s="12" t="s">
        <v>105</v>
      </c>
      <c r="E1" s="12" t="s">
        <v>6811</v>
      </c>
    </row>
    <row r="2" spans="1:5">
      <c r="A2" s="33">
        <v>1</v>
      </c>
      <c r="B2" s="33" t="s">
        <v>6812</v>
      </c>
      <c r="C2" s="33">
        <v>274430</v>
      </c>
      <c r="D2" s="33">
        <v>11</v>
      </c>
      <c r="E2" s="33" t="s">
        <v>6813</v>
      </c>
    </row>
    <row r="3" spans="1:5">
      <c r="A3" s="33">
        <v>2</v>
      </c>
      <c r="B3" s="33" t="s">
        <v>6814</v>
      </c>
      <c r="C3" s="33">
        <v>274430</v>
      </c>
      <c r="D3" s="33">
        <v>2</v>
      </c>
      <c r="E3" s="33" t="s">
        <v>6815</v>
      </c>
    </row>
    <row r="4" spans="1:5">
      <c r="A4" s="33">
        <v>3</v>
      </c>
      <c r="B4" s="33" t="s">
        <v>6816</v>
      </c>
      <c r="C4" s="33">
        <v>274222</v>
      </c>
      <c r="D4" s="33">
        <v>3</v>
      </c>
      <c r="E4" s="33" t="s">
        <v>6817</v>
      </c>
    </row>
    <row r="5" spans="1:5">
      <c r="A5" s="33">
        <v>4</v>
      </c>
      <c r="B5" s="33" t="s">
        <v>6818</v>
      </c>
      <c r="C5" s="33">
        <v>274210</v>
      </c>
      <c r="D5" s="33">
        <v>3</v>
      </c>
      <c r="E5" s="33" t="s">
        <v>6819</v>
      </c>
    </row>
    <row r="6" spans="1:5">
      <c r="A6" s="33">
        <v>5</v>
      </c>
      <c r="B6" s="33" t="s">
        <v>6820</v>
      </c>
      <c r="C6" s="33">
        <v>274210</v>
      </c>
      <c r="D6" s="33">
        <v>6</v>
      </c>
      <c r="E6" s="33" t="s">
        <v>6821</v>
      </c>
    </row>
    <row r="7" spans="1:5">
      <c r="A7" s="33">
        <v>6</v>
      </c>
      <c r="B7" s="33" t="s">
        <v>6822</v>
      </c>
      <c r="C7" s="33">
        <v>274223</v>
      </c>
      <c r="D7" s="33">
        <v>3</v>
      </c>
      <c r="E7" s="33" t="s">
        <v>6823</v>
      </c>
    </row>
    <row r="8" spans="1:5">
      <c r="A8" s="33">
        <v>7</v>
      </c>
      <c r="B8" s="33" t="s">
        <v>6824</v>
      </c>
      <c r="C8" s="33">
        <v>274224</v>
      </c>
      <c r="D8" s="33">
        <v>3</v>
      </c>
      <c r="E8" s="33" t="s">
        <v>6825</v>
      </c>
    </row>
    <row r="9" spans="1:5">
      <c r="A9" s="33">
        <v>8</v>
      </c>
      <c r="B9" s="33" t="s">
        <v>6826</v>
      </c>
      <c r="C9" s="33">
        <v>274192</v>
      </c>
      <c r="D9" s="33">
        <v>6</v>
      </c>
      <c r="E9" s="33" t="s">
        <v>6827</v>
      </c>
    </row>
    <row r="10" spans="1:5">
      <c r="A10" s="33">
        <v>9</v>
      </c>
      <c r="B10" s="33" t="s">
        <v>6828</v>
      </c>
      <c r="C10" s="33">
        <v>274192</v>
      </c>
      <c r="D10" s="33">
        <v>5</v>
      </c>
      <c r="E10" s="33" t="s">
        <v>6829</v>
      </c>
    </row>
    <row r="11" spans="1:5">
      <c r="A11" s="33">
        <v>10</v>
      </c>
      <c r="B11" s="33" t="s">
        <v>6830</v>
      </c>
      <c r="C11" s="33">
        <v>274192</v>
      </c>
      <c r="D11" s="33">
        <v>4</v>
      </c>
      <c r="E11" s="33" t="s">
        <v>6831</v>
      </c>
    </row>
    <row r="12" spans="1:5">
      <c r="A12" s="33">
        <v>11</v>
      </c>
      <c r="B12" s="33" t="s">
        <v>6832</v>
      </c>
      <c r="C12" s="33">
        <v>274195</v>
      </c>
      <c r="D12" s="33">
        <v>6</v>
      </c>
      <c r="E12" s="33" t="s">
        <v>6833</v>
      </c>
    </row>
    <row r="13" spans="1:5">
      <c r="A13" s="33">
        <v>12</v>
      </c>
      <c r="B13" s="33" t="s">
        <v>6834</v>
      </c>
      <c r="C13" s="33">
        <v>274195</v>
      </c>
      <c r="D13" s="33">
        <v>5</v>
      </c>
      <c r="E13" s="33" t="s">
        <v>6835</v>
      </c>
    </row>
    <row r="14" spans="1:5">
      <c r="A14" s="33">
        <v>13</v>
      </c>
      <c r="B14" s="33" t="s">
        <v>6836</v>
      </c>
      <c r="C14" s="33">
        <v>274195</v>
      </c>
      <c r="D14" s="33">
        <v>4</v>
      </c>
      <c r="E14" s="33" t="s">
        <v>6837</v>
      </c>
    </row>
    <row r="15" spans="1:5">
      <c r="A15" s="33">
        <v>14</v>
      </c>
      <c r="B15" s="33" t="s">
        <v>6838</v>
      </c>
      <c r="C15" s="33">
        <v>274194</v>
      </c>
      <c r="D15" s="33">
        <v>6</v>
      </c>
      <c r="E15" s="33" t="s">
        <v>6839</v>
      </c>
    </row>
    <row r="16" spans="1:5">
      <c r="A16" s="33">
        <v>15</v>
      </c>
      <c r="B16" s="33" t="s">
        <v>6840</v>
      </c>
      <c r="C16" s="33">
        <v>274194</v>
      </c>
      <c r="D16" s="33">
        <v>5</v>
      </c>
      <c r="E16" s="33" t="s">
        <v>6841</v>
      </c>
    </row>
    <row r="17" spans="1:5">
      <c r="A17" s="33">
        <v>16</v>
      </c>
      <c r="B17" s="33" t="s">
        <v>6842</v>
      </c>
      <c r="C17" s="33">
        <v>274194</v>
      </c>
      <c r="D17" s="33">
        <v>4</v>
      </c>
      <c r="E17" s="33" t="s">
        <v>6843</v>
      </c>
    </row>
    <row r="18" spans="1:5">
      <c r="A18" s="33">
        <v>17</v>
      </c>
      <c r="B18" s="33" t="s">
        <v>6844</v>
      </c>
      <c r="C18" s="33">
        <v>274198</v>
      </c>
      <c r="D18" s="33">
        <v>6</v>
      </c>
      <c r="E18" s="33" t="s">
        <v>6845</v>
      </c>
    </row>
    <row r="19" spans="1:5">
      <c r="A19" s="33">
        <v>18</v>
      </c>
      <c r="B19" s="33" t="s">
        <v>6846</v>
      </c>
      <c r="C19" s="33">
        <v>274198</v>
      </c>
      <c r="D19" s="33">
        <v>3</v>
      </c>
      <c r="E19" s="33" t="s">
        <v>6847</v>
      </c>
    </row>
    <row r="20" spans="1:5">
      <c r="A20" s="33">
        <v>19</v>
      </c>
      <c r="B20" s="33" t="s">
        <v>6848</v>
      </c>
      <c r="C20" s="33">
        <v>274198</v>
      </c>
      <c r="D20" s="33">
        <v>5</v>
      </c>
      <c r="E20" s="33" t="s">
        <v>6849</v>
      </c>
    </row>
    <row r="21" spans="1:5">
      <c r="A21" s="33">
        <v>20</v>
      </c>
      <c r="B21" s="33" t="s">
        <v>6850</v>
      </c>
      <c r="C21" s="33">
        <v>274201</v>
      </c>
      <c r="D21" s="33">
        <v>6</v>
      </c>
      <c r="E21" s="33" t="s">
        <v>6851</v>
      </c>
    </row>
    <row r="22" spans="1:5">
      <c r="A22" s="33">
        <v>21</v>
      </c>
      <c r="B22" s="33" t="s">
        <v>6852</v>
      </c>
      <c r="C22" s="33">
        <v>274201</v>
      </c>
      <c r="D22" s="33">
        <v>3</v>
      </c>
      <c r="E22" s="33" t="s">
        <v>6853</v>
      </c>
    </row>
    <row r="23" spans="1:5">
      <c r="A23" s="33">
        <v>22</v>
      </c>
      <c r="B23" s="33" t="s">
        <v>6854</v>
      </c>
      <c r="C23" s="33">
        <v>274201</v>
      </c>
      <c r="D23" s="33">
        <v>5</v>
      </c>
      <c r="E23" s="33" t="s">
        <v>6855</v>
      </c>
    </row>
    <row r="24" spans="1:5">
      <c r="A24" s="33">
        <v>23</v>
      </c>
      <c r="B24" s="33" t="s">
        <v>6856</v>
      </c>
      <c r="C24" s="33">
        <v>274200</v>
      </c>
      <c r="D24" s="33">
        <v>6</v>
      </c>
      <c r="E24" s="33" t="s">
        <v>6857</v>
      </c>
    </row>
    <row r="25" spans="1:5">
      <c r="A25" s="33">
        <v>24</v>
      </c>
      <c r="B25" s="33" t="s">
        <v>6858</v>
      </c>
      <c r="C25" s="33">
        <v>274200</v>
      </c>
      <c r="D25" s="33">
        <v>3</v>
      </c>
      <c r="E25" s="33" t="s">
        <v>6859</v>
      </c>
    </row>
    <row r="26" spans="1:5">
      <c r="A26" s="33">
        <v>25</v>
      </c>
      <c r="B26" s="33" t="s">
        <v>6860</v>
      </c>
      <c r="C26" s="33">
        <v>274200</v>
      </c>
      <c r="D26" s="33">
        <v>5</v>
      </c>
      <c r="E26" s="33" t="s">
        <v>6861</v>
      </c>
    </row>
    <row r="27" spans="1:5">
      <c r="A27" s="33">
        <v>26</v>
      </c>
      <c r="B27" s="33" t="s">
        <v>6862</v>
      </c>
      <c r="C27" s="33">
        <v>274203</v>
      </c>
      <c r="D27" s="33">
        <v>6</v>
      </c>
      <c r="E27" s="33" t="s">
        <v>6863</v>
      </c>
    </row>
    <row r="28" spans="1:5">
      <c r="A28" s="33">
        <v>27</v>
      </c>
      <c r="B28" s="33" t="s">
        <v>6864</v>
      </c>
      <c r="C28" s="33">
        <v>274203</v>
      </c>
      <c r="D28" s="33">
        <v>3</v>
      </c>
      <c r="E28" s="33" t="s">
        <v>6865</v>
      </c>
    </row>
    <row r="29" spans="1:5">
      <c r="A29" s="33">
        <v>28</v>
      </c>
      <c r="B29" s="33" t="s">
        <v>6866</v>
      </c>
      <c r="C29" s="33">
        <v>274203</v>
      </c>
      <c r="D29" s="33">
        <v>5</v>
      </c>
      <c r="E29" s="33" t="s">
        <v>6867</v>
      </c>
    </row>
    <row r="30" spans="1:5">
      <c r="A30" s="33">
        <v>29</v>
      </c>
      <c r="B30" s="33" t="s">
        <v>6868</v>
      </c>
      <c r="C30" s="33">
        <v>274202</v>
      </c>
      <c r="D30" s="33">
        <v>6</v>
      </c>
      <c r="E30" s="33" t="s">
        <v>6869</v>
      </c>
    </row>
    <row r="31" spans="1:5">
      <c r="A31" s="33">
        <v>30</v>
      </c>
      <c r="B31" s="33" t="s">
        <v>6870</v>
      </c>
      <c r="C31" s="33">
        <v>274202</v>
      </c>
      <c r="D31" s="33">
        <v>3</v>
      </c>
      <c r="E31" s="33" t="s">
        <v>6871</v>
      </c>
    </row>
    <row r="32" spans="1:5">
      <c r="A32" s="33">
        <v>31</v>
      </c>
      <c r="B32" s="33" t="s">
        <v>6872</v>
      </c>
      <c r="C32" s="33">
        <v>274202</v>
      </c>
      <c r="D32" s="33">
        <v>5</v>
      </c>
      <c r="E32" s="33" t="s">
        <v>6873</v>
      </c>
    </row>
    <row r="33" spans="1:5">
      <c r="A33" s="33">
        <v>32</v>
      </c>
      <c r="B33" s="33" t="s">
        <v>6874</v>
      </c>
      <c r="C33" s="33">
        <v>274204</v>
      </c>
      <c r="D33" s="33">
        <v>6</v>
      </c>
      <c r="E33" s="33" t="s">
        <v>6875</v>
      </c>
    </row>
    <row r="34" spans="1:5">
      <c r="A34" s="33">
        <v>33</v>
      </c>
      <c r="B34" s="33" t="s">
        <v>6876</v>
      </c>
      <c r="C34" s="33">
        <v>274204</v>
      </c>
      <c r="D34" s="33">
        <v>3</v>
      </c>
      <c r="E34" s="33" t="s">
        <v>6877</v>
      </c>
    </row>
    <row r="35" spans="1:5">
      <c r="A35" s="33">
        <v>34</v>
      </c>
      <c r="B35" s="33" t="s">
        <v>6878</v>
      </c>
      <c r="C35" s="33">
        <v>274204</v>
      </c>
      <c r="D35" s="33">
        <v>5</v>
      </c>
      <c r="E35" s="33" t="s">
        <v>6879</v>
      </c>
    </row>
    <row r="36" spans="1:5">
      <c r="A36" s="33">
        <v>35</v>
      </c>
      <c r="B36" s="33" t="s">
        <v>6880</v>
      </c>
      <c r="C36" s="33">
        <v>274177</v>
      </c>
      <c r="D36" s="33">
        <v>6</v>
      </c>
      <c r="E36" s="33" t="s">
        <v>6881</v>
      </c>
    </row>
    <row r="37" spans="1:5">
      <c r="A37" s="33">
        <v>36</v>
      </c>
      <c r="B37" s="33" t="s">
        <v>6882</v>
      </c>
      <c r="C37" s="33">
        <v>274177</v>
      </c>
      <c r="D37" s="33">
        <v>3</v>
      </c>
      <c r="E37" s="33" t="s">
        <v>6883</v>
      </c>
    </row>
    <row r="38" spans="1:5">
      <c r="A38" s="33">
        <v>37</v>
      </c>
      <c r="B38" s="33" t="s">
        <v>6884</v>
      </c>
      <c r="C38" s="33">
        <v>274177</v>
      </c>
      <c r="D38" s="33">
        <v>5</v>
      </c>
      <c r="E38" s="33" t="s">
        <v>6885</v>
      </c>
    </row>
    <row r="39" spans="1:5">
      <c r="A39" s="33">
        <v>38</v>
      </c>
      <c r="B39" s="33" t="s">
        <v>6886</v>
      </c>
      <c r="C39" s="33">
        <v>274180</v>
      </c>
      <c r="D39" s="33">
        <v>6</v>
      </c>
      <c r="E39" s="33" t="s">
        <v>6887</v>
      </c>
    </row>
    <row r="40" spans="1:5">
      <c r="A40" s="33">
        <v>39</v>
      </c>
      <c r="B40" s="33" t="s">
        <v>6888</v>
      </c>
      <c r="C40" s="33">
        <v>274180</v>
      </c>
      <c r="D40" s="33">
        <v>3</v>
      </c>
      <c r="E40" s="33" t="s">
        <v>6889</v>
      </c>
    </row>
    <row r="41" spans="1:5">
      <c r="A41" s="33">
        <v>40</v>
      </c>
      <c r="B41" s="33" t="s">
        <v>6890</v>
      </c>
      <c r="C41" s="33">
        <v>274180</v>
      </c>
      <c r="D41" s="33">
        <v>5</v>
      </c>
      <c r="E41" s="33" t="s">
        <v>6891</v>
      </c>
    </row>
    <row r="42" spans="1:5">
      <c r="A42" s="33">
        <v>41</v>
      </c>
      <c r="B42" s="33" t="s">
        <v>6892</v>
      </c>
      <c r="C42" s="33">
        <v>274183</v>
      </c>
      <c r="D42" s="33">
        <v>6</v>
      </c>
      <c r="E42" s="33" t="s">
        <v>6893</v>
      </c>
    </row>
    <row r="43" spans="1:5">
      <c r="A43" s="33">
        <v>42</v>
      </c>
      <c r="B43" s="33" t="s">
        <v>6894</v>
      </c>
      <c r="C43" s="33">
        <v>274183</v>
      </c>
      <c r="D43" s="33">
        <v>3</v>
      </c>
      <c r="E43" s="33" t="s">
        <v>6895</v>
      </c>
    </row>
    <row r="44" spans="1:5">
      <c r="A44" s="33">
        <v>43</v>
      </c>
      <c r="B44" s="33" t="s">
        <v>6896</v>
      </c>
      <c r="C44" s="33">
        <v>274183</v>
      </c>
      <c r="D44" s="33">
        <v>5</v>
      </c>
      <c r="E44" s="33" t="s">
        <v>6897</v>
      </c>
    </row>
    <row r="45" spans="1:5">
      <c r="A45" s="33">
        <v>44</v>
      </c>
      <c r="B45" s="33" t="s">
        <v>6898</v>
      </c>
      <c r="C45" s="33">
        <v>274179</v>
      </c>
      <c r="D45" s="33">
        <v>6</v>
      </c>
      <c r="E45" s="33" t="s">
        <v>6899</v>
      </c>
    </row>
    <row r="46" spans="1:5">
      <c r="A46" s="33">
        <v>45</v>
      </c>
      <c r="B46" s="33" t="s">
        <v>6900</v>
      </c>
      <c r="C46" s="33">
        <v>274179</v>
      </c>
      <c r="D46" s="33">
        <v>3</v>
      </c>
      <c r="E46" s="33" t="s">
        <v>6901</v>
      </c>
    </row>
    <row r="47" spans="1:5">
      <c r="A47" s="33">
        <v>46</v>
      </c>
      <c r="B47" s="33" t="s">
        <v>6902</v>
      </c>
      <c r="C47" s="33">
        <v>274179</v>
      </c>
      <c r="D47" s="33">
        <v>5</v>
      </c>
      <c r="E47" s="33" t="s">
        <v>6903</v>
      </c>
    </row>
    <row r="48" spans="1:5">
      <c r="A48" s="33">
        <v>47</v>
      </c>
      <c r="B48" s="33" t="s">
        <v>6904</v>
      </c>
      <c r="C48" s="33">
        <v>274182</v>
      </c>
      <c r="D48" s="33">
        <v>6</v>
      </c>
      <c r="E48" s="33" t="s">
        <v>6905</v>
      </c>
    </row>
    <row r="49" spans="1:5">
      <c r="A49" s="33">
        <v>48</v>
      </c>
      <c r="B49" s="33" t="s">
        <v>6906</v>
      </c>
      <c r="C49" s="33">
        <v>274182</v>
      </c>
      <c r="D49" s="33">
        <v>3</v>
      </c>
      <c r="E49" s="33" t="s">
        <v>6907</v>
      </c>
    </row>
    <row r="50" spans="1:5">
      <c r="A50" s="33">
        <v>49</v>
      </c>
      <c r="B50" s="33" t="s">
        <v>6908</v>
      </c>
      <c r="C50" s="33">
        <v>274182</v>
      </c>
      <c r="D50" s="33">
        <v>5</v>
      </c>
      <c r="E50" s="33" t="s">
        <v>6909</v>
      </c>
    </row>
    <row r="51" spans="1:5">
      <c r="A51" s="33">
        <v>50</v>
      </c>
      <c r="B51" s="33" t="s">
        <v>6910</v>
      </c>
      <c r="C51" s="33">
        <v>274181</v>
      </c>
      <c r="D51" s="33">
        <v>6</v>
      </c>
      <c r="E51" s="33" t="s">
        <v>6911</v>
      </c>
    </row>
    <row r="52" spans="1:5">
      <c r="A52" s="33">
        <v>51</v>
      </c>
      <c r="B52" s="33" t="s">
        <v>6912</v>
      </c>
      <c r="C52" s="33">
        <v>274181</v>
      </c>
      <c r="D52" s="33">
        <v>3</v>
      </c>
      <c r="E52" s="33" t="s">
        <v>6913</v>
      </c>
    </row>
    <row r="53" spans="1:5">
      <c r="A53" s="33">
        <v>52</v>
      </c>
      <c r="B53" s="33" t="s">
        <v>6914</v>
      </c>
      <c r="C53" s="33">
        <v>274181</v>
      </c>
      <c r="D53" s="33">
        <v>5</v>
      </c>
      <c r="E53" s="33" t="s">
        <v>6915</v>
      </c>
    </row>
    <row r="54" spans="1:5">
      <c r="A54" s="33">
        <v>53</v>
      </c>
      <c r="B54" s="33" t="s">
        <v>6916</v>
      </c>
      <c r="C54" s="33">
        <v>274219</v>
      </c>
      <c r="D54" s="33">
        <v>6</v>
      </c>
      <c r="E54" s="33" t="s">
        <v>6917</v>
      </c>
    </row>
    <row r="55" spans="1:5">
      <c r="A55" s="33">
        <v>54</v>
      </c>
      <c r="B55" s="33" t="s">
        <v>6918</v>
      </c>
      <c r="C55" s="33">
        <v>274219</v>
      </c>
      <c r="D55" s="33">
        <v>3</v>
      </c>
      <c r="E55" s="33" t="s">
        <v>6919</v>
      </c>
    </row>
    <row r="56" spans="1:5">
      <c r="A56" s="33">
        <v>55</v>
      </c>
      <c r="B56" s="33" t="s">
        <v>6920</v>
      </c>
      <c r="C56" s="33">
        <v>274219</v>
      </c>
      <c r="D56" s="33">
        <v>5</v>
      </c>
      <c r="E56" s="33" t="s">
        <v>6921</v>
      </c>
    </row>
    <row r="57" spans="1:5">
      <c r="A57" s="33">
        <v>56</v>
      </c>
      <c r="B57" s="33" t="s">
        <v>6922</v>
      </c>
      <c r="C57" s="33">
        <v>274186</v>
      </c>
      <c r="D57" s="33">
        <v>6</v>
      </c>
      <c r="E57" s="33" t="s">
        <v>6923</v>
      </c>
    </row>
    <row r="58" spans="1:5">
      <c r="A58" s="33">
        <v>57</v>
      </c>
      <c r="B58" s="33" t="s">
        <v>6924</v>
      </c>
      <c r="C58" s="33">
        <v>274186</v>
      </c>
      <c r="D58" s="33">
        <v>3</v>
      </c>
      <c r="E58" s="33" t="s">
        <v>6925</v>
      </c>
    </row>
    <row r="59" spans="1:5">
      <c r="A59" s="33">
        <v>58</v>
      </c>
      <c r="B59" s="33" t="s">
        <v>6926</v>
      </c>
      <c r="C59" s="33">
        <v>274186</v>
      </c>
      <c r="D59" s="33">
        <v>5</v>
      </c>
      <c r="E59" s="33" t="s">
        <v>6927</v>
      </c>
    </row>
    <row r="60" spans="1:5">
      <c r="A60" s="33">
        <v>59</v>
      </c>
      <c r="B60" s="33" t="s">
        <v>6928</v>
      </c>
      <c r="C60" s="33">
        <v>274237</v>
      </c>
      <c r="D60" s="33">
        <v>9</v>
      </c>
      <c r="E60" s="33" t="s">
        <v>6929</v>
      </c>
    </row>
    <row r="61" spans="1:5">
      <c r="A61" s="33">
        <v>60</v>
      </c>
      <c r="B61" s="33" t="s">
        <v>6930</v>
      </c>
      <c r="C61" s="33">
        <v>274244</v>
      </c>
      <c r="D61" s="33">
        <v>9</v>
      </c>
      <c r="E61" s="33" t="s">
        <v>6931</v>
      </c>
    </row>
    <row r="62" spans="1:5">
      <c r="A62" s="33">
        <v>61</v>
      </c>
      <c r="B62" s="33" t="s">
        <v>6932</v>
      </c>
      <c r="C62" s="33">
        <v>274251</v>
      </c>
      <c r="D62" s="33">
        <v>9</v>
      </c>
      <c r="E62" s="33" t="s">
        <v>6933</v>
      </c>
    </row>
  </sheetData>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zoomScale="115" zoomScaleNormal="115" workbookViewId="0">
      <selection activeCell="C7" sqref="C7:F9"/>
    </sheetView>
  </sheetViews>
  <sheetFormatPr defaultColWidth="9" defaultRowHeight="13.5" outlineLevelCol="7"/>
  <cols>
    <col min="2" max="2" width="30.75" customWidth="1"/>
    <col min="3" max="3" width="11.625" customWidth="1"/>
    <col min="6" max="6" width="49" customWidth="1"/>
    <col min="7" max="7" width="23.25" customWidth="1"/>
  </cols>
  <sheetData>
    <row r="1" ht="28.9" customHeight="1" spans="1:6">
      <c r="A1" s="11" t="s">
        <v>6810</v>
      </c>
      <c r="B1" s="11" t="s">
        <v>103</v>
      </c>
      <c r="C1" s="11" t="s">
        <v>116</v>
      </c>
      <c r="D1" s="11" t="s">
        <v>104</v>
      </c>
      <c r="E1" s="12" t="s">
        <v>105</v>
      </c>
      <c r="F1" s="12" t="s">
        <v>6811</v>
      </c>
    </row>
    <row r="2" ht="16.9" customHeight="1" spans="1:7">
      <c r="A2" s="13">
        <v>1</v>
      </c>
      <c r="B2" s="14" t="s">
        <v>834</v>
      </c>
      <c r="C2" s="14"/>
      <c r="D2" s="15">
        <v>522241</v>
      </c>
      <c r="E2" s="15">
        <v>15</v>
      </c>
      <c r="F2" s="16" t="s">
        <v>6934</v>
      </c>
      <c r="G2" t="s">
        <v>6935</v>
      </c>
    </row>
    <row r="3" ht="29.25" customHeight="1" spans="1:8">
      <c r="A3" s="13">
        <v>2</v>
      </c>
      <c r="B3" s="14"/>
      <c r="C3" s="17" t="s">
        <v>133</v>
      </c>
      <c r="D3" s="18">
        <v>522241</v>
      </c>
      <c r="E3" s="18">
        <v>16</v>
      </c>
      <c r="F3" s="19" t="s">
        <v>6936</v>
      </c>
      <c r="G3" s="20" t="s">
        <v>6937</v>
      </c>
      <c r="H3" s="21" t="s">
        <v>586</v>
      </c>
    </row>
    <row r="4" ht="16.9" customHeight="1" spans="1:7">
      <c r="A4" s="13">
        <v>3</v>
      </c>
      <c r="B4" s="14"/>
      <c r="C4" s="14"/>
      <c r="D4" s="18">
        <v>522241</v>
      </c>
      <c r="E4" s="18">
        <v>0</v>
      </c>
      <c r="F4" s="19" t="s">
        <v>6938</v>
      </c>
      <c r="G4" t="s">
        <v>6935</v>
      </c>
    </row>
    <row r="5" ht="29.25" customHeight="1" spans="1:8">
      <c r="A5" s="13">
        <v>4</v>
      </c>
      <c r="B5" s="22" t="s">
        <v>6939</v>
      </c>
      <c r="C5" s="23" t="s">
        <v>124</v>
      </c>
      <c r="D5" s="18">
        <v>522242</v>
      </c>
      <c r="E5" s="18">
        <v>5</v>
      </c>
      <c r="F5" s="19" t="s">
        <v>6940</v>
      </c>
      <c r="G5" s="20" t="s">
        <v>6941</v>
      </c>
      <c r="H5" s="21" t="s">
        <v>586</v>
      </c>
    </row>
    <row r="6" ht="16.9" customHeight="1" spans="1:7">
      <c r="A6" s="13">
        <v>5</v>
      </c>
      <c r="B6" s="24" t="s">
        <v>838</v>
      </c>
      <c r="C6" s="23" t="s">
        <v>124</v>
      </c>
      <c r="D6" s="18">
        <v>522243</v>
      </c>
      <c r="E6" s="18">
        <v>5</v>
      </c>
      <c r="F6" s="19" t="s">
        <v>6942</v>
      </c>
      <c r="G6" s="21" t="s">
        <v>586</v>
      </c>
    </row>
    <row r="7" ht="16.9" customHeight="1" spans="1:6">
      <c r="A7" s="13">
        <v>6</v>
      </c>
      <c r="B7" s="24"/>
      <c r="C7" s="25" t="s">
        <v>122</v>
      </c>
      <c r="D7" s="26">
        <v>522243</v>
      </c>
      <c r="E7" s="26">
        <v>15</v>
      </c>
      <c r="F7" s="27" t="s">
        <v>6943</v>
      </c>
    </row>
    <row r="8" ht="16.9" customHeight="1" spans="1:6">
      <c r="A8" s="13">
        <v>7</v>
      </c>
      <c r="B8" s="24"/>
      <c r="C8" s="25" t="s">
        <v>122</v>
      </c>
      <c r="D8" s="28">
        <v>522243</v>
      </c>
      <c r="E8" s="28">
        <v>16</v>
      </c>
      <c r="F8" s="29" t="s">
        <v>6944</v>
      </c>
    </row>
    <row r="9" ht="16.9" customHeight="1" spans="1:6">
      <c r="A9" s="13">
        <v>8</v>
      </c>
      <c r="B9" s="24"/>
      <c r="C9" s="25" t="s">
        <v>122</v>
      </c>
      <c r="D9" s="28">
        <v>522243</v>
      </c>
      <c r="E9" s="28">
        <v>0</v>
      </c>
      <c r="F9" s="29" t="s">
        <v>6945</v>
      </c>
    </row>
    <row r="10" ht="16.9" customHeight="1" spans="1:7">
      <c r="A10" s="13">
        <v>9</v>
      </c>
      <c r="B10" s="24" t="s">
        <v>6946</v>
      </c>
      <c r="C10" s="24"/>
      <c r="D10" s="18">
        <v>522244</v>
      </c>
      <c r="E10" s="18">
        <v>2</v>
      </c>
      <c r="F10" s="19" t="s">
        <v>6947</v>
      </c>
      <c r="G10" t="s">
        <v>6935</v>
      </c>
    </row>
    <row r="11" ht="16.9" customHeight="1" spans="1:7">
      <c r="A11" s="13">
        <v>10</v>
      </c>
      <c r="B11" s="24"/>
      <c r="C11" s="24"/>
      <c r="D11" s="18">
        <v>522244</v>
      </c>
      <c r="E11" s="18">
        <v>5</v>
      </c>
      <c r="F11" s="19" t="s">
        <v>6948</v>
      </c>
      <c r="G11" t="s">
        <v>6935</v>
      </c>
    </row>
    <row r="12" ht="16.9" customHeight="1" spans="1:7">
      <c r="A12" s="13">
        <v>11</v>
      </c>
      <c r="B12" s="24"/>
      <c r="C12" s="24"/>
      <c r="D12" s="18">
        <v>522244</v>
      </c>
      <c r="E12" s="18">
        <v>6</v>
      </c>
      <c r="F12" s="19" t="s">
        <v>6949</v>
      </c>
      <c r="G12" t="s">
        <v>6935</v>
      </c>
    </row>
    <row r="13" ht="16.9" customHeight="1" spans="1:8">
      <c r="A13" s="13">
        <v>12</v>
      </c>
      <c r="B13" s="24" t="s">
        <v>6950</v>
      </c>
      <c r="C13" s="23" t="s">
        <v>124</v>
      </c>
      <c r="D13" s="30">
        <v>522245</v>
      </c>
      <c r="E13" s="30">
        <v>9</v>
      </c>
      <c r="F13" s="19" t="s">
        <v>6951</v>
      </c>
      <c r="G13" t="s">
        <v>6935</v>
      </c>
      <c r="H13" s="21" t="s">
        <v>586</v>
      </c>
    </row>
    <row r="14" ht="16.9" customHeight="1" spans="1:7">
      <c r="A14" s="13">
        <v>13</v>
      </c>
      <c r="B14" s="22" t="s">
        <v>862</v>
      </c>
      <c r="C14" s="22"/>
      <c r="D14" s="18">
        <v>522239</v>
      </c>
      <c r="E14" s="18">
        <v>12</v>
      </c>
      <c r="F14" s="19" t="s">
        <v>6952</v>
      </c>
      <c r="G14" t="s">
        <v>6935</v>
      </c>
    </row>
    <row r="15" ht="16.9" customHeight="1" spans="1:7">
      <c r="A15" s="13">
        <v>14</v>
      </c>
      <c r="B15" s="22" t="s">
        <v>6953</v>
      </c>
      <c r="C15" s="22"/>
      <c r="D15" s="18">
        <v>522238</v>
      </c>
      <c r="E15" s="18">
        <v>13</v>
      </c>
      <c r="F15" s="19" t="s">
        <v>6954</v>
      </c>
      <c r="G15" t="s">
        <v>6935</v>
      </c>
    </row>
    <row r="16" ht="16.9" customHeight="1" spans="1:7">
      <c r="A16" s="13">
        <v>15</v>
      </c>
      <c r="B16" s="22" t="s">
        <v>6955</v>
      </c>
      <c r="C16" s="22"/>
      <c r="D16" s="18">
        <v>522237</v>
      </c>
      <c r="E16" s="18">
        <v>12</v>
      </c>
      <c r="F16" s="19" t="s">
        <v>6956</v>
      </c>
      <c r="G16" t="s">
        <v>6935</v>
      </c>
    </row>
    <row r="17" ht="16.9" customHeight="1" spans="1:7">
      <c r="A17" s="13">
        <v>16</v>
      </c>
      <c r="B17" s="22" t="s">
        <v>6957</v>
      </c>
      <c r="C17" s="22"/>
      <c r="D17" s="18">
        <v>522235</v>
      </c>
      <c r="E17" s="18">
        <v>12</v>
      </c>
      <c r="F17" s="19" t="s">
        <v>6958</v>
      </c>
      <c r="G17" t="s">
        <v>6935</v>
      </c>
    </row>
    <row r="18" ht="16.9" customHeight="1" spans="1:7">
      <c r="A18" s="13">
        <v>17</v>
      </c>
      <c r="B18" s="22" t="s">
        <v>6959</v>
      </c>
      <c r="C18" s="22"/>
      <c r="D18" s="18">
        <v>522234</v>
      </c>
      <c r="E18" s="18">
        <v>7</v>
      </c>
      <c r="F18" s="19" t="s">
        <v>6960</v>
      </c>
      <c r="G18" t="s">
        <v>6935</v>
      </c>
    </row>
    <row r="19" ht="16.9" customHeight="1" spans="1:7">
      <c r="A19" s="13">
        <v>18</v>
      </c>
      <c r="B19" s="22" t="s">
        <v>6961</v>
      </c>
      <c r="C19" s="22"/>
      <c r="D19" s="18">
        <v>522233</v>
      </c>
      <c r="E19" s="18">
        <v>7</v>
      </c>
      <c r="F19" s="19" t="s">
        <v>6962</v>
      </c>
      <c r="G19" t="s">
        <v>6935</v>
      </c>
    </row>
    <row r="20" ht="16.9" customHeight="1" spans="1:7">
      <c r="A20" s="13">
        <v>19</v>
      </c>
      <c r="B20" s="14" t="s">
        <v>6963</v>
      </c>
      <c r="C20" s="31"/>
      <c r="D20" s="18">
        <v>522232</v>
      </c>
      <c r="E20" s="18">
        <v>23</v>
      </c>
      <c r="F20" s="19" t="s">
        <v>6964</v>
      </c>
      <c r="G20" t="s">
        <v>6935</v>
      </c>
    </row>
    <row r="21" spans="1:8">
      <c r="A21" s="13">
        <v>20</v>
      </c>
      <c r="B21" s="14" t="s">
        <v>829</v>
      </c>
      <c r="C21" s="17" t="s">
        <v>133</v>
      </c>
      <c r="D21" s="18">
        <v>522240</v>
      </c>
      <c r="E21" s="18">
        <v>5</v>
      </c>
      <c r="F21" s="19" t="s">
        <v>830</v>
      </c>
      <c r="G21" t="s">
        <v>6965</v>
      </c>
      <c r="H21" s="21" t="s">
        <v>586</v>
      </c>
    </row>
    <row r="22" spans="1:8">
      <c r="A22" s="13">
        <v>21</v>
      </c>
      <c r="B22" s="14" t="s">
        <v>832</v>
      </c>
      <c r="C22" s="17" t="s">
        <v>133</v>
      </c>
      <c r="D22" s="18">
        <v>522240</v>
      </c>
      <c r="E22" s="18">
        <v>12</v>
      </c>
      <c r="F22" s="19" t="s">
        <v>6966</v>
      </c>
      <c r="G22" t="s">
        <v>6965</v>
      </c>
      <c r="H22" s="21" t="s">
        <v>586</v>
      </c>
    </row>
    <row r="23" spans="1:8">
      <c r="A23" s="13">
        <v>22</v>
      </c>
      <c r="B23" s="14" t="s">
        <v>834</v>
      </c>
      <c r="C23" s="23" t="s">
        <v>124</v>
      </c>
      <c r="D23" s="18">
        <v>522244</v>
      </c>
      <c r="E23" s="18">
        <v>0</v>
      </c>
      <c r="F23" s="19" t="s">
        <v>840</v>
      </c>
      <c r="G23" t="s">
        <v>6965</v>
      </c>
      <c r="H23" s="21" t="s">
        <v>586</v>
      </c>
    </row>
    <row r="24" spans="1:8">
      <c r="A24" s="13">
        <v>23</v>
      </c>
      <c r="B24" s="14" t="s">
        <v>6967</v>
      </c>
      <c r="C24" s="17" t="s">
        <v>133</v>
      </c>
      <c r="D24" s="18">
        <v>522244</v>
      </c>
      <c r="E24" s="18">
        <v>5</v>
      </c>
      <c r="F24" s="19" t="s">
        <v>6968</v>
      </c>
      <c r="G24" t="s">
        <v>6965</v>
      </c>
      <c r="H24" s="21" t="s">
        <v>586</v>
      </c>
    </row>
  </sheetData>
  <mergeCells count="3">
    <mergeCell ref="B2:B4"/>
    <mergeCell ref="B6:B9"/>
    <mergeCell ref="B10:B12"/>
  </mergeCells>
  <pageMargins left="0.7" right="0.7" top="0.75" bottom="0.75" header="0.3" footer="0.3"/>
  <pageSetup paperSize="9" orientation="portrait"/>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
  <sheetViews>
    <sheetView zoomScale="115" zoomScaleNormal="115" workbookViewId="0">
      <selection activeCell="H27" sqref="H27"/>
    </sheetView>
  </sheetViews>
  <sheetFormatPr defaultColWidth="9" defaultRowHeight="13.5" outlineLevelCol="6"/>
  <cols>
    <col min="6" max="6" width="41.75" customWidth="1"/>
    <col min="7" max="7" width="14.125" customWidth="1"/>
    <col min="8" max="8" width="16.5" customWidth="1"/>
  </cols>
  <sheetData>
    <row r="1" ht="19.9" customHeight="1" spans="1:7">
      <c r="A1" s="1" t="s">
        <v>6969</v>
      </c>
      <c r="B1" s="1"/>
      <c r="C1" s="1"/>
      <c r="D1" s="1"/>
      <c r="E1" s="1"/>
      <c r="F1" s="1"/>
      <c r="G1" s="1"/>
    </row>
    <row r="2" ht="24" customHeight="1" spans="1:7">
      <c r="A2" s="2" t="s">
        <v>101</v>
      </c>
      <c r="B2" s="2" t="s">
        <v>116</v>
      </c>
      <c r="C2" s="2" t="s">
        <v>117</v>
      </c>
      <c r="D2" s="2" t="s">
        <v>104</v>
      </c>
      <c r="E2" s="3" t="s">
        <v>105</v>
      </c>
      <c r="F2" s="4" t="s">
        <v>258</v>
      </c>
      <c r="G2" s="5"/>
    </row>
    <row r="3" ht="16.5" spans="1:7">
      <c r="A3" s="2">
        <v>1</v>
      </c>
      <c r="B3" s="6" t="s">
        <v>133</v>
      </c>
      <c r="C3" s="7" t="s">
        <v>134</v>
      </c>
      <c r="D3" s="8">
        <v>9691</v>
      </c>
      <c r="E3" s="8">
        <v>12</v>
      </c>
      <c r="F3" s="9" t="s">
        <v>6970</v>
      </c>
      <c r="G3" s="5" t="s">
        <v>264</v>
      </c>
    </row>
    <row r="4" ht="16.5" spans="1:7">
      <c r="A4" s="2">
        <v>2</v>
      </c>
      <c r="B4" s="6" t="s">
        <v>133</v>
      </c>
      <c r="C4" s="7" t="s">
        <v>134</v>
      </c>
      <c r="D4" s="8">
        <v>12836</v>
      </c>
      <c r="E4" s="8">
        <v>12</v>
      </c>
      <c r="F4" s="9" t="s">
        <v>6971</v>
      </c>
      <c r="G4" s="5" t="s">
        <v>264</v>
      </c>
    </row>
    <row r="5" ht="16.5" spans="1:7">
      <c r="A5" s="2">
        <v>3</v>
      </c>
      <c r="B5" s="6" t="s">
        <v>133</v>
      </c>
      <c r="C5" s="7" t="s">
        <v>134</v>
      </c>
      <c r="D5" s="8">
        <v>12837</v>
      </c>
      <c r="E5" s="8">
        <v>12</v>
      </c>
      <c r="F5" s="9" t="s">
        <v>6972</v>
      </c>
      <c r="G5" s="5" t="s">
        <v>264</v>
      </c>
    </row>
    <row r="6" ht="16.5" spans="1:7">
      <c r="A6" s="2">
        <v>4</v>
      </c>
      <c r="B6" s="6" t="s">
        <v>133</v>
      </c>
      <c r="C6" s="7" t="s">
        <v>134</v>
      </c>
      <c r="D6" s="8">
        <v>12836</v>
      </c>
      <c r="E6" s="8">
        <v>5</v>
      </c>
      <c r="F6" s="9" t="s">
        <v>6973</v>
      </c>
      <c r="G6" s="5" t="s">
        <v>264</v>
      </c>
    </row>
    <row r="7" ht="16.5" spans="1:7">
      <c r="A7" s="2">
        <v>5</v>
      </c>
      <c r="B7" s="6" t="s">
        <v>133</v>
      </c>
      <c r="C7" s="7" t="s">
        <v>134</v>
      </c>
      <c r="D7" s="8">
        <v>12837</v>
      </c>
      <c r="E7" s="8">
        <v>5</v>
      </c>
      <c r="F7" s="9" t="s">
        <v>6974</v>
      </c>
      <c r="G7" s="5" t="s">
        <v>264</v>
      </c>
    </row>
    <row r="8" ht="16.5" spans="1:7">
      <c r="A8" s="2">
        <v>6</v>
      </c>
      <c r="B8" s="6" t="s">
        <v>133</v>
      </c>
      <c r="C8" s="7" t="s">
        <v>134</v>
      </c>
      <c r="D8" s="8">
        <v>639</v>
      </c>
      <c r="E8" s="8">
        <v>23</v>
      </c>
      <c r="F8" s="9" t="s">
        <v>6975</v>
      </c>
      <c r="G8" s="5" t="s">
        <v>264</v>
      </c>
    </row>
    <row r="9" ht="48" spans="1:7">
      <c r="A9" s="2">
        <v>7</v>
      </c>
      <c r="B9" s="6" t="s">
        <v>239</v>
      </c>
      <c r="C9" s="10" t="s">
        <v>6976</v>
      </c>
      <c r="D9" s="8">
        <v>2430</v>
      </c>
      <c r="E9" s="8">
        <v>12</v>
      </c>
      <c r="F9" s="9" t="s">
        <v>6977</v>
      </c>
      <c r="G9" s="5" t="s">
        <v>264</v>
      </c>
    </row>
  </sheetData>
  <mergeCells count="1">
    <mergeCell ref="A1:G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36</vt:i4>
      </vt:variant>
    </vt:vector>
  </HeadingPairs>
  <TitlesOfParts>
    <vt:vector size="36" baseType="lpstr">
      <vt:lpstr>版本记录</vt:lpstr>
      <vt:lpstr>控制器源地址</vt:lpstr>
      <vt:lpstr>屏蔽故障码列表</vt:lpstr>
      <vt:lpstr>HCU故障代码31PCAN</vt:lpstr>
      <vt:lpstr>电池冷却系统(TMS)82-PCAN</vt:lpstr>
      <vt:lpstr>低压转向(LSCU)4D-BCAN</vt:lpstr>
      <vt:lpstr>高压转向故障代码表(HSCU)2E BCAN</vt:lpstr>
      <vt:lpstr>IC</vt:lpstr>
      <vt:lpstr>SCU 05 PCAN</vt:lpstr>
      <vt:lpstr>再生制动故障代码表(ABS河南焦作)0BPCAN</vt:lpstr>
      <vt:lpstr>电池管理系统（BMS）故障代码表F4 PCAN</vt:lpstr>
      <vt:lpstr>电机故障代码表EF_PCAN</vt:lpstr>
      <vt:lpstr>空压机故障代码表30 BCAN</vt:lpstr>
      <vt:lpstr>自动变速箱故障代码表03 PCAN</vt:lpstr>
      <vt:lpstr>DCDC故障代码表（1A）BCAN</vt:lpstr>
      <vt:lpstr>高压配电盒故障代码表1E BCAN</vt:lpstr>
      <vt:lpstr>ABS KNORR故障码 ）0B PCAN</vt:lpstr>
      <vt:lpstr>EBS(KNORR) ）0B PCAN</vt:lpstr>
      <vt:lpstr>BCM（32） BCAN</vt:lpstr>
      <vt:lpstr>DCM （EC）BCAN</vt:lpstr>
      <vt:lpstr>TPMS(SENSATA)33  BCAN</vt:lpstr>
      <vt:lpstr>环景影像41BCAN</vt:lpstr>
      <vt:lpstr>疲劳驾驶E7 BCAN</vt:lpstr>
      <vt:lpstr>FCU故障码（F5）PCAN</vt:lpstr>
      <vt:lpstr>燃电DCDC（F5）</vt:lpstr>
      <vt:lpstr>氢系统故障（F6）PCAN</vt:lpstr>
      <vt:lpstr>冷却系统故障ATS(A7和A8)-pcan</vt:lpstr>
      <vt:lpstr>电机2故障代码表F0-PCAN</vt:lpstr>
      <vt:lpstr>外挂DCDC（84）PCAN</vt:lpstr>
      <vt:lpstr>外挂DCDC2（85）PCAN</vt:lpstr>
      <vt:lpstr>Knorr EPB（50）PCAN</vt:lpstr>
      <vt:lpstr>科密瑞立 EPB（50）PCAN</vt:lpstr>
      <vt:lpstr>Knorr  ECAS（2F）PCAN</vt:lpstr>
      <vt:lpstr>瑞立ECAS（2F）</vt:lpstr>
      <vt:lpstr>换电系统（0xDB）</vt:lpstr>
      <vt:lpstr>燃料电池冷却系统(FTS)8F-PCAN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 Ye 顾晔(DFCV技术中心客车开发部车型室)</dc:creator>
  <cp:lastModifiedBy>Seaman</cp:lastModifiedBy>
  <dcterms:created xsi:type="dcterms:W3CDTF">2018-01-16T06:21:00Z</dcterms:created>
  <dcterms:modified xsi:type="dcterms:W3CDTF">2023-05-04T04:07:57Z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9ADFDF63088840F39B7E5170542D3731</vt:lpwstr>
  </property>
  <property fmtid="{D5CDD505-2E9C-101B-9397-08002B2CF9AE}" pid="3" name="KSOProductBuildVer">
    <vt:lpwstr>2052-11.1.0.12763</vt:lpwstr>
  </property>
</Properties>
</file>