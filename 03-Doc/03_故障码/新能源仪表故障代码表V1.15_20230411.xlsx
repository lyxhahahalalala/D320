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195" windowHeight="13140" tabRatio="816" firstSheet="30" activeTab="31"/>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PCAN" sheetId="37" r:id="rId33"/>
    <sheet name="瑞立ECAS（2F）" sheetId="38" r:id="rId34"/>
    <sheet name="换电系统（0xDB）" sheetId="39" r:id="rId35"/>
    <sheet name="燃料电池冷却系统(FTS)8F-PCAN" sheetId="40" r:id="rId36"/>
  </sheets>
  <definedNames>
    <definedName name="_xlnm._FilterDatabase" localSheetId="3" hidden="1">HCU故障代码31PCAN!$A$1:$I$81</definedName>
    <definedName name="_xlnm._FilterDatabase" localSheetId="4" hidden="1">'电池冷却系统(TMS)82-PCAN'!$A$1:$H$62</definedName>
    <definedName name="_xlnm._FilterDatabase" localSheetId="10" hidden="1">'电池管理系统（BMS）故障代码表F4 PCAN'!$A$1:$J$136</definedName>
    <definedName name="_xlnm._FilterDatabase" localSheetId="11" hidden="1">电机故障代码表EF_PCAN!$A$2:$H$64</definedName>
    <definedName name="_xlnm._FilterDatabase" localSheetId="12" hidden="1">'空压机故障代码表30 BCAN'!$A$2:$G$29</definedName>
    <definedName name="_xlnm._FilterDatabase" localSheetId="23" hidden="1">'FCU故障码（F5）PCAN'!$A$1:$I$81</definedName>
    <definedName name="_xlnm._FilterDatabase" localSheetId="24" hidden="1">'氢系统故障（F6）PCAN'!$A$2:$H$36</definedName>
    <definedName name="_xlnm._FilterDatabase" localSheetId="31" hidden="1">'科密瑞立 EPB（50）PCAN'!$A$1:$I$136</definedName>
    <definedName name="_xlnm._FilterDatabase" localSheetId="16" hidden="1">'ABS KNORR故障码 ）0B PCAN'!$A$1:$B$211</definedName>
    <definedName name="_xlnm._FilterDatabase" localSheetId="18" hidden="1">'BCM（32） BCAN'!$A$2:$C$87</definedName>
    <definedName name="_xlnm._FilterDatabase" localSheetId="19" hidden="1">'DCM （EC）BCAN'!$A$1:$G$27</definedName>
    <definedName name="_xlnm._FilterDatabase" localSheetId="7" hidden="1">IC!$A$1:$G$45</definedName>
    <definedName name="_xlnm._FilterDatabase" localSheetId="20" hidden="1">'TPMS(SENSATA)33  BCAN'!$A$2:$G$38</definedName>
    <definedName name="_xlnm.Print_Area" localSheetId="31">'科密瑞立 EPB（50）PCAN'!$A$1:$I$140</definedName>
    <definedName name="_xlnm.Print_Area" localSheetId="17">'EBS(KNORR) ）0B PCAN'!$A$1:$N$793</definedName>
  </definedNames>
  <calcPr calcId="144525"/>
</workbook>
</file>

<file path=xl/comments1.xml><?xml version="1.0" encoding="utf-8"?>
<comments xmlns="http://schemas.openxmlformats.org/spreadsheetml/2006/main">
  <authors>
    <author>作者</author>
  </authors>
  <commentList>
    <comment ref="B1" authorId="0">
      <text>
        <r>
          <rPr>
            <b/>
            <sz val="9"/>
            <rFont val="宋体"/>
            <charset val="134"/>
          </rPr>
          <t>作者:</t>
        </r>
        <r>
          <rPr>
            <sz val="9"/>
            <rFont val="宋体"/>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C15" authorId="0">
      <text>
        <r>
          <rPr>
            <b/>
            <sz val="9"/>
            <rFont val="宋体"/>
            <charset val="134"/>
          </rPr>
          <t>GU Ye 顾晔(DFCV技术中心客车开发部车型室):</t>
        </r>
        <r>
          <rPr>
            <sz val="9"/>
            <rFont val="宋体"/>
            <charset val="134"/>
          </rPr>
          <t xml:space="preserve">
有使能信号丢失</t>
        </r>
      </text>
    </comment>
  </commentList>
</comments>
</file>

<file path=xl/sharedStrings.xml><?xml version="1.0" encoding="utf-8"?>
<sst xmlns="http://schemas.openxmlformats.org/spreadsheetml/2006/main" count="9594" uniqueCount="6914">
  <si>
    <t>版本</t>
  </si>
  <si>
    <t>日期</t>
  </si>
  <si>
    <t>设计</t>
  </si>
  <si>
    <t>更改记录</t>
  </si>
  <si>
    <t>V1.0</t>
  </si>
  <si>
    <t xml:space="preserve"> </t>
  </si>
  <si>
    <t>原始版本</t>
  </si>
  <si>
    <t>V1.1</t>
  </si>
  <si>
    <t>“仪表：环境温度传感器短路到电源或开路（171,3）”改为“仪表：环境温度传感器或线路故障(171,3)”</t>
  </si>
  <si>
    <t>V1.2</t>
  </si>
  <si>
    <t>电机故障码增加3个，同时更改超速报警描述</t>
  </si>
  <si>
    <t>V1.3</t>
  </si>
  <si>
    <t>电机故障描述更改，“保护”改为“停机”等</t>
  </si>
  <si>
    <t>V1.4</t>
  </si>
  <si>
    <t>氢系统故障码描述更改</t>
  </si>
  <si>
    <t>V1.5</t>
  </si>
  <si>
    <t>电池冷却系统(TMS)源地址改为0x82.
BMS系统故障码更新，更改描述和新增故障。</t>
  </si>
  <si>
    <t>V1.6</t>
  </si>
  <si>
    <t>“电机转速超速报警保护”和“电机转速超速停机保护”两个故障增加蜂鸣</t>
  </si>
  <si>
    <t>V1.7</t>
  </si>
  <si>
    <t>根据便函DM22041306，电机控制器、高压配电盒、高压转向、电动空压机、DCDC故障清单增加故障。见故障列表后面备注。高压转向缩写更新，由“HSST”改为“HSCU”，低压转向由“LSST”改为“LSCU”。</t>
  </si>
  <si>
    <t>V1.8</t>
  </si>
  <si>
    <t>BMS中增加三个换电系统故障，便函DM22052520</t>
  </si>
  <si>
    <t>V1.9</t>
  </si>
  <si>
    <t>BMS中增加换电系统故障，赵鹏辉邮件20220429；
自动变速箱故障更新；普刚邮件20220610
增加瑞立EPB故障清单；</t>
  </si>
  <si>
    <t>V1.10</t>
  </si>
  <si>
    <t>1、增加Knorr和瑞立ECAS故障清单。
2、DCDC故障清单中v1.7新增故障有误，重新更改。
3、电机系统新增7个故障。DM22070514。
4、自动变速箱故障清单有误，修正。DM22070520
5、增加换电系统故障清单，源地址0xDB</t>
  </si>
  <si>
    <t>V1.11</t>
  </si>
  <si>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</si>
  <si>
    <t>V1.12</t>
  </si>
  <si>
    <t>仅针对KT1D车型，AMT故障码清单更新.胡蜜DM22120917</t>
  </si>
  <si>
    <t>V1.13</t>
  </si>
  <si>
    <t>针对10×4车型，IC故障码清单更新</t>
  </si>
  <si>
    <t>V1.14</t>
  </si>
  <si>
    <t>1.新能源故障码净化（DM23030203）故障等级A、B显示，C、D仪表不显示
2.补充EBS故障码列表 新增785-792行（2022.11.01已通知）</t>
  </si>
  <si>
    <t>V1.15</t>
  </si>
  <si>
    <t>新增科密瑞立EPB故障码清单(徐冕 20230323邮件)，原瑞立EPB更新为Knorr EPB</t>
  </si>
  <si>
    <t>控制器</t>
  </si>
  <si>
    <t>源地址</t>
  </si>
  <si>
    <t>can通道</t>
  </si>
  <si>
    <t>整车控制器（HCU）</t>
  </si>
  <si>
    <t>0x31</t>
  </si>
  <si>
    <t>PCAN</t>
  </si>
  <si>
    <t>电池冷却系统(TMS)</t>
  </si>
  <si>
    <t>0x82</t>
  </si>
  <si>
    <t>低压转向(LSCU)</t>
  </si>
  <si>
    <t>0x4D</t>
  </si>
  <si>
    <t>BCAN</t>
  </si>
  <si>
    <t>高压转向故障代码表(HSCU)</t>
  </si>
  <si>
    <t>0x2E</t>
  </si>
  <si>
    <t>组合仪表（IC）</t>
  </si>
  <si>
    <t>0x17</t>
  </si>
  <si>
    <t>SCU</t>
  </si>
  <si>
    <t>0x05</t>
  </si>
  <si>
    <t>再生制动(ABS河南焦作)</t>
  </si>
  <si>
    <t>0x0B</t>
  </si>
  <si>
    <t>电池管理系统（BMS）</t>
  </si>
  <si>
    <t xml:space="preserve">0xF4 </t>
  </si>
  <si>
    <t>电机控制器（MCU）</t>
  </si>
  <si>
    <t>0xEF 0xF0</t>
  </si>
  <si>
    <t>空压机</t>
  </si>
  <si>
    <t xml:space="preserve">0x30 </t>
  </si>
  <si>
    <t>自动变速箱（AMT）</t>
  </si>
  <si>
    <t>0x03</t>
  </si>
  <si>
    <t>DCDC</t>
  </si>
  <si>
    <t>0x1A</t>
  </si>
  <si>
    <t>高压配电盒（PDU）</t>
  </si>
  <si>
    <t>0x1E</t>
  </si>
  <si>
    <t>ABS KNORR</t>
  </si>
  <si>
    <t>EBS KNORR</t>
  </si>
  <si>
    <t>BCM</t>
  </si>
  <si>
    <t>0x32</t>
  </si>
  <si>
    <t>DCM</t>
  </si>
  <si>
    <t>0xEC</t>
  </si>
  <si>
    <t>TPMS</t>
  </si>
  <si>
    <t>0x33</t>
  </si>
  <si>
    <t>环景影像（HJYX）</t>
  </si>
  <si>
    <t>0x41</t>
  </si>
  <si>
    <t>疲劳驾驶（DFMS）</t>
  </si>
  <si>
    <t>0xE7</t>
  </si>
  <si>
    <t>燃料电池控制器（FCU）</t>
  </si>
  <si>
    <t>0xF5</t>
  </si>
  <si>
    <t>氢管理系统（HMS）</t>
  </si>
  <si>
    <t>0xF6</t>
  </si>
  <si>
    <t>燃电DCDC</t>
  </si>
  <si>
    <t>冷却系统（ATS）</t>
  </si>
  <si>
    <t>0xA7 0xA8</t>
  </si>
  <si>
    <t>外挂DCDC</t>
  </si>
  <si>
    <t>0x84 0x85</t>
  </si>
  <si>
    <t>Knorr EPB</t>
  </si>
  <si>
    <t>0x50</t>
  </si>
  <si>
    <t>科密瑞立EPB</t>
  </si>
  <si>
    <t>V1.15新增</t>
  </si>
  <si>
    <t>空气悬架（ECAS）KNORR/瑞立</t>
  </si>
  <si>
    <t>0x2F</t>
  </si>
  <si>
    <t>换电系统</t>
  </si>
  <si>
    <t>0xDB</t>
  </si>
  <si>
    <t>燃料电池冷却系统（FTS）</t>
  </si>
  <si>
    <t>0x8F</t>
  </si>
  <si>
    <t>序号</t>
  </si>
  <si>
    <t>电控系统</t>
  </si>
  <si>
    <t>故障描述</t>
  </si>
  <si>
    <t>SPN</t>
  </si>
  <si>
    <t>FMI</t>
  </si>
  <si>
    <t>BMS</t>
  </si>
  <si>
    <t>单体温度轻微低</t>
  </si>
  <si>
    <t>电池总电压轻微高</t>
  </si>
  <si>
    <t>单体轻微过压</t>
  </si>
  <si>
    <t>单体压差轻微大</t>
  </si>
  <si>
    <t>充电电流轻微大</t>
  </si>
  <si>
    <t>TCU</t>
  </si>
  <si>
    <t>换挡数据或离合器数据错误</t>
  </si>
  <si>
    <t>变速箱其他故障</t>
  </si>
  <si>
    <t>故障等级</t>
  </si>
  <si>
    <t>SPN(DEC)</t>
  </si>
  <si>
    <t>FMI(DEC)</t>
  </si>
  <si>
    <t>菜单中显示</t>
  </si>
  <si>
    <t>仪表界面显示</t>
  </si>
  <si>
    <t>C</t>
  </si>
  <si>
    <t>HCU:蓄电池电压信号超上限(168,16)</t>
  </si>
  <si>
    <t>A</t>
  </si>
  <si>
    <t xml:space="preserve">HCU:蓄电池电压信号超下限(168,18)          </t>
  </si>
  <si>
    <t>HCU:蓄电池电压信号超下限(168,18)       </t>
  </si>
  <si>
    <t>HCU:蓄电池电压信号不合理(168,2)</t>
  </si>
  <si>
    <t>HCU:DC/DC输出电压信号超上限(169,16)</t>
  </si>
  <si>
    <t xml:space="preserve">HCU:DC/DC输出电压信号超下限(169,18)          </t>
  </si>
  <si>
    <t>HCU:DC/DC输出电压信号不合理(169,2)</t>
  </si>
  <si>
    <t>HCU:T15信号电压故障-过高(158,16)</t>
  </si>
  <si>
    <t>B</t>
  </si>
  <si>
    <t>HCU:T15信号电压故障-过低(158,18)</t>
  </si>
  <si>
    <t>HCU:T15信号电压故障-合理性(158,2)</t>
  </si>
  <si>
    <t>9E</t>
  </si>
  <si>
    <t>HCU:制动灯开关故障-合理性(597,2)</t>
  </si>
  <si>
    <t>HCU:CAN2通讯故障(21003,12)</t>
  </si>
  <si>
    <t>520B</t>
  </si>
  <si>
    <t>HCU:CAN1通讯故障(21004,12)</t>
  </si>
  <si>
    <t>520C</t>
  </si>
  <si>
    <t>HCU:ABS制动灯继电器对地短路(21005,4)</t>
  </si>
  <si>
    <t>HCU:ABS制动灯继电器对电源短路(21005,3)</t>
  </si>
  <si>
    <t>HCU:ABS制动灯继电器控制线路故障-超温(21005,6)</t>
  </si>
  <si>
    <t>HCU:ABS制动灯继电器控制线路故障(21005,6)</t>
  </si>
  <si>
    <t>HCU:制动踏板行程传感器2 5V电源故障-过高(21006,16)</t>
  </si>
  <si>
    <t>HCU:制动踏板传感器电源故障(21006,16)</t>
  </si>
  <si>
    <t>HCU:制动踏板行程传感器2 5V电源故障-过低(21006,18)</t>
  </si>
  <si>
    <t>HCU:制动踏板传感器电源故障(21006,18)</t>
  </si>
  <si>
    <t>HCU:制动踏板行程传感器2 5V电源故障-开路(21006,5)</t>
  </si>
  <si>
    <t>HCU:制动踏板传感器电源故障(21006,5)</t>
  </si>
  <si>
    <t>520E</t>
  </si>
  <si>
    <t>HCU:制动踏板行程传感器2 5V电源故障-对地短路(21006,6)</t>
  </si>
  <si>
    <t>HCU:制动踏板传感器电源故障(21006,6)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</si>
  <si>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(21007,16)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</si>
  <si>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故障</t>
    </r>
    <r>
      <rPr>
        <sz val="11"/>
        <color rgb="FF000000"/>
        <rFont val="宋体"/>
        <charset val="134"/>
        <scheme val="minor"/>
      </rPr>
      <t>(21007,16)</t>
    </r>
  </si>
  <si>
    <t>520F</t>
  </si>
  <si>
    <t>HCU:制动踏板行程传感器2信号故障-超量程最小值(21007,18)</t>
  </si>
  <si>
    <t>HCU:制动踏板传感器故障(21007,18)</t>
  </si>
  <si>
    <t>HCU:电源线开路或信号线短路到地(21007,5)</t>
  </si>
  <si>
    <t>这条为新增请注意</t>
  </si>
  <si>
    <t>2020.03.07</t>
  </si>
  <si>
    <t>仪表软件未增加</t>
  </si>
  <si>
    <t>HCU:制动踏板行程传感器2信号故障-合理性(21007,2)</t>
  </si>
  <si>
    <t>HCU:制动踏板传感器故障(21007,2)</t>
  </si>
  <si>
    <t>HCU:电子加速踏板1电源5V电源故障-过高(21008,16)</t>
  </si>
  <si>
    <t>HCU:电子加速踏板电源故障(21008,16)</t>
  </si>
  <si>
    <t>HCU:电子加速踏板1电源5V电源故障-过低(21008,18)</t>
  </si>
  <si>
    <t>HCU:电子加速踏板电源故障(21008,18)</t>
  </si>
  <si>
    <t>HCU:电子加速踏板1电源5V电源故障-开路(21008,5)</t>
  </si>
  <si>
    <t>HCU:电子加速踏板电源故障(21008,5)</t>
  </si>
  <si>
    <t>HCU:电子加速踏板1电源5V电源故障-对地短路(21008,6)</t>
  </si>
  <si>
    <t>HCU:电子加速踏板电源故障(21008,6)</t>
  </si>
  <si>
    <r>
      <rPr>
        <sz val="11"/>
        <color rgb="FF000000"/>
        <rFont val="宋体"/>
        <charset val="134"/>
        <scheme val="minor"/>
      </rPr>
      <t>HCU:</t>
    </r>
    <r>
      <rPr>
        <sz val="11"/>
        <color rgb="FF000000"/>
        <rFont val="宋体"/>
        <charset val="134"/>
        <scheme val="minor"/>
      </rPr>
      <t>电子加速踏板</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(91,16)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</si>
  <si>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(91,16)</t>
    </r>
  </si>
  <si>
    <t>HCU:电子加速踏板1信号故障-超量程最小值(91,18)</t>
  </si>
  <si>
    <t>HCU:电子加速踏板信号故障(91,18)</t>
  </si>
  <si>
    <t>HCU:电子加速踏板1信号故障-合理性(91,2)</t>
  </si>
  <si>
    <t>HCU:电子加速踏板信号故障(91,2)</t>
  </si>
  <si>
    <t>HCU:电子加速踏板2电源5V电源故障-过高(21009,16)</t>
  </si>
  <si>
    <t>HCU:电子加速踏板电源故障(21009,16)</t>
  </si>
  <si>
    <t>HCU:电子加速踏板2电源5V电源故障-过低(21009,18)</t>
  </si>
  <si>
    <t>HCU:电子加速踏板电源故障(21009,18)</t>
  </si>
  <si>
    <t>HCU:电子加速踏板2电源5V电源故障-开路(21009,5)</t>
  </si>
  <si>
    <t>HCU:电子加速踏板电源故障(21009,5)</t>
  </si>
  <si>
    <t>HCU:电子加速踏板2电源5V电源故障-对地短路(21009,6)</t>
  </si>
  <si>
    <t>HCU:电子加速踏板电源故障(21009,6)</t>
  </si>
  <si>
    <r>
      <rPr>
        <sz val="11"/>
        <color rgb="FF000000"/>
        <rFont val="宋体"/>
        <charset val="134"/>
        <scheme val="minor"/>
      </rPr>
      <t>HCU:</t>
    </r>
    <r>
      <rPr>
        <sz val="11"/>
        <color rgb="FF000000"/>
        <rFont val="宋体"/>
        <charset val="134"/>
        <scheme val="minor"/>
      </rPr>
      <t>电子加速踏板</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(29,16)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</si>
  <si>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(29,16)</t>
    </r>
  </si>
  <si>
    <t>HCU:电子加速踏板2信号故障-超量程最小值(29,18)</t>
  </si>
  <si>
    <t>HCU:电子加速踏板信号故障(29,18)</t>
  </si>
  <si>
    <t>HCU:电子加速踏板2信号故障-合理性(29,2)</t>
  </si>
  <si>
    <t>HCU:电子加速踏板信号故障(29,2)</t>
  </si>
  <si>
    <t>HCU:DCDC使能信号对地短路(21012,4)</t>
  </si>
  <si>
    <t>HCU:DCDC使能信号对电短路(21012,3)</t>
  </si>
  <si>
    <t>HCU:DCDC使能信号控制线路故障-超温(21012,6)</t>
  </si>
  <si>
    <t>HCU:DCDC使能信号控制线路故障(21012,6)</t>
  </si>
  <si>
    <t>HCU:空调使能继电器对地短路(21013,4)</t>
  </si>
  <si>
    <t>HCU:空调使能继电器对电短路(21013,3)</t>
  </si>
  <si>
    <t>HCU:空调使能继电器控制线路故障-超温(21013,6)</t>
  </si>
  <si>
    <t>HCU:空调使能继电器控制线路故障(21013,6)</t>
  </si>
  <si>
    <t>HCU:PTC使能继电器对地短路(21014,4)</t>
  </si>
  <si>
    <t>HCU:PTC使能继电器对电短路(21014,3)</t>
  </si>
  <si>
    <t>HCU:PTC使能继电器控制线路故障-超温(21014,6)</t>
  </si>
  <si>
    <t>HCU:PTC使能继电器控制线路故障(21014,6)</t>
  </si>
  <si>
    <t>HCU:紧急切断继电器对地短路(21015,4)</t>
  </si>
  <si>
    <t>HCU:紧急切断继电器对电短路(21015,3)</t>
  </si>
  <si>
    <t>HCU:紧急切断继电器控制线路故障-超温(21015,6)</t>
  </si>
  <si>
    <t>HCU:紧急切断继电器控制线路故障(21015,6)</t>
  </si>
  <si>
    <t>HCU:下电数据不能保存(630,12)</t>
  </si>
  <si>
    <t>HCU:静态RAM检测不能通过(21016,12)</t>
  </si>
  <si>
    <t>HCU:非正常复位发生(21017,12)</t>
  </si>
  <si>
    <t>HCU:内部SPI通讯故障(21018,12)</t>
  </si>
  <si>
    <t>HCU:高压配电盒正极继电器使能信号对地短路(21019,4)</t>
  </si>
  <si>
    <t>HCU:PDU正极继电器使能信号对地短路(21019,4)</t>
  </si>
  <si>
    <t>HCU:高压配电盒正极继电器使能信号对电短路(21019,3)</t>
  </si>
  <si>
    <t>HCU:PDU正极继电器使能信号对电短路(21019,3)</t>
  </si>
  <si>
    <t>HCU:高压配电盒正极继电器使能信号控制线路故障-超温(21019,6)</t>
  </si>
  <si>
    <t>HCU:PDU正极继电器线路故障(21019,6)</t>
  </si>
  <si>
    <t>HCU:倒车灯输出对地短路或者过温(21022,4)</t>
  </si>
  <si>
    <t>HCU:倒车灯输出对电短路或者开路(21022,3)</t>
  </si>
  <si>
    <t>HCU:倒车灯输出控制线路故障-超温(21022,6)</t>
  </si>
  <si>
    <t>HCU:倒车灯输出控制线路故障(21022,6)</t>
  </si>
  <si>
    <t>HCU:制动踏板行程传感器1 5V电源故障-过高(21056,16)</t>
  </si>
  <si>
    <t>HCU:制动踏板传感器电源故障21056,16)</t>
  </si>
  <si>
    <t>HCU:制动踏板行程传感器1 5V电源故障-过低(21056,18)</t>
  </si>
  <si>
    <t>HCU:制动踏板传感器电源故障(21056,18)</t>
  </si>
  <si>
    <t>HCU:制动踏板行程传感器1 5V电源故障-开路(21056,5)</t>
  </si>
  <si>
    <t>HCU:制动踏板传感器电源故障(21056,5)</t>
  </si>
  <si>
    <t>HCU:制动踏板行程传感器1 5V电源故障-对地短路(21056,6)</t>
  </si>
  <si>
    <t>HCU:制动踏板传感器电源故障(21056,6)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</si>
  <si>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(21067,16)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</si>
  <si>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信号故障</t>
    </r>
    <r>
      <rPr>
        <sz val="11"/>
        <color rgb="FF000000"/>
        <rFont val="宋体"/>
        <charset val="134"/>
        <scheme val="minor"/>
      </rPr>
      <t>(21067,16)</t>
    </r>
  </si>
  <si>
    <t>HCU:制动踏板行程传感器1信号故障-超量程最小值(21067,18)</t>
  </si>
  <si>
    <t>HCU:制动踏板传感器信号故障(21067,18)</t>
  </si>
  <si>
    <t>HCU:制动踏板行程传感器1信号故障-合理性(21067,2)</t>
  </si>
  <si>
    <t>HCU:制动踏板传感器信号故障(21067,2)</t>
  </si>
  <si>
    <t>HCU:电机冷却液液位低（522111,18）</t>
  </si>
  <si>
    <t>HCU:电机冷却液液位低（522111,19）</t>
  </si>
  <si>
    <t>V1.14新增</t>
  </si>
  <si>
    <t>HCU:电池冷却液液位低（522112,18）</t>
  </si>
  <si>
    <t>HCU:空调压缩机故障（522115,12）</t>
  </si>
  <si>
    <t>HCU:四通阀故障（522116,12）</t>
  </si>
  <si>
    <t>HCU:三通阀故障（522117,12）</t>
  </si>
  <si>
    <t>HCU:电机冷却回水温度传感器故障（522119,5）</t>
  </si>
  <si>
    <t>HCU:电机冷却回水温度传感器故障（522119,4）</t>
  </si>
  <si>
    <t>HCU:HCU与Tbox间通讯异常（1746,9）</t>
  </si>
  <si>
    <t>HCU:车辆监管、即将激活限速限扭（1746,2）</t>
  </si>
  <si>
    <t>HCU:干燥器压力开关信号不合理（21068,2）</t>
  </si>
  <si>
    <t>HCU:整车气路或空压机漏气（21069,2）</t>
  </si>
  <si>
    <t>HCU:冷媒压力高（522113,16）</t>
  </si>
  <si>
    <t>V1.14新增，先不做</t>
  </si>
  <si>
    <t>HCU:冷媒压力低（522114,18）</t>
  </si>
  <si>
    <t>HCU:空调压缩机排气温度高（522118,16）</t>
  </si>
  <si>
    <t>仪表显示内容</t>
  </si>
  <si>
    <t>TMS：通讯异常(521400,23)</t>
  </si>
  <si>
    <t>源地址：0x4E改为0x82</t>
  </si>
  <si>
    <t>TMS：PTC1级故障(521401,5)</t>
  </si>
  <si>
    <t>TMS：PTC1级故障(521401,1)</t>
  </si>
  <si>
    <t>V1.11新增</t>
  </si>
  <si>
    <t>TMS：PTC1级故障(521401,0)</t>
  </si>
  <si>
    <t>TMS：PTC1级故障(521401,25)</t>
  </si>
  <si>
    <t>TMS：PTC1级故障(521401,20)</t>
  </si>
  <si>
    <t>TMS：PTC2级故障(521401,12)</t>
  </si>
  <si>
    <t>TMS：PTC2级故障(521401,19)</t>
  </si>
  <si>
    <t>TMS：PTC2级故障(521401,16)</t>
  </si>
  <si>
    <t>TMS：PTC2级故障(521401,6)</t>
  </si>
  <si>
    <t>TMS：PTC2级故障(521401,3)</t>
  </si>
  <si>
    <t>TMS：PTC2级故障(521401,4)</t>
  </si>
  <si>
    <t>TMS：PTC2级故障(521401,26)</t>
  </si>
  <si>
    <t>TMS：PTC2级故障(521401,21)</t>
  </si>
  <si>
    <t>TMS：PTC2级故障(521401,22)</t>
  </si>
  <si>
    <t>TMS：压缩机故障(521402,12)</t>
  </si>
  <si>
    <t>TMS：压缩机故障(521402,6)</t>
  </si>
  <si>
    <t>TMS：压缩机故障(521402,3)</t>
  </si>
  <si>
    <t>TMS：压缩机故障(521402,4)</t>
  </si>
  <si>
    <t>TMS：压缩机故障(521402,19)</t>
  </si>
  <si>
    <t>TMS：压缩机故障(521402,16)</t>
  </si>
  <si>
    <t>TMS：压缩机故障(521402,20)</t>
  </si>
  <si>
    <t>TMS：压缩机故障(521402,15)</t>
  </si>
  <si>
    <t>TMS：压缩机故障(521402,10)</t>
  </si>
  <si>
    <t>TMS：冷凝风扇故障(521403,12)</t>
  </si>
  <si>
    <t>TMS：高压传感器故障(521404,12)</t>
  </si>
  <si>
    <t>TMS：低压传感器故障(521405,12)</t>
  </si>
  <si>
    <t>TMS：机组进水温度传感器故障(521406,12)</t>
  </si>
  <si>
    <t>V1.11删除</t>
  </si>
  <si>
    <t>V1.14恢复显示</t>
  </si>
  <si>
    <t>TMS：机组出水温度传感器故障(521407,12)</t>
  </si>
  <si>
    <t>TMS：预留(521408,)</t>
  </si>
  <si>
    <t>TMS：冷却液温度异常(521408,18)</t>
  </si>
  <si>
    <t>TMS：冷却液温度异常(521408,28)</t>
  </si>
  <si>
    <t>TMS：水泵故障(521409,12)</t>
  </si>
  <si>
    <t>TMS：水泵故障(521409,6)</t>
  </si>
  <si>
    <t>TMS：水泵故障(521409,3)</t>
  </si>
  <si>
    <t>TMS：水泵故障(521409,4)</t>
  </si>
  <si>
    <t>TMS：水泵故障(521409,16)</t>
  </si>
  <si>
    <t>TMS：水泵故障(521409,21)</t>
  </si>
  <si>
    <t>TMS：水泵故障(521409,22)</t>
  </si>
  <si>
    <t>TMS：水位传感器故障(521410,12)</t>
  </si>
  <si>
    <t>TMS：PTC出水温度传感器故障(521411,12)</t>
  </si>
  <si>
    <t>TMS：高压预充故障(521412,0)</t>
  </si>
  <si>
    <t>TMS：预充接触器1级故障(521413,0)</t>
  </si>
  <si>
    <t>V1.11修改</t>
  </si>
  <si>
    <t>TMS：DCDC故障(521414,0)</t>
  </si>
  <si>
    <t>TMS：从机组1一级故障(521415,0)</t>
  </si>
  <si>
    <t>TMS：从机组1二级故障(521415,1)</t>
  </si>
  <si>
    <t>TMS：从机组1丢失(521415,23)</t>
  </si>
  <si>
    <t>TMS：从机组2一 级故障(521416,0)</t>
  </si>
  <si>
    <t>TMS：从机组2二级故障(521416,1)</t>
  </si>
  <si>
    <t>TMS：从机组2丢失(521416,23)</t>
  </si>
  <si>
    <t>TMS：低压供电故障(521417,1)</t>
  </si>
  <si>
    <t>TMS：高压总回路接触器1级故障(521418,0)</t>
  </si>
  <si>
    <t>TMS：排气温度传感器2级故障(521419,12)</t>
  </si>
  <si>
    <t>TMS：DCDC通讯故障(521414,19)</t>
  </si>
  <si>
    <t>TMS：DCDC过电流(521414,6)</t>
  </si>
  <si>
    <t>TMS：DCDC输入过电压(521414,3)</t>
  </si>
  <si>
    <t>TMS：DCDC输入欠电压(521414,4)</t>
  </si>
  <si>
    <t>TMS：DCDC输出过压(521414,16)</t>
  </si>
  <si>
    <t>TMS：DCDC输出欠压(521414,18)</t>
  </si>
  <si>
    <t>TMS：DCDC低压输入电压过高(521414,23)</t>
  </si>
  <si>
    <t>TMS：DCDC低压输入电压过低(521414,24)</t>
  </si>
  <si>
    <t>输入欠压</t>
  </si>
  <si>
    <t>V1.7_20220419“LSST”改为“LSCU”</t>
  </si>
  <si>
    <t>输入过压</t>
  </si>
  <si>
    <t>EEPROM故障</t>
  </si>
  <si>
    <t>过流故障</t>
  </si>
  <si>
    <t>过温故障</t>
  </si>
  <si>
    <t>过载故障</t>
  </si>
  <si>
    <t>输出缺相</t>
  </si>
  <si>
    <t>CAN通讯中断故障</t>
  </si>
  <si>
    <t>CAN通讯超时故障</t>
  </si>
  <si>
    <t>电机过载故障</t>
  </si>
  <si>
    <t>电机过温故障</t>
  </si>
  <si>
    <r>
      <rPr>
        <sz val="10"/>
        <rFont val="宋体"/>
        <charset val="134"/>
      </rPr>
      <t>输入欠压</t>
    </r>
    <r>
      <rPr>
        <sz val="10"/>
        <rFont val="Arial"/>
        <charset val="134"/>
      </rPr>
      <t xml:space="preserve"> </t>
    </r>
  </si>
  <si>
    <r>
      <rPr>
        <sz val="10"/>
        <rFont val="宋体"/>
        <charset val="134"/>
      </rPr>
      <t>输入过压</t>
    </r>
    <r>
      <rPr>
        <sz val="10"/>
        <rFont val="Arial"/>
        <charset val="134"/>
      </rPr>
      <t xml:space="preserve"> </t>
    </r>
  </si>
  <si>
    <r>
      <rPr>
        <sz val="10"/>
        <rFont val="Arial"/>
        <charset val="134"/>
      </rPr>
      <t>EEPROM</t>
    </r>
    <r>
      <rPr>
        <sz val="10"/>
        <rFont val="宋体"/>
        <charset val="134"/>
      </rPr>
      <t>故障</t>
    </r>
    <r>
      <rPr>
        <sz val="10"/>
        <rFont val="Arial"/>
        <charset val="134"/>
      </rPr>
      <t xml:space="preserve"> </t>
    </r>
  </si>
  <si>
    <r>
      <rPr>
        <sz val="10"/>
        <rFont val="宋体"/>
        <charset val="134"/>
      </rPr>
      <t>过流故障</t>
    </r>
    <r>
      <rPr>
        <sz val="10"/>
        <rFont val="Arial"/>
        <charset val="134"/>
      </rPr>
      <t xml:space="preserve"> </t>
    </r>
  </si>
  <si>
    <t>D</t>
  </si>
  <si>
    <r>
      <rPr>
        <sz val="10"/>
        <rFont val="宋体"/>
        <charset val="134"/>
      </rPr>
      <t>过温故障</t>
    </r>
    <r>
      <rPr>
        <sz val="10"/>
        <rFont val="Arial"/>
        <charset val="134"/>
      </rPr>
      <t xml:space="preserve"> </t>
    </r>
  </si>
  <si>
    <t>过温报警</t>
  </si>
  <si>
    <r>
      <rPr>
        <sz val="10"/>
        <rFont val="宋体"/>
        <charset val="134"/>
      </rPr>
      <t>控制器过载故障</t>
    </r>
    <r>
      <rPr>
        <sz val="10"/>
        <rFont val="Arial"/>
        <charset val="134"/>
      </rPr>
      <t xml:space="preserve"> </t>
    </r>
  </si>
  <si>
    <r>
      <rPr>
        <sz val="10"/>
        <rFont val="宋体"/>
        <charset val="134"/>
      </rPr>
      <t>输出缺相</t>
    </r>
    <r>
      <rPr>
        <sz val="10"/>
        <rFont val="Arial"/>
        <charset val="134"/>
      </rPr>
      <t xml:space="preserve"> </t>
    </r>
  </si>
  <si>
    <r>
      <rPr>
        <sz val="10"/>
        <rFont val="Arial"/>
        <charset val="134"/>
      </rPr>
      <t xml:space="preserve">CAN </t>
    </r>
    <r>
      <rPr>
        <sz val="10"/>
        <rFont val="宋体"/>
        <charset val="134"/>
      </rPr>
      <t>通讯中断故障</t>
    </r>
    <r>
      <rPr>
        <sz val="10"/>
        <rFont val="Arial"/>
        <charset val="134"/>
      </rPr>
      <t xml:space="preserve"> </t>
    </r>
  </si>
  <si>
    <r>
      <rPr>
        <sz val="10"/>
        <rFont val="Arial"/>
        <charset val="134"/>
      </rPr>
      <t xml:space="preserve">CAN </t>
    </r>
    <r>
      <rPr>
        <sz val="10"/>
        <rFont val="宋体"/>
        <charset val="134"/>
      </rPr>
      <t>通讯超时故障</t>
    </r>
    <r>
      <rPr>
        <sz val="10"/>
        <rFont val="Arial"/>
        <charset val="134"/>
      </rPr>
      <t xml:space="preserve"> </t>
    </r>
  </si>
  <si>
    <r>
      <rPr>
        <sz val="10"/>
        <rFont val="宋体"/>
        <charset val="134"/>
      </rPr>
      <t>电机过载故障</t>
    </r>
    <r>
      <rPr>
        <sz val="10"/>
        <rFont val="Arial"/>
        <charset val="134"/>
      </rPr>
      <t xml:space="preserve"> </t>
    </r>
  </si>
  <si>
    <t>电流检测（零漂）故障</t>
  </si>
  <si>
    <t>V1.7_20220419新增故障</t>
  </si>
  <si>
    <r>
      <rPr>
        <sz val="10"/>
        <rFont val="宋体"/>
        <charset val="134"/>
      </rPr>
      <t>控制器过温故障</t>
    </r>
    <r>
      <rPr>
        <sz val="10"/>
        <rFont val="Arial"/>
        <charset val="134"/>
      </rPr>
      <t xml:space="preserve"> </t>
    </r>
  </si>
  <si>
    <r>
      <rPr>
        <sz val="10"/>
        <rFont val="宋体"/>
        <charset val="134"/>
      </rPr>
      <t>转速偏差过大</t>
    </r>
    <r>
      <rPr>
        <sz val="10"/>
        <rFont val="Arial"/>
        <charset val="134"/>
      </rPr>
      <t xml:space="preserve"> </t>
    </r>
  </si>
  <si>
    <t>控制器过温报警</t>
  </si>
  <si>
    <r>
      <rPr>
        <sz val="10"/>
        <rFont val="Arial"/>
        <charset val="134"/>
      </rPr>
      <t xml:space="preserve">PT100 </t>
    </r>
    <r>
      <rPr>
        <sz val="10"/>
        <rFont val="宋体"/>
        <charset val="134"/>
      </rPr>
      <t>短路</t>
    </r>
    <r>
      <rPr>
        <sz val="10"/>
        <rFont val="Arial"/>
        <charset val="134"/>
      </rPr>
      <t xml:space="preserve"> </t>
    </r>
  </si>
  <si>
    <r>
      <rPr>
        <sz val="10"/>
        <rFont val="Arial"/>
        <charset val="134"/>
      </rPr>
      <t xml:space="preserve">PT100 </t>
    </r>
    <r>
      <rPr>
        <sz val="10"/>
        <rFont val="宋体"/>
        <charset val="134"/>
      </rPr>
      <t>开路</t>
    </r>
    <r>
      <rPr>
        <sz val="10"/>
        <rFont val="Arial"/>
        <charset val="134"/>
      </rPr>
      <t xml:space="preserve"> </t>
    </r>
  </si>
  <si>
    <t>超速故障</t>
  </si>
  <si>
    <t>相间短路故障</t>
  </si>
  <si>
    <t>失调故障</t>
  </si>
  <si>
    <t>硬件故障</t>
  </si>
  <si>
    <t>控制器温度传感器断路故障</t>
  </si>
  <si>
    <t>控制器温度传感器短路故障</t>
  </si>
  <si>
    <t>辅助电源欠压</t>
  </si>
  <si>
    <t>辅助电源过压</t>
  </si>
  <si>
    <t>DTC</t>
  </si>
  <si>
    <t>原始故障描述</t>
  </si>
  <si>
    <t>仪表主页简化故障描述</t>
  </si>
  <si>
    <t>故障策略/备注</t>
  </si>
  <si>
    <t>仪表:车速传感器电压高或短路到电源</t>
  </si>
  <si>
    <t>仪表:车速传感器电压高(523000,3)</t>
  </si>
  <si>
    <t>仪表:车速传感器电压低或短路到地</t>
  </si>
  <si>
    <t>仪表:车速传感器电压低(523000,4)</t>
  </si>
  <si>
    <t>仪表:前桥回路气压传感器电压高或短路到电源</t>
  </si>
  <si>
    <t>仪表:前桥回路气压传感器电压高(523004,3)</t>
  </si>
  <si>
    <t>前面你做成了提示信息，将提示信息去掉，做成故障码</t>
  </si>
  <si>
    <t>仪表:前桥回路气压传感器电压低或短路到地</t>
  </si>
  <si>
    <t>仪表:前桥回路气压传感器电压低(523004,4)</t>
  </si>
  <si>
    <t>仪表:后桥回路气压传感器电压高或短路到电源</t>
  </si>
  <si>
    <t>仪表:后桥回路气压传感器电压高(523005,3)</t>
  </si>
  <si>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</si>
  <si>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</si>
  <si>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</si>
  <si>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</si>
  <si>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</si>
  <si>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</si>
  <si>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</si>
  <si>
    <t>仪表:CAN 1总线故障(523008,8)</t>
  </si>
  <si>
    <t>仪表:CAN 2 bus off</t>
  </si>
  <si>
    <t>仪表:CAN 2总线故障(523009,8)</t>
  </si>
  <si>
    <t>仪表:BCM CAN报文超时</t>
  </si>
  <si>
    <t>仪表:BCM报文超时(523010,8)</t>
  </si>
  <si>
    <t>仪表:水温过高指示灯故障</t>
  </si>
  <si>
    <t>仪表:水温过高指示灯故障(523020,12)</t>
  </si>
  <si>
    <t>屏蔽</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</si>
  <si>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</si>
  <si>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</si>
  <si>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</si>
  <si>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</si>
  <si>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</si>
  <si>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</si>
  <si>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</si>
  <si>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</si>
  <si>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</si>
  <si>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</si>
  <si>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</si>
  <si>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</si>
  <si>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</si>
  <si>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</si>
  <si>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</si>
  <si>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</si>
  <si>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</si>
  <si>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</si>
  <si>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仪表:第五桥左轮摩擦片磨损</t>
  </si>
  <si>
    <t>仪表:第五桥左轮摩擦片磨损（523031，12）</t>
  </si>
  <si>
    <t>10×4车</t>
  </si>
  <si>
    <t>仪表:第五桥右轮摩擦片磨损</t>
  </si>
  <si>
    <t>仪表:第五桥右轮摩擦片磨损（523032，12）</t>
  </si>
  <si>
    <t>AMT:离合器磨损</t>
  </si>
  <si>
    <t>AMT:离合器磨损(523031,0)</t>
  </si>
  <si>
    <t>18FF8503报文中离合器磨损为1时,仪表显示该故障,并向总线发出该故障代码</t>
  </si>
  <si>
    <t>AMT:空气压力过低</t>
  </si>
  <si>
    <t>AMT:空气压力过低(523032,0)</t>
  </si>
  <si>
    <t>18FF8503报文中空气压力过低为1时,仪表显示该故障,并向总线发出该故障代码</t>
  </si>
  <si>
    <t>仪表:TPMS CAN报文超时</t>
  </si>
  <si>
    <t>仪表:TPMS CAN报文超时(523033,8)</t>
  </si>
  <si>
    <t>仪表:ABS CAN报文超时</t>
  </si>
  <si>
    <t>仪表:ABS CAN报文超时(523036,8)</t>
  </si>
  <si>
    <t>配置ABS系统的车辆,若ABS系统完全失效(总线无0B源地址报文)；
仪表点亮ABS黄色指示灯,同时仪表LCD显示:ABS系统失效</t>
  </si>
  <si>
    <t>仪表:EBS CAN报文超时</t>
  </si>
  <si>
    <t>仪表:EBS CAN报文超时(523037,8)</t>
  </si>
  <si>
    <t>配置EBS系统的车辆,若EBS系统完全失效(总线无0B源地址报文)；
仪表点亮EBS红色指示灯,同时仪表LCD显示:EBS系统失效</t>
  </si>
  <si>
    <t>仪表:环境温度传感器信号异常</t>
  </si>
  <si>
    <t>仪表:环境温度传感器信号异常(171,2)</t>
  </si>
  <si>
    <t>报该故障时,环境温度发0xFE00</t>
  </si>
  <si>
    <t>仪表:环境温度传感器电压高或短路到电源或开路</t>
  </si>
  <si>
    <t>仪表:环境温度传感器电压高（171,3）改成
仪表：环境温度传感器或线路故障(171,3)</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</si>
  <si>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</si>
  <si>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仪表:环境温度传感器短路到地</t>
  </si>
  <si>
    <t>仪表:环境温度传感器电压低(171,4)</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</si>
  <si>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</si>
  <si>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仪表:变速箱油温传感器电压高或短路到电源或开路</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</si>
  <si>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</si>
  <si>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</si>
  <si>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</si>
  <si>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</si>
  <si>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</si>
  <si>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</si>
  <si>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</si>
  <si>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</si>
  <si>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</si>
  <si>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</si>
  <si>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仪表：空气压力过低（523041,1）</t>
  </si>
  <si>
    <t>仪表点亮气压过低报警灯时报此故障</t>
  </si>
  <si>
    <t>仪表:AMT CAN报文超时</t>
  </si>
  <si>
    <t>仪表:AMT CAN报文超时(523042,8)</t>
  </si>
  <si>
    <t>所有报报文超时的都按自检完成后（3s）后，以5倍周期报报文超时，收不到0CEF3103且收不到18F00503</t>
  </si>
  <si>
    <t>仪表:SCU CAN报文超时</t>
  </si>
  <si>
    <t>仪表:SCU CAN报文超时(523043,8)</t>
  </si>
  <si>
    <t>仪表:Ret CAN报文超时</t>
  </si>
  <si>
    <t>仪表:Ret CAN报文超时(523044,8)</t>
  </si>
  <si>
    <t>仪表:ECAS CAN报文超时</t>
  </si>
  <si>
    <t>仪表:ECAS CAN报文超时(523045,8)</t>
  </si>
  <si>
    <t>仪表:ACM CAN报文超时</t>
  </si>
  <si>
    <t>仪表:ACM CAN报文超时(523046,8)</t>
  </si>
  <si>
    <t>仪表:LDWS CAN报文超时</t>
  </si>
  <si>
    <t>仪表:LDWS CAN报文超时(523047,8)</t>
  </si>
  <si>
    <t>仪表:AEBS CAN报文超时</t>
  </si>
  <si>
    <t>仪表:AEBS CAN报文超时(523048,8)</t>
  </si>
  <si>
    <t>LDWS:车道偏离系统标定未完成</t>
  </si>
  <si>
    <t>不用显示SPN和FMI</t>
  </si>
  <si>
    <t>FCWS:前方碰撞系统故障</t>
  </si>
  <si>
    <t>FCWS:前方碰撞系统前视相机未标定</t>
  </si>
  <si>
    <t>FCWS:前方碰撞系统前视相机故障</t>
  </si>
  <si>
    <t>LDWS:车道偏离系统故障</t>
  </si>
  <si>
    <t>LDWS:车道偏离系统前视相机未标定</t>
  </si>
  <si>
    <t>LDWS:车道偏离系统前视相机故障</t>
  </si>
  <si>
    <t>BSD:右盲区探测系统标定未完成</t>
  </si>
  <si>
    <t>BSD:右盲区探测系统未标定</t>
  </si>
  <si>
    <t>BSD:右盲区探测系统相机故障</t>
  </si>
  <si>
    <t>SCU供电电压过高</t>
  </si>
  <si>
    <t>SCU：供电电压过高(524000,0)</t>
  </si>
  <si>
    <t>7FEE0</t>
  </si>
  <si>
    <t>SCU供电电压过低</t>
  </si>
  <si>
    <t>SCU：供电电压过低(524000,1)</t>
  </si>
  <si>
    <t>SCU CAN故障</t>
  </si>
  <si>
    <t>SCU：总线故障(524001,19)</t>
  </si>
  <si>
    <t>旋钮开关异常1</t>
  </si>
  <si>
    <t>SCU：换挡旋钮开关信号异常(524002,3)</t>
  </si>
  <si>
    <t>旋钮开关异常2</t>
  </si>
  <si>
    <t>SCU：换挡旋钮开关信号异常(524002,4)</t>
  </si>
  <si>
    <t>A/M开关信号异常</t>
  </si>
  <si>
    <t>SCU：A/M开关信号异常(524003,3)</t>
  </si>
  <si>
    <t>A/M开关对地短路或卡滞</t>
  </si>
  <si>
    <t>SCU：A/M开关对地短路或卡滞(524003,4)</t>
  </si>
  <si>
    <t>M+开关信号异常</t>
  </si>
  <si>
    <t>SCU：M+开关信号异常(524004,3)</t>
  </si>
  <si>
    <t>7FEE4</t>
  </si>
  <si>
    <t>M-开关信号异常</t>
  </si>
  <si>
    <t>SCU：M-开关信号异常(524005,3)</t>
  </si>
  <si>
    <t>7FEE5</t>
  </si>
  <si>
    <t>E/P开关信号异常</t>
  </si>
  <si>
    <t>SCU：E/P开关信号异常(524006,3)</t>
  </si>
  <si>
    <t>7FEE6</t>
  </si>
  <si>
    <t>E/P开关对地短路或卡滞</t>
  </si>
  <si>
    <t>SCU：E/P开关对地短路或卡滞(524006,4)</t>
  </si>
  <si>
    <t>故障信息</t>
  </si>
  <si>
    <t>1轴左轮速传感器无传感器信号</t>
  </si>
  <si>
    <r>
      <rPr>
        <sz val="11"/>
        <color rgb="FFFF0000"/>
        <rFont val="宋体"/>
        <charset val="134"/>
        <scheme val="minor"/>
      </rPr>
      <t>ABS</t>
    </r>
    <r>
      <rPr>
        <sz val="11"/>
        <color theme="1"/>
        <rFont val="宋体"/>
        <charset val="134"/>
        <scheme val="minor"/>
      </rPr>
      <t>：1轴左轮速传感器无传感器信号(789,8)</t>
    </r>
  </si>
  <si>
    <t>1轴左轮速传感器传感器短路或断路</t>
  </si>
  <si>
    <r>
      <rPr>
        <sz val="11"/>
        <color rgb="FFFF0000"/>
        <rFont val="宋体"/>
        <charset val="134"/>
        <scheme val="minor"/>
      </rPr>
      <t>ABS</t>
    </r>
    <r>
      <rPr>
        <sz val="11"/>
        <color theme="1"/>
        <rFont val="宋体"/>
        <charset val="134"/>
        <scheme val="minor"/>
      </rPr>
      <t>：1轴左轮速传感器传感器短路或断路(789,12)</t>
    </r>
  </si>
  <si>
    <t>1轴右轮速传感器无传感器信号</t>
  </si>
  <si>
    <r>
      <rPr>
        <sz val="11"/>
        <color rgb="FFFF0000"/>
        <rFont val="宋体"/>
        <charset val="134"/>
        <scheme val="minor"/>
      </rPr>
      <t>ABS：</t>
    </r>
    <r>
      <rPr>
        <sz val="11"/>
        <color theme="1"/>
        <rFont val="宋体"/>
        <charset val="134"/>
        <scheme val="minor"/>
      </rPr>
      <t>1轴右轮速传感器无传感器信号(790,8)</t>
    </r>
  </si>
  <si>
    <t>1轴右轮速传感器传感器短路或断路</t>
  </si>
  <si>
    <r>
      <rPr>
        <sz val="11"/>
        <color rgb="FFFF0000"/>
        <rFont val="宋体"/>
        <charset val="134"/>
        <scheme val="minor"/>
      </rPr>
      <t>ABS</t>
    </r>
    <r>
      <rPr>
        <sz val="11"/>
        <color theme="1"/>
        <rFont val="宋体"/>
        <charset val="134"/>
        <scheme val="minor"/>
      </rPr>
      <t>：1轴右轮速传感器传感器短路或断路(790,12)</t>
    </r>
  </si>
  <si>
    <t>2轴左轮速传感器无传感器信号</t>
  </si>
  <si>
    <r>
      <rPr>
        <sz val="11"/>
        <color rgb="FFFF0000"/>
        <rFont val="宋体"/>
        <charset val="134"/>
        <scheme val="minor"/>
      </rPr>
      <t>ABS</t>
    </r>
    <r>
      <rPr>
        <sz val="11"/>
        <color theme="1"/>
        <rFont val="宋体"/>
        <charset val="134"/>
        <scheme val="minor"/>
      </rPr>
      <t>：2轴左轮速传感器无传感器信号(791,8)</t>
    </r>
  </si>
  <si>
    <t>2轴左轮速传感器传感器短路或断路</t>
  </si>
  <si>
    <r>
      <rPr>
        <sz val="11"/>
        <color rgb="FFFF0000"/>
        <rFont val="宋体"/>
        <charset val="134"/>
        <scheme val="minor"/>
      </rPr>
      <t>ABS：</t>
    </r>
    <r>
      <rPr>
        <sz val="11"/>
        <color theme="1"/>
        <rFont val="宋体"/>
        <charset val="134"/>
        <scheme val="minor"/>
      </rPr>
      <t>2轴左轮速传感器传感器短路或断路(791,12)</t>
    </r>
  </si>
  <si>
    <t>2轴右轮速传感器无传感器信号</t>
  </si>
  <si>
    <r>
      <rPr>
        <sz val="11"/>
        <color rgb="FFFF0000"/>
        <rFont val="宋体"/>
        <charset val="134"/>
        <scheme val="minor"/>
      </rPr>
      <t>ABS</t>
    </r>
    <r>
      <rPr>
        <sz val="11"/>
        <color theme="1"/>
        <rFont val="宋体"/>
        <charset val="134"/>
        <scheme val="minor"/>
      </rPr>
      <t>：2轴右轮速传感器无传感器信号(792,8)</t>
    </r>
  </si>
  <si>
    <t>2轴右轮速传感器传感器短路或断路</t>
  </si>
  <si>
    <r>
      <rPr>
        <sz val="11"/>
        <color rgb="FFFF0000"/>
        <rFont val="宋体"/>
        <charset val="134"/>
        <scheme val="minor"/>
      </rPr>
      <t>ABS</t>
    </r>
    <r>
      <rPr>
        <sz val="11"/>
        <color theme="1"/>
        <rFont val="宋体"/>
        <charset val="134"/>
        <scheme val="minor"/>
      </rPr>
      <t>：2轴右轮速传感器传感器短路或断路(792,12)</t>
    </r>
  </si>
  <si>
    <t>1轴左压力调节阀电磁阀短路或接地</t>
  </si>
  <si>
    <r>
      <rPr>
        <sz val="11"/>
        <color rgb="FFFF0000"/>
        <rFont val="宋体"/>
        <charset val="134"/>
        <scheme val="minor"/>
      </rPr>
      <t>ABS：</t>
    </r>
    <r>
      <rPr>
        <sz val="11"/>
        <color theme="1"/>
        <rFont val="宋体"/>
        <charset val="134"/>
        <scheme val="minor"/>
      </rPr>
      <t>1轴左压力调节阀电磁阀短路或接地(795,4)</t>
    </r>
  </si>
  <si>
    <t>1轴左压力调节阀电磁阀断路</t>
  </si>
  <si>
    <r>
      <rPr>
        <sz val="11"/>
        <color rgb="FFFF0000"/>
        <rFont val="宋体"/>
        <charset val="134"/>
        <scheme val="minor"/>
      </rPr>
      <t>ABS</t>
    </r>
    <r>
      <rPr>
        <sz val="11"/>
        <color theme="1"/>
        <rFont val="宋体"/>
        <charset val="134"/>
        <scheme val="minor"/>
      </rPr>
      <t>：1轴左压力调节阀电磁阀断路(795,5)</t>
    </r>
  </si>
  <si>
    <t>1轴右压力调节阀电磁阀短路或接地</t>
  </si>
  <si>
    <r>
      <rPr>
        <sz val="11"/>
        <color rgb="FFFF0000"/>
        <rFont val="宋体"/>
        <charset val="134"/>
        <scheme val="minor"/>
      </rPr>
      <t>ABS</t>
    </r>
    <r>
      <rPr>
        <sz val="11"/>
        <color theme="1"/>
        <rFont val="宋体"/>
        <charset val="134"/>
        <scheme val="minor"/>
      </rPr>
      <t>：1轴右压力调节阀电磁阀短路或接地(796,4)</t>
    </r>
  </si>
  <si>
    <t>31C</t>
  </si>
  <si>
    <t>1轴右压力调节阀电磁阀断路</t>
  </si>
  <si>
    <r>
      <rPr>
        <sz val="11"/>
        <color rgb="FFFF0000"/>
        <rFont val="宋体"/>
        <charset val="134"/>
        <scheme val="minor"/>
      </rPr>
      <t>ABS</t>
    </r>
    <r>
      <rPr>
        <sz val="11"/>
        <color theme="1"/>
        <rFont val="宋体"/>
        <charset val="134"/>
        <scheme val="minor"/>
      </rPr>
      <t>：1轴右压力调节阀电磁阀断路(796,5)</t>
    </r>
  </si>
  <si>
    <t>2轴左压力调节阀电磁阀短路或接地</t>
  </si>
  <si>
    <r>
      <rPr>
        <sz val="11"/>
        <color rgb="FFFF0000"/>
        <rFont val="宋体"/>
        <charset val="134"/>
        <scheme val="minor"/>
      </rPr>
      <t>ABS</t>
    </r>
    <r>
      <rPr>
        <sz val="11"/>
        <color theme="1"/>
        <rFont val="宋体"/>
        <charset val="134"/>
        <scheme val="minor"/>
      </rPr>
      <t>：2轴左压力调节阀电磁阀短路或接地(797,4)</t>
    </r>
  </si>
  <si>
    <t>2轴左压力调节阀电磁阀断路</t>
  </si>
  <si>
    <r>
      <rPr>
        <sz val="11"/>
        <color rgb="FFFF0000"/>
        <rFont val="宋体"/>
        <charset val="134"/>
        <scheme val="minor"/>
      </rPr>
      <t>ABS</t>
    </r>
    <r>
      <rPr>
        <sz val="11"/>
        <color theme="1"/>
        <rFont val="宋体"/>
        <charset val="134"/>
        <scheme val="minor"/>
      </rPr>
      <t>：2轴左压力调节阀电磁阀断路(797,5)</t>
    </r>
  </si>
  <si>
    <t>2轴右压力调节阀电磁阀短路或接地</t>
  </si>
  <si>
    <r>
      <rPr>
        <sz val="11"/>
        <color rgb="FFFF0000"/>
        <rFont val="宋体"/>
        <charset val="134"/>
        <scheme val="minor"/>
      </rPr>
      <t>ABS：</t>
    </r>
    <r>
      <rPr>
        <sz val="11"/>
        <color theme="1"/>
        <rFont val="宋体"/>
        <charset val="134"/>
        <scheme val="minor"/>
      </rPr>
      <t>2轴右压力调节阀电磁阀短路或接地(798,4)</t>
    </r>
  </si>
  <si>
    <t>2轴右压力调节阀电磁阀断路</t>
  </si>
  <si>
    <r>
      <rPr>
        <sz val="11"/>
        <color rgb="FFFF0000"/>
        <rFont val="宋体"/>
        <charset val="134"/>
        <scheme val="minor"/>
      </rPr>
      <t>ABS：</t>
    </r>
    <r>
      <rPr>
        <sz val="11"/>
        <color theme="1"/>
        <rFont val="宋体"/>
        <charset val="134"/>
        <scheme val="minor"/>
      </rPr>
      <t>2轴右压力调节阀电磁阀断路(798,5)</t>
    </r>
  </si>
  <si>
    <t>电源电压过低</t>
  </si>
  <si>
    <r>
      <rPr>
        <sz val="11"/>
        <color rgb="FFFF0000"/>
        <rFont val="宋体"/>
        <charset val="134"/>
        <scheme val="minor"/>
      </rPr>
      <t>ABS：</t>
    </r>
    <r>
      <rPr>
        <sz val="11"/>
        <color theme="1"/>
        <rFont val="宋体"/>
        <charset val="134"/>
        <scheme val="minor"/>
      </rPr>
      <t>电源电压过低(627,3)</t>
    </r>
  </si>
  <si>
    <t>电源电压过高</t>
  </si>
  <si>
    <r>
      <rPr>
        <sz val="11"/>
        <color rgb="FFFF0000"/>
        <rFont val="宋体"/>
        <charset val="134"/>
        <scheme val="minor"/>
      </rPr>
      <t>ABS：</t>
    </r>
    <r>
      <rPr>
        <sz val="11"/>
        <color theme="1"/>
        <rFont val="宋体"/>
        <charset val="134"/>
        <scheme val="minor"/>
      </rPr>
      <t>电源电压过高(627,4)</t>
    </r>
  </si>
  <si>
    <r>
      <rPr>
        <sz val="11"/>
        <color theme="1"/>
        <rFont val="Times New Roman"/>
        <charset val="134"/>
      </rPr>
      <t>E2PROM</t>
    </r>
    <r>
      <rPr>
        <sz val="11"/>
        <color theme="1"/>
        <rFont val="宋体"/>
        <charset val="134"/>
      </rPr>
      <t>校验错误</t>
    </r>
  </si>
  <si>
    <r>
      <rPr>
        <sz val="11"/>
        <color rgb="FFFF0000"/>
        <rFont val="宋体"/>
        <charset val="134"/>
        <scheme val="minor"/>
      </rPr>
      <t>ABS</t>
    </r>
    <r>
      <rPr>
        <sz val="11"/>
        <color theme="1"/>
        <rFont val="宋体"/>
        <charset val="134"/>
        <scheme val="minor"/>
      </rPr>
      <t>：E2PROM校验错误(629,12)</t>
    </r>
  </si>
  <si>
    <r>
      <rPr>
        <sz val="11"/>
        <color theme="1"/>
        <rFont val="Times New Roman"/>
        <charset val="134"/>
      </rPr>
      <t>ASR</t>
    </r>
    <r>
      <rPr>
        <sz val="11"/>
        <color theme="1"/>
        <rFont val="宋体"/>
        <charset val="134"/>
      </rPr>
      <t>电磁阀断路</t>
    </r>
  </si>
  <si>
    <r>
      <rPr>
        <sz val="11"/>
        <color rgb="FFFF0000"/>
        <rFont val="宋体"/>
        <charset val="134"/>
        <scheme val="minor"/>
      </rPr>
      <t>ABS：</t>
    </r>
    <r>
      <rPr>
        <sz val="11"/>
        <color theme="1"/>
        <rFont val="宋体"/>
        <charset val="134"/>
        <scheme val="minor"/>
      </rPr>
      <t>ASR电磁阀断路(806,4)</t>
    </r>
  </si>
  <si>
    <t>左制动气室压力传感器断路</t>
  </si>
  <si>
    <r>
      <rPr>
        <sz val="11"/>
        <color rgb="FFFF0000"/>
        <rFont val="宋体"/>
        <charset val="134"/>
        <scheme val="minor"/>
      </rPr>
      <t>ABS：</t>
    </r>
    <r>
      <rPr>
        <sz val="11"/>
        <color theme="1"/>
        <rFont val="宋体"/>
        <charset val="134"/>
        <scheme val="minor"/>
      </rPr>
      <t>左制动气室压力传感器断路(116,4)</t>
    </r>
  </si>
  <si>
    <t>右制动气室压力传感器断路</t>
  </si>
  <si>
    <r>
      <rPr>
        <sz val="11"/>
        <color rgb="FFFF0000"/>
        <rFont val="宋体"/>
        <charset val="134"/>
        <scheme val="minor"/>
      </rPr>
      <t>ABS：</t>
    </r>
    <r>
      <rPr>
        <sz val="11"/>
        <color theme="1"/>
        <rFont val="宋体"/>
        <charset val="134"/>
        <scheme val="minor"/>
      </rPr>
      <t>右制动气室压力传感器断路(117,4)</t>
    </r>
  </si>
  <si>
    <t>左制动气室压力传感器失效</t>
  </si>
  <si>
    <r>
      <rPr>
        <sz val="11"/>
        <color rgb="FFFF0000"/>
        <rFont val="宋体"/>
        <charset val="134"/>
        <scheme val="minor"/>
      </rPr>
      <t>ABS：</t>
    </r>
    <r>
      <rPr>
        <sz val="11"/>
        <color theme="1"/>
        <rFont val="宋体"/>
        <charset val="134"/>
        <scheme val="minor"/>
      </rPr>
      <t>左制动气室压力传感器失效(116,5)</t>
    </r>
  </si>
  <si>
    <t>右制动气室压力传感器失效</t>
  </si>
  <si>
    <r>
      <rPr>
        <sz val="11"/>
        <color rgb="FFFF0000"/>
        <rFont val="宋体"/>
        <charset val="134"/>
        <scheme val="minor"/>
      </rPr>
      <t>ABS</t>
    </r>
    <r>
      <rPr>
        <sz val="11"/>
        <color theme="1"/>
        <rFont val="宋体"/>
        <charset val="134"/>
        <scheme val="minor"/>
      </rPr>
      <t>：右制动气室压力传感器失效(117,5)</t>
    </r>
  </si>
  <si>
    <t>SPN
（DEC）</t>
  </si>
  <si>
    <t>FMI
(DEC)</t>
  </si>
  <si>
    <t>备注</t>
  </si>
  <si>
    <t>修改后</t>
  </si>
  <si>
    <t>BMS:绝缘电阻轻微低</t>
  </si>
  <si>
    <t>BMS:绝缘电阻轻微低（521300,17)</t>
  </si>
  <si>
    <t>BMS:绝缘电阻一般低</t>
  </si>
  <si>
    <t>BMS:绝缘电阻一般低（521300,18)</t>
  </si>
  <si>
    <t>BMS:绝缘电阻严重低</t>
  </si>
  <si>
    <t>BMS:绝缘电阻严重低（521300,1)</t>
  </si>
  <si>
    <t>BMS:单体温度轻微高</t>
  </si>
  <si>
    <t>BMS:单体温度轻微高（521301,15)</t>
  </si>
  <si>
    <t>BMS:单体温度一般高</t>
  </si>
  <si>
    <t>BMS:单体温度一般高（521301,16)</t>
  </si>
  <si>
    <t>BMS:单体温度严重高</t>
  </si>
  <si>
    <t>BMS:单体温度严重高（521301,0)</t>
  </si>
  <si>
    <t>BMS:单体温度轻微低</t>
  </si>
  <si>
    <t>BMS:单体温度轻微低（521301,17)</t>
  </si>
  <si>
    <t>BMS:单体温度一般低</t>
  </si>
  <si>
    <t>BMS:单体温度一般低（521301,18)</t>
  </si>
  <si>
    <t>BMS:单体温度严重低</t>
  </si>
  <si>
    <t>BMS:单体温度严重低（521301,1)</t>
  </si>
  <si>
    <t>BMS:温差轻微大</t>
  </si>
  <si>
    <t>BMS:温差轻微大（521302,15)</t>
  </si>
  <si>
    <t>BMS:温差一般大</t>
  </si>
  <si>
    <t>BMS:温差一般大（521302,16)</t>
  </si>
  <si>
    <t>BMS:温差严重大</t>
  </si>
  <si>
    <t>BMS:温差严重大（521302,0)</t>
  </si>
  <si>
    <t>BMS:均温高</t>
  </si>
  <si>
    <t>BMS:均温高（521303,0)</t>
  </si>
  <si>
    <t>BMS:均温低</t>
  </si>
  <si>
    <t>BMS:均温低（521303,1)</t>
  </si>
  <si>
    <t>BMS:电池总电压轻微高</t>
  </si>
  <si>
    <t>BMS:电池总电压轻微高（521304,15)</t>
  </si>
  <si>
    <t>BMS:电池总电压一般高</t>
  </si>
  <si>
    <t>BMS:电池总电压一般高（521304,16)</t>
  </si>
  <si>
    <t>BMS:电池总电压严重高</t>
  </si>
  <si>
    <t>BMS:电池总电压严重高（521304,0)</t>
  </si>
  <si>
    <t>BMS:电池总电压轻微低</t>
  </si>
  <si>
    <t>BMS:电池总电压轻微低（521304,17)</t>
  </si>
  <si>
    <t>BMS:电池总电压一般低</t>
  </si>
  <si>
    <t>BMS:电池总电压一般低（521304,18)</t>
  </si>
  <si>
    <t>BMS:电池总电压严重低</t>
  </si>
  <si>
    <t>BMS:电池总电压严重低（521304,1)</t>
  </si>
  <si>
    <t>BMS:可充电储能系统不匹配故障</t>
  </si>
  <si>
    <t>BMS:可充电储能系统不匹配故障（521304,23)</t>
  </si>
  <si>
    <t>BMS:单体轻微过压</t>
  </si>
  <si>
    <t>BMS:单体轻微过压（521305,15)</t>
  </si>
  <si>
    <t>BMS:单体一般过压</t>
  </si>
  <si>
    <t>BMS:单体一般过压（521305,16)</t>
  </si>
  <si>
    <t>BMS:单体严重过压</t>
  </si>
  <si>
    <t>BMS:单体严重过压（521305,0)</t>
  </si>
  <si>
    <t>BMS:单体轻微欠压</t>
  </si>
  <si>
    <t>BMS:单体轻微欠压（521305,17)</t>
  </si>
  <si>
    <t>BMS:单体一般欠压</t>
  </si>
  <si>
    <t>BMS:单体一般欠压（521305,18)</t>
  </si>
  <si>
    <t>BMS:单体严重欠压</t>
  </si>
  <si>
    <t>BMS:单体严重欠压（521305,1)</t>
  </si>
  <si>
    <t>电芯过放故障</t>
  </si>
  <si>
    <t>BMS:单体过放（5213.5,12）</t>
  </si>
  <si>
    <t>V1.5新增</t>
  </si>
  <si>
    <t>BMS:单体压差轻微大</t>
  </si>
  <si>
    <t>BMS:单体压差轻微大（521306,15)</t>
  </si>
  <si>
    <t>V1.5描述修改</t>
  </si>
  <si>
    <t>BMS:单体一致性差（521306,15)</t>
  </si>
  <si>
    <t>BMS:单体压差一般大</t>
  </si>
  <si>
    <t>BMS:单体压差一般大（521306,16)</t>
  </si>
  <si>
    <t>BMS:单体压差严重大</t>
  </si>
  <si>
    <t>BMS:单体压差严重大（521306,0)</t>
  </si>
  <si>
    <t>BMS:充电电流轻微大</t>
  </si>
  <si>
    <t>BMS:充电电流轻微大（521307,15)</t>
  </si>
  <si>
    <t>BMS:峰值回充电流轻微大（521307,15)</t>
  </si>
  <si>
    <t>BMS:充电电流一般大</t>
  </si>
  <si>
    <t>BMS:充电电流一般大（521307,16)</t>
  </si>
  <si>
    <t>BMS:峰值回充电流一般大（521307,16)</t>
  </si>
  <si>
    <t>BMS:充电电流严重大</t>
  </si>
  <si>
    <t>BMS:充电电流严重大（521307,0)</t>
  </si>
  <si>
    <t>BMS:峰值回充电流严重大（521307,0)</t>
  </si>
  <si>
    <t>充电电流超限报警</t>
  </si>
  <si>
    <t>BMS:充电电流超限（521307，6）</t>
  </si>
  <si>
    <t>BMS:放电电流轻微大</t>
  </si>
  <si>
    <t>BMS:放电电流轻微大（521308,15)</t>
  </si>
  <si>
    <t>BMS:峰值放电电流轻微大（521308,15)</t>
  </si>
  <si>
    <t>BMS:放电电流一般大</t>
  </si>
  <si>
    <t>BMS:放电电流一般大（521308,16)</t>
  </si>
  <si>
    <t>BMS:峰值放电电流一般大（521308,16)</t>
  </si>
  <si>
    <t>BMS:放电电流严重大</t>
  </si>
  <si>
    <t>BMS:放电电流严重大（521308,0)</t>
  </si>
  <si>
    <t>BMS:峰值放电电流严重大（521308,0)</t>
  </si>
  <si>
    <t>BMS:电池SOC轻微低</t>
  </si>
  <si>
    <t>BMS:电池SOC轻微低（521309,17)</t>
  </si>
  <si>
    <t>BMS:电池SOC一般低</t>
  </si>
  <si>
    <t>BMS:电池SOC一般低（521309,18)</t>
  </si>
  <si>
    <t>BMS:电池SOC严重低</t>
  </si>
  <si>
    <t>BMS:电池SOC严重低（521309,1)</t>
  </si>
  <si>
    <t>BMS:电池SOC高</t>
  </si>
  <si>
    <t>BMS:电池SOC高（521309,0)</t>
  </si>
  <si>
    <t>BMS:SOC跳变故障报警</t>
  </si>
  <si>
    <t>BMS:SOC跳变故障报警（521309,2)</t>
  </si>
  <si>
    <t>BMS:BMS24V供电异常</t>
  </si>
  <si>
    <t>BMS:BMS24V供电异常（521310,13)</t>
  </si>
  <si>
    <t>BMS:BMS内部通信故障</t>
  </si>
  <si>
    <t>BMS:BMS内部通信故障（521311,9)</t>
  </si>
  <si>
    <t>BMS:高压互锁故障</t>
  </si>
  <si>
    <t>BMS:高压互锁故障（521312,5)</t>
  </si>
  <si>
    <t>BMS:单体电压检测</t>
  </si>
  <si>
    <t>BMS:单体电压检测（521313,13)</t>
  </si>
  <si>
    <t>BMS:预留</t>
  </si>
  <si>
    <t>BMS:预留（521314,)</t>
  </si>
  <si>
    <t>BMS:禁止充电</t>
  </si>
  <si>
    <t>BMS:禁止充电（521315,6)</t>
  </si>
  <si>
    <t>BMS:禁止放电</t>
  </si>
  <si>
    <t>BMS:禁止放电（521316,6)</t>
  </si>
  <si>
    <t>BMS:充电器故障</t>
  </si>
  <si>
    <t>BMS:充电器故障（521317,12)</t>
  </si>
  <si>
    <t>BMS:短路故障</t>
  </si>
  <si>
    <t>BMS:短路故障（521318,4)</t>
  </si>
  <si>
    <t>BMS:ds12c887</t>
  </si>
  <si>
    <t>BMS:ds12c887（521319,2)</t>
  </si>
  <si>
    <t>BMS:外CAN初始化</t>
  </si>
  <si>
    <t>BMS:外CAN初始化（521321,2)</t>
  </si>
  <si>
    <t>BMS:内CAN初始化</t>
  </si>
  <si>
    <t>BMS:内CAN初始化（521322,2)</t>
  </si>
  <si>
    <t>BMS:外CAN接收</t>
  </si>
  <si>
    <t>BMS:外CAN接收（521323,12)</t>
  </si>
  <si>
    <t>BMS:总压采集</t>
  </si>
  <si>
    <t>BMS:总压采集（521324,2)</t>
  </si>
  <si>
    <t>BMS:单体温度检测错误</t>
  </si>
  <si>
    <t>BMS:单体温度检测错误（521325,3)</t>
  </si>
  <si>
    <t>BMS:主负接触器无法闭合</t>
  </si>
  <si>
    <t>BMS:主负接触器无法闭合（521327,5)</t>
  </si>
  <si>
    <t>BMS:主负接触器无法断开</t>
  </si>
  <si>
    <t>BMS:主负接触器无法断开（521327,3)</t>
  </si>
  <si>
    <t>主正接触器无法闭合故障报警</t>
  </si>
  <si>
    <t>BMS:主正接触器无法闭合（521328,5）</t>
  </si>
  <si>
    <t>主正接触器无法断开故障报警</t>
  </si>
  <si>
    <t>BMS:主正接触器无法断开（521328,3）</t>
  </si>
  <si>
    <t>BMS:充电正接触器无法闭合</t>
  </si>
  <si>
    <t>BMS:充电正接触器无法闭合（521329,5)</t>
  </si>
  <si>
    <t>BMS:直流充电A正接触器无法闭合（521329,5)</t>
  </si>
  <si>
    <t>BMS:充电正接触器无法断开</t>
  </si>
  <si>
    <t>BMS:充电正接触器无法断开（521329,3)</t>
  </si>
  <si>
    <t>BMS:直流充电A正接触器无法断开（521329,3)</t>
  </si>
  <si>
    <t>BMS:预留（521329,2)</t>
  </si>
  <si>
    <t>BMS:充电负接触器无法闭合</t>
  </si>
  <si>
    <t>BMS:充电负接触器无法闭合（521330,5)</t>
  </si>
  <si>
    <t>BMS:直流充电A负接触器无法闭合（521330,5)</t>
  </si>
  <si>
    <t>BMS:充电负接触器无法断开</t>
  </si>
  <si>
    <t>BMS:充电负接触器无法断开（521330,3)</t>
  </si>
  <si>
    <t>BMS:直流充电A负接触器无法断开（521330,3)</t>
  </si>
  <si>
    <t>直流充电B正接触器无法闭合故障报警</t>
  </si>
  <si>
    <t>BMS:直流充电B正接触器无法闭合（521331,5）</t>
  </si>
  <si>
    <t>直流充电B正接触器无法断开故障报警</t>
  </si>
  <si>
    <t>BMS:直流充电B正接触器无法断开（521331,3）</t>
  </si>
  <si>
    <t>直流充电B负接触器无法闭合故障报警</t>
  </si>
  <si>
    <t>BMS:直流充电B负接触器无法闭合（521332,5）</t>
  </si>
  <si>
    <t>直流充电B负接触器无法断开故障报警</t>
  </si>
  <si>
    <t>BMS:直流充电B负接触器无法断开（521332，3）</t>
  </si>
  <si>
    <t>BMS:支路断路</t>
  </si>
  <si>
    <t>BMS:支路断路（521333,5)</t>
  </si>
  <si>
    <t>BMS:电池包极限故障</t>
  </si>
  <si>
    <t>BMS:电池包极限故障（521334,3)</t>
  </si>
  <si>
    <t>BMS:电池包火灾故障</t>
  </si>
  <si>
    <t>BMS:电池包火灾故障（521335,3)</t>
  </si>
  <si>
    <t>BMS:充电插座温度掉线</t>
  </si>
  <si>
    <t>BMS:充电插座温度掉线（521336,5)</t>
  </si>
  <si>
    <t>BMS:充电插座一般过温</t>
  </si>
  <si>
    <t>BMS:充电插座一般过温（521336,16)</t>
  </si>
  <si>
    <t>BMS:充电插座严重过温</t>
  </si>
  <si>
    <t>BMS:充电插座严重过温（521336,0)</t>
  </si>
  <si>
    <t>BMS:加热接触器无法闭合</t>
  </si>
  <si>
    <t>BMS:加热接触器无法闭合（521344,5)</t>
  </si>
  <si>
    <t>BMS:加热膜或TMS接触器无法闭合（521344,5)</t>
  </si>
  <si>
    <t>BMS:加热接触器无法断开</t>
  </si>
  <si>
    <t>BMS:加热接触器无法断开（521344,3)</t>
  </si>
  <si>
    <t>BMS:加热膜或TMS接触器无法断开（521344,3)</t>
  </si>
  <si>
    <t>BMS:整车端高压负载异常故障</t>
  </si>
  <si>
    <t>BMS:整车端高压负载异常故障（521345,13)</t>
  </si>
  <si>
    <t>BMS:强切继电器故障</t>
  </si>
  <si>
    <t>BMS:强切继电器故障（521346,13)</t>
  </si>
  <si>
    <t>BMS:烟雾探测器烟雾报警</t>
  </si>
  <si>
    <t>BMS:烟雾探测器烟雾报警（521347,0)</t>
  </si>
  <si>
    <t>BMS:烟雾探测器高温报警</t>
  </si>
  <si>
    <t>BMS:烟雾探测器高温报警（521348,0)</t>
  </si>
  <si>
    <t>BMS:烟雾探测器温度突变报警</t>
  </si>
  <si>
    <t>BMS:烟雾探测器温度突变报警（521348,2)</t>
  </si>
  <si>
    <t>BMS:烟雾传感器掉线故障</t>
  </si>
  <si>
    <t>BMS:烟雾传感器掉线故障（521349,5)</t>
  </si>
  <si>
    <t>BMS:电流采集失效</t>
  </si>
  <si>
    <t>BMS:电流采集失效（521350,12)</t>
  </si>
  <si>
    <t>SOC差异过大报警</t>
  </si>
  <si>
    <t>BMS:SOC差异过大</t>
  </si>
  <si>
    <t>BMS:SOC差异过大报警(521353,0)</t>
  </si>
  <si>
    <t>持续放电过流</t>
  </si>
  <si>
    <t>BMS:持续放电电流轻微大</t>
  </si>
  <si>
    <t>BMS:持续放电过流(521360,15)</t>
  </si>
  <si>
    <t>BMS:持续放电电流一般大</t>
  </si>
  <si>
    <t>BMS:持续放电过流(521360,16)</t>
  </si>
  <si>
    <t>BMS:持续放电电流严重大</t>
  </si>
  <si>
    <t>BMS:持续放电过流(521360,0)</t>
  </si>
  <si>
    <t>行车持续回充过流</t>
  </si>
  <si>
    <t>BMS:持续回充电流轻微大</t>
  </si>
  <si>
    <t>BMS:行车持续回充过流(521361,15)</t>
  </si>
  <si>
    <t>BMS:持续回充电流一般大</t>
  </si>
  <si>
    <t>BMS:行车持续回充过流(521361,16)</t>
  </si>
  <si>
    <t>BMS:持续回充电流严重大</t>
  </si>
  <si>
    <t>BMS:行车持续回充过流(521361,0)</t>
  </si>
  <si>
    <t>主回路预充或预检故障</t>
  </si>
  <si>
    <t>BMS:主回路预充预检故障</t>
  </si>
  <si>
    <t>BMS:主回路预充或预检故障(521362,7)</t>
  </si>
  <si>
    <t>辅件回路预充或预检故障</t>
  </si>
  <si>
    <t>BMS:辅件回路预充或预检故障</t>
  </si>
  <si>
    <t>BMS:辅件回路预充或预检故障(521363,7)</t>
  </si>
  <si>
    <t>BMS-DC-DC故障</t>
  </si>
  <si>
    <t>BMS:电池DC-DC故障</t>
  </si>
  <si>
    <t>BMS:BMS-DC-DC故障(521364,12)</t>
  </si>
  <si>
    <t>充电插座NTC故障</t>
  </si>
  <si>
    <t>BMS:充电插座NTC故障</t>
  </si>
  <si>
    <t>BMS:充电插座NTC故障(521365,12)</t>
  </si>
  <si>
    <t>交流充电正接触器无法闭合故障报警</t>
  </si>
  <si>
    <t>BMS:交流充电正接触器无法闭合</t>
  </si>
  <si>
    <t>BMS:交流充电正接触器无法闭合故障报警(521366,5)</t>
  </si>
  <si>
    <t>交流充电正接触器无法断开故障报警</t>
  </si>
  <si>
    <t>BMS:交流充电正接触器无法断开</t>
  </si>
  <si>
    <t>BMS:交流充电正接触器无法断开故障报警(521366,3)</t>
  </si>
  <si>
    <t>交流充电负接触器无法闭合故障报警</t>
  </si>
  <si>
    <t>BMS:交流充电负接触器无法闭合</t>
  </si>
  <si>
    <t>BMS:交流充电负接触器无法闭合故障报警(521367,5)</t>
  </si>
  <si>
    <t>交流充电负接触器无法断开故障报警</t>
  </si>
  <si>
    <t>BMS:交流充电负接触器无法断开</t>
  </si>
  <si>
    <t>BMS:交流充电负接触器无法断开故障报警(521367,3)</t>
  </si>
  <si>
    <t>从机组1一级故障</t>
  </si>
  <si>
    <t>BMS:从机组1一级故障(521415,0)</t>
  </si>
  <si>
    <t>加热膜加热回路故障</t>
  </si>
  <si>
    <t>BMS:加热膜加热回路故障(522138,0)</t>
  </si>
  <si>
    <t>充电绝缘阻值低</t>
  </si>
  <si>
    <t>BMS:充电绝缘阻值低(522139,1)</t>
  </si>
  <si>
    <t>ACAN通讯故障</t>
  </si>
  <si>
    <t>BMS:ACAN通讯故障(522140,9)</t>
  </si>
  <si>
    <t>插枪连接信号异常</t>
  </si>
  <si>
    <t>BMS:插枪连接信号异常(522141,9)</t>
  </si>
  <si>
    <t>充电时放电回路检测到电流</t>
  </si>
  <si>
    <t>BMS:充电时放电回路检测到电流(522142,0)</t>
  </si>
  <si>
    <t>电子锁故障</t>
  </si>
  <si>
    <t>BMS:电子锁故障(522143,5)</t>
  </si>
  <si>
    <t>火警探测器故障</t>
  </si>
  <si>
    <t>BMS:火警探测器故障(522144,5)</t>
  </si>
  <si>
    <t>TMS系统故障</t>
  </si>
  <si>
    <t>BMS:TMS系统故障(522240,5)</t>
  </si>
  <si>
    <t>热管理机组故障</t>
  </si>
  <si>
    <t>BMS:TMS系统故障</t>
  </si>
  <si>
    <t>不显示故障灯：</t>
  </si>
  <si>
    <t>V1.11 BMS不再对该故障进行判断和上报，仪表先保留</t>
  </si>
  <si>
    <t>换电连接器过温故障</t>
  </si>
  <si>
    <t>换电系统:换电连接器过温故障(522241,16)</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</si>
  <si>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</si>
  <si>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</si>
  <si>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</si>
  <si>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</si>
  <si>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</si>
  <si>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</si>
  <si>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</si>
  <si>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换电系统：换电连接器瞬断轻微故障</t>
  </si>
  <si>
    <t>15</t>
  </si>
  <si>
    <t>换电系统:换电连接器瞬断轻微故障（522243,15)</t>
  </si>
  <si>
    <t>V1.8_20220527新增</t>
  </si>
  <si>
    <t>换电系统：换电连接器瞬断一般故障</t>
  </si>
  <si>
    <t>522243</t>
  </si>
  <si>
    <t>16</t>
  </si>
  <si>
    <t>换电系统:换电连接器瞬断一般故障（522243,16)</t>
  </si>
  <si>
    <t>换电系统：换电连接器瞬断严重故障</t>
  </si>
  <si>
    <t>0</t>
  </si>
  <si>
    <t>换电系统:换电连接器瞬断严重故障（522243,0)</t>
  </si>
  <si>
    <t>换电系统:换电连接器过温轻微故障（522241，15）</t>
  </si>
  <si>
    <t>V1.9_20220530新增</t>
  </si>
  <si>
    <t>换电系统:换电连接器过温一般故障（522241，16）</t>
  </si>
  <si>
    <t>换电系统:换电连接器过温严重故障（522241，0）</t>
  </si>
  <si>
    <t>换电系统:换电连接器锁止故障（522242，7）</t>
  </si>
  <si>
    <t>换电连接器温感断线故障</t>
  </si>
  <si>
    <t>换电系统:换电连接器温感断线故障（522244，5）</t>
  </si>
  <si>
    <t>换电控制器自检故障</t>
  </si>
  <si>
    <t>换电系统:换电控制器自检故障（522239，12）</t>
  </si>
  <si>
    <t>换电控制器低压供电电压异常报警</t>
  </si>
  <si>
    <t>换电系统:24V供电异常（522238，13）</t>
  </si>
  <si>
    <t>换电系统电池箱不匹配</t>
  </si>
  <si>
    <t>换电系统:换电系统电池箱不匹配（522237，23）</t>
  </si>
  <si>
    <t>V1.14_2023040 无故障评级，暂保留</t>
  </si>
  <si>
    <t>燃料电池回路预充或预检故障</t>
  </si>
  <si>
    <t>BMS：燃料电池回路故障（521313，7）</t>
  </si>
  <si>
    <t>V1.14_20230406新增</t>
  </si>
  <si>
    <t>燃料电池回路电流传感器故障</t>
  </si>
  <si>
    <t>BMS：燃料电池回路故障（521316，12）</t>
  </si>
  <si>
    <t>燃料电池回路接触器无法断开故障报警</t>
  </si>
  <si>
    <t>BMS：燃料电池回路故障（521314，3）</t>
  </si>
  <si>
    <t>燃料电池回路接触器无法闭合故障报警</t>
  </si>
  <si>
    <t>BMS：燃料电池回路故障（521315，5）</t>
  </si>
  <si>
    <t>DC-DC回路接触器无法断开故障报警</t>
  </si>
  <si>
    <t>BMS：DC-DC回路故障（521317，3）</t>
  </si>
  <si>
    <t>DC-DC回路接触器无法闭合故障报警</t>
  </si>
  <si>
    <t>BMS：DC-DC回路故障（521318，5）</t>
  </si>
  <si>
    <t>母线过压保护</t>
  </si>
  <si>
    <t>母线过压停机，高于最高工作电压（软件保护）</t>
  </si>
  <si>
    <t>母线过压停机，高于最高工作电压（硬件保护）</t>
  </si>
  <si>
    <t>母线欠压保护</t>
  </si>
  <si>
    <t>母线欠压停机，低于最低工作电压</t>
  </si>
  <si>
    <t>母线电流过流停机，软件保护</t>
  </si>
  <si>
    <t>母线电流过流停机，硬件保护</t>
  </si>
  <si>
    <t>电机转速超速保护，3300rpm≤n＜3600rpm</t>
  </si>
  <si>
    <t>MCU:电机转速超速报警保护(521702,16)</t>
  </si>
  <si>
    <t>20210625新增</t>
  </si>
  <si>
    <t>V1.6增加蜂鸣</t>
  </si>
  <si>
    <t>电机转速超速停机，n≥3600rpm</t>
  </si>
  <si>
    <t>MCU:电机转速超速停机保护(521702,0)</t>
  </si>
  <si>
    <t>20210625描述更改</t>
  </si>
  <si>
    <t>电机绕组过温保护</t>
  </si>
  <si>
    <t>电机绕组过温停机</t>
  </si>
  <si>
    <t>功率模块温度过温保护</t>
  </si>
  <si>
    <t>功率模块温度过温停机</t>
  </si>
  <si>
    <t>功率模块故障</t>
  </si>
  <si>
    <t>相电流过载，软件保护</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</si>
  <si>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</si>
  <si>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</si>
  <si>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</si>
  <si>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</si>
  <si>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</si>
  <si>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</si>
  <si>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</si>
  <si>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</si>
  <si>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</si>
  <si>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</si>
  <si>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</si>
  <si>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 xml:space="preserve">电机温度传感器对地短路 </t>
  </si>
  <si>
    <t xml:space="preserve">控制器温度传感器断线 </t>
  </si>
  <si>
    <t xml:space="preserve">控制器温度传感器对地短路 </t>
  </si>
  <si>
    <t>控制器软件错误</t>
  </si>
  <si>
    <t>CAN通讯数据不连续或收不到，丢帧</t>
  </si>
  <si>
    <t>电机堵转</t>
  </si>
  <si>
    <t>10s之内同一故障出现3次</t>
  </si>
  <si>
    <t>UVW三相绝缘故障</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</si>
  <si>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</si>
  <si>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</si>
  <si>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</si>
  <si>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</si>
  <si>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</si>
  <si>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</si>
  <si>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</si>
  <si>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初始化的所有故障</t>
  </si>
  <si>
    <t>电流传感器偏移超出范围</t>
  </si>
  <si>
    <t>输出缺相故障</t>
  </si>
  <si>
    <t>转速偏差过大故障</t>
  </si>
  <si>
    <t>主动放电故障</t>
  </si>
  <si>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</si>
  <si>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</si>
  <si>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</si>
  <si>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</si>
  <si>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</si>
  <si>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</si>
  <si>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</si>
  <si>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</si>
  <si>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</si>
  <si>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油泵过压</t>
  </si>
  <si>
    <t>MCU：油泵过压（521736,3）</t>
  </si>
  <si>
    <t>V1.10_20220723新增</t>
  </si>
  <si>
    <t>油泵欠压</t>
  </si>
  <si>
    <t>MCU：油泵欠压（521736,4）</t>
  </si>
  <si>
    <t>V1.10_20220724新增</t>
  </si>
  <si>
    <t>油泵短路</t>
  </si>
  <si>
    <t>MCU：油泵短路（521736,22）</t>
  </si>
  <si>
    <t>V1.10_20220725新增</t>
  </si>
  <si>
    <t>油泵过流</t>
  </si>
  <si>
    <t>MCU：油泵过流（521736,6）</t>
  </si>
  <si>
    <t>V1.10_20220726新增</t>
  </si>
  <si>
    <t>油泵电机堵转</t>
  </si>
  <si>
    <t>MCU：油泵电机堵转（521736,7）</t>
  </si>
  <si>
    <t>V1.10_20220727新增</t>
  </si>
  <si>
    <t>油泵控制器过温</t>
  </si>
  <si>
    <t>MCU：油泵控制器过温（521736,16）</t>
  </si>
  <si>
    <t>V1.10_20220728新增</t>
  </si>
  <si>
    <t>油泵电机超速</t>
  </si>
  <si>
    <t>MCU：油泵电机超速（521736,0）</t>
  </si>
  <si>
    <t>V1.10_20220729新增</t>
  </si>
  <si>
    <t>SPN（DEC）</t>
  </si>
  <si>
    <t>FMI（DEC）</t>
  </si>
  <si>
    <t>电流检测故障</t>
  </si>
  <si>
    <t>控制器过载故障</t>
  </si>
  <si>
    <t>输出过流</t>
  </si>
  <si>
    <t>PT100短路</t>
  </si>
  <si>
    <t>PT100开路</t>
  </si>
  <si>
    <t>空压机:温度传感器断路故障(521809,5)</t>
  </si>
  <si>
    <t>空压机:温度传感器短路故障(521809,6)</t>
  </si>
  <si>
    <t>控制器过温故障</t>
  </si>
  <si>
    <t>控制器过温告警</t>
  </si>
  <si>
    <t>电机过温告警</t>
  </si>
  <si>
    <t>对地短路</t>
  </si>
  <si>
    <t>速度偏差</t>
  </si>
  <si>
    <t>电机过载</t>
  </si>
  <si>
    <t>20210826修改</t>
  </si>
  <si>
    <t xml:space="preserve">超长时间输出报警 </t>
  </si>
  <si>
    <t>20210826新增</t>
  </si>
  <si>
    <t xml:space="preserve">通讯故障 </t>
  </si>
  <si>
    <t xml:space="preserve">压力开关故障 </t>
  </si>
  <si>
    <t>TCU电源电压高</t>
  </si>
  <si>
    <t>AMT:TCU电源电压高(1378,1)</t>
  </si>
  <si>
    <t>TCU电源电压低</t>
  </si>
  <si>
    <t>AMT:TCU电源电压低(1378,2)</t>
  </si>
  <si>
    <t>车速信号无效</t>
  </si>
  <si>
    <t>AMT:车速信号无效(1824,8)</t>
  </si>
  <si>
    <t>车速没有信号</t>
  </si>
  <si>
    <t>AMT:车速没有信号(1824,4)</t>
  </si>
  <si>
    <t>CAN收不到选档面板信号</t>
  </si>
  <si>
    <t>AMT:CAN收不到选档面板信号(54786,4)</t>
  </si>
  <si>
    <t>换档位置传感器高于最大值</t>
  </si>
  <si>
    <t>AMT:换档位置传感器高于最大值(5953,1)</t>
  </si>
  <si>
    <t>换档位置传感器低于最小值</t>
  </si>
  <si>
    <t>AMT:换档位置传感器低于最小值(5953,2)</t>
  </si>
  <si>
    <t>换档位置传感器信号无效</t>
  </si>
  <si>
    <t>AMT:换档位置传感器信号无效(5953,8)</t>
  </si>
  <si>
    <t>选档位置传感器高于最大值</t>
  </si>
  <si>
    <t>AMT:选档位置传感器高于最大值(5954,1)</t>
  </si>
  <si>
    <t>选档位置传感器低于最小值</t>
  </si>
  <si>
    <t>AMT:选档位置传感器低于最小值(5954,2)</t>
  </si>
  <si>
    <t>选档位置传感器信号无效</t>
  </si>
  <si>
    <t>AMT:选档位置传感器信号无效(5954,8)</t>
  </si>
  <si>
    <t>选档执行机构卡死</t>
  </si>
  <si>
    <t>AMT:选档执行机构卡死(5969,8)</t>
  </si>
  <si>
    <t>换档执行机构卡死</t>
  </si>
  <si>
    <t>AMT:换档执行机构卡死(5971,8)</t>
  </si>
  <si>
    <t>1、2挡均换挡失败</t>
  </si>
  <si>
    <t>AMT:1、2挡均换挡失败(6208,8)</t>
  </si>
  <si>
    <t>上次断电异常</t>
  </si>
  <si>
    <t>AMT:上次断电异常(5990,1)</t>
  </si>
  <si>
    <t>bois软件错误</t>
  </si>
  <si>
    <t>AMT:bois软件错误(5991,1)</t>
  </si>
  <si>
    <t>硬件错误</t>
  </si>
  <si>
    <t>AMT:硬件错误(5992,1)</t>
  </si>
  <si>
    <t>换挡数据或离合数据错误</t>
  </si>
  <si>
    <t>AMT:换挡数据或离合数据错误(5977,1)</t>
  </si>
  <si>
    <t>AMT:变速箱其他故障(153,0)</t>
  </si>
  <si>
    <t>传感器短路或取力器无法断开</t>
  </si>
  <si>
    <t>AMT:传感器短路或取力器无法断开(7670,4)</t>
  </si>
  <si>
    <t>传感器开路或取力器无法闭合</t>
  </si>
  <si>
    <t>AMT:传感器开路或取力器无法闭合(7670,5)</t>
  </si>
  <si>
    <t>一轴位移传感器故障</t>
  </si>
  <si>
    <t>AMT:一轴位移传感器故障(520200,7)</t>
  </si>
  <si>
    <t>二轴位移传感器故障</t>
  </si>
  <si>
    <t>AMT:二轴位移传感器故障(520201,7)</t>
  </si>
  <si>
    <t>三轴位移传感器故障</t>
  </si>
  <si>
    <t>AMT:三轴位移传感器故障(520202,7)</t>
  </si>
  <si>
    <t>一轴电磁阀故障</t>
  </si>
  <si>
    <t>AMT:一轴电磁阀故障(520203,7)</t>
  </si>
  <si>
    <t>二轴电磁阀故障</t>
  </si>
  <si>
    <t>AMT:二轴电磁阀故障(520204,7)</t>
  </si>
  <si>
    <t>三轴电磁阀故障</t>
  </si>
  <si>
    <t>AMT:三轴电磁阀故障(520205,7)</t>
  </si>
  <si>
    <t>输入轴转速传感器故障</t>
  </si>
  <si>
    <t>AMT:输入轴转速传感器故障(520206,7)</t>
  </si>
  <si>
    <t>输出轴转速传感器故障</t>
  </si>
  <si>
    <t>AMT:输出轴转速传感器故障(520207,7)</t>
  </si>
  <si>
    <t>整车CAN通讯故障</t>
  </si>
  <si>
    <t>AMT:整车CAN通讯故障(520208,7)</t>
  </si>
  <si>
    <t>电机CAN通讯故障</t>
  </si>
  <si>
    <t>AMT:电机CAN通讯故障(520209,7)</t>
  </si>
  <si>
    <t>挂挡失败故障</t>
  </si>
  <si>
    <t>AMT:挂挡失败故障(520213,7)</t>
  </si>
  <si>
    <t>TCU与VECU通讯故障</t>
  </si>
  <si>
    <t>AMT:TCU与VECU通讯故障(7649,1)</t>
  </si>
  <si>
    <t>TCU与MCU通讯故障</t>
  </si>
  <si>
    <t>AMT:TCU与MCU通讯故障(7649,2)</t>
  </si>
  <si>
    <t>车速传感器接线错误</t>
  </si>
  <si>
    <t>AMT:车速传感器接线错误(1824,1)</t>
  </si>
  <si>
    <t>坡道传感器通讯故障</t>
  </si>
  <si>
    <t>AMT:坡道传感器通讯故障(1810,2)</t>
  </si>
  <si>
    <t>坡道传感器未标定，信号异常</t>
  </si>
  <si>
    <t>AMT:坡道传感器未标定，信号异常(1810,11)</t>
  </si>
  <si>
    <t>坡道传感器故障故障或其线路故障</t>
  </si>
  <si>
    <t>AMT:坡道传感器故障故障或其线路故障(518310,12)</t>
  </si>
  <si>
    <t>加速度芯片故障</t>
  </si>
  <si>
    <t>AMT:加速度芯片故障(5997,12)</t>
  </si>
  <si>
    <t>坡度信号零位标定错误</t>
  </si>
  <si>
    <t>AMT:坡度信号零位标定错误(5997,13)</t>
  </si>
  <si>
    <t>取力器堵转报警</t>
  </si>
  <si>
    <t>AMT:取力器堵转报警(7673,7)</t>
  </si>
  <si>
    <t>停车取力有车速报警</t>
  </si>
  <si>
    <t>AMT:停车取力有车速报警(7673,15)</t>
  </si>
  <si>
    <t>取力器反转或转速超速</t>
  </si>
  <si>
    <t>AMT:取力器反转或转速超速(7673,16)</t>
  </si>
  <si>
    <t>AMT换挡清扭超时</t>
  </si>
  <si>
    <t>AMT:AMT换挡清扭超时(520213,5)</t>
  </si>
  <si>
    <t>AMT摘挡失败</t>
  </si>
  <si>
    <t>AMT:AMT摘挡失败(520213,6)</t>
  </si>
  <si>
    <t>AMT换挡调速超时</t>
  </si>
  <si>
    <t>AMT:AMT换挡调速超时(520213,8)</t>
  </si>
  <si>
    <t>AMT挂档失败</t>
  </si>
  <si>
    <t>AMT:AMT挂档失败(520213,9)</t>
  </si>
  <si>
    <t>AMT换挡还扭超时</t>
  </si>
  <si>
    <t>AMT:AMT换挡还扭超时(520213,10)</t>
  </si>
  <si>
    <t>电机响应超时</t>
  </si>
  <si>
    <t>AMT:电机响应超时(520213,16)</t>
  </si>
  <si>
    <t>摘空挡失败故障</t>
  </si>
  <si>
    <t>AMT:摘空挡失败故障(520214,7)</t>
  </si>
  <si>
    <t>变速箱油温过高停机</t>
  </si>
  <si>
    <t>AMT:变速箱油温过高停机(177,0)</t>
  </si>
  <si>
    <t>变速箱油温偏高报警</t>
  </si>
  <si>
    <t>AMT:变速箱油温偏高报警(177,16)</t>
  </si>
  <si>
    <t>油温传感器断路</t>
  </si>
  <si>
    <t>AMT:油温传感器断路(6031,4)</t>
  </si>
  <si>
    <t>油温传感器短路</t>
  </si>
  <si>
    <t>AMT:油温传感器短路(6031,3)</t>
  </si>
  <si>
    <t>变速箱档位速比异常-1档脱档或其它故障</t>
  </si>
  <si>
    <t>AMT:变速箱档位速比异常-1档脱档或其它故障(518389,7)</t>
  </si>
  <si>
    <t>变速箱档位速比异常-2档脱档或其它故障</t>
  </si>
  <si>
    <t>AMT:变速箱档位速比异常-2档脱档或其它故障(518390,7)</t>
  </si>
  <si>
    <t>变速箱档位速比异常-3档脱档或其它故障</t>
  </si>
  <si>
    <t>AMT:变速箱档位速比异常-3档脱档或其它故障(518391,7)</t>
  </si>
  <si>
    <t>变速箱档位速比异常-4档脱档或其它故障</t>
  </si>
  <si>
    <t>AMT:变速箱档位速比异常-4档脱档或其它故障(518392,7)</t>
  </si>
  <si>
    <t>V1.10修正</t>
  </si>
  <si>
    <t>变速箱档位速比异常-5档脱档或其它故障</t>
  </si>
  <si>
    <t>AMT:变速箱档位速比异常-5档脱档或其它故障(518393,7)</t>
  </si>
  <si>
    <t>变速箱档位速比异常-6档脱档或其它故障</t>
  </si>
  <si>
    <t>AMT:变速箱档位速比异常-6档脱档或其它故障(518394,7)</t>
  </si>
  <si>
    <t>变速箱档位速比异常-倒档脱档或其它故障</t>
  </si>
  <si>
    <t>AMT:变速箱档位速比异常-倒档脱档或其它故障(518395,7)</t>
  </si>
  <si>
    <t>AMT E方档位位移值无效，请重新自学习</t>
  </si>
  <si>
    <t>AMT:AMT E方档位位移值无效，请重新自学习(518332,13)</t>
  </si>
  <si>
    <t>正在自学习，请勿操作车辆</t>
  </si>
  <si>
    <t>AMT:正在自学习，请勿操作车辆(518332,14)</t>
  </si>
  <si>
    <t>换挡自学习失败，请重新进行自学习</t>
  </si>
  <si>
    <t>AMT:换挡自学习失败，请重新进行自学习(518333,13)</t>
  </si>
  <si>
    <t>换挡自学习完成</t>
  </si>
  <si>
    <t>AMT:换挡自学习完成(518333,14)</t>
  </si>
  <si>
    <t>AMT:车速传感器故障(1824,1)</t>
  </si>
  <si>
    <t>V1.12_20221229新增 仅KT1D车型显示</t>
  </si>
  <si>
    <t>AMT:坡道传感器通讯故障(1810,12)</t>
  </si>
  <si>
    <t>AMT:坡道传感器通讯故障(1810,13)</t>
  </si>
  <si>
    <t>坡道传感器零位不匹配请重新标定</t>
  </si>
  <si>
    <t>AMT:坡道传感器通讯故障(1810,14)</t>
  </si>
  <si>
    <t>加速度传感器未知故障</t>
  </si>
  <si>
    <t>AMT:坡道传感器通讯故障(1810,4)</t>
  </si>
  <si>
    <t>自学习数据错误</t>
  </si>
  <si>
    <t>AMT:自学习数据错误(518332,11)</t>
  </si>
  <si>
    <t>取力器停车取力器有车速</t>
  </si>
  <si>
    <t>AMT:取力器故障(7670,6)</t>
  </si>
  <si>
    <t>取力器堵转</t>
  </si>
  <si>
    <t>AMT:取力器故障(7670,7)</t>
  </si>
  <si>
    <t>取力器闭合电机转速异常</t>
  </si>
  <si>
    <t>AMT:取力器故障(7670,8)</t>
  </si>
  <si>
    <t xml:space="preserve">输出严重过压 </t>
  </si>
  <si>
    <t>输出过压</t>
  </si>
  <si>
    <t>DCDC:输出过压（521500,16)</t>
  </si>
  <si>
    <t xml:space="preserve">输出过流 </t>
  </si>
  <si>
    <t>DCDC:输出过流（521501,0)</t>
  </si>
  <si>
    <t xml:space="preserve">过温保护 </t>
  </si>
  <si>
    <t>DCDC:过温保护（521502,7)</t>
  </si>
  <si>
    <t xml:space="preserve">输入过压 </t>
  </si>
  <si>
    <t>DCDC:输入过压（521503,0)</t>
  </si>
  <si>
    <t xml:space="preserve">输入欠压 </t>
  </si>
  <si>
    <t>DCDC:输入欠压（521504,4)</t>
  </si>
  <si>
    <t>过温告警</t>
  </si>
  <si>
    <t>DCDC:过温告警（521505,3)</t>
  </si>
  <si>
    <t xml:space="preserve">输出欠压 </t>
  </si>
  <si>
    <t>DCDC:输出欠压 (521506,1)</t>
  </si>
  <si>
    <t>DCDC:通讯故障 (521507,12)</t>
  </si>
  <si>
    <t>模块故障</t>
  </si>
  <si>
    <t>DCDC:模块故障(521508,11)</t>
  </si>
  <si>
    <t>DCDC:模块故障(521508,7)</t>
  </si>
  <si>
    <t xml:space="preserve">辅源欠压 </t>
  </si>
  <si>
    <t>DCDC:辅源欠压 (521509,1)</t>
  </si>
  <si>
    <t xml:space="preserve">辅源过压 </t>
  </si>
  <si>
    <t>DCDC:辅源过压 (521509,0)</t>
  </si>
  <si>
    <t>输入过流</t>
  </si>
  <si>
    <t>DCDC:输入过流(521510,0)</t>
  </si>
  <si>
    <t>硬件保护故障</t>
  </si>
  <si>
    <t>DCDC:硬件保护故障(521511,0)</t>
  </si>
  <si>
    <t>输出反向过流</t>
  </si>
  <si>
    <t>DCDC:输出反向过流(521512,0)</t>
  </si>
  <si>
    <t>DCDC:EEPROM故障(521513,12)</t>
  </si>
  <si>
    <t>输出过载</t>
  </si>
  <si>
    <t>DCDC:输出过载(521514,16)</t>
  </si>
  <si>
    <t>软启动失败</t>
  </si>
  <si>
    <t>DCDC:软启动失败(521515,7)</t>
  </si>
  <si>
    <t>输出短路</t>
  </si>
  <si>
    <t>负载电容过大</t>
  </si>
  <si>
    <t>外部输入高压失电超过3S</t>
  </si>
  <si>
    <t>预充高压压差过大</t>
  </si>
  <si>
    <t>预充失败</t>
  </si>
  <si>
    <t>V1.7_20220419删除，替换成序号6描述</t>
  </si>
  <si>
    <t xml:space="preserve">主驱接触器预充失败 </t>
  </si>
  <si>
    <t>辅驱接触器预充失败</t>
  </si>
  <si>
    <t>上装接触器预充失败</t>
  </si>
  <si>
    <t>MCU欠压复位</t>
  </si>
  <si>
    <t>低压电控制失电</t>
  </si>
  <si>
    <t>曾有禁止信号</t>
  </si>
  <si>
    <t>高压输入异常</t>
  </si>
  <si>
    <t>主接触器无法断开</t>
  </si>
  <si>
    <t>主接触器无法闭合</t>
  </si>
  <si>
    <t xml:space="preserve">辅驱接触器无法断开 </t>
  </si>
  <si>
    <t>20211227新增</t>
  </si>
  <si>
    <t>辅驱接触器无法闭合</t>
  </si>
  <si>
    <t xml:space="preserve">其他接触器粘连 </t>
  </si>
  <si>
    <t>上装用电硬线请求丢失</t>
  </si>
  <si>
    <t>初始化故障</t>
  </si>
  <si>
    <t>主驱回路带转速上电故障</t>
  </si>
  <si>
    <t>主驱回路上电反向压差大</t>
  </si>
  <si>
    <t>辅驱回路上电反向压差大</t>
  </si>
  <si>
    <t>上装回路上电反向压差大</t>
  </si>
  <si>
    <t>ABS:供电电压高(168,3)</t>
  </si>
  <si>
    <t>ABS:供电电压低(168,4)</t>
  </si>
  <si>
    <t>ABS:桥间差速锁电压高(564,3)</t>
  </si>
  <si>
    <t>ABS:桥间差速锁电压低(564,4)</t>
  </si>
  <si>
    <t>ABS:桥间差速锁开路(564,5)</t>
  </si>
  <si>
    <t>ABS:ABS非公路模式激活(575,14)</t>
  </si>
  <si>
    <t>ABS:滚筒台测试模式激活，关闭ASR(576,14)</t>
  </si>
  <si>
    <t>ABS:ASR系统信号异常(609,2)</t>
  </si>
  <si>
    <t>ABS:传感器CAN通讯故障(609,11)</t>
  </si>
  <si>
    <t>ABS:ASR系统被开关关闭(609,14)</t>
  </si>
  <si>
    <t>ABS:前桥差速锁啮合使ABS系统失效(612,14)</t>
  </si>
  <si>
    <t>ABS:ABS电磁阀信号异常(629,2)</t>
  </si>
  <si>
    <t>ABS:ECU故障(629,3)</t>
  </si>
  <si>
    <t>ABS:ABS系统故障(629,7)</t>
  </si>
  <si>
    <t>ABS:ABS系统配置故障(629,8)</t>
  </si>
  <si>
    <t>ABS:ABS系统故障(629,11)</t>
  </si>
  <si>
    <t>ABS:ECU内部故障(629,12)</t>
  </si>
  <si>
    <t>ABS:ECU标定错误(629,13)</t>
  </si>
  <si>
    <t>ABS:ECU内部故障(629,14)</t>
  </si>
  <si>
    <t>ABS:ECU软件故障(630,11)</t>
  </si>
  <si>
    <t>ABS:ECU故障(630,12)</t>
  </si>
  <si>
    <t>ABS:ECU标定错误(630,13)</t>
  </si>
  <si>
    <t>ABS:ECU CAN通讯故障(630,14)</t>
  </si>
  <si>
    <t>ABS:CAN通讯故障(639,2)</t>
  </si>
  <si>
    <t>ABS:CAN通讯故障(639,11)</t>
  </si>
  <si>
    <t>ABS:CAN通讯故障(639,14)</t>
  </si>
  <si>
    <t>ABS:前桥左轮速传感器信号异常(789,1)</t>
  </si>
  <si>
    <t>ABS:前桥左轮速传感器信号异常(789,2)</t>
  </si>
  <si>
    <t>ABS:前桥左轮速传感器开路(789,5)</t>
  </si>
  <si>
    <t>ABS:前桥左轮速传感器故障(789,7)</t>
  </si>
  <si>
    <t>ABS:前桥左轮速传感器信号异常(789,8)</t>
  </si>
  <si>
    <t>ABS:前桥左轮速传感器信号异常(789,10)</t>
  </si>
  <si>
    <t>ABS:前桥左轮速传感器标定错误(789,13)</t>
  </si>
  <si>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</si>
  <si>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</si>
  <si>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</si>
  <si>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</si>
  <si>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</si>
  <si>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</si>
  <si>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</si>
  <si>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</si>
  <si>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</si>
  <si>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</si>
  <si>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</si>
  <si>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</si>
  <si>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</si>
  <si>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</si>
  <si>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</si>
  <si>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</si>
  <si>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</si>
  <si>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</si>
  <si>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</si>
  <si>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</si>
  <si>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</si>
  <si>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</si>
  <si>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</si>
  <si>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</si>
  <si>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</si>
  <si>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</si>
  <si>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</si>
  <si>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</si>
  <si>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</si>
  <si>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</si>
  <si>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</si>
  <si>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</si>
  <si>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</si>
  <si>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</si>
  <si>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</si>
  <si>
    <t>ABS:前桥左ABS电磁阀开路(795,5)</t>
  </si>
  <si>
    <t>ABS:前桥左ABS电磁阀标定错误(795,13)</t>
  </si>
  <si>
    <t>ABS:前桥左ABS电磁阀装配错误(795,14)</t>
  </si>
  <si>
    <t>ABS:前桥右ABS电磁阀开路(796,5)</t>
  </si>
  <si>
    <t>ABS:前桥右ABS电磁阀标定错误(796,13)</t>
  </si>
  <si>
    <t>ABS:前桥右ABS电磁阀装配错误(796,14)</t>
  </si>
  <si>
    <t>ABS:驱动桥左ABS电磁阀开路(797,5)</t>
  </si>
  <si>
    <t>ABS:驱动桥左ABS电磁阀标定错误(797,13)</t>
  </si>
  <si>
    <t>ABS:驱动桥左ABS电磁阀装配错误(797,14)</t>
  </si>
  <si>
    <t>ABS:驱动桥右ABS电磁阀开路(798,5)</t>
  </si>
  <si>
    <t>ABS:驱动桥右ABS电磁阀标定错误(798,13)</t>
  </si>
  <si>
    <t>ABS:驱动桥右ABS电磁阀装配错误(798,14)</t>
  </si>
  <si>
    <t>ABS:第三桥左ABS电磁阀或线路故障(799,5)</t>
  </si>
  <si>
    <t>ABS:第三桥左ABS电磁阀标定错误(799,13)</t>
  </si>
  <si>
    <t>ABS:第三桥左ABS电磁阀装配错误(799,14)</t>
  </si>
  <si>
    <t>ABS:第三桥右ABS电磁阀或线路故障(800,5)</t>
  </si>
  <si>
    <t>ABS:第三桥右ABS电磁阀标定错误(800,13)</t>
  </si>
  <si>
    <t>ABS:第三桥右ABS电磁阀装配错误(800,14)</t>
  </si>
  <si>
    <t>ABS:缓速器继电器开路(801,2)</t>
  </si>
  <si>
    <t>ABS:缓速器继电器电压高(801,3)</t>
  </si>
  <si>
    <t>ABS:电磁阀公共地电压高(802,3)</t>
  </si>
  <si>
    <t>ABS:电磁阀公共地电压低(802,4)</t>
  </si>
  <si>
    <t>ABS:驱动桥ASR电磁阀电压高(806,3)</t>
  </si>
  <si>
    <t>ABS:驱动桥ASR电磁阀电压低(806,4)</t>
  </si>
  <si>
    <t>ABS:驱动桥ASR电磁阀开路(806,5)</t>
  </si>
  <si>
    <t>ABS:驱动桥ASR电磁阀标定错误(806,13)</t>
  </si>
  <si>
    <t>ABS:驱动桥ASR电磁阀装配错误(806,14)</t>
  </si>
  <si>
    <t>ABS:前桥ASR电磁阀电压高(807,3)</t>
  </si>
  <si>
    <t>ABS:前桥ASR电磁阀电压低(807,4)</t>
  </si>
  <si>
    <t>ABS:前桥ASR电磁阀开路(807,5)</t>
  </si>
  <si>
    <t>ABS:前桥ASR电磁阀标定错误(807,13)</t>
  </si>
  <si>
    <t>ABS:前桥ASR电磁阀装配错误(807,14)</t>
  </si>
  <si>
    <t>ABS:轮速传感器左右装反(810,7)</t>
  </si>
  <si>
    <t>ABS:ABS故障指示灯或线路故障(811,2)</t>
  </si>
  <si>
    <t>ABS:第三桥轮速传感器标定错误(815,13)</t>
  </si>
  <si>
    <t>ABS:备用输出2电压高(925,3)</t>
  </si>
  <si>
    <t>ABS:备用输出3电压高(926,3)</t>
  </si>
  <si>
    <t>ABS:备用输出3电压低(926,4)</t>
  </si>
  <si>
    <t>ABS:备用输出3开路(926,5)</t>
  </si>
  <si>
    <t>ABS:前桥左进气电磁阀电压高(932,3)</t>
  </si>
  <si>
    <t>ABS:前桥左进气电磁阀电压低(932,4)</t>
  </si>
  <si>
    <t>ABS:前桥左进气电磁阀开路(932,5)</t>
  </si>
  <si>
    <t>ABS:前桥右进气电磁阀电压高(933,3)</t>
  </si>
  <si>
    <t>ABS:前桥右进气电磁阀电压低(933,4)</t>
  </si>
  <si>
    <t>ABS:前桥右进气电磁阀开路(933,5)</t>
  </si>
  <si>
    <t>ABS:驱动桥左进气电磁阀电压高(934,3)</t>
  </si>
  <si>
    <t>ABS:驱动桥左进气电磁阀电压低(934,4)</t>
  </si>
  <si>
    <t>ABS:驱动桥左进气电磁阀开路(934,5)</t>
  </si>
  <si>
    <t>ABS:驱动桥右进气电磁阀电压高(935,3)</t>
  </si>
  <si>
    <t>ABS:驱动桥右进气电磁阀电压低(935,4)</t>
  </si>
  <si>
    <t>ABS:驱动桥右进气电磁阀开路(935,5)</t>
  </si>
  <si>
    <t>ABS:第三桥左进气电磁阀电压高(936,3)</t>
  </si>
  <si>
    <t>ABS:第三桥左进气电磁阀电压低(936,4)</t>
  </si>
  <si>
    <t>ABS:第三桥左进气电磁阀开路(936,5)</t>
  </si>
  <si>
    <t>ABS:第三桥右进气电磁阀电压高(937,3)</t>
  </si>
  <si>
    <t>ABS:第三桥右进气电磁阀电压低(937,4)</t>
  </si>
  <si>
    <t>ABS:第三桥右进气电磁阀开路(937,5)</t>
  </si>
  <si>
    <t>ABS:前桥左排气电磁阀电压高(938,3)</t>
  </si>
  <si>
    <t>ABS:前桥左排气电磁阀电压低(938,4)</t>
  </si>
  <si>
    <t>ABS:前桥左排气电磁阀开路(938,5)</t>
  </si>
  <si>
    <t>ABS:前桥右排气电磁阀电压高(939,3)</t>
  </si>
  <si>
    <t>ABS:前桥右排气电磁阀电压低(939,4)</t>
  </si>
  <si>
    <t>ABS:前桥右排气电磁阀开路(939,5)</t>
  </si>
  <si>
    <t>ABS:驱动桥左排气电磁阀电压高(940,3)</t>
  </si>
  <si>
    <t>ABS:驱动桥左排气电磁阀电压低(940,4)</t>
  </si>
  <si>
    <t>ABS:驱动桥左排气电磁阀开路(940,5)</t>
  </si>
  <si>
    <t>ABS:驱动桥右排气电磁阀电压高(941,3)</t>
  </si>
  <si>
    <t>ABS:驱动桥右排气电磁阀电压低(941,4)</t>
  </si>
  <si>
    <t>ABS:驱动桥右排气电磁阀开路(941,5)</t>
  </si>
  <si>
    <t>ABS:第三桥左排气电磁阀电压高(942,3)</t>
  </si>
  <si>
    <t>ABS:第三桥左排气电磁阀电压低(942,4)</t>
  </si>
  <si>
    <t>ABS:第三桥左排气电磁阀开路(942,5)</t>
  </si>
  <si>
    <t>ABS:第三桥右排气电磁阀电压高(943,3)</t>
  </si>
  <si>
    <t>ABS:第三桥右排气电磁阀电压低(943,4)</t>
  </si>
  <si>
    <t>ABS:第三桥右排气电磁阀开路(943,5)</t>
  </si>
  <si>
    <t>ABS:制动开关信号异常(1045,2)</t>
  </si>
  <si>
    <t>ABS:制动开关或线路故障(1045,7)</t>
  </si>
  <si>
    <t>ABS:挂车ABS电磁阀电压高(1056,3)</t>
  </si>
  <si>
    <t>ABS:挂车ABS电磁阀电压低(1056,4)</t>
  </si>
  <si>
    <t>ABS:挂车ABS电磁阀开路(1056,5)</t>
  </si>
  <si>
    <t>ABS:挂车ABS电磁阀故障(1056,11)</t>
  </si>
  <si>
    <t>ABS:挂车ABS电磁阀标定错误(1056,13)</t>
  </si>
  <si>
    <t>ABS:挂车ABS电磁阀装配错误(1056,14)</t>
  </si>
  <si>
    <t>ABS:轴荷压力传感器或线路故障(1059,2)</t>
  </si>
  <si>
    <t>ABS:制动压力传感器1/2电压高(1066,3)</t>
  </si>
  <si>
    <t>ABS:制动压力传感器1/2电压低(1066,4)</t>
  </si>
  <si>
    <t>ABS:制动压力传感器1/2短路到地(1066,6)</t>
  </si>
  <si>
    <t>ABS:制动压力传感器1/2信号异常(1066,11)</t>
  </si>
  <si>
    <t>ABS:制动压力传感器1/2标定错误(1066,13)</t>
  </si>
  <si>
    <t>ABS:制动压力传感器1/2标定错误(1066,14)</t>
  </si>
  <si>
    <t>ABS:制动压力传感器1或线路故障(1067,2)</t>
  </si>
  <si>
    <t>ABS:制动压力传感器2或线路故障(1068,2)</t>
  </si>
  <si>
    <t>ABS:CAN通讯故障(1671,2)</t>
  </si>
  <si>
    <t>ABS:转向角度传感器信号过高(1807,0)</t>
  </si>
  <si>
    <t>ABS:转向角度传感器信号异常(1807,2)</t>
  </si>
  <si>
    <t>ABS:转向角度传感器故障(1807,7)</t>
  </si>
  <si>
    <t>ABS:转向角度传感器CAN通讯故障(1807,9)</t>
  </si>
  <si>
    <t>ABS:转向角度传感器信号异常(1807,10)</t>
  </si>
  <si>
    <t>ABS:转向角度传感器或ABS ECU故障(1807,11)</t>
  </si>
  <si>
    <t>ABS:转向角度传感器故障(1807,12)</t>
  </si>
  <si>
    <t>ABS:转向角度传感器标定错误(1807,13)</t>
  </si>
  <si>
    <t>ABS:转向角度传感器故障(1807,14)</t>
  </si>
  <si>
    <t>ABS:横摆角度传感器信号过高(1808,0)</t>
  </si>
  <si>
    <t>ABS:横摆角度传感器信号异常(1808,2)</t>
  </si>
  <si>
    <t>ABS:横摆角度传感器电压高(1808,3)</t>
  </si>
  <si>
    <t>ABS:横摆角度传感器装配方向错误(1808,7)</t>
  </si>
  <si>
    <t>ABS:横摆角度传感器信号异常(1808,8)</t>
  </si>
  <si>
    <t>ABS:横摆角度传感器CAN通讯故障(1808,9)</t>
  </si>
  <si>
    <t>ABS:横摆角度传感器信号异常(1808,10)</t>
  </si>
  <si>
    <t>ABS:横摆角度传感器或ABS ECU故障(1808,11)</t>
  </si>
  <si>
    <t>ABS:横摆角度传感器故障(1808,12)</t>
  </si>
  <si>
    <t>ABS:横摆角度传感器标定错误(1808,13)</t>
  </si>
  <si>
    <t>ABS:横摆角度传感器故障(1808,14)</t>
  </si>
  <si>
    <t>ABS:横向加速度传感器信号过高(1809,0)</t>
  </si>
  <si>
    <t>ABS:横向加速度传感器装配方向错误(1809,2)</t>
  </si>
  <si>
    <t>ABS:横向加速度传感器装配错误(1809,11)</t>
  </si>
  <si>
    <t>ABS:横向加速度传感器标定错误(1809,13)</t>
  </si>
  <si>
    <t>ABS:横向加速度传感器故障(1809,14)</t>
  </si>
  <si>
    <t>ABS:压力控制阀超出使用寿命(520250,14)</t>
  </si>
  <si>
    <t>ABS:因阀使用过度使坡起功能无效(520251,14)</t>
  </si>
  <si>
    <t>ABS:ESP传感器电压低(520563,4)</t>
  </si>
  <si>
    <t>520563</t>
  </si>
  <si>
    <t>ABS:时间CAN信号异常(521010,2)</t>
  </si>
  <si>
    <t>ABS:里程CAN信号异常(521011,2)</t>
  </si>
  <si>
    <t>ABS:时间CAN报文超时(521012,2)</t>
  </si>
  <si>
    <t>ABS:里程CAN报文超时(521014,2)</t>
  </si>
  <si>
    <t>ABS:EAC1_SCH CAN报文超时(521016,2)</t>
  </si>
  <si>
    <t>ABS:ASC1_CLCS CAN报文超时(521017,2)</t>
  </si>
  <si>
    <t>ABS:VW_CLCS CAN报文超时(521018,2)</t>
  </si>
  <si>
    <t>ABS:ETC1_TCU CAN报文超时(521019,2)</t>
  </si>
  <si>
    <t>ABS:ETC2 CAN报文超时(521020,2)</t>
  </si>
  <si>
    <t>ABS:EEC1_CPC3 CAN报文超时(521021,2)</t>
  </si>
  <si>
    <t>ABS:EEC2_CPC3 CAN报文超时(521022,2)</t>
  </si>
  <si>
    <t>ABS:EEC3_CPC3 CAN报文超时(521023,2)</t>
  </si>
  <si>
    <t>ABS:ERC1_RET CAN报文超时(521024,2)</t>
  </si>
  <si>
    <t>ABS:CCVS_CPC CAN报文超时(521025,2)</t>
  </si>
  <si>
    <t>ABS:TCO1_TCO CAN报文超时(521026,2)</t>
  </si>
  <si>
    <t>ABS:TD_TCO CAN报文超时(521027,2)</t>
  </si>
  <si>
    <t>ABS:AIR1 CAN报文超时(521028,2)</t>
  </si>
  <si>
    <t>ABS:AUXIO CAN报文超时(521029,2)</t>
  </si>
  <si>
    <t>ABS:XBR CAN报文超时(521030,2)</t>
  </si>
  <si>
    <t>ABS:ETC7 CAN报文超时(521031,2)</t>
  </si>
  <si>
    <t>ABS:DC1 CAN报文超时(521032,2)</t>
  </si>
  <si>
    <t>ABS:ECU内部故障(628,14)</t>
  </si>
  <si>
    <t>628</t>
  </si>
  <si>
    <t xml:space="preserve"> 14</t>
  </si>
  <si>
    <t>ABS:与整车通讯中断(639,5)</t>
  </si>
  <si>
    <t>639</t>
  </si>
  <si>
    <t xml:space="preserve"> 5</t>
  </si>
  <si>
    <t>ABS:右后轮电磁阀线束故障(941,7)</t>
  </si>
  <si>
    <t>941</t>
  </si>
  <si>
    <t xml:space="preserve"> 7</t>
  </si>
  <si>
    <t>ABS:前桥ESP气压传感器线束故障(1049,2)</t>
  </si>
  <si>
    <t>1049</t>
  </si>
  <si>
    <t xml:space="preserve"> 2</t>
  </si>
  <si>
    <t>ABS:后桥ESP气压传感器线束故障(1052,2)</t>
  </si>
  <si>
    <t>1052</t>
  </si>
  <si>
    <t>ABS:横摆率传感器信号故障(1810,2)</t>
  </si>
  <si>
    <t>1810</t>
  </si>
  <si>
    <t>AbS:横摆率传感器信号故障(1810,11)</t>
  </si>
  <si>
    <t xml:space="preserve"> 11</t>
  </si>
  <si>
    <t>ABS:横摆率传感器信号故障(1810,14)</t>
  </si>
  <si>
    <t>ABS:CAN通讯故障(2011,31)</t>
  </si>
  <si>
    <t>2011</t>
  </si>
  <si>
    <t xml:space="preserve"> 31</t>
  </si>
  <si>
    <t>ABS:前桥左制动控制故障(3534,7)</t>
  </si>
  <si>
    <t>3534</t>
  </si>
  <si>
    <t>ABS:前桥右制动控制故障(3535,7)</t>
  </si>
  <si>
    <t>3535</t>
  </si>
  <si>
    <t>ABS:后桥左制动控制故障(3536,7)</t>
  </si>
  <si>
    <t>3536</t>
  </si>
  <si>
    <t>ABS:后桥右制动控制故障(3537,7)</t>
  </si>
  <si>
    <t>3537</t>
  </si>
  <si>
    <t>ABS:第三桥左制动控制故障(3538,7)</t>
  </si>
  <si>
    <t>3538</t>
  </si>
  <si>
    <t>ABS:第三桥右制动控制故障(3539,7)</t>
  </si>
  <si>
    <t>3539</t>
  </si>
  <si>
    <t>DTC path</t>
  </si>
  <si>
    <t>DTC type</t>
  </si>
  <si>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</si>
  <si>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</si>
  <si>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</si>
  <si>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</si>
  <si>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</si>
  <si>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</si>
  <si>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</si>
  <si>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</si>
  <si>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</si>
  <si>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</si>
  <si>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</si>
  <si>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</si>
  <si>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</si>
  <si>
    <t>;</t>
  </si>
  <si>
    <t>16803:Var_ui_ErrNo</t>
  </si>
  <si>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</si>
  <si>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</si>
  <si>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</si>
  <si>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</si>
  <si>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</si>
  <si>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</si>
  <si>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</si>
  <si>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</si>
  <si>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</si>
  <si>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</si>
  <si>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</si>
  <si>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</si>
  <si>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</si>
  <si>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</si>
  <si>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</si>
  <si>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</si>
  <si>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</si>
  <si>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</si>
  <si>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</si>
  <si>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</si>
  <si>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</si>
  <si>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</si>
  <si>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</si>
  <si>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</si>
  <si>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</si>
  <si>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</si>
  <si>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</si>
  <si>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</si>
  <si>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</si>
  <si>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</si>
  <si>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</si>
  <si>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</si>
  <si>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</si>
  <si>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</si>
  <si>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</si>
  <si>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</si>
  <si>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</si>
  <si>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</si>
  <si>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</si>
  <si>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</si>
  <si>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</si>
  <si>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</si>
  <si>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</si>
  <si>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</si>
  <si>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</si>
  <si>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</si>
  <si>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</si>
  <si>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</si>
  <si>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</si>
  <si>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</si>
  <si>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</si>
  <si>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</si>
  <si>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</si>
  <si>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</si>
  <si>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</si>
  <si>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</si>
  <si>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</si>
  <si>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</si>
  <si>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</si>
  <si>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</si>
  <si>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</si>
  <si>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</si>
  <si>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</si>
  <si>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</si>
  <si>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</si>
  <si>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</si>
  <si>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</si>
  <si>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</si>
  <si>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</si>
  <si>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</si>
  <si>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</si>
  <si>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</si>
  <si>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</si>
  <si>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</si>
  <si>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</si>
  <si>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</si>
  <si>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</si>
  <si>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</si>
  <si>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</si>
  <si>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</si>
  <si>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</si>
  <si>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</si>
  <si>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</si>
  <si>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</si>
  <si>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</si>
  <si>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</si>
  <si>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</si>
  <si>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</si>
  <si>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</si>
  <si>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</si>
  <si>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</si>
  <si>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</si>
  <si>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</si>
  <si>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</si>
  <si>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</si>
  <si>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</si>
  <si>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</si>
  <si>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</si>
  <si>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</si>
  <si>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</si>
  <si>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</si>
  <si>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</si>
  <si>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</si>
  <si>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</si>
  <si>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</si>
  <si>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</si>
  <si>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</si>
  <si>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</si>
  <si>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</si>
  <si>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</si>
  <si>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</si>
  <si>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</si>
  <si>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</si>
  <si>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</si>
  <si>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</si>
  <si>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</si>
  <si>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</si>
  <si>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</si>
  <si>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</si>
  <si>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</si>
  <si>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</si>
  <si>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</si>
  <si>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</si>
  <si>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</si>
  <si>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</si>
  <si>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</si>
  <si>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</si>
  <si>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</si>
  <si>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</si>
  <si>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</si>
  <si>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</si>
  <si>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</si>
  <si>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</si>
  <si>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</si>
  <si>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</si>
  <si>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</si>
  <si>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</si>
  <si>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</si>
  <si>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</si>
  <si>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</si>
  <si>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</si>
  <si>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</si>
  <si>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</si>
  <si>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</si>
  <si>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</si>
  <si>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</si>
  <si>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</si>
  <si>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</si>
  <si>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</si>
  <si>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</si>
  <si>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</si>
  <si>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</si>
  <si>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</si>
  <si>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</si>
  <si>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</si>
  <si>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</si>
  <si>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</si>
  <si>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</si>
  <si>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</si>
  <si>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</si>
  <si>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</si>
  <si>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</si>
  <si>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</si>
  <si>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</si>
  <si>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</si>
  <si>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</si>
  <si>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</si>
  <si>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</si>
  <si>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</si>
  <si>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</si>
  <si>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</si>
  <si>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</si>
  <si>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</si>
  <si>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</si>
  <si>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</si>
  <si>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</si>
  <si>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</si>
  <si>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</si>
  <si>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</si>
  <si>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</si>
  <si>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</si>
  <si>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</si>
  <si>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</si>
  <si>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</si>
  <si>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</si>
  <si>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</si>
  <si>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</si>
  <si>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</si>
  <si>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</si>
  <si>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</si>
  <si>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</si>
  <si>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</si>
  <si>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</si>
  <si>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</si>
  <si>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</si>
  <si>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</si>
  <si>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</si>
  <si>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</si>
  <si>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</si>
  <si>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</si>
  <si>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</si>
  <si>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</si>
  <si>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</si>
  <si>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</si>
  <si>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</si>
  <si>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</si>
  <si>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</si>
  <si>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</si>
  <si>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</si>
  <si>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</si>
  <si>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</si>
  <si>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</si>
  <si>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</si>
  <si>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</si>
  <si>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</si>
  <si>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</si>
  <si>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</si>
  <si>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</si>
  <si>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</si>
  <si>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</si>
  <si>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</si>
  <si>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</si>
  <si>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</si>
  <si>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</si>
  <si>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</si>
  <si>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</si>
  <si>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</si>
  <si>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</si>
  <si>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</si>
  <si>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</si>
  <si>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</si>
  <si>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</si>
  <si>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</si>
  <si>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</si>
  <si>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</si>
  <si>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</si>
  <si>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</si>
  <si>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</si>
  <si>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</si>
  <si>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</si>
  <si>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</si>
  <si>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</si>
  <si>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</si>
  <si>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</si>
  <si>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</si>
  <si>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</si>
  <si>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</si>
  <si>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</si>
  <si>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</si>
  <si>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</si>
  <si>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</si>
  <si>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</si>
  <si>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</si>
  <si>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</si>
  <si>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</si>
  <si>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</si>
  <si>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</si>
  <si>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</si>
  <si>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</si>
  <si>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</si>
  <si>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</si>
  <si>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</si>
  <si>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</si>
  <si>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</si>
  <si>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</si>
  <si>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</si>
  <si>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</si>
  <si>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</si>
  <si>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</si>
  <si>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</si>
  <si>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</si>
  <si>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</si>
  <si>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</si>
  <si>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</si>
  <si>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</si>
  <si>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</si>
  <si>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</si>
  <si>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</si>
  <si>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</si>
  <si>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</si>
  <si>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</si>
  <si>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</si>
  <si>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</si>
  <si>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</si>
  <si>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</si>
  <si>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</si>
  <si>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</si>
  <si>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</si>
  <si>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</si>
  <si>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</si>
  <si>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</si>
  <si>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</si>
  <si>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</si>
  <si>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</si>
  <si>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</si>
  <si>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</si>
  <si>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</si>
  <si>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</si>
  <si>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</si>
  <si>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</si>
  <si>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</si>
  <si>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</si>
  <si>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</si>
  <si>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</si>
  <si>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</si>
  <si>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</si>
  <si>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</si>
  <si>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</si>
  <si>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</si>
  <si>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</si>
  <si>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</si>
  <si>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</si>
  <si>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</si>
  <si>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</si>
  <si>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</si>
  <si>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</si>
  <si>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</si>
  <si>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</si>
  <si>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</si>
  <si>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</si>
  <si>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</si>
  <si>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</si>
  <si>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</si>
  <si>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</si>
  <si>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</si>
  <si>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</si>
  <si>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</si>
  <si>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</si>
  <si>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</si>
  <si>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</si>
  <si>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</si>
  <si>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</si>
  <si>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</si>
  <si>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</si>
  <si>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</si>
  <si>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</si>
  <si>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</si>
  <si>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</si>
  <si>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</si>
  <si>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</si>
  <si>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</si>
  <si>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</si>
  <si>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</si>
  <si>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</si>
  <si>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</si>
  <si>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</si>
  <si>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</si>
  <si>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</si>
  <si>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</si>
  <si>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</si>
  <si>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</si>
  <si>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</si>
  <si>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</si>
  <si>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</si>
  <si>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</si>
  <si>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</si>
  <si>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</si>
  <si>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</si>
  <si>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</si>
  <si>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</si>
  <si>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</si>
  <si>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</si>
  <si>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</si>
  <si>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</si>
  <si>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</si>
  <si>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</si>
  <si>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</si>
  <si>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</si>
  <si>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</si>
  <si>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</si>
  <si>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</si>
  <si>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</si>
  <si>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</si>
  <si>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</si>
  <si>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</si>
  <si>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</si>
  <si>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</si>
  <si>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</si>
  <si>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</si>
  <si>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</si>
  <si>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</si>
  <si>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</si>
  <si>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</si>
  <si>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</si>
  <si>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</si>
  <si>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</si>
  <si>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</si>
  <si>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</si>
  <si>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</si>
  <si>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</si>
  <si>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</si>
  <si>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</si>
  <si>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</si>
  <si>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</si>
  <si>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</si>
  <si>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</si>
  <si>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</si>
  <si>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</si>
  <si>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</si>
  <si>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</si>
  <si>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</si>
  <si>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</si>
  <si>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</si>
  <si>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</si>
  <si>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</si>
  <si>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</si>
  <si>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</si>
  <si>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</si>
  <si>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</si>
  <si>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</si>
  <si>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</si>
  <si>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</si>
  <si>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</si>
  <si>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</si>
  <si>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</si>
  <si>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</si>
  <si>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</si>
  <si>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</si>
  <si>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</si>
  <si>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</si>
  <si>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</si>
  <si>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</si>
  <si>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</si>
  <si>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</si>
  <si>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</si>
  <si>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</si>
  <si>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</si>
  <si>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</si>
  <si>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</si>
  <si>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</si>
  <si>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</si>
  <si>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</si>
  <si>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</si>
  <si>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</si>
  <si>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</si>
  <si>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</si>
  <si>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</si>
  <si>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</si>
  <si>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</si>
  <si>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</si>
  <si>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</si>
  <si>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</si>
  <si>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</si>
  <si>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</si>
  <si>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</si>
  <si>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</si>
  <si>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</si>
  <si>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</si>
  <si>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</si>
  <si>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</si>
  <si>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</si>
  <si>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</si>
  <si>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</si>
  <si>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</si>
  <si>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</si>
  <si>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</si>
  <si>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</si>
  <si>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</si>
  <si>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</si>
  <si>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</si>
  <si>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</si>
  <si>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</si>
  <si>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</si>
  <si>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</si>
  <si>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</si>
  <si>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</si>
  <si>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</si>
  <si>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</si>
  <si>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</si>
  <si>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</si>
  <si>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</si>
  <si>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</si>
  <si>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</si>
  <si>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</si>
  <si>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</si>
  <si>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</si>
  <si>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</si>
  <si>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</si>
  <si>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</si>
  <si>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</si>
  <si>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</si>
  <si>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</si>
  <si>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</si>
  <si>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</si>
  <si>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</si>
  <si>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</si>
  <si>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</si>
  <si>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</si>
  <si>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</si>
  <si>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</si>
  <si>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</si>
  <si>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</si>
  <si>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</si>
  <si>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</si>
  <si>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</si>
  <si>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</si>
  <si>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</si>
  <si>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</si>
  <si>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</si>
  <si>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</si>
  <si>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</si>
  <si>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</si>
  <si>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</si>
  <si>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</si>
  <si>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</si>
  <si>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</si>
  <si>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</si>
  <si>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</si>
  <si>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</si>
  <si>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</si>
  <si>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</si>
  <si>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</si>
  <si>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</si>
  <si>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</si>
  <si>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</si>
  <si>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</si>
  <si>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</si>
  <si>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</si>
  <si>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</si>
  <si>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</si>
  <si>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</si>
  <si>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</si>
  <si>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</si>
  <si>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</si>
  <si>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</si>
  <si>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</si>
  <si>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</si>
  <si>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</si>
  <si>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</si>
  <si>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</si>
  <si>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</si>
  <si>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</si>
  <si>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</si>
  <si>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</si>
  <si>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</si>
  <si>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</si>
  <si>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</si>
  <si>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</si>
  <si>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</si>
  <si>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</si>
  <si>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</si>
  <si>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</si>
  <si>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</si>
  <si>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</si>
  <si>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</si>
  <si>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</si>
  <si>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</si>
  <si>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</si>
  <si>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</si>
  <si>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</si>
  <si>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</si>
  <si>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</si>
  <si>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</si>
  <si>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</si>
  <si>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</si>
  <si>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</si>
  <si>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</si>
  <si>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</si>
  <si>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</si>
  <si>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</si>
  <si>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</si>
  <si>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</si>
  <si>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</si>
  <si>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</si>
  <si>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</si>
  <si>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</si>
  <si>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</si>
  <si>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</si>
  <si>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</si>
  <si>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</si>
  <si>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</si>
  <si>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</si>
  <si>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</si>
  <si>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</si>
  <si>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</si>
  <si>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</si>
  <si>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</si>
  <si>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</si>
  <si>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</si>
  <si>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</si>
  <si>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</si>
  <si>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</si>
  <si>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</si>
  <si>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</si>
  <si>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</si>
  <si>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</si>
  <si>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</si>
  <si>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</si>
  <si>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</si>
  <si>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</si>
  <si>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</si>
  <si>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</si>
  <si>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</si>
  <si>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</si>
  <si>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</si>
  <si>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</si>
  <si>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</si>
  <si>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</si>
  <si>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</si>
  <si>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</si>
  <si>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</si>
  <si>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</si>
  <si>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</si>
  <si>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</si>
  <si>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</si>
  <si>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</si>
  <si>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</si>
  <si>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</si>
  <si>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</si>
  <si>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</si>
  <si>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</si>
  <si>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</si>
  <si>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</si>
  <si>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</si>
  <si>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</si>
  <si>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</si>
  <si>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</si>
  <si>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</si>
  <si>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</si>
  <si>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</si>
  <si>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</si>
  <si>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</si>
  <si>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</si>
  <si>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</si>
  <si>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</si>
  <si>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</si>
  <si>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</si>
  <si>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</si>
  <si>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</si>
  <si>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</si>
  <si>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</si>
  <si>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</si>
  <si>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</si>
  <si>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</si>
  <si>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</si>
  <si>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</si>
  <si>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</si>
  <si>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</si>
  <si>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</si>
  <si>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</si>
  <si>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</si>
  <si>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</si>
  <si>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</si>
  <si>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</si>
  <si>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</si>
  <si>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</si>
  <si>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</si>
  <si>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</si>
  <si>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</si>
  <si>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</si>
  <si>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</si>
  <si>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</si>
  <si>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</si>
  <si>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</si>
  <si>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</si>
  <si>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</si>
  <si>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</si>
  <si>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</si>
  <si>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</si>
  <si>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</si>
  <si>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</si>
  <si>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</si>
  <si>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</si>
  <si>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</si>
  <si>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</si>
  <si>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</si>
  <si>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</si>
  <si>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</si>
  <si>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</si>
  <si>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</si>
  <si>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</si>
  <si>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</si>
  <si>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</si>
  <si>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</si>
  <si>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</si>
  <si>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</si>
  <si>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</si>
  <si>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</si>
  <si>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</si>
  <si>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</si>
  <si>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</si>
  <si>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</si>
  <si>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</si>
  <si>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</si>
  <si>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</si>
  <si>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</si>
  <si>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</si>
  <si>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</si>
  <si>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</si>
  <si>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</si>
  <si>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</si>
  <si>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</si>
  <si>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</si>
  <si>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</si>
  <si>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</si>
  <si>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</si>
  <si>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</si>
  <si>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</si>
  <si>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</si>
  <si>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</si>
  <si>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</si>
  <si>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</si>
  <si>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</si>
  <si>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</si>
  <si>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</si>
  <si>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</si>
  <si>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</si>
  <si>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</si>
  <si>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</si>
  <si>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</si>
  <si>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</si>
  <si>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</si>
  <si>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</si>
  <si>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</si>
  <si>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</si>
  <si>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</si>
  <si>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</si>
  <si>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</si>
  <si>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</si>
  <si>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</si>
  <si>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</si>
  <si>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</si>
  <si>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</si>
  <si>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</si>
  <si>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</si>
  <si>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</si>
  <si>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</si>
  <si>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</si>
  <si>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</si>
  <si>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</si>
  <si>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</si>
  <si>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</si>
  <si>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</si>
  <si>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</si>
  <si>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</si>
  <si>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</si>
  <si>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</si>
  <si>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</si>
  <si>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</si>
  <si>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</si>
  <si>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</si>
  <si>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</si>
  <si>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</si>
  <si>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</si>
  <si>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</si>
  <si>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</si>
  <si>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</si>
  <si>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</si>
  <si>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</si>
  <si>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</si>
  <si>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</si>
  <si>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</si>
  <si>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</si>
  <si>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</si>
  <si>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</si>
  <si>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</si>
  <si>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</si>
  <si>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</si>
  <si>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</si>
  <si>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</si>
  <si>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</si>
  <si>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</si>
  <si>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</si>
  <si>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</si>
  <si>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</si>
  <si>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</si>
  <si>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</si>
  <si>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</si>
  <si>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</si>
  <si>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</si>
  <si>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</si>
  <si>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</si>
  <si>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</si>
  <si>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</si>
  <si>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</si>
  <si>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</si>
  <si>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</si>
  <si>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</si>
  <si>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</si>
  <si>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</si>
  <si>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</si>
  <si>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</si>
  <si>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</si>
  <si>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</si>
  <si>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</si>
  <si>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</si>
  <si>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</si>
  <si>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</si>
  <si>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</si>
  <si>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</si>
  <si>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</si>
  <si>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</si>
  <si>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</si>
  <si>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</si>
  <si>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</si>
  <si>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</si>
  <si>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</si>
  <si>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</si>
  <si>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</si>
  <si>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</si>
  <si>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</si>
  <si>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</si>
  <si>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</si>
  <si>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</si>
  <si>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</si>
  <si>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</si>
  <si>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</si>
  <si>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</si>
  <si>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</si>
  <si>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</si>
  <si>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</si>
  <si>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</si>
  <si>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</si>
  <si>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</si>
  <si>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</si>
  <si>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</si>
  <si>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</si>
  <si>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</si>
  <si>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</si>
  <si>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</si>
  <si>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</si>
  <si>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</si>
  <si>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</si>
  <si>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</si>
  <si>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</si>
  <si>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</si>
  <si>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</si>
  <si>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</si>
  <si>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</si>
  <si>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</si>
  <si>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</si>
  <si>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</si>
  <si>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</si>
  <si>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</si>
  <si>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</si>
  <si>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</si>
  <si>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</si>
  <si>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</si>
  <si>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</si>
  <si>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</si>
  <si>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</si>
  <si>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</si>
  <si>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</si>
  <si>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</si>
  <si>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</si>
  <si>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</si>
  <si>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</si>
  <si>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</si>
  <si>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</si>
  <si>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</si>
  <si>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</si>
  <si>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</si>
  <si>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</si>
  <si>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</si>
  <si>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</si>
  <si>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</si>
  <si>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</si>
  <si>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</si>
  <si>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</si>
  <si>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</si>
  <si>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</si>
  <si>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</si>
  <si>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</si>
  <si>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</si>
  <si>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</si>
  <si>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</si>
  <si>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</si>
  <si>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</si>
  <si>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</si>
  <si>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</si>
  <si>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</si>
  <si>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</si>
  <si>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</si>
  <si>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</si>
  <si>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</si>
  <si>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</si>
  <si>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</si>
  <si>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</si>
  <si>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</si>
  <si>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</si>
  <si>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</si>
  <si>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</si>
  <si>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</si>
  <si>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</si>
  <si>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</si>
  <si>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</si>
  <si>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</si>
  <si>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</si>
  <si>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</si>
  <si>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</si>
  <si>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</si>
  <si>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</si>
  <si>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</si>
  <si>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</si>
  <si>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</si>
  <si>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</si>
  <si>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</si>
  <si>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</si>
  <si>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</si>
  <si>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</si>
  <si>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</si>
  <si>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</si>
  <si>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</si>
  <si>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</si>
  <si>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</si>
  <si>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</si>
  <si>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</si>
  <si>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</si>
  <si>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</si>
  <si>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</si>
  <si>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</si>
  <si>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</si>
  <si>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</si>
  <si>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</si>
  <si>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</si>
  <si>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</si>
  <si>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</si>
  <si>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</si>
  <si>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</si>
  <si>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</si>
  <si>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</si>
  <si>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</si>
  <si>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</si>
  <si>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</si>
  <si>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</si>
  <si>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</si>
  <si>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</si>
  <si>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</si>
  <si>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</si>
  <si>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</si>
  <si>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</si>
  <si>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</si>
  <si>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</si>
  <si>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</si>
  <si>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</si>
  <si>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</si>
  <si>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</si>
  <si>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</si>
  <si>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</si>
  <si>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</si>
  <si>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</si>
  <si>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</si>
  <si>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</si>
  <si>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</si>
  <si>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</si>
  <si>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</si>
  <si>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</si>
  <si>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</si>
  <si>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</si>
  <si>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</si>
  <si>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</si>
  <si>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</si>
  <si>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</si>
  <si>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</si>
  <si>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</si>
  <si>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</si>
  <si>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</si>
  <si>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</si>
  <si>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</si>
  <si>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</si>
  <si>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</si>
  <si>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</si>
  <si>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</si>
  <si>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</si>
  <si>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</si>
  <si>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</si>
  <si>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</si>
  <si>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</si>
  <si>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</si>
  <si>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</si>
  <si>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</si>
  <si>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</si>
  <si>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</si>
  <si>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</si>
  <si>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</si>
  <si>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</si>
  <si>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</si>
  <si>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</si>
  <si>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</si>
  <si>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</si>
  <si>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</si>
  <si>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</si>
  <si>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</si>
  <si>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</si>
  <si>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</si>
  <si>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</si>
  <si>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</si>
  <si>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</si>
  <si>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</si>
  <si>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</si>
  <si>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</si>
  <si>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</si>
  <si>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</si>
  <si>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</si>
  <si>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</si>
  <si>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</si>
  <si>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</si>
  <si>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</si>
  <si>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</si>
  <si>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</si>
  <si>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</si>
  <si>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</si>
  <si>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</si>
  <si>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</si>
  <si>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</si>
  <si>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</si>
  <si>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</si>
  <si>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</si>
  <si>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</si>
  <si>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</si>
  <si>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</si>
  <si>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</si>
  <si>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</si>
  <si>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</si>
  <si>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</si>
  <si>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</si>
  <si>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</si>
  <si>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</si>
  <si>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</si>
  <si>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</si>
  <si>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</si>
  <si>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</si>
  <si>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</si>
  <si>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</si>
  <si>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</si>
  <si>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</si>
  <si>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</si>
  <si>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</si>
  <si>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</si>
  <si>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</si>
  <si>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</si>
  <si>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</si>
  <si>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</si>
  <si>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</si>
  <si>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</si>
  <si>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</si>
  <si>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</si>
  <si>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</si>
  <si>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</si>
  <si>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</si>
  <si>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</si>
  <si>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</si>
  <si>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</si>
  <si>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</si>
  <si>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</si>
  <si>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</si>
  <si>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</si>
  <si>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</si>
  <si>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</si>
  <si>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</si>
  <si>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</si>
  <si>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</si>
  <si>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</si>
  <si>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</si>
  <si>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</si>
  <si>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</si>
  <si>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</si>
  <si>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</si>
  <si>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</si>
  <si>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</si>
  <si>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</si>
  <si>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</si>
  <si>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</si>
  <si>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</si>
  <si>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</si>
  <si>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</si>
  <si>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</si>
  <si>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</si>
  <si>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</si>
  <si>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</si>
  <si>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</si>
  <si>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</si>
  <si>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</si>
  <si>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</si>
  <si>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</si>
  <si>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</si>
  <si>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</si>
  <si>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</si>
  <si>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</si>
  <si>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</si>
  <si>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</si>
  <si>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</si>
  <si>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</si>
  <si>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</si>
  <si>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</si>
  <si>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</si>
  <si>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</si>
  <si>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</si>
  <si>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</si>
  <si>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</si>
  <si>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</si>
  <si>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</si>
  <si>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</si>
  <si>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</si>
  <si>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</si>
  <si>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</si>
  <si>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</si>
  <si>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</si>
  <si>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</si>
  <si>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</si>
  <si>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</si>
  <si>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</si>
  <si>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</si>
  <si>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</si>
  <si>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</si>
  <si>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</si>
  <si>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</si>
  <si>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</si>
  <si>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</si>
  <si>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</si>
  <si>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</si>
  <si>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</si>
  <si>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</si>
  <si>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</si>
  <si>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</si>
  <si>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</si>
  <si>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</si>
  <si>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</si>
  <si>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</si>
  <si>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</si>
  <si>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</si>
  <si>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</si>
  <si>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</si>
  <si>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</si>
  <si>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</si>
  <si>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</si>
  <si>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</si>
  <si>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</si>
  <si>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</si>
  <si>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</si>
  <si>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</si>
  <si>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</si>
  <si>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</si>
  <si>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</si>
  <si>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</si>
  <si>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</si>
  <si>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</si>
  <si>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</si>
  <si>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</si>
  <si>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</si>
  <si>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</si>
  <si>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</si>
  <si>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</si>
  <si>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</si>
  <si>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</si>
  <si>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</si>
  <si>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</si>
  <si>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</si>
  <si>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</si>
  <si>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</si>
  <si>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</si>
  <si>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</si>
  <si>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</si>
  <si>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</si>
  <si>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</si>
  <si>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</si>
  <si>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</si>
  <si>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</si>
  <si>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</si>
  <si>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</si>
  <si>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</si>
  <si>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</si>
  <si>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</si>
  <si>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</si>
  <si>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</si>
  <si>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</si>
  <si>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</si>
  <si>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</si>
  <si>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</si>
  <si>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</si>
  <si>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</si>
  <si>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</si>
  <si>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</si>
  <si>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</si>
  <si>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</si>
  <si>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</si>
  <si>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</si>
  <si>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</si>
  <si>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</si>
  <si>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</si>
  <si>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</si>
  <si>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</si>
  <si>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</si>
  <si>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</si>
  <si>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</si>
  <si>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</si>
  <si>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</si>
  <si>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</si>
  <si>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</si>
  <si>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</si>
  <si>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</si>
  <si>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</si>
  <si>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</si>
  <si>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</si>
  <si>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</si>
  <si>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</si>
  <si>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</si>
  <si>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</si>
  <si>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</si>
  <si>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</si>
  <si>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</si>
  <si>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</si>
  <si>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</si>
  <si>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</si>
  <si>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</si>
  <si>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</si>
  <si>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</si>
  <si>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</si>
  <si>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</si>
  <si>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</si>
  <si>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</si>
  <si>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</si>
  <si>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</si>
  <si>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</si>
  <si>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</si>
  <si>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</si>
  <si>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</si>
  <si>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</si>
  <si>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</si>
  <si>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</si>
  <si>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</si>
  <si>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</si>
  <si>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</si>
  <si>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</si>
  <si>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</si>
  <si>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</si>
  <si>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</si>
  <si>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</si>
  <si>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</si>
  <si>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</si>
  <si>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</si>
  <si>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</si>
  <si>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</si>
  <si>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</si>
  <si>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</si>
  <si>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</si>
  <si>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</si>
  <si>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</si>
  <si>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</si>
  <si>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</si>
  <si>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</si>
  <si>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</si>
  <si>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</si>
  <si>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</si>
  <si>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</si>
  <si>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</si>
  <si>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</si>
  <si>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</si>
  <si>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</si>
  <si>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</si>
  <si>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</si>
  <si>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</si>
  <si>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</si>
  <si>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</si>
  <si>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</si>
  <si>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</si>
  <si>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</si>
  <si>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</si>
  <si>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</si>
  <si>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</si>
  <si>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</si>
  <si>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</si>
  <si>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</si>
  <si>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</si>
  <si>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</si>
  <si>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</si>
  <si>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</si>
  <si>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</si>
  <si>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</si>
  <si>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</si>
  <si>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</si>
  <si>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</si>
  <si>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</si>
  <si>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</si>
  <si>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</si>
  <si>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</si>
  <si>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</si>
  <si>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</si>
  <si>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</si>
  <si>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</si>
  <si>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</si>
  <si>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</si>
  <si>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</si>
  <si>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</si>
  <si>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</si>
  <si>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</si>
  <si>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</si>
  <si>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</si>
  <si>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</si>
  <si>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</si>
  <si>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</si>
  <si>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</si>
  <si>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</si>
  <si>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</si>
  <si>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</si>
  <si>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</si>
  <si>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</si>
  <si>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</si>
  <si>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</si>
  <si>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</si>
  <si>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</si>
  <si>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</si>
  <si>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</si>
  <si>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</si>
  <si>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</si>
  <si>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</si>
  <si>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</si>
  <si>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</si>
  <si>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</si>
  <si>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</si>
  <si>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</si>
  <si>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</si>
  <si>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</si>
  <si>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</si>
  <si>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</si>
  <si>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</si>
  <si>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</si>
  <si>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</si>
  <si>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</si>
  <si>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</si>
  <si>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</si>
  <si>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</si>
  <si>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</si>
  <si>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</si>
  <si>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</si>
  <si>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</si>
  <si>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</si>
  <si>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</si>
  <si>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</si>
  <si>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</si>
  <si>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</si>
  <si>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</si>
  <si>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</si>
  <si>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</si>
  <si>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</si>
  <si>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</si>
  <si>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</si>
  <si>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</si>
  <si>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</si>
  <si>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</si>
  <si>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</si>
  <si>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</si>
  <si>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</si>
  <si>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</si>
  <si>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</si>
  <si>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</si>
  <si>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</si>
  <si>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</si>
  <si>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</si>
  <si>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</si>
  <si>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</si>
  <si>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</si>
  <si>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</si>
  <si>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</si>
  <si>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</si>
  <si>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</si>
  <si>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</si>
  <si>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</si>
  <si>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</si>
  <si>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</si>
  <si>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</si>
  <si>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</si>
  <si>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</si>
  <si>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</si>
  <si>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</si>
  <si>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</si>
  <si>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</si>
  <si>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</si>
  <si>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</si>
  <si>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</si>
  <si>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</si>
  <si>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</si>
  <si>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</si>
  <si>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</si>
  <si>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</si>
  <si>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</si>
  <si>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</si>
  <si>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</si>
  <si>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</si>
  <si>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</si>
  <si>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</si>
  <si>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</si>
  <si>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</si>
  <si>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</si>
  <si>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</si>
  <si>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</si>
  <si>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</si>
  <si>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</si>
  <si>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</si>
  <si>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</si>
  <si>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</si>
  <si>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</si>
  <si>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</si>
  <si>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</si>
  <si>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</si>
  <si>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</si>
  <si>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</si>
  <si>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</si>
  <si>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</si>
  <si>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</si>
  <si>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</si>
  <si>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</si>
  <si>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</si>
  <si>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</si>
  <si>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</si>
  <si>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</si>
  <si>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</si>
  <si>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</si>
  <si>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</si>
  <si>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</si>
  <si>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</si>
  <si>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</si>
  <si>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</si>
  <si>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</si>
  <si>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</si>
  <si>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</si>
  <si>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</si>
  <si>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</si>
  <si>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</si>
  <si>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</si>
  <si>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</si>
  <si>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</si>
  <si>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</si>
  <si>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</si>
  <si>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</si>
  <si>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</si>
  <si>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</si>
  <si>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</si>
  <si>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</si>
  <si>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</si>
  <si>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</si>
  <si>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</si>
  <si>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</si>
  <si>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</si>
  <si>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</si>
  <si>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</si>
  <si>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</si>
  <si>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</si>
  <si>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</si>
  <si>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</si>
  <si>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</si>
  <si>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</si>
  <si>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</si>
  <si>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</si>
  <si>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</si>
  <si>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</si>
  <si>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</si>
  <si>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</si>
  <si>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</si>
  <si>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</si>
  <si>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</si>
  <si>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</si>
  <si>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</si>
  <si>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</si>
  <si>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</si>
  <si>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</si>
  <si>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</si>
  <si>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</si>
  <si>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</si>
  <si>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</si>
  <si>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</si>
  <si>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</si>
  <si>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</si>
  <si>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</si>
  <si>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</si>
  <si>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</si>
  <si>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</si>
  <si>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</si>
  <si>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</si>
  <si>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</si>
  <si>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</si>
  <si>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</si>
  <si>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</si>
  <si>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</si>
  <si>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</si>
  <si>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</si>
  <si>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</si>
  <si>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</si>
  <si>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</si>
  <si>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</si>
  <si>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</si>
  <si>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</si>
  <si>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</si>
  <si>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</si>
  <si>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</si>
  <si>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</si>
  <si>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</si>
  <si>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</si>
  <si>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</si>
  <si>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</si>
  <si>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</si>
  <si>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</si>
  <si>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</si>
  <si>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</si>
  <si>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</si>
  <si>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</si>
  <si>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</si>
  <si>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</si>
  <si>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</si>
  <si>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</si>
  <si>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</si>
  <si>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</si>
  <si>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</si>
  <si>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</si>
  <si>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</si>
  <si>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</si>
  <si>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</si>
  <si>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</si>
  <si>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</si>
  <si>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</si>
  <si>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</si>
  <si>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</si>
  <si>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</si>
  <si>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</si>
  <si>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</si>
  <si>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</si>
  <si>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</si>
  <si>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</si>
  <si>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</si>
  <si>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</si>
  <si>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</si>
  <si>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</si>
  <si>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</si>
  <si>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</si>
  <si>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</si>
  <si>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</si>
  <si>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</si>
  <si>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</si>
  <si>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</si>
  <si>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</si>
  <si>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</si>
  <si>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</si>
  <si>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</si>
  <si>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</si>
  <si>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</si>
  <si>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</si>
  <si>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</si>
  <si>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</si>
  <si>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</si>
  <si>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</si>
  <si>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</si>
  <si>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</si>
  <si>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</si>
  <si>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</si>
  <si>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</si>
  <si>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</si>
  <si>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</si>
  <si>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</si>
  <si>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</si>
  <si>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</si>
  <si>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</si>
  <si>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</si>
  <si>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</si>
  <si>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</si>
  <si>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</si>
  <si>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</si>
  <si>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</si>
  <si>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</si>
  <si>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</si>
  <si>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</si>
  <si>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</si>
  <si>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</si>
  <si>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</si>
  <si>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</si>
  <si>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</si>
  <si>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</si>
  <si>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</si>
  <si>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</si>
  <si>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</si>
  <si>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</si>
  <si>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</si>
  <si>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</si>
  <si>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</si>
  <si>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</si>
  <si>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</si>
  <si>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</si>
  <si>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</si>
  <si>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</si>
  <si>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</si>
  <si>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</si>
  <si>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</si>
  <si>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</si>
  <si>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</si>
  <si>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</si>
  <si>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</si>
  <si>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</si>
  <si>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</si>
  <si>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</si>
  <si>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</si>
  <si>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</si>
  <si>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</si>
  <si>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</si>
  <si>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</si>
  <si>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</si>
  <si>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</si>
  <si>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</si>
  <si>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</si>
  <si>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</si>
  <si>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</si>
  <si>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</si>
  <si>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</si>
  <si>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</si>
  <si>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</si>
  <si>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</si>
  <si>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</si>
  <si>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</si>
  <si>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</si>
  <si>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</si>
  <si>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</si>
  <si>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</si>
  <si>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</si>
  <si>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</si>
  <si>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</si>
  <si>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</si>
  <si>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</si>
  <si>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</si>
  <si>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</si>
  <si>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</si>
  <si>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</si>
  <si>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</si>
  <si>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</si>
  <si>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</si>
  <si>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</si>
  <si>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</si>
  <si>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</si>
  <si>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</si>
  <si>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</si>
  <si>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</si>
  <si>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</si>
  <si>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</si>
  <si>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</si>
  <si>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</si>
  <si>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</si>
  <si>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</si>
  <si>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</si>
  <si>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</si>
  <si>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</si>
  <si>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</si>
  <si>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</si>
  <si>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</si>
  <si>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</si>
  <si>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</si>
  <si>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</si>
  <si>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</si>
  <si>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</si>
  <si>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</si>
  <si>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</si>
  <si>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</si>
  <si>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</si>
  <si>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</si>
  <si>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</si>
  <si>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</si>
  <si>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</si>
  <si>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</si>
  <si>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</si>
  <si>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</si>
  <si>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</si>
  <si>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</si>
  <si>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</si>
  <si>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</si>
  <si>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</si>
  <si>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</si>
  <si>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</si>
  <si>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</si>
  <si>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</si>
  <si>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</si>
  <si>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</si>
  <si>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</si>
  <si>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</si>
  <si>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</si>
  <si>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</si>
  <si>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</si>
  <si>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</si>
  <si>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</si>
  <si>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</si>
  <si>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</si>
  <si>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</si>
  <si>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</si>
  <si>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</si>
  <si>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</si>
  <si>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</si>
  <si>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</si>
  <si>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</si>
  <si>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</si>
  <si>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</si>
  <si>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</si>
  <si>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</si>
  <si>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</si>
  <si>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</si>
  <si>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</si>
  <si>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</si>
  <si>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</si>
  <si>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</si>
  <si>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</si>
  <si>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</si>
  <si>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</si>
  <si>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</si>
  <si>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</si>
  <si>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</si>
  <si>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</si>
  <si>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</si>
  <si>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</si>
  <si>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</si>
  <si>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</si>
  <si>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</si>
  <si>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</si>
  <si>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</si>
  <si>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</si>
  <si>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</si>
  <si>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</si>
  <si>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</si>
  <si>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</si>
  <si>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</si>
  <si>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</si>
  <si>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</si>
  <si>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</si>
  <si>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</si>
  <si>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</si>
  <si>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</si>
  <si>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</si>
  <si>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</si>
  <si>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</si>
  <si>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</si>
  <si>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</si>
  <si>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</si>
  <si>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</si>
  <si>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</si>
  <si>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</si>
  <si>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</si>
  <si>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</si>
  <si>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</si>
  <si>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</si>
  <si>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</si>
  <si>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</si>
  <si>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</si>
  <si>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</si>
  <si>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</si>
  <si>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</si>
  <si>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</si>
  <si>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</si>
  <si>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</si>
  <si>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</si>
  <si>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</si>
  <si>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</si>
  <si>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</si>
  <si>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</si>
  <si>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</si>
  <si>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</si>
  <si>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</si>
  <si>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</si>
  <si>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</si>
  <si>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</si>
  <si>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</si>
  <si>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</si>
  <si>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</si>
  <si>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</si>
  <si>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</si>
  <si>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</si>
  <si>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</si>
  <si>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</si>
  <si>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</si>
  <si>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</si>
  <si>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</si>
  <si>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</si>
  <si>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</si>
  <si>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</si>
  <si>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</si>
  <si>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</si>
  <si>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</si>
  <si>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</si>
  <si>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</si>
  <si>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</si>
  <si>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</si>
  <si>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</si>
  <si>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</si>
  <si>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</si>
  <si>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</si>
  <si>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</si>
  <si>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</si>
  <si>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</si>
  <si>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</si>
  <si>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</si>
  <si>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</si>
  <si>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</si>
  <si>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</si>
  <si>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</si>
  <si>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</si>
  <si>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</si>
  <si>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</si>
  <si>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</si>
  <si>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</si>
  <si>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</si>
  <si>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</si>
  <si>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</si>
  <si>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</si>
  <si>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</si>
  <si>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</si>
  <si>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</si>
  <si>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</si>
  <si>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</si>
  <si>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</si>
  <si>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</si>
  <si>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</si>
  <si>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</si>
  <si>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</si>
  <si>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</si>
  <si>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</si>
  <si>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</si>
  <si>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</si>
  <si>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</si>
  <si>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</si>
  <si>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</si>
  <si>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</si>
  <si>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</si>
  <si>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</si>
  <si>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</si>
  <si>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</si>
  <si>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</si>
  <si>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</si>
  <si>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</si>
  <si>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</si>
  <si>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</si>
  <si>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</si>
  <si>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</si>
  <si>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</si>
  <si>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</si>
  <si>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</si>
  <si>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</si>
  <si>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</si>
  <si>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</si>
  <si>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</si>
  <si>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</si>
  <si>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</si>
  <si>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</si>
  <si>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</si>
  <si>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</si>
  <si>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</si>
  <si>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</si>
  <si>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</si>
  <si>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</si>
  <si>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</si>
  <si>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</si>
  <si>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</si>
  <si>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</si>
  <si>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</si>
  <si>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</si>
  <si>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</si>
  <si>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</si>
  <si>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</si>
  <si>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</si>
  <si>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</si>
  <si>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</si>
  <si>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</si>
  <si>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</si>
  <si>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</si>
  <si>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</si>
  <si>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</si>
  <si>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</si>
  <si>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</si>
  <si>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</si>
  <si>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</si>
  <si>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</si>
  <si>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</si>
  <si>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</si>
  <si>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</si>
  <si>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</si>
  <si>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</si>
  <si>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</si>
  <si>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</si>
  <si>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</si>
  <si>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</si>
  <si>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</si>
  <si>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</si>
  <si>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</si>
  <si>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</si>
  <si>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</si>
  <si>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</si>
  <si>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</si>
  <si>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</si>
  <si>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</si>
  <si>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</si>
  <si>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</si>
  <si>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</si>
  <si>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</si>
  <si>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</si>
  <si>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</si>
  <si>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</si>
  <si>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</si>
  <si>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</si>
  <si>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</si>
  <si>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</si>
  <si>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</si>
  <si>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</si>
  <si>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</si>
  <si>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</si>
  <si>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</si>
  <si>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</si>
  <si>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</si>
  <si>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</si>
  <si>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</si>
  <si>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</si>
  <si>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</si>
  <si>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</si>
  <si>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</si>
  <si>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</si>
  <si>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</si>
  <si>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</si>
  <si>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</si>
  <si>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</si>
  <si>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</si>
  <si>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</si>
  <si>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</si>
  <si>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</si>
  <si>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</si>
  <si>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</si>
  <si>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</si>
  <si>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</si>
  <si>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</si>
  <si>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</si>
  <si>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</si>
  <si>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</si>
  <si>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</si>
  <si>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</si>
  <si>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</si>
  <si>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</si>
  <si>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</si>
  <si>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</si>
  <si>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</si>
  <si>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</si>
  <si>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</si>
  <si>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</si>
  <si>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</si>
  <si>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</si>
  <si>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</si>
  <si>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</si>
  <si>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</si>
  <si>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</si>
  <si>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</si>
  <si>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</si>
  <si>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</si>
  <si>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</si>
  <si>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</si>
  <si>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</si>
  <si>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</si>
  <si>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</si>
  <si>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</si>
  <si>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</si>
  <si>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</si>
  <si>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</si>
  <si>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</si>
  <si>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</si>
  <si>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</si>
  <si>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</si>
  <si>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</si>
  <si>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</si>
  <si>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</si>
  <si>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</si>
  <si>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</si>
  <si>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</si>
  <si>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</si>
  <si>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</si>
  <si>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</si>
  <si>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</si>
  <si>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</si>
  <si>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</si>
  <si>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</si>
  <si>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</si>
  <si>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</si>
  <si>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</si>
  <si>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</si>
  <si>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</si>
  <si>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</si>
  <si>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</si>
  <si>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</si>
  <si>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</si>
  <si>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</si>
  <si>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</si>
  <si>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</si>
  <si>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</si>
  <si>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</si>
  <si>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</si>
  <si>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</si>
  <si>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</si>
  <si>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</si>
  <si>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</si>
  <si>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</si>
  <si>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</si>
  <si>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</si>
  <si>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</si>
  <si>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</si>
  <si>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</si>
  <si>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</si>
  <si>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</si>
  <si>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</si>
  <si>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</si>
  <si>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</si>
  <si>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</si>
  <si>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</si>
  <si>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</si>
  <si>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</si>
  <si>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</si>
  <si>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</si>
  <si>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</si>
  <si>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</si>
  <si>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</si>
  <si>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</si>
  <si>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</si>
  <si>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</si>
  <si>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</si>
  <si>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</si>
  <si>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</si>
  <si>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</si>
  <si>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</si>
  <si>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</si>
  <si>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</si>
  <si>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</si>
  <si>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</si>
  <si>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</si>
  <si>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</si>
  <si>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</si>
  <si>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</si>
  <si>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</si>
  <si>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</si>
  <si>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</si>
  <si>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</si>
  <si>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</si>
  <si>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</si>
  <si>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</si>
  <si>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</si>
  <si>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</si>
  <si>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</si>
  <si>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</si>
  <si>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</si>
  <si>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</si>
  <si>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</si>
  <si>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</si>
  <si>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</si>
  <si>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</si>
  <si>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</si>
  <si>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</si>
  <si>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</si>
  <si>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</si>
  <si>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</si>
  <si>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</si>
  <si>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</si>
  <si>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</si>
  <si>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</si>
  <si>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</si>
  <si>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</si>
  <si>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</si>
  <si>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</si>
  <si>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</si>
  <si>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</si>
  <si>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</si>
  <si>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</si>
  <si>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</si>
  <si>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</si>
  <si>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</si>
  <si>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</si>
  <si>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</si>
  <si>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</si>
  <si>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</si>
  <si>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</si>
  <si>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</si>
  <si>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</si>
  <si>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</si>
  <si>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</si>
  <si>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</si>
  <si>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</si>
  <si>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</si>
  <si>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</si>
  <si>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</si>
  <si>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</si>
  <si>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</si>
  <si>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</si>
  <si>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</si>
  <si>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</si>
  <si>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</si>
  <si>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</si>
  <si>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</si>
  <si>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</si>
  <si>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</si>
  <si>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</si>
  <si>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</si>
  <si>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</si>
  <si>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</si>
  <si>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</si>
  <si>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</si>
  <si>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</si>
  <si>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</si>
  <si>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</si>
  <si>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</si>
  <si>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</si>
  <si>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</si>
  <si>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</si>
  <si>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</si>
  <si>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</si>
  <si>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</si>
  <si>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</si>
  <si>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</si>
  <si>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</si>
  <si>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</si>
  <si>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</si>
  <si>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</si>
  <si>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</si>
  <si>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</si>
  <si>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</si>
  <si>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</si>
  <si>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</si>
  <si>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</si>
  <si>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</si>
  <si>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</si>
  <si>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</si>
  <si>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</si>
  <si>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</si>
  <si>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</si>
  <si>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</si>
  <si>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</si>
  <si>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</si>
  <si>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</si>
  <si>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</si>
  <si>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</si>
  <si>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</si>
  <si>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</si>
  <si>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</si>
  <si>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</si>
  <si>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</si>
  <si>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</si>
  <si>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</si>
  <si>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</si>
  <si>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</si>
  <si>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</si>
  <si>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</si>
  <si>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</si>
  <si>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</si>
  <si>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</si>
  <si>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</si>
  <si>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</si>
  <si>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</si>
  <si>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</si>
  <si>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</si>
  <si>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</si>
  <si>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</si>
  <si>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</si>
  <si>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</si>
  <si>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</si>
  <si>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</si>
  <si>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</si>
  <si>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</si>
  <si>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</si>
  <si>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</si>
  <si>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</si>
  <si>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</si>
  <si>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</si>
  <si>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</si>
  <si>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</si>
  <si>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</si>
  <si>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</si>
  <si>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</si>
  <si>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</si>
  <si>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</si>
  <si>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</si>
  <si>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</si>
  <si>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</si>
  <si>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</si>
  <si>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</si>
  <si>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</si>
  <si>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</si>
  <si>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</si>
  <si>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</si>
  <si>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</si>
  <si>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</si>
  <si>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</si>
  <si>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</si>
  <si>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</si>
  <si>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</si>
  <si>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</si>
  <si>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</si>
  <si>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</si>
  <si>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</si>
  <si>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</si>
  <si>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</si>
  <si>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</si>
  <si>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</si>
  <si>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</si>
  <si>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</si>
  <si>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</si>
  <si>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</si>
  <si>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</si>
  <si>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</si>
  <si>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</si>
  <si>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</si>
  <si>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</si>
  <si>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</si>
  <si>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</si>
  <si>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</si>
  <si>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</si>
  <si>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</si>
  <si>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</si>
  <si>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</si>
  <si>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</si>
  <si>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</si>
  <si>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</si>
  <si>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</si>
  <si>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</si>
  <si>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</si>
  <si>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</si>
  <si>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</si>
  <si>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</si>
  <si>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</si>
  <si>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</si>
  <si>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</si>
  <si>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</si>
  <si>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</si>
  <si>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</si>
  <si>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</si>
  <si>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</si>
  <si>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</si>
  <si>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</si>
  <si>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</si>
  <si>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</si>
  <si>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</si>
  <si>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</si>
  <si>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</si>
  <si>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</si>
  <si>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</si>
  <si>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</si>
  <si>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</si>
  <si>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</si>
  <si>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</si>
  <si>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</si>
  <si>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</si>
  <si>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</si>
  <si>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</si>
  <si>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</si>
  <si>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</si>
  <si>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</si>
  <si>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</si>
  <si>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</si>
  <si>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</si>
  <si>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</si>
  <si>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</si>
  <si>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</si>
  <si>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</si>
  <si>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</si>
  <si>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</si>
  <si>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</si>
  <si>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</si>
  <si>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</si>
  <si>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</si>
  <si>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</si>
  <si>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</si>
  <si>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</si>
  <si>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</si>
  <si>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</si>
  <si>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</si>
  <si>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</si>
  <si>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</si>
  <si>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</si>
  <si>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</si>
  <si>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</si>
  <si>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</si>
  <si>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</si>
  <si>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</si>
  <si>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</si>
  <si>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</si>
  <si>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</si>
  <si>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</si>
  <si>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</si>
  <si>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</si>
  <si>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</si>
  <si>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</si>
  <si>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</si>
  <si>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</si>
  <si>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</si>
  <si>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</si>
  <si>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</si>
  <si>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</si>
  <si>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</si>
  <si>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</si>
  <si>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</si>
  <si>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</si>
  <si>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</si>
  <si>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</si>
  <si>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</si>
  <si>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</si>
  <si>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</si>
  <si>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</si>
  <si>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</si>
  <si>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</si>
  <si>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</si>
  <si>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</si>
  <si>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</si>
  <si>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</si>
  <si>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</si>
  <si>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</si>
  <si>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</si>
  <si>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</si>
  <si>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</si>
  <si>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</si>
  <si>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</si>
  <si>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</si>
  <si>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</si>
  <si>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</si>
  <si>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</si>
  <si>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</si>
  <si>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</si>
  <si>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</si>
  <si>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</si>
  <si>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</si>
  <si>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</si>
  <si>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</si>
  <si>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</si>
  <si>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</si>
  <si>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</si>
  <si>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</si>
  <si>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</si>
  <si>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</si>
  <si>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</si>
  <si>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</si>
  <si>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</si>
  <si>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</si>
  <si>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</si>
  <si>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</si>
  <si>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</si>
  <si>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</si>
  <si>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</si>
  <si>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</si>
  <si>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</si>
  <si>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</si>
  <si>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</si>
  <si>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</si>
  <si>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</si>
  <si>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</si>
  <si>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</si>
  <si>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</si>
  <si>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</si>
  <si>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</si>
  <si>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</si>
  <si>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</si>
  <si>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</si>
  <si>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</si>
  <si>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</si>
  <si>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</si>
  <si>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</si>
  <si>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</si>
  <si>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</si>
  <si>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</si>
  <si>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</si>
  <si>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</si>
  <si>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</si>
  <si>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</si>
  <si>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</si>
  <si>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</si>
  <si>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</si>
  <si>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</si>
  <si>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</si>
  <si>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</si>
  <si>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</si>
  <si>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</si>
  <si>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</si>
  <si>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</si>
  <si>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</si>
  <si>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</si>
  <si>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</si>
  <si>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</si>
  <si>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</si>
  <si>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</si>
  <si>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</si>
  <si>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</si>
  <si>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</si>
  <si>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</si>
  <si>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</si>
  <si>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</si>
  <si>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</si>
  <si>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</si>
  <si>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</si>
  <si>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</si>
  <si>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</si>
  <si>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</si>
  <si>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</si>
  <si>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</si>
  <si>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</si>
  <si>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</si>
  <si>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</si>
  <si>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</si>
  <si>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</si>
  <si>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</si>
  <si>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</si>
  <si>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</si>
  <si>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</si>
  <si>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</si>
  <si>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</si>
  <si>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</si>
  <si>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</si>
  <si>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</si>
  <si>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</si>
  <si>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</si>
  <si>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</si>
  <si>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</si>
  <si>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</si>
  <si>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</si>
  <si>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</si>
  <si>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</si>
  <si>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</si>
  <si>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</si>
  <si>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</si>
  <si>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</si>
  <si>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</si>
  <si>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</si>
  <si>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</si>
  <si>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</si>
  <si>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</si>
  <si>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</si>
  <si>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</si>
  <si>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</si>
  <si>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</si>
  <si>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</si>
  <si>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</si>
  <si>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</si>
  <si>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</si>
  <si>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</si>
  <si>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</si>
  <si>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</si>
  <si>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</si>
  <si>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</si>
  <si>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</si>
  <si>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</si>
  <si>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</si>
  <si>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</si>
  <si>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</si>
  <si>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</si>
  <si>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</si>
  <si>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</si>
  <si>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</si>
  <si>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</si>
  <si>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</si>
  <si>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</si>
  <si>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</si>
  <si>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</si>
  <si>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</si>
  <si>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</si>
  <si>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</si>
  <si>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</si>
  <si>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</si>
  <si>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</si>
  <si>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</si>
  <si>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</si>
  <si>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</si>
  <si>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</si>
  <si>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</si>
  <si>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</si>
  <si>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</si>
  <si>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</si>
  <si>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</si>
  <si>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</si>
  <si>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</si>
  <si>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</si>
  <si>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</si>
  <si>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</si>
  <si>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</si>
  <si>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</si>
  <si>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</si>
  <si>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</si>
  <si>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</si>
  <si>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</si>
  <si>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</si>
  <si>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</si>
  <si>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</si>
  <si>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</si>
  <si>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</si>
  <si>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</si>
  <si>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</si>
  <si>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</si>
  <si>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</si>
  <si>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</si>
  <si>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</si>
  <si>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</si>
  <si>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</si>
  <si>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</si>
  <si>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</si>
  <si>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</si>
  <si>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</si>
  <si>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</si>
  <si>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</si>
  <si>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</si>
  <si>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</si>
  <si>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</si>
  <si>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</si>
  <si>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</si>
  <si>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</si>
  <si>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</si>
  <si>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</si>
  <si>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</si>
  <si>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</si>
  <si>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</si>
  <si>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</si>
  <si>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</si>
  <si>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</si>
  <si>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</si>
  <si>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</si>
  <si>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</si>
  <si>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</si>
  <si>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</si>
  <si>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</si>
  <si>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</si>
  <si>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</si>
  <si>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</si>
  <si>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</si>
  <si>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</si>
  <si>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</si>
  <si>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</si>
  <si>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</si>
  <si>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</si>
  <si>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</si>
  <si>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</si>
  <si>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</si>
  <si>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</si>
  <si>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</si>
  <si>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</si>
  <si>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</si>
  <si>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</si>
  <si>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</si>
  <si>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</si>
  <si>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</si>
  <si>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</si>
  <si>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</si>
  <si>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</si>
  <si>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</si>
  <si>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</si>
  <si>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</si>
  <si>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</si>
  <si>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</si>
  <si>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</si>
  <si>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</si>
  <si>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</si>
  <si>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</si>
  <si>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</si>
  <si>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</si>
  <si>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</si>
  <si>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</si>
  <si>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</si>
  <si>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</si>
  <si>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</si>
  <si>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</si>
  <si>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</si>
  <si>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</si>
  <si>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</si>
  <si>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</si>
  <si>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</si>
  <si>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</si>
  <si>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</si>
  <si>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</si>
  <si>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</si>
  <si>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</si>
  <si>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</si>
  <si>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</si>
  <si>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</si>
  <si>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</si>
  <si>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</si>
  <si>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</si>
  <si>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</si>
  <si>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</si>
  <si>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</si>
  <si>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</si>
  <si>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</si>
  <si>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</si>
  <si>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</si>
  <si>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</si>
  <si>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</si>
  <si>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</si>
  <si>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</si>
  <si>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</si>
  <si>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</si>
  <si>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</si>
  <si>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</si>
  <si>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</si>
  <si>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</si>
  <si>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</si>
  <si>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</si>
  <si>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</si>
  <si>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</si>
  <si>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</si>
  <si>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</si>
  <si>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</si>
  <si>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</si>
  <si>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</si>
  <si>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</si>
  <si>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</si>
  <si>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</si>
  <si>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</si>
  <si>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</si>
  <si>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</si>
  <si>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</si>
  <si>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</si>
  <si>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</si>
  <si>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</si>
  <si>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</si>
  <si>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</si>
  <si>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</si>
  <si>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</si>
  <si>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</si>
  <si>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</si>
  <si>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</si>
  <si>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</si>
  <si>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</si>
  <si>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</si>
  <si>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</si>
  <si>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</si>
  <si>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</si>
  <si>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</si>
  <si>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</si>
  <si>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</si>
  <si>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</si>
  <si>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</si>
  <si>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</si>
  <si>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</si>
  <si>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</si>
  <si>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</si>
  <si>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</si>
  <si>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</si>
  <si>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</si>
  <si>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</si>
  <si>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</si>
  <si>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</si>
  <si>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</si>
  <si>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</si>
  <si>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</si>
  <si>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</si>
  <si>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</si>
  <si>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</si>
  <si>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</si>
  <si>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</si>
  <si>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</si>
  <si>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</si>
  <si>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</si>
  <si>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</si>
  <si>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</si>
  <si>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</si>
  <si>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</si>
  <si>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</si>
  <si>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</si>
  <si>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</si>
  <si>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</si>
  <si>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</si>
  <si>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</si>
  <si>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</si>
  <si>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</si>
  <si>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</si>
  <si>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</si>
  <si>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</si>
  <si>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</si>
  <si>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</si>
  <si>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</si>
  <si>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</si>
  <si>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</si>
  <si>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</si>
  <si>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</si>
  <si>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</si>
  <si>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</si>
  <si>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</si>
  <si>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</si>
  <si>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</si>
  <si>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</si>
  <si>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</si>
  <si>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</si>
  <si>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</si>
  <si>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</si>
  <si>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</si>
  <si>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</si>
  <si>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</si>
  <si>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</si>
  <si>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</si>
  <si>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</si>
  <si>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</si>
  <si>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</si>
  <si>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</si>
  <si>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</si>
  <si>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</si>
  <si>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</si>
  <si>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</si>
  <si>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</si>
  <si>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</si>
  <si>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</si>
  <si>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</si>
  <si>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</si>
  <si>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</si>
  <si>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</si>
  <si>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</si>
  <si>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</si>
  <si>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</si>
  <si>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</si>
  <si>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</si>
  <si>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</si>
  <si>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</si>
  <si>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</si>
  <si>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</si>
  <si>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</si>
  <si>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</si>
  <si>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</si>
  <si>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</si>
  <si>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</si>
  <si>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</si>
  <si>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</si>
  <si>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</si>
  <si>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</si>
  <si>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</si>
  <si>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</si>
  <si>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</si>
  <si>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</si>
  <si>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</si>
  <si>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</si>
  <si>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</si>
  <si>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</si>
  <si>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</si>
  <si>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</si>
  <si>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</si>
  <si>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</si>
  <si>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</si>
  <si>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</si>
  <si>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</si>
  <si>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</si>
  <si>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</si>
  <si>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</si>
  <si>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</si>
  <si>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</si>
  <si>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</si>
  <si>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</si>
  <si>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</si>
  <si>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</si>
  <si>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</si>
  <si>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</si>
  <si>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</si>
  <si>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</si>
  <si>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</si>
  <si>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</si>
  <si>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</si>
  <si>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</si>
  <si>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</si>
  <si>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</si>
  <si>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</si>
  <si>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</si>
  <si>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</si>
  <si>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</si>
  <si>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</si>
  <si>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</si>
  <si>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</si>
  <si>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</si>
  <si>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</si>
  <si>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</si>
  <si>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</si>
  <si>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</si>
  <si>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</si>
  <si>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</si>
  <si>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</si>
  <si>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</si>
  <si>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</si>
  <si>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</si>
  <si>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</si>
  <si>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</si>
  <si>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</si>
  <si>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</si>
  <si>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</si>
  <si>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</si>
  <si>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</si>
  <si>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</si>
  <si>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</si>
  <si>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</si>
  <si>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</si>
  <si>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</si>
  <si>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</si>
  <si>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</si>
  <si>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</si>
  <si>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</si>
  <si>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</si>
  <si>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</si>
  <si>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</si>
  <si>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</si>
  <si>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</si>
  <si>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</si>
  <si>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</si>
  <si>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</si>
  <si>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</si>
  <si>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</si>
  <si>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</si>
  <si>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</si>
  <si>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</si>
  <si>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</si>
  <si>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</si>
  <si>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</si>
  <si>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</si>
  <si>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</si>
  <si>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</si>
  <si>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</si>
  <si>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</si>
  <si>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</si>
  <si>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</si>
  <si>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</si>
  <si>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</si>
  <si>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</si>
  <si>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</si>
  <si>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</si>
  <si>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</si>
  <si>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</si>
  <si>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</si>
  <si>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</si>
  <si>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</si>
  <si>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</si>
  <si>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</si>
  <si>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</si>
  <si>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</si>
  <si>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</si>
  <si>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</si>
  <si>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</si>
  <si>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</si>
  <si>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</si>
  <si>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</si>
  <si>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</si>
  <si>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</si>
  <si>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</si>
  <si>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</si>
  <si>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</si>
  <si>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</si>
  <si>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</si>
  <si>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</si>
  <si>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</si>
  <si>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</si>
  <si>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</si>
  <si>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</si>
  <si>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</si>
  <si>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</si>
  <si>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</si>
  <si>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</si>
  <si>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</si>
  <si>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</si>
  <si>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</si>
  <si>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</si>
  <si>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</si>
  <si>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</si>
  <si>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</si>
  <si>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</si>
  <si>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</si>
  <si>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</si>
  <si>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</si>
  <si>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</si>
  <si>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</si>
  <si>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</si>
  <si>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</si>
  <si>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</si>
  <si>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</si>
  <si>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</si>
  <si>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</si>
  <si>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</si>
  <si>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</si>
  <si>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</si>
  <si>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</si>
  <si>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</si>
  <si>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</si>
  <si>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</si>
  <si>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</si>
  <si>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</si>
  <si>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</si>
  <si>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</si>
  <si>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</si>
  <si>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</si>
  <si>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</si>
  <si>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</si>
  <si>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</si>
  <si>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</si>
  <si>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</si>
  <si>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</si>
  <si>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</si>
  <si>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</si>
  <si>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</si>
  <si>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</si>
  <si>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</si>
  <si>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</si>
  <si>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</si>
  <si>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</si>
  <si>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</si>
  <si>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</si>
  <si>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</si>
  <si>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</si>
  <si>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</si>
  <si>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</si>
  <si>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</si>
  <si>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</si>
  <si>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</si>
  <si>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</si>
  <si>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</si>
  <si>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</si>
  <si>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</si>
  <si>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</si>
  <si>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</si>
  <si>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</si>
  <si>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</si>
  <si>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</si>
  <si>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</si>
  <si>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</si>
  <si>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</si>
  <si>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</si>
  <si>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</si>
  <si>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</si>
  <si>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</si>
  <si>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</si>
  <si>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</si>
  <si>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</si>
  <si>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</si>
  <si>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</si>
  <si>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</si>
  <si>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</si>
  <si>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</si>
  <si>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</si>
  <si>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</si>
  <si>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</si>
  <si>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</si>
  <si>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</si>
  <si>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</si>
  <si>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</si>
  <si>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</si>
  <si>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</si>
  <si>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</si>
  <si>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</si>
  <si>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</si>
  <si>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</si>
  <si>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</si>
  <si>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</si>
  <si>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</si>
  <si>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</si>
  <si>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</si>
  <si>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</si>
  <si>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</si>
  <si>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</si>
  <si>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</si>
  <si>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</si>
  <si>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</si>
  <si>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</si>
  <si>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</si>
  <si>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</si>
  <si>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</si>
  <si>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</si>
  <si>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</si>
  <si>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</si>
  <si>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</si>
  <si>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</si>
  <si>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</si>
  <si>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</si>
  <si>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</si>
  <si>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</si>
  <si>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</si>
  <si>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</si>
  <si>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</si>
  <si>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</si>
  <si>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</si>
  <si>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</si>
  <si>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</si>
  <si>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</si>
  <si>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</si>
  <si>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</si>
  <si>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</si>
  <si>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</si>
  <si>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</si>
  <si>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</si>
  <si>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</si>
  <si>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</si>
  <si>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</si>
  <si>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</si>
  <si>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</si>
  <si>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</si>
  <si>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</si>
  <si>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</si>
  <si>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</si>
  <si>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</si>
  <si>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</si>
  <si>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</si>
  <si>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</si>
  <si>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</si>
  <si>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</si>
  <si>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</si>
  <si>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</si>
  <si>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</si>
  <si>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</si>
  <si>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</si>
  <si>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</si>
  <si>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</si>
  <si>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</si>
  <si>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</si>
  <si>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</si>
  <si>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</si>
  <si>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</si>
  <si>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</si>
  <si>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</si>
  <si>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</si>
  <si>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</si>
  <si>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</si>
  <si>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</si>
  <si>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</si>
  <si>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</si>
  <si>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</si>
  <si>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</si>
  <si>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</si>
  <si>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</si>
  <si>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</si>
  <si>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</si>
  <si>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</si>
  <si>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</si>
  <si>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</si>
  <si>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</si>
  <si>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</si>
  <si>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</si>
  <si>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</si>
  <si>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</si>
  <si>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</si>
  <si>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</si>
  <si>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</si>
  <si>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</si>
  <si>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</si>
  <si>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</si>
  <si>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</si>
  <si>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</si>
  <si>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</si>
  <si>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</si>
  <si>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</si>
  <si>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</si>
  <si>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</si>
  <si>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</si>
  <si>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</si>
  <si>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</si>
  <si>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</si>
  <si>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</si>
  <si>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</si>
  <si>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</si>
  <si>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</si>
  <si>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</si>
  <si>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</si>
  <si>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</si>
  <si>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</si>
  <si>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</si>
  <si>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</si>
  <si>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</si>
  <si>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</si>
  <si>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</si>
  <si>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</si>
  <si>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</si>
  <si>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</si>
  <si>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</si>
  <si>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</si>
  <si>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</si>
  <si>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</si>
  <si>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</si>
  <si>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</si>
  <si>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</si>
  <si>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</si>
  <si>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</si>
  <si>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</si>
  <si>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</si>
  <si>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</si>
  <si>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</si>
  <si>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</si>
  <si>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</si>
  <si>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</si>
  <si>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</si>
  <si>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</si>
  <si>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</si>
  <si>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</si>
  <si>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</si>
  <si>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</si>
  <si>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</si>
  <si>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</si>
  <si>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</si>
  <si>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</si>
  <si>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</si>
  <si>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</si>
  <si>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</si>
  <si>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</si>
  <si>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</si>
  <si>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</si>
  <si>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</si>
  <si>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</si>
  <si>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</si>
  <si>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</si>
  <si>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</si>
  <si>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</si>
  <si>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</si>
  <si>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</si>
  <si>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</si>
  <si>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</si>
  <si>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</si>
  <si>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</si>
  <si>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</si>
  <si>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</si>
  <si>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</si>
  <si>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</si>
  <si>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</si>
  <si>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</si>
  <si>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</si>
  <si>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</si>
  <si>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</si>
  <si>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</si>
  <si>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</si>
  <si>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</si>
  <si>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</si>
  <si>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</si>
  <si>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</si>
  <si>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</si>
  <si>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</si>
  <si>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</si>
  <si>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</si>
  <si>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</si>
  <si>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</si>
  <si>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</si>
  <si>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</si>
  <si>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</si>
  <si>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</si>
  <si>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</si>
  <si>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</si>
  <si>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</si>
  <si>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</si>
  <si>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</si>
  <si>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</si>
  <si>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</si>
  <si>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</si>
  <si>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</si>
  <si>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</si>
  <si>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</si>
  <si>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</si>
  <si>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</si>
  <si>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</si>
  <si>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</si>
  <si>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</si>
  <si>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</si>
  <si>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</si>
  <si>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</si>
  <si>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</si>
  <si>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</si>
  <si>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</si>
  <si>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</si>
  <si>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</si>
  <si>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</si>
  <si>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</si>
  <si>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</si>
  <si>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</si>
  <si>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</si>
  <si>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</si>
  <si>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</si>
  <si>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</si>
  <si>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</si>
  <si>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</si>
  <si>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</si>
  <si>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</si>
  <si>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</si>
  <si>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</si>
  <si>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</si>
  <si>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</si>
  <si>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</si>
  <si>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</si>
  <si>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</si>
  <si>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</si>
  <si>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</si>
  <si>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</si>
  <si>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</si>
  <si>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</si>
  <si>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</si>
  <si>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</si>
  <si>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</si>
  <si>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</si>
  <si>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</si>
  <si>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</si>
  <si>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</si>
  <si>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</si>
  <si>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</si>
  <si>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</si>
  <si>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</si>
  <si>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</si>
  <si>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</si>
  <si>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</si>
  <si>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</si>
  <si>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</si>
  <si>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</si>
  <si>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</si>
  <si>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</si>
  <si>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</si>
  <si>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</si>
  <si>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</si>
  <si>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</si>
  <si>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</si>
  <si>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</si>
  <si>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</si>
  <si>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</si>
  <si>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</si>
  <si>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</si>
  <si>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</si>
  <si>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</si>
  <si>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</si>
  <si>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</si>
  <si>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</si>
  <si>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</si>
  <si>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</si>
  <si>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</si>
  <si>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</si>
  <si>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</si>
  <si>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</si>
  <si>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</si>
  <si>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</si>
  <si>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</si>
  <si>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</si>
  <si>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</si>
  <si>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</si>
  <si>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</si>
  <si>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</si>
  <si>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</si>
  <si>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</si>
  <si>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</si>
  <si>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</si>
  <si>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</si>
  <si>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</si>
  <si>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</si>
  <si>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</si>
  <si>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</si>
  <si>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</si>
  <si>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</si>
  <si>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</si>
  <si>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</si>
  <si>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</si>
  <si>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</si>
  <si>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</si>
  <si>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</si>
  <si>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</si>
  <si>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</si>
  <si>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</si>
  <si>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</si>
  <si>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</si>
  <si>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</si>
  <si>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</si>
  <si>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</si>
  <si>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</si>
  <si>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</si>
  <si>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</si>
  <si>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</si>
  <si>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</si>
  <si>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</si>
  <si>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</si>
  <si>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</si>
  <si>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</si>
  <si>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</si>
  <si>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</si>
  <si>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</si>
  <si>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</si>
  <si>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</si>
  <si>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</si>
  <si>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</si>
  <si>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</si>
  <si>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</si>
  <si>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</si>
  <si>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</si>
  <si>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</si>
  <si>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</si>
  <si>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</si>
  <si>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</si>
  <si>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</si>
  <si>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</si>
  <si>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</si>
  <si>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</si>
  <si>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</si>
  <si>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</si>
  <si>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</si>
  <si>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</si>
  <si>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</si>
  <si>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</si>
  <si>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</si>
  <si>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</si>
  <si>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</si>
  <si>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</si>
  <si>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</si>
  <si>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</si>
  <si>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</si>
  <si>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</si>
  <si>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</si>
  <si>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</si>
  <si>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</si>
  <si>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</si>
  <si>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</si>
  <si>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</si>
  <si>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</si>
  <si>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</si>
  <si>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</si>
  <si>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</si>
  <si>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</si>
  <si>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</si>
  <si>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</si>
  <si>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</si>
  <si>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</si>
  <si>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</si>
  <si>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</si>
  <si>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</si>
  <si>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</si>
  <si>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</si>
  <si>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</si>
  <si>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</si>
  <si>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</si>
  <si>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</si>
  <si>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</si>
  <si>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</si>
  <si>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</si>
  <si>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</si>
  <si>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</si>
  <si>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</si>
  <si>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</si>
  <si>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</si>
  <si>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</si>
  <si>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</si>
  <si>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</si>
  <si>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</si>
  <si>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</si>
  <si>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</si>
  <si>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</si>
  <si>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</si>
  <si>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</si>
  <si>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</si>
  <si>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</si>
  <si>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</si>
  <si>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</si>
  <si>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</si>
  <si>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</si>
  <si>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</si>
  <si>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</si>
  <si>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</si>
  <si>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</si>
  <si>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</si>
  <si>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</si>
  <si>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</si>
  <si>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</si>
  <si>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</si>
  <si>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</si>
  <si>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</si>
  <si>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</si>
  <si>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</si>
  <si>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</si>
  <si>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</si>
  <si>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</si>
  <si>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</si>
  <si>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</si>
  <si>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</si>
  <si>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</si>
  <si>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</si>
  <si>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</si>
  <si>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</si>
  <si>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</si>
  <si>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</si>
  <si>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</si>
  <si>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</si>
  <si>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</si>
  <si>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</si>
  <si>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</si>
  <si>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</si>
  <si>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</si>
  <si>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</si>
  <si>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</si>
  <si>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</si>
  <si>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</si>
  <si>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</si>
  <si>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</si>
  <si>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</si>
  <si>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</si>
  <si>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</si>
  <si>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</si>
  <si>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</si>
  <si>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</si>
  <si>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</si>
  <si>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</si>
  <si>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</si>
  <si>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</si>
  <si>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</si>
  <si>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</si>
  <si>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</si>
  <si>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</si>
  <si>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</si>
  <si>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</si>
  <si>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</si>
  <si>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</si>
  <si>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</si>
  <si>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</si>
  <si>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</si>
  <si>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</si>
  <si>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</si>
  <si>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</si>
  <si>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</si>
  <si>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</si>
  <si>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</si>
  <si>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</si>
  <si>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</si>
  <si>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</si>
  <si>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</si>
  <si>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</si>
  <si>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</si>
  <si>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</si>
  <si>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</si>
  <si>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</si>
  <si>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</si>
  <si>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</si>
  <si>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</si>
  <si>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</si>
  <si>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</si>
  <si>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</si>
  <si>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</si>
  <si>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</si>
  <si>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</si>
  <si>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</si>
  <si>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</si>
  <si>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</si>
  <si>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</si>
  <si>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</si>
  <si>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</si>
  <si>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</si>
  <si>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</si>
  <si>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</si>
  <si>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</si>
  <si>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</si>
  <si>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</si>
  <si>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</si>
  <si>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</si>
  <si>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</si>
  <si>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</si>
  <si>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</si>
  <si>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</si>
  <si>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</si>
  <si>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</si>
  <si>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</si>
  <si>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</si>
  <si>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</si>
  <si>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</si>
  <si>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</si>
  <si>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</si>
  <si>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</si>
  <si>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</si>
  <si>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</si>
  <si>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</si>
  <si>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</si>
  <si>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</si>
  <si>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</si>
  <si>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</si>
  <si>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</si>
  <si>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</si>
  <si>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</si>
  <si>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</si>
  <si>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</si>
  <si>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</si>
  <si>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</si>
  <si>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</si>
  <si>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</si>
  <si>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</si>
  <si>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</si>
  <si>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</si>
  <si>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</si>
  <si>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</si>
  <si>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</si>
  <si>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</si>
  <si>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</si>
  <si>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</si>
  <si>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</si>
  <si>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</si>
  <si>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</si>
  <si>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</si>
  <si>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</si>
  <si>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</si>
  <si>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</si>
  <si>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</si>
  <si>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</si>
  <si>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</si>
  <si>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</si>
  <si>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</si>
  <si>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</si>
  <si>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</si>
  <si>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</si>
  <si>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</si>
  <si>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</si>
  <si>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</si>
  <si>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</si>
  <si>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</si>
  <si>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</si>
  <si>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</si>
  <si>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</si>
  <si>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</si>
  <si>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</si>
  <si>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</si>
  <si>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</si>
  <si>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</si>
  <si>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</si>
  <si>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</si>
  <si>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</si>
  <si>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</si>
  <si>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</si>
  <si>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</si>
  <si>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</si>
  <si>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</si>
  <si>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</si>
  <si>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</si>
  <si>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</si>
  <si>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</si>
  <si>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</si>
  <si>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</si>
  <si>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</si>
  <si>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</si>
  <si>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</si>
  <si>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</si>
  <si>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</si>
  <si>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</si>
  <si>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</si>
  <si>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</si>
  <si>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</si>
  <si>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</si>
  <si>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</si>
  <si>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</si>
  <si>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</si>
  <si>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</si>
  <si>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</si>
  <si>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</si>
  <si>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</si>
  <si>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</si>
  <si>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</si>
  <si>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</si>
  <si>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</si>
  <si>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</si>
  <si>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</si>
  <si>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</si>
  <si>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</si>
  <si>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</si>
  <si>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</si>
  <si>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</si>
  <si>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</si>
  <si>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</si>
  <si>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</si>
  <si>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</si>
  <si>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</si>
  <si>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</si>
  <si>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</si>
  <si>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</si>
  <si>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</si>
  <si>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</si>
  <si>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</si>
  <si>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</si>
  <si>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</si>
  <si>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</si>
  <si>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</si>
  <si>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</si>
  <si>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</si>
  <si>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</si>
  <si>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</si>
  <si>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</si>
  <si>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</si>
  <si>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</si>
  <si>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</si>
  <si>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</si>
  <si>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</si>
  <si>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</si>
  <si>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</si>
  <si>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</si>
  <si>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</si>
  <si>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</si>
  <si>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</si>
  <si>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</si>
  <si>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</si>
  <si>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</si>
  <si>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</si>
  <si>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</si>
  <si>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</si>
  <si>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</si>
  <si>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</si>
  <si>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</si>
  <si>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</si>
  <si>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</si>
  <si>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</si>
  <si>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</si>
  <si>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</si>
  <si>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</si>
  <si>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</si>
  <si>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</si>
  <si>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</si>
  <si>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</si>
  <si>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</si>
  <si>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</si>
  <si>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</si>
  <si>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</si>
  <si>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</si>
  <si>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</si>
  <si>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</si>
  <si>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</si>
  <si>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</si>
  <si>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</si>
  <si>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</si>
  <si>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</si>
  <si>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</si>
  <si>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</si>
  <si>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</si>
  <si>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</si>
  <si>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</si>
  <si>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</si>
  <si>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</si>
  <si>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</si>
  <si>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</si>
  <si>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</si>
  <si>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</si>
  <si>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</si>
  <si>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</si>
  <si>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</si>
  <si>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</si>
  <si>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</si>
  <si>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</si>
  <si>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</si>
  <si>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</si>
  <si>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</si>
  <si>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</si>
  <si>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</si>
  <si>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</si>
  <si>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</si>
  <si>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</si>
  <si>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</si>
  <si>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</si>
  <si>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</si>
  <si>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</si>
  <si>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</si>
  <si>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</si>
  <si>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</si>
  <si>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</si>
  <si>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</si>
  <si>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</si>
  <si>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</si>
  <si>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</si>
  <si>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</si>
  <si>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</si>
  <si>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</si>
  <si>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</si>
  <si>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</si>
  <si>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</si>
  <si>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</si>
  <si>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</si>
  <si>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</si>
  <si>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</si>
  <si>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</si>
  <si>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</si>
  <si>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</si>
  <si>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</si>
  <si>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</si>
  <si>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</si>
  <si>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</si>
  <si>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</si>
  <si>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</si>
  <si>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</si>
  <si>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</si>
  <si>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</si>
  <si>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</si>
  <si>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</si>
  <si>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</si>
  <si>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</si>
  <si>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</si>
  <si>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</si>
  <si>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</si>
  <si>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</si>
  <si>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</si>
  <si>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</si>
  <si>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</si>
  <si>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</si>
  <si>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</si>
  <si>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</si>
  <si>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</si>
  <si>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</si>
  <si>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</si>
  <si>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</si>
  <si>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</si>
  <si>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</si>
  <si>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</si>
  <si>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</si>
  <si>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</si>
  <si>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</si>
  <si>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</si>
  <si>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</si>
  <si>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</si>
  <si>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</si>
  <si>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</si>
  <si>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</si>
  <si>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</si>
  <si>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</si>
  <si>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</si>
  <si>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</si>
  <si>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</si>
  <si>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</si>
  <si>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</si>
  <si>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</si>
  <si>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</si>
  <si>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</si>
  <si>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</si>
  <si>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</si>
  <si>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</si>
  <si>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</si>
  <si>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</si>
  <si>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</si>
  <si>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</si>
  <si>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</si>
  <si>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</si>
  <si>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</si>
  <si>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</si>
  <si>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</si>
  <si>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</si>
  <si>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</si>
  <si>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</si>
  <si>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</si>
  <si>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</si>
  <si>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</si>
  <si>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</si>
  <si>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</si>
  <si>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</si>
  <si>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</si>
  <si>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</si>
  <si>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</si>
  <si>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</si>
  <si>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</si>
  <si>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</si>
  <si>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</si>
  <si>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</si>
  <si>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</si>
  <si>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</si>
  <si>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</si>
  <si>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</si>
  <si>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</si>
  <si>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</si>
  <si>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</si>
  <si>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</si>
  <si>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</si>
  <si>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</si>
  <si>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</si>
  <si>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</si>
  <si>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</si>
  <si>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</si>
  <si>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</si>
  <si>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</si>
  <si>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</si>
  <si>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</si>
  <si>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</si>
  <si>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</si>
  <si>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</si>
  <si>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</si>
  <si>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</si>
  <si>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</si>
  <si>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</si>
  <si>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</si>
  <si>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</si>
  <si>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</si>
  <si>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</si>
  <si>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</si>
  <si>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</si>
  <si>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</si>
  <si>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</si>
  <si>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</si>
  <si>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</si>
  <si>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</si>
  <si>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</si>
  <si>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</si>
  <si>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</si>
  <si>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</si>
  <si>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</si>
  <si>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</si>
  <si>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</si>
  <si>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</si>
  <si>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</si>
  <si>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</si>
  <si>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</si>
  <si>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</si>
  <si>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</si>
  <si>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</si>
  <si>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</si>
  <si>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</si>
  <si>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</si>
  <si>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</si>
  <si>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</si>
  <si>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</si>
  <si>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</si>
  <si>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</si>
  <si>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EBS:整车减速度异常(2103,0)</t>
  </si>
  <si>
    <t>6553500:</t>
  </si>
  <si>
    <t>EBS:EBS(24832,0)</t>
  </si>
  <si>
    <t>EBS:线路故障(24862,0)</t>
  </si>
  <si>
    <t>EBS:线路故障(24863,0)</t>
  </si>
  <si>
    <t>EBS:线路故障(24864,0)</t>
  </si>
  <si>
    <t>EBS:线路故障(24865,0)</t>
  </si>
  <si>
    <t>EBS:线路故障(24867,0)</t>
  </si>
  <si>
    <t>EBS:线路故障(24870,0)</t>
  </si>
  <si>
    <t>BCM:位置灯继电器开路</t>
  </si>
  <si>
    <t>BCM:位置灯继电器或线路故障(518100,5)</t>
  </si>
  <si>
    <t>BCM:位置灯继电器短路</t>
  </si>
  <si>
    <t>BCM:位置灯继电器或线路故障(518100,6)</t>
  </si>
  <si>
    <t>BCM:远光灯继电器开路</t>
  </si>
  <si>
    <t>BCM:远光灯继电器或线路故障(518101,5)</t>
  </si>
  <si>
    <t>BCM:远光灯继电器短路</t>
  </si>
  <si>
    <t>BCM:远光灯继电器或线路故障(518101,6)</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</si>
  <si>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</si>
  <si>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</si>
  <si>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</si>
  <si>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</si>
  <si>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</si>
  <si>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</si>
  <si>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</si>
  <si>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</si>
  <si>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</si>
  <si>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</si>
  <si>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</si>
  <si>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</si>
  <si>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</si>
  <si>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</si>
  <si>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</si>
  <si>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</si>
  <si>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</si>
  <si>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</si>
  <si>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</si>
  <si>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</si>
  <si>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</si>
  <si>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</si>
  <si>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</si>
  <si>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</si>
  <si>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</si>
  <si>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</si>
  <si>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</si>
  <si>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</si>
  <si>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</si>
  <si>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</si>
  <si>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</si>
  <si>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</si>
  <si>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</si>
  <si>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</si>
  <si>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</si>
  <si>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</si>
  <si>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</si>
  <si>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</si>
  <si>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</si>
  <si>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</si>
  <si>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</si>
  <si>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</si>
  <si>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</si>
  <si>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</si>
  <si>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</si>
  <si>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</si>
  <si>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</si>
  <si>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</si>
  <si>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</si>
  <si>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</si>
  <si>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</si>
  <si>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</si>
  <si>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</si>
  <si>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</si>
  <si>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</si>
  <si>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</si>
  <si>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</si>
  <si>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</si>
  <si>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</si>
  <si>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</si>
  <si>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</si>
  <si>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</si>
  <si>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</si>
  <si>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</si>
  <si>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</si>
  <si>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</si>
  <si>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</si>
  <si>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</si>
  <si>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</si>
  <si>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</si>
  <si>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</si>
  <si>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</si>
  <si>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</si>
  <si>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</si>
  <si>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</si>
  <si>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</si>
  <si>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</si>
  <si>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</si>
  <si>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</si>
  <si>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</si>
  <si>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</si>
  <si>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</si>
  <si>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</si>
  <si>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</si>
  <si>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</si>
  <si>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</si>
  <si>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</si>
  <si>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</si>
  <si>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</si>
  <si>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</si>
  <si>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</si>
  <si>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</si>
  <si>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</si>
  <si>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</si>
  <si>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</si>
  <si>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</si>
  <si>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</si>
  <si>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</si>
  <si>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</si>
  <si>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</si>
  <si>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</si>
  <si>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</si>
  <si>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</si>
  <si>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</si>
  <si>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</si>
  <si>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</si>
  <si>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</si>
  <si>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</si>
  <si>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</si>
  <si>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</si>
  <si>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</si>
  <si>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</si>
  <si>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</si>
  <si>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</si>
  <si>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</si>
  <si>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</si>
  <si>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</si>
  <si>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</si>
  <si>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</si>
  <si>
    <t>BCM:电源1故障(518126,5)</t>
  </si>
  <si>
    <t>BCM:电源2故障</t>
  </si>
  <si>
    <t>BCM:电源2故障(518127,5)</t>
  </si>
  <si>
    <t>BCM:电源3故障</t>
  </si>
  <si>
    <t>BCM:电源3故障(518128,5)</t>
  </si>
  <si>
    <t>BCM:电源4故障</t>
  </si>
  <si>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</si>
  <si>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</si>
  <si>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</si>
  <si>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</si>
  <si>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</si>
  <si>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</si>
  <si>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</si>
  <si>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</si>
  <si>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</si>
  <si>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</si>
  <si>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</si>
  <si>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</si>
  <si>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</si>
  <si>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</si>
  <si>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</si>
  <si>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</si>
  <si>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</si>
  <si>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</si>
  <si>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</si>
  <si>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</si>
  <si>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</si>
  <si>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</si>
  <si>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</si>
  <si>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</si>
  <si>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</si>
  <si>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</si>
  <si>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</si>
  <si>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</si>
  <si>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</si>
  <si>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</si>
  <si>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</si>
  <si>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</si>
  <si>
    <t>BCM:预留传感器信号电压高(518148,3)</t>
  </si>
  <si>
    <t>BCM:预留传感器信号短路到地</t>
  </si>
  <si>
    <t>BCM:预留传感器信号电压低(518148,4)</t>
  </si>
  <si>
    <t>BCM:电源电压过高</t>
  </si>
  <si>
    <t>BCM:电源电压过高(518151,0)</t>
  </si>
  <si>
    <t>BCM:电源电压过低</t>
  </si>
  <si>
    <t>BCM:电源电压过低(518151,1)</t>
  </si>
  <si>
    <t>原始故障描述(兼容D760&amp;D320&amp;D560 DCM)</t>
  </si>
  <si>
    <t>Fault description-IC Homepage</t>
  </si>
  <si>
    <t>1</t>
  </si>
  <si>
    <t>DCM:司机侧玻璃升降电机开路</t>
  </si>
  <si>
    <t>DCM:driver side window motor open circuit</t>
  </si>
  <si>
    <t>518001</t>
  </si>
  <si>
    <t>5</t>
  </si>
  <si>
    <t>DCM:司机侧车窗电机或线路故障(518001,5)</t>
  </si>
  <si>
    <t>DCM:left window motor open circuit(518001,5)</t>
  </si>
  <si>
    <t>51800105,</t>
  </si>
  <si>
    <t>51800105:</t>
  </si>
  <si>
    <t xml:space="preserve">Var_ui_ErrNo := </t>
  </si>
  <si>
    <t>2</t>
  </si>
  <si>
    <t>DCM:司机侧玻璃升降电机短路到地</t>
  </si>
  <si>
    <t>DCM:driver side window motor grounded circuit</t>
  </si>
  <si>
    <t>6</t>
  </si>
  <si>
    <t>DCM:司机侧车窗电机或线路故障(518001,6)</t>
  </si>
  <si>
    <t>DCM:left window motor short to GND(518001,6)</t>
  </si>
  <si>
    <t>51800106,</t>
  </si>
  <si>
    <t>51800106:</t>
  </si>
  <si>
    <t>3</t>
  </si>
  <si>
    <t>DCM:司机侧门锁电机开路</t>
  </si>
  <si>
    <t>DCM:driver side door lock motor open circuit</t>
  </si>
  <si>
    <t>518002</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</si>
  <si>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</si>
  <si>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</si>
  <si>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</si>
  <si>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</si>
  <si>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</si>
  <si>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</si>
  <si>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</si>
  <si>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</si>
  <si>
    <t>DCM:left lock motor short to GND(518002,6)</t>
  </si>
  <si>
    <t>51800206,</t>
  </si>
  <si>
    <t>51800206:</t>
  </si>
  <si>
    <t>DCM:司机侧后视镜上下调节电机开路</t>
  </si>
  <si>
    <t>DCM:upper and lower motor of driver side rearview mirror open circuit</t>
  </si>
  <si>
    <t>518003</t>
  </si>
  <si>
    <t>DCM:司机侧后视镜上下调节电机或线路故障(518003,5)</t>
  </si>
  <si>
    <t>DCM:left back mirror motor open circuit(518003,5)</t>
  </si>
  <si>
    <t>51800305,</t>
  </si>
  <si>
    <t>51800305:</t>
  </si>
  <si>
    <t>DCM:司机侧后视镜上下调节电机短路到地</t>
  </si>
  <si>
    <t>DCM:upper and lower motor of driver side rearview mirror grounded circuit</t>
  </si>
  <si>
    <t>DCM:司机侧后视镜上下调节电机或线路故障(518003,6)</t>
  </si>
  <si>
    <t>DCM:left back mirror motor short to GND(518003,6)</t>
  </si>
  <si>
    <t>51800306,</t>
  </si>
  <si>
    <t>51800306:</t>
  </si>
  <si>
    <t>7</t>
  </si>
  <si>
    <t>DCM:司机侧后视镜左右调节电机开路</t>
  </si>
  <si>
    <t>DCM:left and right motor of driver side rearview mirror open circuit</t>
  </si>
  <si>
    <t>518004</t>
  </si>
  <si>
    <t>DCM:司机侧后视镜左右调节电机或线路故障(518004,5)</t>
  </si>
  <si>
    <t>DCM:left back mirror motor open circuit(518004,5)</t>
  </si>
  <si>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</si>
  <si>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</si>
  <si>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</si>
  <si>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</si>
  <si>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</si>
  <si>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</si>
  <si>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</si>
  <si>
    <t>51800406,</t>
  </si>
  <si>
    <t>51800406:</t>
  </si>
  <si>
    <t>9</t>
  </si>
  <si>
    <t>DCM:司机侧后视镜加热器开路</t>
  </si>
  <si>
    <t>DCM:heater of driver side rearview mirror open circuit</t>
  </si>
  <si>
    <t>518005</t>
  </si>
  <si>
    <t>DCM:司机侧后视镜加热器或线路故障(518005,5)</t>
  </si>
  <si>
    <t>DCM:left back mirror heater open circuit(518005,5)</t>
  </si>
  <si>
    <t>51800505,</t>
  </si>
  <si>
    <t>51800505:</t>
  </si>
  <si>
    <t>10</t>
  </si>
  <si>
    <t>DCM:司机侧后视镜加热器短路到地</t>
  </si>
  <si>
    <t>DCM:heater of driver side rearview mirror grounded circuit</t>
  </si>
  <si>
    <t>DCM:司机侧后视镜加热器或线路故障(518005,6)</t>
  </si>
  <si>
    <t>DCM:left back mirror heater short to GND(518005,6)</t>
  </si>
  <si>
    <t>51800506,</t>
  </si>
  <si>
    <t>51800506:</t>
  </si>
  <si>
    <t>11</t>
  </si>
  <si>
    <t>DCM:乘客侧玻璃升降电机开路</t>
  </si>
  <si>
    <t>DCM:passenger side window motor open circuit</t>
  </si>
  <si>
    <t>518006</t>
  </si>
  <si>
    <t>DCM:乘客侧车窗电机或线路故障(518006,5)</t>
  </si>
  <si>
    <t>RDCM:right window motor open circuit(518006,5)</t>
  </si>
  <si>
    <t>51800605,</t>
  </si>
  <si>
    <t>51800605:</t>
  </si>
  <si>
    <t>12</t>
  </si>
  <si>
    <t>DCM:乘客侧玻璃升降电机短路到地</t>
  </si>
  <si>
    <t>DCM:passenger side window motor grounded circuit</t>
  </si>
  <si>
    <t>DCM:乘客侧车窗电机或线路故障(518006,6)</t>
  </si>
  <si>
    <t>RDCM:right window motor short to GND(518006,6)</t>
  </si>
  <si>
    <t>51800606,</t>
  </si>
  <si>
    <t>51800606:</t>
  </si>
  <si>
    <t>13</t>
  </si>
  <si>
    <t>DCM:乘客侧门锁电机开路</t>
  </si>
  <si>
    <t>DCM:right door lock motor open circuit</t>
  </si>
  <si>
    <t>518007</t>
  </si>
  <si>
    <t>DCM:乘客侧门锁电机或线路故障(518007,5)</t>
  </si>
  <si>
    <t>DCM:right lock motor open circuit(518007,5)</t>
  </si>
  <si>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</si>
  <si>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</si>
  <si>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</si>
  <si>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</si>
  <si>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</si>
  <si>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</si>
  <si>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</si>
  <si>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</si>
  <si>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</si>
  <si>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DCM:乘客侧后视镜上下调节电机开路</t>
  </si>
  <si>
    <t>DCM:upper and lower motor of passenger side rearview mirror open circuit</t>
  </si>
  <si>
    <t>518008</t>
  </si>
  <si>
    <t>DCM:乘客侧后视镜上下调节电机或线路故障(518008,5)</t>
  </si>
  <si>
    <t>DCM:right back mirror motor open circuit(518008,5)</t>
  </si>
  <si>
    <t>51800805,</t>
  </si>
  <si>
    <t>51800805:</t>
  </si>
  <si>
    <t>DCM:乘客侧后视镜上下调节电机短路到地</t>
  </si>
  <si>
    <t>DCM:upper and lower motor of passenger side rearview mirror grounded circuit</t>
  </si>
  <si>
    <t>DCM:乘客侧后视镜上下调节电机或线路故障(518008,6)</t>
  </si>
  <si>
    <t>DCM:right back mirror motor short to GND(518008,6)</t>
  </si>
  <si>
    <t>51800806,</t>
  </si>
  <si>
    <t>51800806:</t>
  </si>
  <si>
    <t>17</t>
  </si>
  <si>
    <t>DCM:乘客侧后视镜左右调节电机开路</t>
  </si>
  <si>
    <t>DCM:left and right motor of passenger side rearview open circuit</t>
  </si>
  <si>
    <t>518009</t>
  </si>
  <si>
    <t>DCM:乘客侧后视镜左右调节电机或线路故障(518009,5)</t>
  </si>
  <si>
    <t>DCM:right back mirror motor open circuit(518009,5)</t>
  </si>
  <si>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</si>
  <si>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</si>
  <si>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</si>
  <si>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</si>
  <si>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</si>
  <si>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</si>
  <si>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</si>
  <si>
    <t>51800906,</t>
  </si>
  <si>
    <t>51800906:</t>
  </si>
  <si>
    <t>19</t>
  </si>
  <si>
    <t>DCM:乘客侧后视镜加热器开路</t>
  </si>
  <si>
    <t>DCM:heater of passenger side rearview mirror open circuit</t>
  </si>
  <si>
    <t>518010</t>
  </si>
  <si>
    <t>DCM:乘客侧后视镜加热器或线路故障(518010,5)</t>
  </si>
  <si>
    <t>DCM:right back mirror heater open circuit(518010,5)</t>
  </si>
  <si>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</si>
  <si>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</si>
  <si>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</si>
  <si>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</si>
  <si>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</si>
  <si>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</si>
  <si>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</si>
  <si>
    <t>51801006,</t>
  </si>
  <si>
    <t>51801006:</t>
  </si>
  <si>
    <t>21</t>
  </si>
  <si>
    <t>DCM:后视镜加热指示灯短路到地</t>
  </si>
  <si>
    <t>DCM:defrog indication lamp grounded circuit</t>
  </si>
  <si>
    <t>518011</t>
  </si>
  <si>
    <t>DCM:后视镜加热指示灯或线路故障(518011,6)</t>
  </si>
  <si>
    <t>DCM:defrog indicator short to GND(518011,6)</t>
  </si>
  <si>
    <t>51801106,</t>
  </si>
  <si>
    <t>51801106:</t>
  </si>
  <si>
    <t>22</t>
  </si>
  <si>
    <t>DCM:电源1故障</t>
  </si>
  <si>
    <t>DCM:power 1 fault</t>
  </si>
  <si>
    <t>518012</t>
  </si>
  <si>
    <t>DCM:电源1故障(518012,4)</t>
  </si>
  <si>
    <t>DCM:power 1 failure(518012,4)</t>
  </si>
  <si>
    <t>51801204,</t>
  </si>
  <si>
    <t>51801204:</t>
  </si>
  <si>
    <t>23</t>
  </si>
  <si>
    <t>DCM:电源2故障</t>
  </si>
  <si>
    <t>DCM:power 2 fault</t>
  </si>
  <si>
    <t>518013</t>
  </si>
  <si>
    <t>DCM:电源2故障(518013,4)</t>
  </si>
  <si>
    <t>DCM:power 2 failure(518013,4)</t>
  </si>
  <si>
    <t>51801304,</t>
  </si>
  <si>
    <t>51801304:</t>
  </si>
  <si>
    <t>24</t>
  </si>
  <si>
    <t>DCM:电源3故障</t>
  </si>
  <si>
    <t>DCM:power 3 fault</t>
  </si>
  <si>
    <t>518014</t>
  </si>
  <si>
    <t>DCM:电源3故障(518014,4)</t>
  </si>
  <si>
    <t>DCM:power 3 failure(518014,4)</t>
  </si>
  <si>
    <t>51801404,</t>
  </si>
  <si>
    <t>51801404:</t>
  </si>
  <si>
    <t>25</t>
  </si>
  <si>
    <t>DCM:电源电压过高</t>
  </si>
  <si>
    <t>DCM:power supply voltage high</t>
  </si>
  <si>
    <t>DCM:电源电压过高(518017,0)</t>
  </si>
  <si>
    <t>DCM:power supply voltage high(518017,0)</t>
  </si>
  <si>
    <t>51801700,</t>
  </si>
  <si>
    <t>51801700:</t>
  </si>
  <si>
    <t>26</t>
  </si>
  <si>
    <t>DCM:电源电压过低</t>
  </si>
  <si>
    <t>DCM:power supply voltage low</t>
  </si>
  <si>
    <t>DCM:电源电压过低(518017,1)</t>
  </si>
  <si>
    <t>DCM:power supply voltage low(518017,1)</t>
  </si>
  <si>
    <t>51801701,</t>
  </si>
  <si>
    <t>51801701:</t>
  </si>
  <si>
    <t>原始故障描述(东风商用车通讯协议和故障代码20180322)</t>
  </si>
  <si>
    <t>外1内2</t>
  </si>
  <si>
    <t>运动状态下位置17胎压传感器信号丢失超过15分钟</t>
  </si>
  <si>
    <t>左前传感器信号丢失</t>
  </si>
  <si>
    <t>TPMS:左前胎压传感器信号丢失(520001,9)</t>
  </si>
  <si>
    <t>TPMS:alxe 1 left sensor signal lost(520001,9)</t>
  </si>
  <si>
    <t>运动状态下位置19胎压传感器信号丢失超过15分钟</t>
  </si>
  <si>
    <t>右前传感器信号丢失</t>
  </si>
  <si>
    <t>TPMS:右前胎压传感器信号丢失(520002,9)</t>
  </si>
  <si>
    <t>TPMS:alxe 1 right sensor signal lost(520002,9)</t>
  </si>
  <si>
    <t>运动状态下位置26胎压传感器信号丢失超过15分钟</t>
  </si>
  <si>
    <t>二轴左外传感器信号丢失</t>
  </si>
  <si>
    <t>TPMS:二轴左外胎压传感器信号丢失(520003,9)</t>
  </si>
  <si>
    <t>TPMS:alxe 2 L1 sensor signal lost(520003,9)</t>
  </si>
  <si>
    <t>运动状态下位置27胎压传感器信号丢失超过15分钟</t>
  </si>
  <si>
    <t>二轴左内传感器信号丢失</t>
  </si>
  <si>
    <t>TPMS:二轴左内胎压传感器信号丢失(520004,9)</t>
  </si>
  <si>
    <t>TPMS:alxe 2 L2 sensor signal lost(520004,9)</t>
  </si>
  <si>
    <t>运动状态下位置29胎压传感器信号丢失超过15分钟</t>
  </si>
  <si>
    <t>二轴右内传感器信号丢失</t>
  </si>
  <si>
    <t>TPMS:二轴右内胎压传感器信号丢失(520005,9)</t>
  </si>
  <si>
    <t>TPMS:alxe 2 R2 sensor signal lost(520005,9)</t>
  </si>
  <si>
    <t>运动状态下位置2A胎压传感器信号丢失超过15分钟</t>
  </si>
  <si>
    <t>二轴右外传感器信号丢失</t>
  </si>
  <si>
    <t>TPMS:二轴右外胎压传感器信号丢失(520006,9)</t>
  </si>
  <si>
    <t>TPMS:alxe 2 R1 sensor signal lost(520006,9)</t>
  </si>
  <si>
    <t>运动状态下位置36胎压传感器信号丢失超过15分钟</t>
  </si>
  <si>
    <t>三轴左外传感器信号丢失</t>
  </si>
  <si>
    <t>TPMS:三轴左外胎压传感器信号丢失(520007,9)</t>
  </si>
  <si>
    <t>TPMS:alxe 3 L1 sensor signal lost(520007,9)</t>
  </si>
  <si>
    <t>运动状态下位置37胎压传感器信号丢失超过15分钟</t>
  </si>
  <si>
    <t>三轴左内传感器信号丢失</t>
  </si>
  <si>
    <t>TPMS:三轴左内胎压传感器信号丢失(520008,9)</t>
  </si>
  <si>
    <t>TPMS:alxe 3 L2 sensor signal lost(520008,9)</t>
  </si>
  <si>
    <t>运动状态下位置39胎压传感器信号丢失超过15分钟</t>
  </si>
  <si>
    <t>三轴右内传感器信号丢失</t>
  </si>
  <si>
    <t>TPMS:三轴右内胎压传感器信号丢失(520009,9)</t>
  </si>
  <si>
    <t>TPMS:alxe 3 R2 sensor signal lost(520009,9)</t>
  </si>
  <si>
    <t>运动状态下位置3A胎压传感器信号丢失超过15分钟</t>
  </si>
  <si>
    <t>三轴右外传感器信号丢失</t>
  </si>
  <si>
    <t>TPMS:三轴右外胎压传感器信号丢失(520010,9)</t>
  </si>
  <si>
    <t>TPMS:alxe 3 R1 sensor signal lost(520010,9)</t>
  </si>
  <si>
    <t>运动状态下位置46胎压传感器信号丢失超过15分钟</t>
  </si>
  <si>
    <t>四轴左外传感器信号丢失</t>
  </si>
  <si>
    <t>TPMS:四轴左外胎压传感器信号丢失(520011,9)</t>
  </si>
  <si>
    <t>TPMS:alxe 4 L1 sensor signal lost(520011,9)</t>
  </si>
  <si>
    <t>运动状态下位置47胎压传感器信号丢失超过15分钟</t>
  </si>
  <si>
    <t>四轴左内传感器信号丢失</t>
  </si>
  <si>
    <t>TPMS:四轴左内胎压传感器信号丢失(520012,9)</t>
  </si>
  <si>
    <t>TPMS:alxe 4 L2 sensor signal lost(520012,9)</t>
  </si>
  <si>
    <t>运动状态下位置49胎压传感器信号丢失超过15分钟</t>
  </si>
  <si>
    <t>四轴右内传感器信号丢失</t>
  </si>
  <si>
    <t>TPMS:四轴右内胎压传感器信号丢失(520013,9)</t>
  </si>
  <si>
    <t>TPMS:alxe 4 R2 sensor signal lost(520013,9)</t>
  </si>
  <si>
    <t>运动状态下位置4A胎压传感器信号丢失超过15分钟</t>
  </si>
  <si>
    <t>四轴右外传感器信号丢失</t>
  </si>
  <si>
    <t>TPMS:四轴右外胎压传感器信号丢失(520014,9)</t>
  </si>
  <si>
    <t>TPMS:alxe 4 R1 sensor signal lost(520014,9)</t>
  </si>
  <si>
    <t>5个传送周期内位置17胎压传感器电池电量低于10%</t>
  </si>
  <si>
    <t>左前传感器电量低</t>
  </si>
  <si>
    <t>TPMS:左前胎压传感器电量低(3509,24)</t>
  </si>
  <si>
    <t>TPMS:alxe 1 L sensor low battery(3509,24)</t>
  </si>
  <si>
    <t>5个传送周期内位置19胎压传感器电池电量低于10%</t>
  </si>
  <si>
    <t>右前传感器电量低</t>
  </si>
  <si>
    <t>TPMS:右前胎压传感器电量低(3510,24)</t>
  </si>
  <si>
    <t>TPMS:alxe 1 R sensor low battery(3510,24)</t>
  </si>
  <si>
    <t>5个传送周期内位置26胎压传感器电池电量低于10%</t>
  </si>
  <si>
    <t>二轴左外传感器电量低</t>
  </si>
  <si>
    <t>TPMS:二轴左外胎压传感器电量低(3511,24)</t>
  </si>
  <si>
    <t>TPMS:alxe 2 L1 sensor low battery(3511,24)</t>
  </si>
  <si>
    <t>5个传送周期内位置27胎压传感器电池电量低于10%</t>
  </si>
  <si>
    <t>二轴左内传感器电量低</t>
  </si>
  <si>
    <t>TPMS:二轴左内胎压传感器电量低(3512,24)</t>
  </si>
  <si>
    <t>TPMS:alxe 2 L2 sensor low battery(3512,24)</t>
  </si>
  <si>
    <t>5个传送周期内位置29胎压传感器电池电量低于10%</t>
  </si>
  <si>
    <t>二轴右内传感器电量低</t>
  </si>
  <si>
    <t>TPMS:二轴右内胎压传感器电量低(3513,24)</t>
  </si>
  <si>
    <t>TPMS:alxe 2 R2 sensor low battery(3513,24)</t>
  </si>
  <si>
    <t>5个传送周期内位置2A胎压传感器电池电量低于10%</t>
  </si>
  <si>
    <t>二轴右外传感器电量低</t>
  </si>
  <si>
    <t>TPMS:二轴右外胎压传感器电量低(3514,24)</t>
  </si>
  <si>
    <t>TPMS:alxe 2 R1 sensor low battery(3514,24)</t>
  </si>
  <si>
    <t>5个传送周期内位置36胎压传感器电池电量低于10%</t>
  </si>
  <si>
    <t>三轴左外传感器电量低</t>
  </si>
  <si>
    <t>TPMS:三轴左外胎压传感器电量低(5125,24)</t>
  </si>
  <si>
    <t>TPMS:alxe 3 L1 sensor low battery(5125,24)</t>
  </si>
  <si>
    <t>5个传送周期内位置37胎压传感器电池电量低于10%</t>
  </si>
  <si>
    <t>三轴左内传感器电量低</t>
  </si>
  <si>
    <t>TPMS:三轴左内胎压传感器电量低(5126,24)</t>
  </si>
  <si>
    <t>TPMS:alxe 3 L2 sensor low battery(5126,24)</t>
  </si>
  <si>
    <t>5个传送周期内位置39胎压传感器电池电量低于10%</t>
  </si>
  <si>
    <t>三轴右内传感器电量低</t>
  </si>
  <si>
    <t>TPMS:三轴右内胎压传感器电量低(5127,24)</t>
  </si>
  <si>
    <t>TPMS:alxe 3 R2 sensor low battery(5127,24)</t>
  </si>
  <si>
    <t>5个传送周期内位置3A胎压传感器电池电量低于10%</t>
  </si>
  <si>
    <t>三轴右外传感器电量低</t>
  </si>
  <si>
    <t>TPMS:三轴右外胎压传感器电量低(5128,24)</t>
  </si>
  <si>
    <t>TPMS:alxe 3 R1 sensor low battery(5128,24)</t>
  </si>
  <si>
    <t>5个传送周期内位置46胎压传感器电池电量低于10%</t>
  </si>
  <si>
    <t>四轴左外传感器电量低</t>
  </si>
  <si>
    <t>TPMS:四轴左外胎压传感器电量低(5129,24)</t>
  </si>
  <si>
    <t>TPMS:alxe 4 L1 sensor low battery(5129,24)</t>
  </si>
  <si>
    <t>5个传送周期内位置47胎压传感器电池电量低于10%</t>
  </si>
  <si>
    <t>四轴左内传感器电量低</t>
  </si>
  <si>
    <t>TPMS:四轴左内胎压传感器电量低(5130,24)</t>
  </si>
  <si>
    <t>TPMS:alxe 4 L2 sensor low battery(5130,24)</t>
  </si>
  <si>
    <t>27</t>
  </si>
  <si>
    <t>5个传送周期内位置49胎压传感器电池电量低于10%</t>
  </si>
  <si>
    <t>四轴右内传感器电量低</t>
  </si>
  <si>
    <t>TPMS:四轴右内胎压传感器电量低(5131,24)</t>
  </si>
  <si>
    <t>TPMS:alxe 4 R2 sensor low battery(5131,24)</t>
  </si>
  <si>
    <t>28</t>
  </si>
  <si>
    <t>5个传送周期内位置4A胎压传感器电池电量低于10%</t>
  </si>
  <si>
    <t>四轴右外传感器电量低</t>
  </si>
  <si>
    <t>TPMS:四轴右外胎压传感器电量低(5132,24)</t>
  </si>
  <si>
    <t>TPMS:alxe 4 R1 sensor low battery(5132,24)</t>
  </si>
  <si>
    <t>29</t>
  </si>
  <si>
    <t>5个传送周期内位置08胎压传感器电池电量低于10%</t>
  </si>
  <si>
    <t>备胎传感器电量低</t>
  </si>
  <si>
    <t>TPMS:备胎胎压传感器电量低(5133,24)</t>
  </si>
  <si>
    <t>TPMS:spare tyre sensor low battery(5133,24)</t>
  </si>
  <si>
    <t>30</t>
  </si>
  <si>
    <t>唤醒接收器报文发出后超过10秒钟未收到接收器信号</t>
  </si>
  <si>
    <t>接收器18信号丢失</t>
  </si>
  <si>
    <t>TPMS:接收器18信号丢失(519001,9)</t>
  </si>
  <si>
    <t>TPMS:receiver 18 signal lost(519001,9)</t>
  </si>
  <si>
    <t>31</t>
  </si>
  <si>
    <t>接收器27信号丢失</t>
  </si>
  <si>
    <t>TPMS:接收器27信号丢失(519002,10)</t>
  </si>
  <si>
    <t>TPMS:receiver 27 signal lost(519002,10)</t>
  </si>
  <si>
    <t>32</t>
  </si>
  <si>
    <t>接收器29信号丢失</t>
  </si>
  <si>
    <t>TPMS:接收器29信号丢失(519003,11)</t>
  </si>
  <si>
    <t>TPMS:receiver 29 signal lost(519003,11)</t>
  </si>
  <si>
    <t>33</t>
  </si>
  <si>
    <t>胎压控制器对接收器进行配置时出现错误</t>
  </si>
  <si>
    <t>接收器配置错误</t>
  </si>
  <si>
    <t>TPMS:接收器配置错误(518005,11)</t>
  </si>
  <si>
    <t>TPMS:receiver configured error(518005,11)</t>
  </si>
  <si>
    <t>34</t>
  </si>
  <si>
    <t>胎压控制器供电电压低于20V超过5秒钟</t>
  </si>
  <si>
    <t>控制器电压过低</t>
  </si>
  <si>
    <t>TPMS:控制器电压过低(168,4)</t>
  </si>
  <si>
    <t>TPMS:ECU power supply voltage low(168,4)</t>
  </si>
  <si>
    <t>35</t>
  </si>
  <si>
    <t>胎压控制器供电电压高于32V超过5秒钟</t>
  </si>
  <si>
    <t>控制器电压过高</t>
  </si>
  <si>
    <t>TPMS:控制器电压过高(168,3)</t>
  </si>
  <si>
    <t>TPMS:ECU power supply voltage high(168,3)</t>
  </si>
  <si>
    <t>36</t>
  </si>
  <si>
    <t>胎压控制器超过5秒钟未收到点火报文</t>
  </si>
  <si>
    <t>点火报文丢失</t>
  </si>
  <si>
    <t>TPMS:ON档CAN信号超时(518002,9)</t>
  </si>
  <si>
    <t>TPMS:ON CAN signal timeout(518002,9)</t>
  </si>
  <si>
    <t>37</t>
  </si>
  <si>
    <t>胎压控制器超过5秒钟未收到环境温度报文</t>
  </si>
  <si>
    <t>环境温度报文丢失</t>
  </si>
  <si>
    <t>TPMS:环境温度CAN报文超时(171,9)</t>
  </si>
  <si>
    <t>TPMS:AMB CAN message timeout(171,9)</t>
  </si>
  <si>
    <t>ID：18FECA41，车身CAN</t>
  </si>
  <si>
    <t>Fault description</t>
  </si>
  <si>
    <t>仪表主界面故障描述</t>
  </si>
  <si>
    <t>66</t>
  </si>
  <si>
    <t>系统未标定</t>
  </si>
  <si>
    <t>HJYX：Nocalibrated（66,9）</t>
  </si>
  <si>
    <t>HJYX：系统未标定（66,9）</t>
  </si>
  <si>
    <t>6609:</t>
  </si>
  <si>
    <t>67</t>
  </si>
  <si>
    <t>前摄像头故障</t>
  </si>
  <si>
    <t>HJYX：camera failure（67,12）</t>
  </si>
  <si>
    <t>HJYX：前摄像头故障（67,12）</t>
  </si>
  <si>
    <t>6712:</t>
  </si>
  <si>
    <t>68</t>
  </si>
  <si>
    <t>左前摄像头故障</t>
  </si>
  <si>
    <t>HJYX：camera failure（68,12）</t>
  </si>
  <si>
    <t>HJYX：左前摄像头故障（68,12）</t>
  </si>
  <si>
    <t>6812:</t>
  </si>
  <si>
    <t>69</t>
  </si>
  <si>
    <t>左后摄像头故障</t>
  </si>
  <si>
    <t>HJYX：camera failure（69,12）</t>
  </si>
  <si>
    <t>HJYX：左后摄像头故障（69,12）</t>
  </si>
  <si>
    <t>6912:</t>
  </si>
  <si>
    <t>70</t>
  </si>
  <si>
    <t>右前摄像头故障</t>
  </si>
  <si>
    <t>HJYX：camera failure（70,12）</t>
  </si>
  <si>
    <t>HJYX：右前摄像头故障（70,12）</t>
  </si>
  <si>
    <t>7012:</t>
  </si>
  <si>
    <t>71</t>
  </si>
  <si>
    <t>右后摄像头故障</t>
  </si>
  <si>
    <t>HJYX：camera failure（71,12）</t>
  </si>
  <si>
    <t>HJYX：右后摄像头故障（71,12）</t>
  </si>
  <si>
    <t>7112:</t>
  </si>
  <si>
    <t>72</t>
  </si>
  <si>
    <t>控制器故障</t>
  </si>
  <si>
    <t>HJYX：ECU failure（72,12）</t>
  </si>
  <si>
    <t>HJYX: 主机故障（72,12）</t>
  </si>
  <si>
    <t>7212:</t>
  </si>
  <si>
    <t>73</t>
  </si>
  <si>
    <t>SD卡异常</t>
  </si>
  <si>
    <t>HJYX：SD failure（73,12）</t>
  </si>
  <si>
    <t>HJYX: SD卡异常（73,12）</t>
  </si>
  <si>
    <t>7312:</t>
  </si>
  <si>
    <t>6609,</t>
  </si>
  <si>
    <t>6712,</t>
  </si>
  <si>
    <t>6812,</t>
  </si>
  <si>
    <t>6912,</t>
  </si>
  <si>
    <t>7012,</t>
  </si>
  <si>
    <t>7112,</t>
  </si>
  <si>
    <t>7212,</t>
  </si>
  <si>
    <t>7312,</t>
  </si>
  <si>
    <t>ID：18FECAE7,车身CAN</t>
  </si>
  <si>
    <t>摄像头开路故障</t>
  </si>
  <si>
    <t>DFMS：Camera open-circuit（91,5）</t>
  </si>
  <si>
    <t>疲劳驾驶：摄像头开路故障（91,5）</t>
  </si>
  <si>
    <t>5B</t>
  </si>
  <si>
    <t>9105:</t>
  </si>
  <si>
    <t>摄像头短路故障</t>
  </si>
  <si>
    <t xml:space="preserve">DFMS：Camera short-circuit（92,6）          </t>
  </si>
  <si>
    <t>疲劳驾驶：摄像头短路故障（92,6）</t>
  </si>
  <si>
    <t>5C</t>
  </si>
  <si>
    <t>9206:</t>
  </si>
  <si>
    <t>红外灯开路故障</t>
  </si>
  <si>
    <t>DFMS：Infrared  light open-circuit（93，5）</t>
  </si>
  <si>
    <t>疲劳驾驶：红外灯开路故障（93,5）</t>
  </si>
  <si>
    <t>5D</t>
  </si>
  <si>
    <t>9305:</t>
  </si>
  <si>
    <t>红外灯短路故障</t>
  </si>
  <si>
    <t>DFMS：Infrared  light short-circuit（94,6）</t>
  </si>
  <si>
    <t>疲劳驾驶：红外灯短路故障（94,6）</t>
  </si>
  <si>
    <t>9406:</t>
  </si>
  <si>
    <t>9105,</t>
  </si>
  <si>
    <t>9206,</t>
  </si>
  <si>
    <t>9305,</t>
  </si>
  <si>
    <t>9406,</t>
  </si>
  <si>
    <t>更改后</t>
  </si>
  <si>
    <t>燃电系统:输出电流超过极限值（三级）</t>
  </si>
  <si>
    <t>FCU:输出电流超过极限值（11181,0)</t>
  </si>
  <si>
    <t>燃电系统:氢气压力高限值（三级）</t>
  </si>
  <si>
    <t>FCU:氢气压力高限值（522000,0）</t>
  </si>
  <si>
    <t>燃电系统:氢气压力低限值（三级）</t>
  </si>
  <si>
    <t>FCU:氢气压力低限值（522000,1）</t>
  </si>
  <si>
    <t>燃电系统:循环水压高限值（三级）</t>
  </si>
  <si>
    <t>FCU:循环水压高限值（522001,0）</t>
  </si>
  <si>
    <t>燃电系统:循环水压低限值（三级）</t>
  </si>
  <si>
    <t>FCU:循环水压低限值（522001,1）</t>
  </si>
  <si>
    <t>燃电系统:空压高限值（三级）</t>
  </si>
  <si>
    <t>FCU:空压高限值（522002,0）</t>
  </si>
  <si>
    <t>燃电系统:空压低限值（三级）</t>
  </si>
  <si>
    <t>FCU:空压低限值（522002,1）</t>
  </si>
  <si>
    <t>燃电系统:水入温度高限值（三级）</t>
  </si>
  <si>
    <t>FCU:水入温度高限值（11187,0）</t>
  </si>
  <si>
    <t>FCU:水出温度高限值（11188,0）</t>
  </si>
  <si>
    <t>燃电系统:最小单池电压限值（三级）</t>
  </si>
  <si>
    <t>FCU:最小单池电压限值（11172,1）</t>
  </si>
  <si>
    <t>FCU:最小单体电池电压过低报警（11172,1）</t>
  </si>
  <si>
    <t>20211104更新</t>
  </si>
  <si>
    <t>燃电系统:电堆电流高限值（三级）</t>
  </si>
  <si>
    <t>FCU:电堆电流高限值（522003,0）</t>
  </si>
  <si>
    <t>燃电系统:电堆电压低限值（三级）</t>
  </si>
  <si>
    <t>FCU:电堆电压低限值（522004,1）</t>
  </si>
  <si>
    <t>燃电系统:回流泵电流高限值（三级）</t>
  </si>
  <si>
    <t>FCU:回流泵电流高限值（522005,0）</t>
  </si>
  <si>
    <t>燃电系统:升压DC通讯故障（三级）</t>
  </si>
  <si>
    <t>FCU:升压DC通讯故障（522006,12）</t>
  </si>
  <si>
    <t>燃电系统:VCU通讯故障（三级）</t>
  </si>
  <si>
    <t>FCU:VCU通讯故障（522007,12）</t>
  </si>
  <si>
    <t>燃电系统:输出电流超过极限值（二级）</t>
  </si>
  <si>
    <t>FCU:输出电流超过极限值（11181,6）</t>
  </si>
  <si>
    <t>燃电系统:氢气压力高限值（二级）</t>
  </si>
  <si>
    <t>FCU:氢气压力高限值（522000,16）</t>
  </si>
  <si>
    <t>燃电系统:氢气压力低限值（二级）</t>
  </si>
  <si>
    <t>FCU:氢气压力低限值（522000,18）</t>
  </si>
  <si>
    <t>燃电系统:循环水压高限值（二级）</t>
  </si>
  <si>
    <t>FCU:循环水压高限值（522001,16）</t>
  </si>
  <si>
    <t>燃电系统:循环水压低限值（二级）</t>
  </si>
  <si>
    <t>FCU:循环水压低限值（522001,18）</t>
  </si>
  <si>
    <t>燃电系统:空压高限值（二级）</t>
  </si>
  <si>
    <t>FCU:空压高限值（522002,16）</t>
  </si>
  <si>
    <t>燃电系统:空压低限值（二级）</t>
  </si>
  <si>
    <t>FCU:空压低限值（522002,18）</t>
  </si>
  <si>
    <t>燃电系统:水入温度高限值（二级）</t>
  </si>
  <si>
    <t>FCU:水入温度高限值（11187,16）</t>
  </si>
  <si>
    <t>燃电系统:水出温度高限值（二级）</t>
  </si>
  <si>
    <t>FCU:水出温度高限值（11188,16）</t>
  </si>
  <si>
    <t>燃电系统:最小单池电压限值（二级）</t>
  </si>
  <si>
    <t>FCU:最小单池电压限值（11172,18）</t>
  </si>
  <si>
    <t>燃电系统:电堆电流高限值（二级）</t>
  </si>
  <si>
    <t>FCU:电堆电流高限值（522003,16）</t>
  </si>
  <si>
    <t>燃电系统:电堆电压低限值（二级）</t>
  </si>
  <si>
    <t>FCU:电堆电压低限值（522004,18）</t>
  </si>
  <si>
    <t>燃电系统:回流泵电流高限值（二级）</t>
  </si>
  <si>
    <t>FCU:回流泵电流高限值（522005,16）</t>
  </si>
  <si>
    <t>燃电系统：空压机通讯故障（二级）</t>
  </si>
  <si>
    <t>FCU：空压机通讯故障（522008,19）</t>
  </si>
  <si>
    <t>燃电系统：回流泵通讯故障（二级）</t>
  </si>
  <si>
    <t>FCU：回流泵通讯故障（522009,19）</t>
  </si>
  <si>
    <t>燃电系统：巡检1通讯故障（二级）</t>
  </si>
  <si>
    <t>FCU：巡检1通讯故障（522010,19）</t>
  </si>
  <si>
    <t>燃电系统：巡检2通讯故障（二级）</t>
  </si>
  <si>
    <t>FCU：巡检2通讯故障（522011,19）</t>
  </si>
  <si>
    <t>燃电系统：电压电流传感器通讯故障（二级）</t>
  </si>
  <si>
    <t>FCU：电压电流传感器通讯故障（522012,19）</t>
  </si>
  <si>
    <t>燃电系统：电堆电压高（二级）</t>
  </si>
  <si>
    <t>FCU：电堆电压高（522004,16）</t>
  </si>
  <si>
    <t>燃电系统:输出电流超过极限值（一级）</t>
  </si>
  <si>
    <t>FCU:输出电流超过极限值（11181,15）</t>
  </si>
  <si>
    <t>V1.11版本FCU删除，仪表暂不删除
V1.14 可以删除</t>
  </si>
  <si>
    <t>燃电系统:氢气压力高限值（一级）</t>
  </si>
  <si>
    <t>FCU:氢气压力高限值（522000,15）</t>
  </si>
  <si>
    <t>燃电系统:氢气压力低限值（一级）</t>
  </si>
  <si>
    <t>FCU:氢气压力低限值（522000,17）</t>
  </si>
  <si>
    <t>燃电系统:循环水压高限值（一级）</t>
  </si>
  <si>
    <t>FCU:循环水压高限值（522001,15）</t>
  </si>
  <si>
    <t>燃电系统:循环水压低限值（一级）</t>
  </si>
  <si>
    <t>FCU:循环水压低限值（522001,17）</t>
  </si>
  <si>
    <t>燃电系统:空压高限值（一级）</t>
  </si>
  <si>
    <t>FCU:空压高限值（522002,15）</t>
  </si>
  <si>
    <t>燃电系统:空压低限值（一级）</t>
  </si>
  <si>
    <t>FCU:空压低限值（522002,17）</t>
  </si>
  <si>
    <t>燃电系统:水入温度高限值（一级）</t>
  </si>
  <si>
    <t>FCU:水入温度高限值（11187,15）</t>
  </si>
  <si>
    <t>燃电系统:水出温度高限值（一级）</t>
  </si>
  <si>
    <t>FCU:水出温度高限值（11188,15）</t>
  </si>
  <si>
    <t>燃电系统:最小单池电压限值（一级）</t>
  </si>
  <si>
    <t>FCU:最小单池电压限值（11172,17）</t>
  </si>
  <si>
    <t>燃电系统:电堆电流高限值（一级）</t>
  </si>
  <si>
    <t>FCU:电堆电流高限值（522003,15）</t>
  </si>
  <si>
    <t>燃电系统:电堆电压低限值（一级）</t>
  </si>
  <si>
    <t>FCU:电堆电压低限值（522004,17）</t>
  </si>
  <si>
    <t>燃电系统:回流泵电流高限值（一级）</t>
  </si>
  <si>
    <t>FCU:回流泵电流高限值（522005,15）</t>
  </si>
  <si>
    <t>电堆电压高</t>
  </si>
  <si>
    <t>20210602新增</t>
  </si>
  <si>
    <t>空压机通讯故障</t>
  </si>
  <si>
    <t>巡检1通讯故障</t>
  </si>
  <si>
    <t>电堆散热器控制器通讯故障</t>
  </si>
  <si>
    <t>空压机控制器过温警告</t>
  </si>
  <si>
    <t>空压机控制器过温报警</t>
  </si>
  <si>
    <t>空压机过温警告</t>
  </si>
  <si>
    <t>空压机过温报警</t>
  </si>
  <si>
    <t>燃料电池系统故障</t>
  </si>
  <si>
    <t>低压供电欠压报警</t>
  </si>
  <si>
    <t>FCU：低压供电欠压报警（ 522017，1）</t>
  </si>
  <si>
    <t>20211030新增</t>
  </si>
  <si>
    <t>专用冷却液液位过低</t>
  </si>
  <si>
    <t>FCU：专用冷却液液位过低 （522016，18）</t>
  </si>
  <si>
    <t>整车急停有效</t>
  </si>
  <si>
    <t>FCU：整车急停有效（ 522027，12）</t>
  </si>
  <si>
    <t>HMS异常</t>
  </si>
  <si>
    <t>FCU：HMS异常（522028，12）</t>
  </si>
  <si>
    <t>V1.14由522026，12更新为（522028，12）</t>
  </si>
  <si>
    <t>FCU：燃料电池系统故障（522029，19）</t>
  </si>
  <si>
    <t>V1.14_20230406</t>
  </si>
  <si>
    <t>FCU：燃料电池系统故障（522029，12）</t>
  </si>
  <si>
    <t>DCDC 电容端过压</t>
  </si>
  <si>
    <t>FCU：DCDC 电容端过压（522030，16）</t>
  </si>
  <si>
    <t>FCU：DCDC 电容端过压（522030，0）</t>
  </si>
  <si>
    <t>DCDC 电容端欠压</t>
  </si>
  <si>
    <t>FCU：DCDC 电容端欠压（522030，18）</t>
  </si>
  <si>
    <t>FCU：DCDC 电容端欠压（522030，1）</t>
  </si>
  <si>
    <t>DCDC 电容端过流</t>
  </si>
  <si>
    <t>FCU：DCDC 电容端过流（522031，16）</t>
  </si>
  <si>
    <t>FCU：DCDC 电容端过流（522031，0）</t>
  </si>
  <si>
    <t>DCDC 电池端过压</t>
  </si>
  <si>
    <t>FCU：DCDC 电池端过压（522032，16）</t>
  </si>
  <si>
    <t>FCU：DCDC 电池端过压（522032，0）</t>
  </si>
  <si>
    <t>DCDC 电池端欠压</t>
  </si>
  <si>
    <t>FCU：DCDC 电池端欠压（522032，18）</t>
  </si>
  <si>
    <t>FCU：DCDC 电池端欠压（522032，1）</t>
  </si>
  <si>
    <t>DCDC 电池端过流</t>
  </si>
  <si>
    <t>FCU：DCDC 电池端过流（522033，16）</t>
  </si>
  <si>
    <t>FCU：DCDC 电池端过流（522033，0）</t>
  </si>
  <si>
    <t>DCDC过热</t>
  </si>
  <si>
    <t>FCU：DCDC 过热（522034，16）</t>
  </si>
  <si>
    <t>FCU：DCDC 过热（522034，0）</t>
  </si>
  <si>
    <t>DCDC短路保护</t>
  </si>
  <si>
    <t>FCU：DCDC 短路保护（522035，4）</t>
  </si>
  <si>
    <t>DCDC通信丢失故障</t>
  </si>
  <si>
    <t>FCU：DCDC 通信丢失故障（2853，19）</t>
  </si>
  <si>
    <t>FCU：DCDC 通信丢失故障（2853，12）</t>
  </si>
  <si>
    <t>瓶压过高＞42 Mpa</t>
  </si>
  <si>
    <t>HMS:瓶压过高(522040,0)</t>
  </si>
  <si>
    <t>瓶压过高＞38 Mpa</t>
  </si>
  <si>
    <t>HMS:瓶压过高(522040,16)</t>
  </si>
  <si>
    <t>瓶压过低＜2 Mpa</t>
  </si>
  <si>
    <t>HMS:瓶压过低(522041,1)</t>
  </si>
  <si>
    <t>瓶压过低＜3 Mpa</t>
  </si>
  <si>
    <t>HMS:瓶压过低(522041,18)</t>
  </si>
  <si>
    <t>管压过高＞1.35 Mpa</t>
  </si>
  <si>
    <t>HMS:管压过高(522042,16)</t>
  </si>
  <si>
    <t>管压过高＞1.5 Mpa</t>
  </si>
  <si>
    <t>HMS:管压过高(522042,0)</t>
  </si>
  <si>
    <t>管压过低＜0.85 Mpa</t>
  </si>
  <si>
    <t>HMS:管压过低(522043,18)</t>
  </si>
  <si>
    <t>管压过低＜0.75 Mpa</t>
  </si>
  <si>
    <t>HMS:管压过低(522043,1)</t>
  </si>
  <si>
    <t>瓶温过高 ＞85℃</t>
  </si>
  <si>
    <t>HMS:瓶温过高(522044,0)</t>
  </si>
  <si>
    <t>瓶温过高 ＞70℃</t>
  </si>
  <si>
    <t>HMS:瓶温过高(522044,16)</t>
  </si>
  <si>
    <t>氢气泄露 ＞10000PPM</t>
  </si>
  <si>
    <t>HMS:氢气泄露(522045,16)</t>
  </si>
  <si>
    <t>氢气泄露 ＞6000PPM</t>
  </si>
  <si>
    <t>HMS:氢气泄露(522045,15)</t>
  </si>
  <si>
    <t>V1.11氢系统删除，仪表暂不处理</t>
  </si>
  <si>
    <t>V1.14 不删除</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</si>
  <si>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</si>
  <si>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</si>
  <si>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</si>
  <si>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</si>
  <si>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</si>
  <si>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</si>
  <si>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</si>
  <si>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</si>
  <si>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</si>
  <si>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</si>
  <si>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</si>
  <si>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</si>
  <si>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</si>
  <si>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</si>
  <si>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</si>
  <si>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</si>
  <si>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</si>
  <si>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瓶温过低</t>
  </si>
  <si>
    <t>氢气泄露</t>
  </si>
  <si>
    <t>车载供氢系统故障</t>
  </si>
  <si>
    <t>DCDC 过热</t>
  </si>
  <si>
    <t>DCDC 短路保护</t>
  </si>
  <si>
    <t>DCDC 通信丢失故障</t>
  </si>
  <si>
    <t>源地址0xA7</t>
  </si>
  <si>
    <t>点灯策略</t>
  </si>
  <si>
    <t>仪表显示</t>
  </si>
  <si>
    <t>(DEC)</t>
  </si>
  <si>
    <t>电机冷却风扇故障</t>
  </si>
  <si>
    <t>Warn</t>
  </si>
  <si>
    <t>ATS：电机冷却风扇故障（9691，12）</t>
  </si>
  <si>
    <t>进水温度传感器故障</t>
  </si>
  <si>
    <t>ATS：进水温度传感器故障（12836，12）</t>
  </si>
  <si>
    <t>出水温度传感器故障</t>
  </si>
  <si>
    <t>ATS：出水温度传感器故障（12837，12）</t>
  </si>
  <si>
    <t>进水温度传感器掉线</t>
  </si>
  <si>
    <t>ATS：进水温度传感器掉线（12836，5）</t>
  </si>
  <si>
    <t>出水温度传感器掉线</t>
  </si>
  <si>
    <t>ATS：出水温度传感器掉线（12837，5）</t>
  </si>
  <si>
    <t>CAN通讯异常</t>
  </si>
  <si>
    <t>ATS：CAN通讯异常(639,23)</t>
  </si>
  <si>
    <t>源地址0xA8</t>
  </si>
  <si>
    <t>故障代码同SHEET《电机故障代码表EF_PCAN》，仅源地址不同</t>
  </si>
  <si>
    <t>故障名称</t>
  </si>
  <si>
    <t xml:space="preserve">Red </t>
  </si>
  <si>
    <t>外挂DCDC：输出严重过压 (521600,0)</t>
  </si>
  <si>
    <t xml:space="preserve">Amber </t>
  </si>
  <si>
    <t>外挂DCDC：输出过压(521600,16)</t>
  </si>
  <si>
    <t>外挂DCDC：输出过流 (521601,0)</t>
  </si>
  <si>
    <t>外挂DCDC：过温保护 (521602,7)</t>
  </si>
  <si>
    <t>外挂DCDC：输入过压 (521603,0)</t>
  </si>
  <si>
    <t>外挂DCDC：输入欠压 (521604,4)</t>
  </si>
  <si>
    <t>外挂DCDC：过温告警(521605,3)</t>
  </si>
  <si>
    <t>外挂DCDC：输出欠压 (521606,1)</t>
  </si>
  <si>
    <t>外挂DCDC：通讯故障 (521607,12)</t>
  </si>
  <si>
    <t>外挂DCDC：模块故障(521608,11)</t>
  </si>
  <si>
    <t>外挂DCDC：辅源欠压 (521609,1)</t>
  </si>
  <si>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</si>
  <si>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</si>
  <si>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</si>
  <si>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</si>
  <si>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</si>
  <si>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</si>
  <si>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</si>
  <si>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</si>
  <si>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</si>
  <si>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</si>
  <si>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</si>
  <si>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EBS Brake switch : Abnormal frequency or pulse width or period</t>
  </si>
  <si>
    <t>EPB:(1121,8)</t>
  </si>
  <si>
    <t>EBS Brake switch : Abnormal update rate</t>
  </si>
  <si>
    <t>EPB:(1121,9)</t>
  </si>
  <si>
    <t>Tachograf vehicle speed : Abnormal update rate</t>
  </si>
  <si>
    <t>EPB:(1324,9)</t>
  </si>
  <si>
    <t>Key switch battery potential : Abnormal rate of change</t>
  </si>
  <si>
    <t>EPB:(158,10)</t>
  </si>
  <si>
    <t>Key switch battery potential : Voltage above normal, or shorted to high source</t>
  </si>
  <si>
    <t>EPB:(158,3)</t>
  </si>
  <si>
    <t>Battery Potential / Power Input 1 : Data valid but above normal operational range</t>
  </si>
  <si>
    <t>EPB:(168,0)</t>
  </si>
  <si>
    <t>Battery Potential / Power Input 1 : Data valid but below normal operational range</t>
  </si>
  <si>
    <t>EPB:(168,1)</t>
  </si>
  <si>
    <t>Battery Potential / Power Input 1 : Bad intelligent device or component</t>
  </si>
  <si>
    <t>EPB:(168,12)</t>
  </si>
  <si>
    <t>Battery Potential / Power Input 1 : Current below normal or open circuit</t>
  </si>
  <si>
    <t>EPB:(168,5)</t>
  </si>
  <si>
    <t>VDC Fully operational : Abnormal update rate</t>
  </si>
  <si>
    <t>EPB:(1814,9)</t>
  </si>
  <si>
    <t>Product system manifold pressure : Bad intelligent device or component</t>
  </si>
  <si>
    <t>EPB:(3132,12)</t>
  </si>
  <si>
    <t>Product system manifold pressure : Voltage above normal, or shorted to high source</t>
  </si>
  <si>
    <t>EPB:(3132,3)</t>
  </si>
  <si>
    <t>Product system manifold pressure : Voltage below normal, or shorted to low source</t>
  </si>
  <si>
    <t>EPB:(3132,4)</t>
  </si>
  <si>
    <t>Product system manifold pressure : Current below normal or open circuit</t>
  </si>
  <si>
    <t>EPB:(3132,5)</t>
  </si>
  <si>
    <t>Right hand header height min setpoint : Data valid but above normal operational range</t>
  </si>
  <si>
    <t>EPB:(3136,0)</t>
  </si>
  <si>
    <t>Right hand header height min setpoint : Data Valid But Above Normal Operating Range U Moderately Severe Level</t>
  </si>
  <si>
    <t>EPB:(3136,16)</t>
  </si>
  <si>
    <t>Pneumatic Supply pressure : Abnormal update rate</t>
  </si>
  <si>
    <t>EPB:(46,9)</t>
  </si>
  <si>
    <t>Actual Engine - Percent Torque : Abnormal update rate</t>
  </si>
  <si>
    <t>EPB:(513,9)</t>
  </si>
  <si>
    <t>Diag Vehicle State Message : Data erratic, intermittent or incorrect</t>
  </si>
  <si>
    <t>EPB:(516096,2)</t>
  </si>
  <si>
    <t>Diag Vehicle State Message : Abnormal frequency or pulse width or period</t>
  </si>
  <si>
    <t>EPB:(516096,8)</t>
  </si>
  <si>
    <t>EXT 1 ECU : Bad intelligent device or component</t>
  </si>
  <si>
    <t>EPB:(516097,12)</t>
  </si>
  <si>
    <t>EXT 1 ECU : Data erratic, intermittent or incorrect</t>
  </si>
  <si>
    <t>EPB:(516097,2)</t>
  </si>
  <si>
    <t>EXT 1 ECU : Abnormal frequency or pulse width or period</t>
  </si>
  <si>
    <t>EPB:(516097,8)</t>
  </si>
  <si>
    <t>EXT 1 ECU : Abnormal update rate</t>
  </si>
  <si>
    <t>EPB:(516097,9)</t>
  </si>
  <si>
    <t>EXT 2 ECU : Bad intelligent device or component</t>
  </si>
  <si>
    <t>EPB:(516098,12)</t>
  </si>
  <si>
    <t>EXT 2 ECU : Data erratic, intermittent or incorrect</t>
  </si>
  <si>
    <t>EPB:(516098,2)</t>
  </si>
  <si>
    <t>EXT 2 ECU : Abnormal frequency or pulse width or period</t>
  </si>
  <si>
    <t>EPB:(516098,8)</t>
  </si>
  <si>
    <t>EXT 2 ECU : Abnormal update rate</t>
  </si>
  <si>
    <t>EPB:(516098,9)</t>
  </si>
  <si>
    <t>EXT 3 ECU : Bad intelligent device or component</t>
  </si>
  <si>
    <t>EPB:(516099,12)</t>
  </si>
  <si>
    <t>EXT 3 ECU : Data erratic, intermittent or incorrect</t>
  </si>
  <si>
    <t>EPB:(516099,2)</t>
  </si>
  <si>
    <t>EXT 3 ECU : Abnormal frequency or pulse width or period</t>
  </si>
  <si>
    <t>EPB:(516099,8)</t>
  </si>
  <si>
    <t>EXT 3 ECU : Abnormal update rate</t>
  </si>
  <si>
    <t>EPB:(516099,9)</t>
  </si>
  <si>
    <t>Transmission Current Gear : Abnormal update rate</t>
  </si>
  <si>
    <t>EPB:(523,9)</t>
  </si>
  <si>
    <t>Park brake command : Abnormal rate of change</t>
  </si>
  <si>
    <t>EPB:(5630,10)</t>
  </si>
  <si>
    <t>Park brake command : Bad intelligent device or component</t>
  </si>
  <si>
    <t>EPB:(5630,12)</t>
  </si>
  <si>
    <t>Park brake command : Data erratic, intermittent or incorrect</t>
  </si>
  <si>
    <t>EPB:(5630,2)</t>
  </si>
  <si>
    <t>Park brake command : Data drifted high</t>
  </si>
  <si>
    <t>EPB:(5630,20)</t>
  </si>
  <si>
    <t>Park brake command : Abnormal frequency or pulse width or period</t>
  </si>
  <si>
    <t>EPB:(5630,8)</t>
  </si>
  <si>
    <t>Park brake command : Abnormal update rate</t>
  </si>
  <si>
    <t>EPB:(5360,9)</t>
  </si>
  <si>
    <t>Parking brake On Actuator : Mechanical system not responding or out of adjustment</t>
  </si>
  <si>
    <t>EPB:(617,7)</t>
  </si>
  <si>
    <t>Parking brake Off Actuator : Mechanical system not responding or out of adjustment</t>
  </si>
  <si>
    <t>EPB:(618,7)</t>
  </si>
  <si>
    <t>Parking Brake Actuator : Abnormal rate of change</t>
  </si>
  <si>
    <t>EPB:(619,10)</t>
  </si>
  <si>
    <t>Parking Brake Actuator : Special instructions</t>
  </si>
  <si>
    <t>EPB:(619,14)</t>
  </si>
  <si>
    <t>Parking Brake Actuator : Mechanical system not responding or out of adjustment</t>
  </si>
  <si>
    <t>EPB:(619,7)</t>
  </si>
  <si>
    <t>Proprietary Network 1 : Current below normal or open circuit</t>
  </si>
  <si>
    <t>EPB:(625,5)</t>
  </si>
  <si>
    <t>Controller 1 : Out of calibration</t>
  </si>
  <si>
    <t>EPB:(629,13)</t>
  </si>
  <si>
    <t>Controller 1 : Special instructions</t>
  </si>
  <si>
    <t>EPB:(629,14)</t>
  </si>
  <si>
    <t>Controller 1 : Data erratic, intermittent or incorrect</t>
  </si>
  <si>
    <t>EPB:(629,2)</t>
  </si>
  <si>
    <t>Controller 1 : Abnormal update rate</t>
  </si>
  <si>
    <t>EPB:(629,9)</t>
  </si>
  <si>
    <t>Calibration Memory : Out of calibration</t>
  </si>
  <si>
    <t>EPB:(630,13)</t>
  </si>
  <si>
    <t>Calibration Memory : Data erratic, intermittent or incorrect</t>
  </si>
  <si>
    <t>EPB:(630,2)</t>
  </si>
  <si>
    <t>J1939 Network 1-Primary Vehicle Network : Current below normal or open circuit</t>
  </si>
  <si>
    <t>EPB:(639,5)</t>
  </si>
  <si>
    <t>Auxiliary I/O 08 : Abnormal update rate</t>
  </si>
  <si>
    <t>EPB:(708,9)</t>
  </si>
  <si>
    <t>Headway Controller Brake Input Monitor : Bad intelligent device or component</t>
  </si>
  <si>
    <t>EPB:(887,12)</t>
  </si>
  <si>
    <t>Headway Controller Brake Input Monitor : Abnormal update rate</t>
  </si>
  <si>
    <t>EPB:(887,9)</t>
  </si>
  <si>
    <t>故障类型</t>
  </si>
  <si>
    <t>DTC(hex)</t>
  </si>
  <si>
    <t>故障现象</t>
  </si>
  <si>
    <t>供电过高</t>
  </si>
  <si>
    <t>0x523303</t>
  </si>
  <si>
    <t xml:space="preserve"> 高 </t>
  </si>
  <si>
    <t>ON档电供电电压过高（大于32V）</t>
  </si>
  <si>
    <t>供电电压异常（13138，3）</t>
  </si>
  <si>
    <t>故障灯亮，且仪表文字显示故障码</t>
  </si>
  <si>
    <t>供电过低</t>
  </si>
  <si>
    <t>0x523304</t>
  </si>
  <si>
    <t>+</t>
  </si>
  <si>
    <t>供电电压异常（13138，4）</t>
  </si>
  <si>
    <t>阀电没接</t>
  </si>
  <si>
    <t>0x523305</t>
  </si>
  <si>
    <t>EPB模块总成阀电（常电）未接</t>
  </si>
  <si>
    <t>供电电压异常（13138，5）</t>
  </si>
  <si>
    <t>CAN报文丢失</t>
  </si>
  <si>
    <t>0xc10009</t>
  </si>
  <si>
    <t>低</t>
  </si>
  <si>
    <t>CAN通讯异常(193,9)</t>
  </si>
  <si>
    <t>CAN 断路</t>
  </si>
  <si>
    <t>0xc11005</t>
  </si>
  <si>
    <t>中</t>
  </si>
  <si>
    <t>CAN线断路</t>
  </si>
  <si>
    <t>CAN通讯异常(4289,5)</t>
  </si>
  <si>
    <t>开关内部故障</t>
  </si>
  <si>
    <t>0x52380B</t>
  </si>
  <si>
    <t>EPB开关发生故障</t>
  </si>
  <si>
    <t>EPB开关故障（14418，11）</t>
  </si>
  <si>
    <t>阀体内部故障</t>
  </si>
  <si>
    <t>0x52390B</t>
  </si>
  <si>
    <t>EPB模块总成阀体内部故障</t>
  </si>
  <si>
    <t>EPB模块总成故障（14674，11）</t>
  </si>
  <si>
    <t>主阀电供电过高</t>
  </si>
  <si>
    <t>0x523b03</t>
  </si>
  <si>
    <t>主阀电电压高于32V</t>
  </si>
  <si>
    <t>供电电压异常（15186，3）</t>
  </si>
  <si>
    <t>仪表不显示故障码，通过诊断仪读取故障</t>
  </si>
  <si>
    <t>主阀电供电过低</t>
  </si>
  <si>
    <t>0x523b04</t>
  </si>
  <si>
    <t>主阀电电压低于16V</t>
  </si>
  <si>
    <t>供电电压异常（15186，4）</t>
  </si>
  <si>
    <t>主阀电没接</t>
  </si>
  <si>
    <t>0x523b05</t>
  </si>
  <si>
    <t>主阀电未接</t>
  </si>
  <si>
    <t>供电电压异常（15186，5）</t>
  </si>
  <si>
    <t>备用阀电源未接</t>
  </si>
  <si>
    <t>0x523505</t>
  </si>
  <si>
    <t>备用阀电未接</t>
  </si>
  <si>
    <t>供电电压异常（13650，5）</t>
  </si>
  <si>
    <t>临停阀制动端对电源短路</t>
  </si>
  <si>
    <t>0x523003</t>
  </si>
  <si>
    <t>临停继动阀制动端对电源短路</t>
  </si>
  <si>
    <t>临停阀故障（12370，3）</t>
  </si>
  <si>
    <t>临停阀制动端对地短路</t>
  </si>
  <si>
    <t>0x523006</t>
  </si>
  <si>
    <t>临停继动阀制动端对地短路</t>
  </si>
  <si>
    <t>临停阀故障（12370，6）</t>
  </si>
  <si>
    <t>仅仪表文字显示故障码</t>
  </si>
  <si>
    <t>临停阀制动端断路</t>
  </si>
  <si>
    <t>0x523005</t>
  </si>
  <si>
    <t>临停继动阀制动端断路</t>
  </si>
  <si>
    <t>临停阀故障（12370，5）</t>
  </si>
  <si>
    <t>临停排气对电源短路</t>
  </si>
  <si>
    <t>0x523403</t>
  </si>
  <si>
    <t>临停继动阀缓解端对电源短路</t>
  </si>
  <si>
    <t>临停阀故障（13394，3）</t>
  </si>
  <si>
    <t>临停排气对地短路</t>
  </si>
  <si>
    <t>0x523406</t>
  </si>
  <si>
    <t>临停继动阀缓解端对地短路</t>
  </si>
  <si>
    <t>临停阀故障（13394，6）</t>
  </si>
  <si>
    <t>临停排气断路</t>
  </si>
  <si>
    <t>0x523405</t>
  </si>
  <si>
    <t>临停继动阀缓解端断路</t>
  </si>
  <si>
    <t>临停阀故障（13394，5）</t>
  </si>
  <si>
    <t>挂车独立制动端对电源短路</t>
  </si>
  <si>
    <t>0x523603</t>
  </si>
  <si>
    <t>挂车独立制动电磁阀对电源短路</t>
  </si>
  <si>
    <t>挂车独立制动电磁阀故障（13906，3）</t>
  </si>
  <si>
    <t>挂车独立制动端对地短路</t>
  </si>
  <si>
    <t>0x523606</t>
  </si>
  <si>
    <t>挂车独立制动电磁阀对地短路</t>
  </si>
  <si>
    <t>挂车独立制动电磁阀故障（13906，6）</t>
  </si>
  <si>
    <t>挂车独立制动端断路</t>
  </si>
  <si>
    <t>0x523605</t>
  </si>
  <si>
    <t>挂车独立制动电磁阀断路</t>
  </si>
  <si>
    <t>挂车独立制动电磁阀故障（13906，5）</t>
  </si>
  <si>
    <t>行车压力传感器低于量程范围</t>
  </si>
  <si>
    <t>0x523A04</t>
  </si>
  <si>
    <t>行车压力传感器输出异常</t>
  </si>
  <si>
    <t>行车压力传感器故障（14930，4）</t>
  </si>
  <si>
    <t>行车压力传感器超过量产范围</t>
  </si>
  <si>
    <t>0x523A03</t>
  </si>
  <si>
    <t>行车压力传感器故障（14930，3）</t>
  </si>
  <si>
    <t>制动状态低于正常的行车压力</t>
  </si>
  <si>
    <t>0x524A01</t>
  </si>
  <si>
    <t>车辆制动时，制动管路无气</t>
  </si>
  <si>
    <t>行车制动管路故障（19026，1）</t>
  </si>
  <si>
    <t>行车状态高于正常的行车压力</t>
  </si>
  <si>
    <t>0x524B00</t>
  </si>
  <si>
    <t>车辆未制动时，制动管路有气</t>
  </si>
  <si>
    <t>行车制动管路故障（19282，0）</t>
  </si>
  <si>
    <t>行车气路漏气速率过大</t>
  </si>
  <si>
    <t>0x524C0A</t>
  </si>
  <si>
    <t>制动管路漏气</t>
  </si>
  <si>
    <t>行车制动管路故障（19538，10）</t>
  </si>
  <si>
    <t>EBS故障无法响应XBR</t>
  </si>
  <si>
    <t>0x526703</t>
  </si>
  <si>
    <t>EBS系统无法响应XBR请求</t>
  </si>
  <si>
    <t>制动系统响应异常(26450,3)</t>
  </si>
  <si>
    <t>仪表不显示故障码，仅可通过诊断仪读取故障码</t>
  </si>
  <si>
    <t>EBS故障无法响应临停</t>
  </si>
  <si>
    <t>0x523703</t>
  </si>
  <si>
    <t>EBS系统无法响应临时停车制动请求</t>
  </si>
  <si>
    <t>制动系统响应异常(14162,3)</t>
  </si>
  <si>
    <t>模块充气超时</t>
  </si>
  <si>
    <t>0x524907</t>
  </si>
  <si>
    <t>驻车系统充气超时</t>
  </si>
  <si>
    <t>模块充气超时（18770，7）</t>
  </si>
  <si>
    <t>模块排气超时</t>
  </si>
  <si>
    <t>0x525907</t>
  </si>
  <si>
    <t>驻车系统排气超时</t>
  </si>
  <si>
    <t>模块排气超时（22866，7）</t>
  </si>
  <si>
    <t>模块驻车压力传感器低于量程范围</t>
  </si>
  <si>
    <t>0x525A04</t>
  </si>
  <si>
    <t>驻车压力传感器输出异常</t>
  </si>
  <si>
    <t>驻车压力传感器故障（23122，4）</t>
  </si>
  <si>
    <t>模块驻车压力传感器超出量程范围</t>
  </si>
  <si>
    <t>0x525A03</t>
  </si>
  <si>
    <t>驻车压力传感器故障（23122，3）</t>
  </si>
  <si>
    <t>模块倾角传感器未标定</t>
  </si>
  <si>
    <t>0x521010</t>
  </si>
  <si>
    <t>倾角传感器未标定</t>
  </si>
  <si>
    <t>倾角传感器故障（4178，16）</t>
  </si>
  <si>
    <t>模块倾角传感器故障</t>
  </si>
  <si>
    <t>0x521042</t>
  </si>
  <si>
    <t>倾角传感器故障</t>
  </si>
  <si>
    <t>倾角传感器故障（135250，2）</t>
  </si>
  <si>
    <t>模块驻车电磁阀对电源短路</t>
  </si>
  <si>
    <t>0x524103</t>
  </si>
  <si>
    <t>驻车电磁阀对电源短路</t>
  </si>
  <si>
    <t>驻车电磁阀故障（16722，3）</t>
  </si>
  <si>
    <t>模块驻车电磁阀对地短路</t>
  </si>
  <si>
    <t>0x524106</t>
  </si>
  <si>
    <t>驻车电磁阀对地短路</t>
  </si>
  <si>
    <t>驻车电磁阀故障（16722，6）</t>
  </si>
  <si>
    <t>模块驻车电磁阀断路</t>
  </si>
  <si>
    <t>0x524105</t>
  </si>
  <si>
    <t>驻车电磁阀断路</t>
  </si>
  <si>
    <t>驻车电磁阀故障（16722，5）</t>
  </si>
  <si>
    <t>模块释放电磁阀对电源短路</t>
  </si>
  <si>
    <t>0x524203</t>
  </si>
  <si>
    <t>释放电磁阀对电源短路</t>
  </si>
  <si>
    <t>释放电磁阀故障（16978，3）</t>
  </si>
  <si>
    <t>模块释放电磁阀对地短路</t>
  </si>
  <si>
    <t>0x524206</t>
  </si>
  <si>
    <t>释放电磁阀对地短路</t>
  </si>
  <si>
    <t>释放电磁阀故障（16978，6）</t>
  </si>
  <si>
    <t>模块释放电磁阀断路</t>
  </si>
  <si>
    <t>0x524205</t>
  </si>
  <si>
    <t>释放电磁阀断路</t>
  </si>
  <si>
    <t>释放电磁阀故障（16978，5）</t>
  </si>
  <si>
    <t>模块挂车检测电磁阀对电源短路</t>
  </si>
  <si>
    <t>0x524303</t>
  </si>
  <si>
    <t>挂车检测电磁阀对电源短路</t>
  </si>
  <si>
    <t>挂车检测电磁阀故障（17234，3）</t>
  </si>
  <si>
    <t>模块挂车检测电磁阀对地短路</t>
  </si>
  <si>
    <t>0x524306</t>
  </si>
  <si>
    <t>挂车检测电磁阀对地短路</t>
  </si>
  <si>
    <t>挂车检测电磁阀故障（17234，6）</t>
  </si>
  <si>
    <t>模块挂车检测电磁阀断路</t>
  </si>
  <si>
    <t>0x524305</t>
  </si>
  <si>
    <t>挂车检测电磁阀断路</t>
  </si>
  <si>
    <t>挂车检测电磁阀故障（17234，5）</t>
  </si>
  <si>
    <t>ECU读取内存故障</t>
  </si>
  <si>
    <t>0x525319</t>
  </si>
  <si>
    <t>ECU故障（21330，25）</t>
  </si>
  <si>
    <t>ECU写内存故障</t>
  </si>
  <si>
    <t>0x525318</t>
  </si>
  <si>
    <t>ECU故障（21330，24）</t>
  </si>
  <si>
    <t>开关释放端对电短路</t>
  </si>
  <si>
    <t>0x824503</t>
  </si>
  <si>
    <t>EPB开关故障（17794，3）</t>
  </si>
  <si>
    <t>开关释放端对地短路</t>
  </si>
  <si>
    <t>0x824506</t>
  </si>
  <si>
    <t>EPB开关故障（17794，6）</t>
  </si>
  <si>
    <t>开关释放端断路</t>
  </si>
  <si>
    <t>0x824505</t>
  </si>
  <si>
    <t>EPB开关故障（17794，5）</t>
  </si>
  <si>
    <t>开关驻车端对电短路</t>
  </si>
  <si>
    <t>0x824603</t>
  </si>
  <si>
    <t>EPB开关故障（18050，3）</t>
  </si>
  <si>
    <t>开关驻车端对地短路</t>
  </si>
  <si>
    <t>0x824606</t>
  </si>
  <si>
    <t>EPB开关故障（18050，6）</t>
  </si>
  <si>
    <t>开关驻车端断路</t>
  </si>
  <si>
    <t>0x824605</t>
  </si>
  <si>
    <t>EPB开关故障（18050，5）</t>
  </si>
  <si>
    <t>开关线性不成比例</t>
  </si>
  <si>
    <t>0x824600</t>
  </si>
  <si>
    <t>EPB开关故障（18050，0）</t>
  </si>
  <si>
    <t>故障灯亮，且仪表文字显示故障</t>
  </si>
  <si>
    <t>开关卡滞</t>
  </si>
  <si>
    <t>0x82460A</t>
  </si>
  <si>
    <t>EPB开关故障（18050，10）</t>
  </si>
  <si>
    <t>开关未接</t>
  </si>
  <si>
    <t>0x824602</t>
  </si>
  <si>
    <t>EPB开关故障（18050，2）</t>
  </si>
  <si>
    <t>开关供电异常</t>
  </si>
  <si>
    <t>0x824705</t>
  </si>
  <si>
    <t>EPB开关故障（18306，5）</t>
  </si>
  <si>
    <t>开关CAN Busoff</t>
  </si>
  <si>
    <t>0xc24613</t>
  </si>
  <si>
    <t>EPB开关故障（18114，19）</t>
  </si>
  <si>
    <t>整车CAN Busoff</t>
  </si>
  <si>
    <t>0xc15713</t>
  </si>
  <si>
    <t>整车CAN故障（22465，19）</t>
  </si>
  <si>
    <t>档位信号丢失</t>
  </si>
  <si>
    <t>0xc33209</t>
  </si>
  <si>
    <t>档位信号丢失（12995，9）</t>
  </si>
  <si>
    <t>油门信号丢失</t>
  </si>
  <si>
    <t>0xc33309</t>
  </si>
  <si>
    <t>油门信号丢失（13251，9）</t>
  </si>
  <si>
    <t>扭矩信号丢失</t>
  </si>
  <si>
    <t>0xc33409</t>
  </si>
  <si>
    <t>扭矩信号丢失（13507，9）</t>
  </si>
  <si>
    <t>脚刹信号丢失</t>
  </si>
  <si>
    <t>0xc33509</t>
  </si>
  <si>
    <t>脚刹信号丢失（13763，9）</t>
  </si>
  <si>
    <t>气压信号丢失</t>
  </si>
  <si>
    <t>0xc33609</t>
  </si>
  <si>
    <t>气压信号丢失（14019，9）</t>
  </si>
  <si>
    <t>转速信号丢失</t>
  </si>
  <si>
    <t>0xc33709</t>
  </si>
  <si>
    <t>转速信号丢失（14275，9）</t>
  </si>
  <si>
    <t>车速信号丢失</t>
  </si>
  <si>
    <t>0xc33809</t>
  </si>
  <si>
    <t>车速信号丢失（14531，9）</t>
  </si>
  <si>
    <t>ABS轮速报文丢失</t>
  </si>
  <si>
    <t>0xc33909</t>
  </si>
  <si>
    <t>ABS轮速报文丢失（14787，9）</t>
  </si>
  <si>
    <t>安全带信号丢失</t>
  </si>
  <si>
    <t>0xc33109</t>
  </si>
  <si>
    <t>安全带信号丢失（12739，9）</t>
  </si>
  <si>
    <t>Ready丢失</t>
  </si>
  <si>
    <t>0xc33A09</t>
  </si>
  <si>
    <t>Ready信号丢失</t>
  </si>
  <si>
    <t>Ready信号丢失（15043，9）</t>
  </si>
  <si>
    <t>Haltbrake丢失</t>
  </si>
  <si>
    <t>0xc33B09</t>
  </si>
  <si>
    <t>Haltbrake信号丢失</t>
  </si>
  <si>
    <t>Haltbrake信号丢失（15299，9）</t>
  </si>
  <si>
    <t>XBR丢失</t>
  </si>
  <si>
    <t>0xc33C09</t>
  </si>
  <si>
    <t>XBR信号丢失</t>
  </si>
  <si>
    <t>XBR信号丢失（15555，9）</t>
  </si>
  <si>
    <t>档位信号无效</t>
  </si>
  <si>
    <t>0xc13202</t>
  </si>
  <si>
    <t>档位信号无效（12993，2）</t>
  </si>
  <si>
    <t>油门信号无效</t>
  </si>
  <si>
    <t>0xc13302</t>
  </si>
  <si>
    <t>油门信号无效（13249，2）</t>
  </si>
  <si>
    <t>扭矩信号无效</t>
  </si>
  <si>
    <t>0xc13402</t>
  </si>
  <si>
    <t>扭矩信号无效（13505，2）</t>
  </si>
  <si>
    <t>脚刹信号无效</t>
  </si>
  <si>
    <t>0xc13502</t>
  </si>
  <si>
    <t>脚刹信号无效（13761，2）</t>
  </si>
  <si>
    <t>气压信号无效</t>
  </si>
  <si>
    <t>0xc13602</t>
  </si>
  <si>
    <t>气压信号无效（14017，2）</t>
  </si>
  <si>
    <t>转速信号无效</t>
  </si>
  <si>
    <t>0xc13702</t>
  </si>
  <si>
    <t>转速信号无效（14273，2）</t>
  </si>
  <si>
    <t>0xc13802</t>
  </si>
  <si>
    <t>车速信号无效（14529，2）</t>
  </si>
  <si>
    <t>ABS轮速信号无效</t>
  </si>
  <si>
    <t>0xc13902</t>
  </si>
  <si>
    <t>ABS轮速信号无效（14785，2）</t>
  </si>
  <si>
    <t>安全带信号无效</t>
  </si>
  <si>
    <t>0xc13102</t>
  </si>
  <si>
    <t>安全带信号无效（14737，2）</t>
  </si>
  <si>
    <t>Ready无效</t>
  </si>
  <si>
    <t>0xc13A02</t>
  </si>
  <si>
    <t>Ready信号无效</t>
  </si>
  <si>
    <t>Ready信号无效（15041，2）</t>
  </si>
  <si>
    <t>Haltbrake无效</t>
  </si>
  <si>
    <t>0xc13B02</t>
  </si>
  <si>
    <t>Haltbrake信号无效</t>
  </si>
  <si>
    <t>Haltbrake信号无效（15297，2）</t>
  </si>
  <si>
    <t>XBR无效</t>
  </si>
  <si>
    <t>0xc13C02</t>
  </si>
  <si>
    <t>XBR信号无效</t>
  </si>
  <si>
    <t>XBR信号无效（15553，2）</t>
  </si>
  <si>
    <t>输入车速异常跳变</t>
  </si>
  <si>
    <t>0xc3220A</t>
  </si>
  <si>
    <t>车速异常跳变</t>
  </si>
  <si>
    <t>车速异常跳变（8899，10）</t>
  </si>
  <si>
    <t>车速误差过大</t>
  </si>
  <si>
    <t>0xc3221A</t>
  </si>
  <si>
    <t>车速误差过大（8899，26）</t>
  </si>
  <si>
    <t>驻车状态高于正常的驻车压力</t>
  </si>
  <si>
    <t>0x534A01</t>
  </si>
  <si>
    <t>驻车状态驻车压力过高</t>
  </si>
  <si>
    <t>驻车压力异常（19027，1）</t>
  </si>
  <si>
    <t>行车状态低于正常的驻车压力</t>
  </si>
  <si>
    <t>0x534B00</t>
  </si>
  <si>
    <t>行车状态驻车压力过低</t>
  </si>
  <si>
    <t>驻车压力异常（19283，0）</t>
  </si>
  <si>
    <t>驻车气路漏气速率过大</t>
  </si>
  <si>
    <t>0x534C0A</t>
  </si>
  <si>
    <t>驻车管路漏气速率过大</t>
  </si>
  <si>
    <t>驻车压力异常（19539，10）</t>
  </si>
  <si>
    <t>AutoDrive_ADCU报文丢失</t>
  </si>
  <si>
    <t>0xc13309</t>
  </si>
  <si>
    <t>AutoDrive_ADCU报文丢失（13249，9）</t>
  </si>
  <si>
    <t>AutoDrive_ADCU校验错误</t>
  </si>
  <si>
    <t>0xc13409</t>
  </si>
  <si>
    <t>AutoDrive_ADCU校验错误（13505，9）</t>
  </si>
  <si>
    <t>AutoDrive_ADCU Counter错误</t>
  </si>
  <si>
    <t>0xc13509</t>
  </si>
  <si>
    <t>AutoDrive_ADCU Counter错误（13761，9）</t>
  </si>
  <si>
    <t>AutoDrive_rADCU报文丢失</t>
  </si>
  <si>
    <t>0xc13609</t>
  </si>
  <si>
    <t>AutoDrive_rADCU报文丢失（14017，9）</t>
  </si>
  <si>
    <t>AutoDrive_rADCU校验错误</t>
  </si>
  <si>
    <t>0xc13709</t>
  </si>
  <si>
    <t>AutoDrive_rADCU校验错误（14273，9）</t>
  </si>
  <si>
    <t>AutoDrive_rADCU Counter错误</t>
  </si>
  <si>
    <t>0xc13809</t>
  </si>
  <si>
    <t>AutoDrive_rADCU Counter错误（14529，9）</t>
  </si>
  <si>
    <t>EPBC1_ADCU丢失</t>
  </si>
  <si>
    <t>0xc13909</t>
  </si>
  <si>
    <t>EPBC1_ADCU丢失（14785，9）</t>
  </si>
  <si>
    <t>EPBC1_ADCU校验错误</t>
  </si>
  <si>
    <t>0xc14a09</t>
  </si>
  <si>
    <t>EPBC1_ADCU校验错误（19137，9）</t>
  </si>
  <si>
    <t>EPBC1_ADCU Counter错误</t>
  </si>
  <si>
    <t>0xc14b09</t>
  </si>
  <si>
    <t>EPBC1_ADCU Counter错误（19393，9）</t>
  </si>
  <si>
    <t>EPBC1_rADCU丢失</t>
  </si>
  <si>
    <t>0xc14c09</t>
  </si>
  <si>
    <t>EPBC1_rADCU丢失（19649，9）</t>
  </si>
  <si>
    <t>EPBC1_rADCU校验错误</t>
  </si>
  <si>
    <t>0xc14d09</t>
  </si>
  <si>
    <t>EPBC1_rADCU校验错误（19905，9）</t>
  </si>
  <si>
    <t>EPBC1_rADCU Counter错误</t>
  </si>
  <si>
    <t>0xc14e09</t>
  </si>
  <si>
    <t>EPBC1_rADCU Counter错误（20161，9）</t>
  </si>
  <si>
    <t>安装角度偏差过大-X方向</t>
  </si>
  <si>
    <t>0x514f0d</t>
  </si>
  <si>
    <t>安装角度偏差过大（20305，13）</t>
  </si>
  <si>
    <t>安装角度偏差过大-Y方向</t>
  </si>
  <si>
    <t>0x51500d</t>
  </si>
  <si>
    <t>安装角度偏差过大（20561，13）</t>
  </si>
  <si>
    <t>左边传感器对地短路故障</t>
  </si>
  <si>
    <t>0x517106</t>
  </si>
  <si>
    <t>轮速传感器故障（29009，6）</t>
  </si>
  <si>
    <t>左边传感器对电短路故障</t>
  </si>
  <si>
    <t>0x517103</t>
  </si>
  <si>
    <t>轮速传感器故障（29009，3）</t>
  </si>
  <si>
    <t>左边传感器断路故障</t>
  </si>
  <si>
    <t>0x517105</t>
  </si>
  <si>
    <t>轮速传感器故障（29009，5）</t>
  </si>
  <si>
    <t>左边传感器缺齿</t>
  </si>
  <si>
    <t>0x517107</t>
  </si>
  <si>
    <t>轮速传感器故障（29009，7）</t>
  </si>
  <si>
    <t>左边传感器间隙过大</t>
  </si>
  <si>
    <t>0x517101</t>
  </si>
  <si>
    <t>轮速传感器故障（29009，1）</t>
  </si>
  <si>
    <t>右边传感器对地短路故障</t>
  </si>
  <si>
    <t>0x518106</t>
  </si>
  <si>
    <t>轮速传感器故障（33105，6）</t>
  </si>
  <si>
    <t>右边传感器对电短路故障</t>
  </si>
  <si>
    <t>0x518103</t>
  </si>
  <si>
    <t>轮速传感器故障（33105，3）</t>
  </si>
  <si>
    <t>右边传感器断路故障</t>
  </si>
  <si>
    <t>0x518105</t>
  </si>
  <si>
    <t>轮速传感器故障（33105，5）</t>
  </si>
  <si>
    <t>右边传感器缺齿</t>
  </si>
  <si>
    <t>0x518107</t>
  </si>
  <si>
    <t>轮速传感器故障（33105，7）</t>
  </si>
  <si>
    <t>右边传感器间隙过大</t>
  </si>
  <si>
    <t>0x518101</t>
  </si>
  <si>
    <t>轮速传感器故障（33105，1）</t>
  </si>
  <si>
    <t>主阀电继电器无法驱动输出</t>
  </si>
  <si>
    <t>0x523204</t>
  </si>
  <si>
    <t>继电器工作异常（12882，4）</t>
  </si>
  <si>
    <t>备用阀电继电器无法驱动输出</t>
  </si>
  <si>
    <t>0x523104</t>
  </si>
  <si>
    <t>继电器工作异常（12626，4）</t>
  </si>
  <si>
    <t>主阀电继电器无法切断输出</t>
  </si>
  <si>
    <t>0x523203</t>
  </si>
  <si>
    <t>继电器工作异常（12882，3）</t>
  </si>
  <si>
    <t>备用阀电继电器无法切断输出</t>
  </si>
  <si>
    <t>0x523103</t>
  </si>
  <si>
    <t>继电器工作异常（12626，3）</t>
  </si>
  <si>
    <t>ON电供电过高</t>
  </si>
  <si>
    <t>0x523803</t>
  </si>
  <si>
    <t>供电电压异常（14418，3）</t>
  </si>
  <si>
    <t>ON电供电过低</t>
  </si>
  <si>
    <t>0x523804</t>
  </si>
  <si>
    <t>供电电压异常（14418，4）</t>
  </si>
  <si>
    <t>备用阀电供电过高</t>
  </si>
  <si>
    <t>0x523503</t>
  </si>
  <si>
    <t>供电电压异常（13650，3）</t>
  </si>
  <si>
    <t>备用阀电供电过低</t>
  </si>
  <si>
    <t>0x523504</t>
  </si>
  <si>
    <t>供电电压异常（13650，4）</t>
  </si>
  <si>
    <t>离合信号丢失</t>
  </si>
  <si>
    <t>0xc33D09</t>
  </si>
  <si>
    <t>离合信号丢失（15811，9）</t>
  </si>
  <si>
    <t>离合信号无效</t>
  </si>
  <si>
    <t>0xc14f02</t>
  </si>
  <si>
    <t>离合信号无效（20417，2）</t>
  </si>
  <si>
    <t>驻车开关闭合位置异常</t>
  </si>
  <si>
    <t>0x824804</t>
  </si>
  <si>
    <t>EPB开关故障（18562，4）</t>
  </si>
  <si>
    <t>缓解开关闭合位置异常</t>
  </si>
  <si>
    <t>0x824903</t>
  </si>
  <si>
    <t>EPB开关故障（18818，3）</t>
  </si>
  <si>
    <t>驻车指示灯对电短路</t>
  </si>
  <si>
    <t>0x824A03</t>
  </si>
  <si>
    <t>EPB开关故障（19074，3）</t>
  </si>
  <si>
    <t>驻车指示灯断路</t>
  </si>
  <si>
    <t>0x824B05</t>
  </si>
  <si>
    <t>EPB开关故障（19330，5）</t>
  </si>
  <si>
    <t>临停指示灯对电短路</t>
  </si>
  <si>
    <t>0x824C03</t>
  </si>
  <si>
    <t>EPB开关故障（19586，3）</t>
  </si>
  <si>
    <t>临停指示灯断路</t>
  </si>
  <si>
    <t>0x824D05</t>
  </si>
  <si>
    <t>EPB开关故障（19842，5）</t>
  </si>
  <si>
    <t>挂车指示灯对电短路</t>
  </si>
  <si>
    <t>0x824E03</t>
  </si>
  <si>
    <t>EPB开关故障（20098，3）</t>
  </si>
  <si>
    <t>挂车指示灯断路</t>
  </si>
  <si>
    <t>0x824F05</t>
  </si>
  <si>
    <t>EPB开关故障（20354，5）</t>
  </si>
  <si>
    <t>EPB系统失效</t>
  </si>
  <si>
    <t>0x52880b</t>
  </si>
  <si>
    <t>高</t>
  </si>
  <si>
    <t>EPB系统严重故障</t>
  </si>
  <si>
    <t>EPB系统严重故障（34898，11）</t>
  </si>
  <si>
    <t>硬线驻车灯断路</t>
  </si>
  <si>
    <t>0x832505</t>
  </si>
  <si>
    <t>硬线驻车灯断路（9603，5）</t>
  </si>
  <si>
    <t>硬线驻车灯对电短路</t>
  </si>
  <si>
    <t>0x832503</t>
  </si>
  <si>
    <t>硬线驻车灯对电短路（9604，3）</t>
  </si>
  <si>
    <t>驻车开关冗余硬线异常</t>
  </si>
  <si>
    <t>0x832605</t>
  </si>
  <si>
    <t>驻车开关冗余硬线异常（9859，5）</t>
  </si>
  <si>
    <t>缓解开关冗余硬线异常</t>
  </si>
  <si>
    <t>0x832705</t>
  </si>
  <si>
    <t>缓解开关冗余硬线异常（10115，5）</t>
  </si>
  <si>
    <t>冗余CANbusoff</t>
  </si>
  <si>
    <t>0xc15813</t>
  </si>
  <si>
    <t>冗余CAN故障（22721，19）</t>
  </si>
  <si>
    <t>冗余can报文故障</t>
  </si>
  <si>
    <t>0xc30009</t>
  </si>
  <si>
    <t>冗余can中EPB需求的报文丢失</t>
  </si>
  <si>
    <t>冗余can信号丢失（195，9）</t>
  </si>
  <si>
    <t>蓝色是一代二代EPB独有的故障码，绿色是一代二代和三代共有的故障码，白色是三代独有的故障码</t>
  </si>
  <si>
    <t>ECAS:控制器严重内部故障</t>
  </si>
  <si>
    <t>ECAS:ECU故障（629,11）</t>
  </si>
  <si>
    <t>ECAS:控制器内部故障</t>
  </si>
  <si>
    <t>ECAS:ECU故障（629,14）</t>
  </si>
  <si>
    <t>629</t>
  </si>
  <si>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</si>
  <si>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</si>
  <si>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</si>
  <si>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</si>
  <si>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</si>
  <si>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</si>
  <si>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</si>
  <si>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</si>
  <si>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</si>
  <si>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</si>
  <si>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</si>
  <si>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</si>
  <si>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</si>
  <si>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</si>
  <si>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</si>
  <si>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</si>
  <si>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</si>
  <si>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</si>
  <si>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</si>
  <si>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</si>
  <si>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</si>
  <si>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</si>
  <si>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</si>
  <si>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</si>
  <si>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</si>
  <si>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</si>
  <si>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</si>
  <si>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</si>
  <si>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</si>
  <si>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</si>
  <si>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</si>
  <si>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</si>
  <si>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</si>
  <si>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</si>
  <si>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</si>
  <si>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</si>
  <si>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</si>
  <si>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</si>
  <si>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</si>
  <si>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</si>
  <si>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</si>
  <si>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</si>
  <si>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</si>
  <si>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</si>
  <si>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</si>
  <si>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</si>
  <si>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</si>
  <si>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</si>
  <si>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</si>
  <si>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</si>
  <si>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</si>
  <si>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</si>
  <si>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</si>
  <si>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</si>
  <si>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</si>
  <si>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</si>
  <si>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</si>
  <si>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</si>
  <si>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</si>
  <si>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</si>
  <si>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</si>
  <si>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</si>
  <si>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</si>
  <si>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</si>
  <si>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</si>
  <si>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</si>
  <si>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</si>
  <si>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</si>
  <si>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</si>
  <si>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</si>
  <si>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</si>
  <si>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</si>
  <si>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</si>
  <si>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</si>
  <si>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</si>
  <si>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</si>
  <si>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</si>
  <si>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</si>
  <si>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</si>
  <si>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</si>
  <si>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</si>
  <si>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</si>
  <si>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</si>
  <si>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</si>
  <si>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</si>
  <si>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</si>
  <si>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</si>
  <si>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</si>
  <si>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</si>
  <si>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</si>
  <si>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</si>
  <si>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</si>
  <si>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</si>
  <si>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</si>
  <si>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</si>
  <si>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</si>
  <si>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</si>
  <si>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</si>
  <si>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</si>
  <si>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</si>
  <si>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</si>
  <si>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</si>
  <si>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</si>
  <si>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</si>
  <si>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</si>
  <si>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r>
      <rPr>
        <sz val="11"/>
        <color theme="1"/>
        <rFont val="宋体"/>
        <charset val="134"/>
        <scheme val="minor"/>
      </rPr>
      <t>ECAS：轴荷气压传感器故障(</t>
    </r>
    <r>
      <rPr>
        <sz val="12"/>
        <color theme="1"/>
        <rFont val="宋体"/>
        <charset val="134"/>
      </rPr>
      <t>3841，11)</t>
    </r>
  </si>
  <si>
    <t>ECAS:ECAS轴荷气压传感器信号超过标定值</t>
  </si>
  <si>
    <r>
      <rPr>
        <sz val="11"/>
        <color theme="1"/>
        <rFont val="宋体"/>
        <charset val="134"/>
        <scheme val="minor"/>
      </rPr>
      <t>ECAS：轴荷气压传感器故障(</t>
    </r>
    <r>
      <rPr>
        <sz val="12"/>
        <color theme="1"/>
        <rFont val="宋体"/>
        <charset val="134"/>
      </rPr>
      <t>3841，13)</t>
    </r>
  </si>
  <si>
    <t>ECAS:ECAS轴荷气压传感器部件故障</t>
  </si>
  <si>
    <r>
      <rPr>
        <sz val="11"/>
        <color theme="1"/>
        <rFont val="宋体"/>
        <charset val="134"/>
        <scheme val="minor"/>
      </rPr>
      <t>ECAS：轴荷气压传感器故障(</t>
    </r>
    <r>
      <rPr>
        <sz val="12"/>
        <color theme="1"/>
        <rFont val="宋体"/>
        <charset val="134"/>
      </rPr>
      <t>3841，12)</t>
    </r>
  </si>
  <si>
    <t>ECAS:ECAS传感器组配置错误</t>
  </si>
  <si>
    <t>ECAS：传感器配置故障(523880，2)</t>
  </si>
  <si>
    <t>ECAS:ECAS系统自检故障</t>
  </si>
  <si>
    <t>ECAS：系统自检故障（3039,31）</t>
  </si>
  <si>
    <t>ECAS：系统自检故障（1742,31）</t>
  </si>
  <si>
    <t>ECAS：系统自检故障（1753,31）</t>
  </si>
  <si>
    <r>
      <rPr>
        <sz val="11"/>
        <color theme="1"/>
        <rFont val="宋体"/>
        <charset val="134"/>
        <scheme val="minor"/>
      </rPr>
      <t>ECAS：系统自检故障（1741,</t>
    </r>
    <r>
      <rPr>
        <sz val="12"/>
        <color theme="1"/>
        <rFont val="宋体"/>
        <charset val="134"/>
      </rPr>
      <t>15）</t>
    </r>
  </si>
  <si>
    <t>ECAS:ECAS中桥负轴荷超载</t>
  </si>
  <si>
    <t xml:space="preserve">ECAS：中桥轴荷超出最大允许值（521121,15） </t>
  </si>
  <si>
    <t>ECAS:ECAS后桥负轴荷超载</t>
  </si>
  <si>
    <t>ECAS：中桥轴荷超出最大允许值（521122,15）</t>
  </si>
  <si>
    <t>NO.</t>
  </si>
  <si>
    <t xml:space="preserve"> 仪表显示内容</t>
  </si>
  <si>
    <t>ECU的EEPROM数据写入故障</t>
  </si>
  <si>
    <t>ECAS:控制器内部故障(274430,11)</t>
  </si>
  <si>
    <t>ECU内部VFF电源故障</t>
  </si>
  <si>
    <t>ECAS:控制器内部故障(274430,2)</t>
  </si>
  <si>
    <t>气压传感器供电故障</t>
  </si>
  <si>
    <t>ECAS:遥控器电源或线路故障(274222,3)</t>
  </si>
  <si>
    <t>阀电源与主电源短路</t>
  </si>
  <si>
    <t>ECAS:电磁阀电源或线路故障(274210,3)</t>
  </si>
  <si>
    <t>阀电源与地线短路</t>
  </si>
  <si>
    <t>ECAS:电磁阀电源或线路故障(274210,6)</t>
  </si>
  <si>
    <t>遥控器电源与主电源短路</t>
  </si>
  <si>
    <t>ECAS:遥控器电源或线路故障(274223,3)</t>
  </si>
  <si>
    <t>遥控器或电缆线电气故障</t>
  </si>
  <si>
    <t>ECAS:遥控器或线路故障(274224,3)</t>
  </si>
  <si>
    <t>前桥高度传感器与地线短路</t>
  </si>
  <si>
    <t>ECAS:前桥高度传感器或线路故障(274192,6)</t>
  </si>
  <si>
    <t>前桥高度传感器开路</t>
  </si>
  <si>
    <t>ECAS:前桥高度传感器或线路故障(274192,5)</t>
  </si>
  <si>
    <t>前桥高度传感器超出范围</t>
  </si>
  <si>
    <t>ECAS:前桥高度传感器或线路故障(274192,4)</t>
  </si>
  <si>
    <t>左后高度传感器与地线短路</t>
  </si>
  <si>
    <t>ECAS:后桥高度传感器或线路故障(274195,6)</t>
  </si>
  <si>
    <t>左后高度传感器与主电源短路</t>
  </si>
  <si>
    <t>ECAS:后桥高度传感器或线路故障(274195,5)</t>
  </si>
  <si>
    <t>左后高度传感器超出范围</t>
  </si>
  <si>
    <t>ECAS:后桥高度传感器或线路故障(274195,4)</t>
  </si>
  <si>
    <t>右后高度传感器与地线短路</t>
  </si>
  <si>
    <t>ECAS:后桥高度传感器或线路故障(274194,6)</t>
  </si>
  <si>
    <t>右后高度传感器与电源短路</t>
  </si>
  <si>
    <t>ECAS:后桥高度传感器或线路故障(274194,5)</t>
  </si>
  <si>
    <t>右后高度传感器超出范围</t>
  </si>
  <si>
    <t>ECAS:后桥高度传感器或线路故障(274194,4)</t>
  </si>
  <si>
    <t>前桥气压传感器与地线短路</t>
  </si>
  <si>
    <t>ECAS:前桥气囊气压传感器或线路故障(274198,6)</t>
  </si>
  <si>
    <t>前桥气压传感器与电源短路</t>
  </si>
  <si>
    <t>ECAS:前桥气囊气压传感器或线路故障(274198,3)</t>
  </si>
  <si>
    <t>前桥气压传感器开路</t>
  </si>
  <si>
    <t>ECAS:前桥气囊气压传感器或线路故障(274198,5)</t>
  </si>
  <si>
    <t>左后气压传感器与地线短路</t>
  </si>
  <si>
    <t>ECAS:驱动桥气囊气压传感器或线路故障(274201,6)</t>
  </si>
  <si>
    <t>左后气压传感器与电源短路</t>
  </si>
  <si>
    <t>ECAS:驱动桥气囊气压传感器或线路故障(274201,3)</t>
  </si>
  <si>
    <t>左后气压传感器开路</t>
  </si>
  <si>
    <t>ECAS:驱动桥气囊气压传感器或线路故障(274201,5)</t>
  </si>
  <si>
    <t>右后气压传感器与地线短路</t>
  </si>
  <si>
    <t>ECAS:驱动桥气囊气压传感器或线路故障(274200,6)</t>
  </si>
  <si>
    <t>右后气压传感器与电源短路</t>
  </si>
  <si>
    <t>ECAS:驱动桥气囊气压传感器或线路故障(274200,3)</t>
  </si>
  <si>
    <t>右后气压传感器开路</t>
  </si>
  <si>
    <t>ECAS:驱动桥气囊气压传感器或线路故障(274200,5)</t>
  </si>
  <si>
    <t>第三桥左气压传感器与地线短路</t>
  </si>
  <si>
    <t>ECAS:第三桥气囊气压传感器或线路故障(274203,6)</t>
  </si>
  <si>
    <t>第三桥左气压传感器与电源短路</t>
  </si>
  <si>
    <t>ECAS:第三桥气囊气压传感器或线路故障(274203,3)</t>
  </si>
  <si>
    <t>第三桥左气压传感器开路</t>
  </si>
  <si>
    <t>ECAS:第三桥气囊气压传感器或线路故障(274203,5)</t>
  </si>
  <si>
    <t>第三桥右气压传感器与地线短路</t>
  </si>
  <si>
    <t>ECAS:第三桥气囊气压传感器或线路故障(274202,6)</t>
  </si>
  <si>
    <t>第三桥右气压传感器与电源短路</t>
  </si>
  <si>
    <t>ECAS:第三桥气囊气压传感器或线路故障(274202,3)</t>
  </si>
  <si>
    <t>第三桥右气压传感器开路</t>
  </si>
  <si>
    <t>ECAS:第三桥气囊气压传感器或线路故障(274202,5)</t>
  </si>
  <si>
    <t>提升气囊气压传感器与地线短路</t>
  </si>
  <si>
    <t>ECAS:提升气囊气压传感器或线路故障(274204,6)</t>
  </si>
  <si>
    <t>提升气囊气压传感器与电源短路</t>
  </si>
  <si>
    <t>ECAS:提升气囊气压传感器或线路故障(274204,3)</t>
  </si>
  <si>
    <t>提升气囊气压传感器开路</t>
  </si>
  <si>
    <t>ECAS:提升气囊气压传感器或线路故障(274204,5)</t>
  </si>
  <si>
    <t>前桥阀与地线短路</t>
  </si>
  <si>
    <t>ECAS:前桥电磁阀或线路故障(274177,6)</t>
  </si>
  <si>
    <t>前桥阀与电源短路</t>
  </si>
  <si>
    <t>ECAS:前桥电磁阀或线路故障(274177,3)</t>
  </si>
  <si>
    <t>前桥阀开路</t>
  </si>
  <si>
    <t>ECAS:前桥电磁阀或线路故障(274177,5)</t>
  </si>
  <si>
    <t>左后阀与地线短路</t>
  </si>
  <si>
    <t>ECAS:驱动桥电磁阀或线路故障(274180,6)</t>
  </si>
  <si>
    <t>左后阀与电源短路</t>
  </si>
  <si>
    <t>ECAS:驱动桥电磁阀或线路故障(274180,3)</t>
  </si>
  <si>
    <t>左后阀开路</t>
  </si>
  <si>
    <t>ECAS:驱动桥电磁阀或线路故障(274180,5)</t>
  </si>
  <si>
    <t>后桥中央阀与地线短路</t>
  </si>
  <si>
    <t>ECAS:驱动桥电磁阀或线路故障(274183,6)</t>
  </si>
  <si>
    <t>后桥中央阀与电源短路</t>
  </si>
  <si>
    <t>ECAS:驱动桥电磁阀或线路故障(274183,3)</t>
  </si>
  <si>
    <t>后桥中央阀开路</t>
  </si>
  <si>
    <t>ECAS:驱动桥电磁阀或线路故障(274183,5)</t>
  </si>
  <si>
    <t>右后阀与地线短路</t>
  </si>
  <si>
    <t>ECAS:驱动桥电磁阀或线路故障(274179,6)</t>
  </si>
  <si>
    <t>右后阀与电源短路</t>
  </si>
  <si>
    <t>ECAS:驱动桥电磁阀或线路故障(274179,3)</t>
  </si>
  <si>
    <t>右后阀开路</t>
  </si>
  <si>
    <t>ECAS:驱动桥电磁阀或线路故障(274179,5)</t>
  </si>
  <si>
    <t>第三桥左电磁阀与地线短路</t>
  </si>
  <si>
    <t>ECAS:第三桥电磁阀或线路故障(274182,6)</t>
  </si>
  <si>
    <t>第三桥左电磁阀与阀电源短路</t>
  </si>
  <si>
    <t>ECAS:第三桥电磁阀或线路故障(274182,3)</t>
  </si>
  <si>
    <t>第三桥左电磁阀开路</t>
  </si>
  <si>
    <t>ECAS:第三桥电磁阀或线路故障(274182,5)</t>
  </si>
  <si>
    <t>第三桥右电磁阀与地线短路</t>
  </si>
  <si>
    <t>ECAS:第三桥电磁阀或线路故障(274181,6)</t>
  </si>
  <si>
    <t>第三桥右电磁阀与阀电源短路</t>
  </si>
  <si>
    <t>ECAS:第三桥电磁阀或线路故障(274181,3)</t>
  </si>
  <si>
    <t>第三桥右电磁阀开路</t>
  </si>
  <si>
    <t>ECAS:第三桥电磁阀或线路故障(274181,5)</t>
  </si>
  <si>
    <t>第三桥中央电磁阀与地线短路</t>
  </si>
  <si>
    <t>ECAS:第三桥电磁阀或线路故障(274219,6)</t>
  </si>
  <si>
    <t>第三桥中央电磁阀与阀电源短路</t>
  </si>
  <si>
    <t>ECAS:第三桥电磁阀或线路故障(274219,3)</t>
  </si>
  <si>
    <t>第三桥中央电磁阀开路</t>
  </si>
  <si>
    <t>ECAS:第三桥电磁阀或线路故障(274219,5)</t>
  </si>
  <si>
    <t>提升电磁阀与地线短路</t>
  </si>
  <si>
    <t>ECAS:提升气囊电磁阀或线路故障(274186,6)</t>
  </si>
  <si>
    <t>提升电磁阀与阀电源短路</t>
  </si>
  <si>
    <t>ECAS:提升气囊电磁阀或线路故障(274186,3)</t>
  </si>
  <si>
    <t>提升电磁阀开路</t>
  </si>
  <si>
    <t>ECAS:提升气囊电磁阀或线路故障(274186,5)</t>
  </si>
  <si>
    <t>CCVS通讯超时</t>
  </si>
  <si>
    <t>ECAS:CAN总线信号超时(274237,9)</t>
  </si>
  <si>
    <t>TCO1通讯超时</t>
  </si>
  <si>
    <t>ECAS:CAN总线信号超时(274244,9)</t>
  </si>
  <si>
    <t>ASC2通讯超时</t>
  </si>
  <si>
    <t>ECAS:CAN总线信号超时(274251,9)</t>
  </si>
  <si>
    <t>换电系统:换电连接器过温轻微故障(522241,15)</t>
  </si>
  <si>
    <t>V1.14 删除</t>
  </si>
  <si>
    <r>
      <rPr>
        <sz val="11"/>
        <color theme="1"/>
        <rFont val="宋体"/>
        <charset val="134"/>
        <scheme val="minor"/>
      </rPr>
      <t>换电系统:换电连接器过温</t>
    </r>
    <r>
      <rPr>
        <strike/>
        <sz val="11"/>
        <color theme="1"/>
        <rFont val="宋体"/>
        <charset val="134"/>
        <scheme val="minor"/>
      </rPr>
      <t>一般</t>
    </r>
    <r>
      <rPr>
        <sz val="11"/>
        <color theme="1"/>
        <rFont val="宋体"/>
        <charset val="134"/>
        <scheme val="minor"/>
      </rPr>
      <t>故障(522241,16)</t>
    </r>
  </si>
  <si>
    <t>V1.14 由过温一般故障更新为过温故障</t>
  </si>
  <si>
    <t>换电系统:换电连接器过温严重故障(522241,0)</t>
  </si>
  <si>
    <t>换电机构锁止故障</t>
  </si>
  <si>
    <t>换电系统:换电机构锁止故障(522242,5)</t>
  </si>
  <si>
    <t>V1.14 由（522242，7）更新为（522242，5）</t>
  </si>
  <si>
    <t>换电系统:换电连接器持续断开故障(522243,5)</t>
  </si>
  <si>
    <t>换电系统:换电连接器瞬断轻微故障(522243,15)</t>
  </si>
  <si>
    <t>换电系统:换电连接器瞬断一般故障(522243,16)</t>
  </si>
  <si>
    <t>换电系统:换电连接器瞬断严重故障(522243,0)</t>
  </si>
  <si>
    <t>换电连接器温感故障</t>
  </si>
  <si>
    <t>换电系统:换电连接器温感失效故障(522244,2)</t>
  </si>
  <si>
    <t>换电系统:换电连接器温感断线故障(522244,5)</t>
  </si>
  <si>
    <t>换电系统:换电连接器温感短路故障(522244,6)</t>
  </si>
  <si>
    <r>
      <rPr>
        <sz val="9"/>
        <color rgb="FF000000"/>
        <rFont val="宋体"/>
        <charset val="134"/>
      </rPr>
      <t>换电控制器接收</t>
    </r>
    <r>
      <rPr>
        <sz val="9"/>
        <color rgb="FF000000"/>
        <rFont val="Times New Roman"/>
        <charset val="134"/>
      </rPr>
      <t>CAN</t>
    </r>
    <r>
      <rPr>
        <sz val="9"/>
        <color rgb="FF000000"/>
        <rFont val="宋体"/>
        <charset val="134"/>
      </rPr>
      <t>信息超时</t>
    </r>
  </si>
  <si>
    <t>换电系统:换电控制器接收CAN信息超时(522245,9)</t>
  </si>
  <si>
    <t>换电系统:换电控制器自检故障(522239,12)</t>
  </si>
  <si>
    <t>换电控制器输入电压异常</t>
  </si>
  <si>
    <t>换电系统:换电控制器输入电压异常(522238,13)</t>
  </si>
  <si>
    <t>换电系统无线通讯故障</t>
  </si>
  <si>
    <t>换电系统:无线通讯故障(522237,12)</t>
  </si>
  <si>
    <t>换电过程中驻车状态异常</t>
  </si>
  <si>
    <t>换电系统:换电过程中驻车状态异常(522235,12)</t>
  </si>
  <si>
    <t>换电机构电磁阀或电机故障</t>
  </si>
  <si>
    <t>换电系统:换电机构电磁阀或电机故障(522234,7)</t>
  </si>
  <si>
    <t>换电机构液压或气压异常</t>
  </si>
  <si>
    <t>换电系统:换电机构液压或气压异常(522233,7)</t>
  </si>
  <si>
    <t>换电系统换电柜不匹配</t>
  </si>
  <si>
    <t>换电系统:电池箱换电柜不匹配(522232,23)</t>
  </si>
  <si>
    <t>TMS系统故障（水位传感器故障）</t>
  </si>
  <si>
    <t>换电系统:TMS系统故障(522240,5)</t>
  </si>
  <si>
    <t>V1.14 新增</t>
  </si>
  <si>
    <t>温控机组故障（所有故障）</t>
  </si>
  <si>
    <t>换电系统:温控机组故障(522240,12)</t>
  </si>
  <si>
    <t>换电连接器温感开路故障</t>
  </si>
  <si>
    <t>换电系统:换电连接器温感开路故障(522244,5)</t>
  </si>
  <si>
    <t>源地址：0x8F</t>
  </si>
  <si>
    <t>FTS：电子冷却风扇故障(9691,12)</t>
  </si>
  <si>
    <t>FTS：进水温度传感器故障(12836,12)</t>
  </si>
  <si>
    <t>FTS：出水温度传感器故障(12837,12)</t>
  </si>
  <si>
    <t>FTS：进水温度传感器掉线(12836,5)</t>
  </si>
  <si>
    <t>FTS：出水温度传感器掉线(12837,5)</t>
  </si>
  <si>
    <t>FTS：CAN通讯异常(639,23)</t>
  </si>
  <si>
    <t>FTS：液位低或液位传感器故障(2430,12)</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</si>
</sst>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5">
    <font>
      <sz val="11"/>
      <color theme="1"/>
      <name val="宋体"/>
      <charset val="134"/>
      <scheme val="minor"/>
    </font>
    <font>
      <sz val="11"/>
      <name val="宋体"/>
      <charset val="134"/>
    </font>
    <font>
      <sz val="11"/>
      <name val="宋体"/>
      <charset val="134"/>
      <scheme val="minor"/>
    </font>
    <font>
      <b/>
      <sz val="11"/>
      <color rgb="FF1D1B10"/>
      <name val="宋体"/>
      <charset val="134"/>
    </font>
    <font>
      <b/>
      <sz val="11"/>
      <color rgb="FF000000"/>
      <name val="宋体"/>
      <charset val="134"/>
    </font>
    <font>
      <sz val="9"/>
      <color theme="1"/>
      <name val="Times New Roman"/>
      <charset val="134"/>
    </font>
    <font>
      <sz val="9"/>
      <color theme="1"/>
      <name val="宋体"/>
      <charset val="134"/>
    </font>
    <font>
      <strike/>
      <sz val="9"/>
      <color rgb="FFFF0000"/>
      <name val="Times New Roman"/>
      <charset val="134"/>
    </font>
    <font>
      <sz val="11"/>
      <color rgb="FFFF0000"/>
      <name val="宋体"/>
      <charset val="134"/>
      <scheme val="minor"/>
    </font>
    <font>
      <sz val="9"/>
      <color rgb="FF000000"/>
      <name val="Times New Roman"/>
      <charset val="134"/>
    </font>
    <font>
      <strike/>
      <sz val="9"/>
      <color rgb="FF000000"/>
      <name val="Times New Roman"/>
      <charset val="134"/>
    </font>
    <font>
      <strike/>
      <sz val="11"/>
      <color theme="1"/>
      <name val="宋体"/>
      <charset val="134"/>
      <scheme val="minor"/>
    </font>
    <font>
      <sz val="9"/>
      <color rgb="FF000000"/>
      <name val="宋体"/>
      <charset val="134"/>
    </font>
    <font>
      <b/>
      <sz val="11"/>
      <color theme="1"/>
      <name val="宋体"/>
      <charset val="134"/>
    </font>
    <font>
      <b/>
      <sz val="11"/>
      <color rgb="FF0070C0"/>
      <name val="微软雅黑"/>
      <charset val="134"/>
    </font>
    <font>
      <sz val="10"/>
      <color theme="1"/>
      <name val="微软雅黑"/>
      <charset val="134"/>
    </font>
    <font>
      <sz val="11"/>
      <color theme="1"/>
      <name val="微软雅黑"/>
      <charset val="134"/>
    </font>
    <font>
      <sz val="11"/>
      <color rgb="FF000000"/>
      <name val="微软雅黑"/>
      <charset val="134"/>
    </font>
    <font>
      <sz val="11"/>
      <color rgb="FFFF0000"/>
      <name val="微软雅黑"/>
      <charset val="134"/>
    </font>
    <font>
      <b/>
      <sz val="18"/>
      <color theme="1"/>
      <name val="宋体"/>
      <charset val="134"/>
      <scheme val="minor"/>
    </font>
    <font>
      <b/>
      <sz val="11"/>
      <color theme="1"/>
      <name val="微软雅黑"/>
      <charset val="134"/>
    </font>
    <font>
      <b/>
      <sz val="10"/>
      <color rgb="FF000000"/>
      <name val="宋体"/>
      <charset val="134"/>
    </font>
    <font>
      <sz val="10"/>
      <color rgb="FF000000"/>
      <name val="宋体"/>
      <charset val="134"/>
    </font>
    <font>
      <sz val="10"/>
      <color rgb="FF000000"/>
      <name val="Calibri"/>
      <charset val="134"/>
    </font>
    <font>
      <sz val="10"/>
      <color theme="1"/>
      <name val="宋体"/>
      <charset val="134"/>
    </font>
    <font>
      <b/>
      <sz val="11"/>
      <color rgb="FF000000"/>
      <name val="微软雅黑"/>
      <charset val="134"/>
    </font>
    <font>
      <sz val="11"/>
      <name val="微软雅黑"/>
      <charset val="134"/>
    </font>
    <font>
      <sz val="14"/>
      <color theme="1"/>
      <name val="宋体"/>
      <charset val="134"/>
      <scheme val="minor"/>
    </font>
    <font>
      <b/>
      <sz val="11"/>
      <color theme="2" tint="-0.899990844447157"/>
      <name val="微软雅黑"/>
      <charset val="134"/>
    </font>
    <font>
      <sz val="11"/>
      <color theme="2" tint="-0.899990844447157"/>
      <name val="微软雅黑"/>
      <charset val="134"/>
    </font>
    <font>
      <strike/>
      <sz val="11"/>
      <color rgb="FFFF0000"/>
      <name val="微软雅黑"/>
      <charset val="134"/>
    </font>
    <font>
      <strike/>
      <sz val="11"/>
      <color rgb="FF000000"/>
      <name val="微软雅黑"/>
      <charset val="134"/>
    </font>
    <font>
      <strike/>
      <sz val="11"/>
      <color theme="1"/>
      <name val="微软雅黑"/>
      <charset val="134"/>
    </font>
    <font>
      <b/>
      <sz val="11"/>
      <name val="微软雅黑"/>
      <charset val="134"/>
    </font>
    <font>
      <strike/>
      <sz val="11"/>
      <name val="微软雅黑"/>
      <charset val="134"/>
    </font>
    <font>
      <sz val="11"/>
      <color theme="1"/>
      <name val="宋体"/>
      <charset val="134"/>
    </font>
    <font>
      <sz val="11"/>
      <color theme="1"/>
      <name val="Times New Roman"/>
      <charset val="134"/>
    </font>
    <font>
      <b/>
      <sz val="11"/>
      <color theme="1"/>
      <name val="宋体"/>
      <charset val="134"/>
      <scheme val="minor"/>
    </font>
    <font>
      <b/>
      <sz val="12"/>
      <color theme="2" tint="-0.899990844447157"/>
      <name val="宋体"/>
      <charset val="134"/>
    </font>
    <font>
      <b/>
      <sz val="12"/>
      <color theme="2" tint="-0.899990844447157"/>
      <name val="宋体"/>
      <charset val="134"/>
      <scheme val="minor"/>
    </font>
    <font>
      <sz val="12"/>
      <color theme="2" tint="-0.899990844447157"/>
      <name val="宋体"/>
      <charset val="134"/>
    </font>
    <font>
      <sz val="12"/>
      <color rgb="FFFF0000"/>
      <name val="宋体"/>
      <charset val="134"/>
    </font>
    <font>
      <strike/>
      <sz val="12"/>
      <color theme="2" tint="-0.899990844447157"/>
      <name val="宋体"/>
      <charset val="134"/>
    </font>
    <font>
      <strike/>
      <sz val="12"/>
      <color theme="2" tint="-0.899960325937681"/>
      <name val="宋体"/>
      <charset val="134"/>
    </font>
    <font>
      <sz val="10"/>
      <name val="宋体"/>
      <charset val="134"/>
      <scheme val="minor"/>
    </font>
    <font>
      <sz val="12"/>
      <color theme="1"/>
      <name val="宋体"/>
      <charset val="134"/>
      <scheme val="minor"/>
    </font>
    <font>
      <sz val="10"/>
      <name val="宋体"/>
      <charset val="134"/>
    </font>
    <font>
      <sz val="10"/>
      <name val="Arial"/>
      <charset val="134"/>
    </font>
    <font>
      <sz val="10.5"/>
      <name val="宋体"/>
      <charset val="134"/>
    </font>
    <font>
      <sz val="10.5"/>
      <name val="Arial"/>
      <charset val="134"/>
    </font>
    <font>
      <strike/>
      <sz val="11"/>
      <name val="宋体"/>
      <charset val="134"/>
      <scheme val="minor"/>
    </font>
    <font>
      <strike/>
      <sz val="11"/>
      <name val="宋体"/>
      <charset val="134"/>
    </font>
    <font>
      <sz val="11"/>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0"/>
      <color indexed="8"/>
      <name val="Arial"/>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9C0006"/>
      <name val="宋体"/>
      <charset val="134"/>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0"/>
      <color theme="1"/>
      <name val="Arial"/>
      <charset val="134"/>
    </font>
    <font>
      <sz val="10"/>
      <color indexed="8"/>
      <name val="Calibri"/>
      <charset val="134"/>
    </font>
    <font>
      <sz val="11"/>
      <color indexed="8"/>
      <name val="宋体"/>
      <charset val="134"/>
    </font>
    <font>
      <sz val="11"/>
      <color theme="1"/>
      <name val="Tahoma"/>
      <charset val="134"/>
    </font>
    <font>
      <sz val="11"/>
      <color theme="1"/>
      <name val="Arial"/>
      <charset val="238"/>
    </font>
    <font>
      <sz val="11"/>
      <color rgb="FF006100"/>
      <name val="宋体"/>
      <charset val="134"/>
      <scheme val="minor"/>
    </font>
    <font>
      <sz val="12"/>
      <color theme="1"/>
      <name val="宋体"/>
      <charset val="134"/>
    </font>
    <font>
      <sz val="11"/>
      <color rgb="FF000000"/>
      <name val="Arial"/>
      <charset val="134"/>
    </font>
    <font>
      <b/>
      <sz val="9"/>
      <name val="宋体"/>
      <charset val="134"/>
    </font>
    <font>
      <sz val="9"/>
      <name val="宋体"/>
      <charset val="134"/>
    </font>
  </fonts>
  <fills count="44">
    <fill>
      <patternFill patternType="none"/>
    </fill>
    <fill>
      <patternFill patternType="gray125"/>
    </fill>
    <fill>
      <patternFill patternType="solid">
        <fgColor rgb="FFFFC000"/>
        <bgColor indexed="64"/>
      </patternFill>
    </fill>
    <fill>
      <patternFill patternType="solid">
        <fgColor theme="9" tint="0.799981688894314"/>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14548173467"/>
        <bgColor indexed="64"/>
      </patternFill>
    </fill>
    <fill>
      <patternFill patternType="solid">
        <fgColor theme="4" tint="0.399914548173467"/>
        <bgColor indexed="64"/>
      </patternFill>
    </fill>
    <fill>
      <patternFill patternType="solid">
        <fgColor rgb="FF00B050"/>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
    <xf numFmtId="0" fontId="0" fillId="0" borderId="0">
      <alignment vertical="center"/>
    </xf>
    <xf numFmtId="42" fontId="0" fillId="0" borderId="0" applyFont="0" applyFill="0" applyBorder="0" applyAlignment="0" applyProtection="0">
      <alignment vertical="center"/>
    </xf>
    <xf numFmtId="0" fontId="53" fillId="14" borderId="0" applyNumberFormat="0" applyBorder="0" applyAlignment="0" applyProtection="0">
      <alignment vertical="center"/>
    </xf>
    <xf numFmtId="0" fontId="54" fillId="15"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3" fillId="16" borderId="0" applyNumberFormat="0" applyBorder="0" applyAlignment="0" applyProtection="0">
      <alignment vertical="center"/>
    </xf>
    <xf numFmtId="0" fontId="55" fillId="17" borderId="0" applyNumberFormat="0" applyBorder="0" applyAlignment="0" applyProtection="0">
      <alignment vertical="center"/>
    </xf>
    <xf numFmtId="43" fontId="0" fillId="0" borderId="0" applyFont="0" applyFill="0" applyBorder="0" applyAlignment="0" applyProtection="0">
      <alignment vertical="center"/>
    </xf>
    <xf numFmtId="0" fontId="56" fillId="18" borderId="0" applyNumberFormat="0" applyBorder="0" applyAlignment="0" applyProtection="0">
      <alignment vertical="center"/>
    </xf>
    <xf numFmtId="0" fontId="57" fillId="0" borderId="0" applyNumberFormat="0" applyFill="0" applyBorder="0" applyAlignment="0" applyProtection="0">
      <alignment vertical="center"/>
    </xf>
    <xf numFmtId="9"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0" fillId="19" borderId="24" applyNumberFormat="0" applyFont="0" applyAlignment="0" applyProtection="0">
      <alignment vertical="center"/>
    </xf>
    <xf numFmtId="0" fontId="0" fillId="0" borderId="0"/>
    <xf numFmtId="0" fontId="56" fillId="20" borderId="0" applyNumberFormat="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xf numFmtId="0" fontId="0" fillId="0" borderId="0">
      <alignment vertical="center"/>
    </xf>
    <xf numFmtId="0" fontId="63" fillId="0" borderId="0" applyNumberFormat="0" applyFill="0" applyBorder="0" applyAlignment="0" applyProtection="0">
      <alignment vertical="center"/>
    </xf>
    <xf numFmtId="0" fontId="64" fillId="0" borderId="25" applyNumberFormat="0" applyFill="0" applyAlignment="0" applyProtection="0">
      <alignment vertical="center"/>
    </xf>
    <xf numFmtId="0" fontId="65" fillId="0" borderId="25" applyNumberFormat="0" applyFill="0" applyAlignment="0" applyProtection="0">
      <alignment vertical="center"/>
    </xf>
    <xf numFmtId="0" fontId="56" fillId="21" borderId="0" applyNumberFormat="0" applyBorder="0" applyAlignment="0" applyProtection="0">
      <alignment vertical="center"/>
    </xf>
    <xf numFmtId="0" fontId="59" fillId="0" borderId="26" applyNumberFormat="0" applyFill="0" applyAlignment="0" applyProtection="0">
      <alignment vertical="center"/>
    </xf>
    <xf numFmtId="0" fontId="56" fillId="22" borderId="0" applyNumberFormat="0" applyBorder="0" applyAlignment="0" applyProtection="0">
      <alignment vertical="center"/>
    </xf>
    <xf numFmtId="0" fontId="66" fillId="23" borderId="27" applyNumberFormat="0" applyAlignment="0" applyProtection="0">
      <alignment vertical="center"/>
    </xf>
    <xf numFmtId="0" fontId="67" fillId="23" borderId="23" applyNumberFormat="0" applyAlignment="0" applyProtection="0">
      <alignment vertical="center"/>
    </xf>
    <xf numFmtId="0" fontId="68" fillId="24" borderId="28" applyNumberFormat="0" applyAlignment="0" applyProtection="0">
      <alignment vertical="center"/>
    </xf>
    <xf numFmtId="0" fontId="69" fillId="17" borderId="0" applyNumberFormat="0" applyBorder="0" applyAlignment="0" applyProtection="0">
      <alignment vertical="center"/>
    </xf>
    <xf numFmtId="0" fontId="53" fillId="3" borderId="0" applyNumberFormat="0" applyBorder="0" applyAlignment="0" applyProtection="0">
      <alignment vertical="center"/>
    </xf>
    <xf numFmtId="0" fontId="56" fillId="25" borderId="0" applyNumberFormat="0" applyBorder="0" applyAlignment="0" applyProtection="0">
      <alignment vertical="center"/>
    </xf>
    <xf numFmtId="0" fontId="70" fillId="0" borderId="29" applyNumberFormat="0" applyFill="0" applyAlignment="0" applyProtection="0">
      <alignment vertical="center"/>
    </xf>
    <xf numFmtId="0" fontId="71" fillId="0" borderId="30" applyNumberFormat="0" applyFill="0" applyAlignment="0" applyProtection="0">
      <alignment vertical="center"/>
    </xf>
    <xf numFmtId="0" fontId="72" fillId="26" borderId="0" applyNumberFormat="0" applyBorder="0" applyAlignment="0" applyProtection="0">
      <alignment vertical="center"/>
    </xf>
    <xf numFmtId="0" fontId="73" fillId="27" borderId="0" applyNumberFormat="0" applyBorder="0" applyAlignment="0" applyProtection="0">
      <alignment vertical="center"/>
    </xf>
    <xf numFmtId="0" fontId="53" fillId="28" borderId="0" applyNumberFormat="0" applyBorder="0" applyAlignment="0" applyProtection="0">
      <alignment vertical="center"/>
    </xf>
    <xf numFmtId="0" fontId="56" fillId="29" borderId="0" applyNumberFormat="0" applyBorder="0" applyAlignment="0" applyProtection="0">
      <alignment vertical="center"/>
    </xf>
    <xf numFmtId="0" fontId="0" fillId="0" borderId="0"/>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0" fillId="0" borderId="0">
      <alignment vertical="center"/>
    </xf>
    <xf numFmtId="0" fontId="74" fillId="0" borderId="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3" fillId="36" borderId="0" applyNumberFormat="0" applyBorder="0" applyAlignment="0" applyProtection="0">
      <alignment vertical="center"/>
    </xf>
    <xf numFmtId="0" fontId="47" fillId="0" borderId="0"/>
    <xf numFmtId="0" fontId="53" fillId="37" borderId="0" applyNumberFormat="0" applyBorder="0" applyAlignment="0" applyProtection="0">
      <alignment vertical="center"/>
    </xf>
    <xf numFmtId="0" fontId="56" fillId="38" borderId="0" applyNumberFormat="0" applyBorder="0" applyAlignment="0" applyProtection="0">
      <alignment vertical="center"/>
    </xf>
    <xf numFmtId="0" fontId="47" fillId="0" borderId="0"/>
    <xf numFmtId="0" fontId="75" fillId="0" borderId="0"/>
    <xf numFmtId="0" fontId="53" fillId="39" borderId="0" applyNumberFormat="0" applyBorder="0" applyAlignment="0" applyProtection="0">
      <alignment vertical="center"/>
    </xf>
    <xf numFmtId="0" fontId="56" fillId="40" borderId="0" applyNumberFormat="0" applyBorder="0" applyAlignment="0" applyProtection="0">
      <alignment vertical="center"/>
    </xf>
    <xf numFmtId="0" fontId="56" fillId="41" borderId="0" applyNumberFormat="0" applyBorder="0" applyAlignment="0" applyProtection="0">
      <alignment vertical="center"/>
    </xf>
    <xf numFmtId="0" fontId="76" fillId="0" borderId="0" applyNumberFormat="0" applyFill="0" applyBorder="0" applyProtection="0">
      <alignment horizontal="left" vertical="top"/>
    </xf>
    <xf numFmtId="0" fontId="53" fillId="42" borderId="0" applyNumberFormat="0" applyBorder="0" applyAlignment="0" applyProtection="0">
      <alignment vertical="center"/>
    </xf>
    <xf numFmtId="0" fontId="56" fillId="43" borderId="0" applyNumberFormat="0" applyBorder="0" applyAlignment="0" applyProtection="0">
      <alignment vertical="center"/>
    </xf>
    <xf numFmtId="0" fontId="0" fillId="0" borderId="0"/>
    <xf numFmtId="0" fontId="74" fillId="0" borderId="0">
      <alignment vertical="center"/>
    </xf>
    <xf numFmtId="0" fontId="69" fillId="17" borderId="0" applyNumberFormat="0" applyBorder="0" applyAlignment="0" applyProtection="0"/>
    <xf numFmtId="0" fontId="77" fillId="0" borderId="0">
      <alignment vertical="center"/>
    </xf>
    <xf numFmtId="0" fontId="0" fillId="0" borderId="0">
      <alignment vertical="center"/>
    </xf>
    <xf numFmtId="0" fontId="0" fillId="0" borderId="0"/>
    <xf numFmtId="0" fontId="0" fillId="0" borderId="0"/>
    <xf numFmtId="0" fontId="0" fillId="0" borderId="0"/>
    <xf numFmtId="0" fontId="78" fillId="0" borderId="0"/>
    <xf numFmtId="0" fontId="0" fillId="0" borderId="0">
      <alignment vertical="center"/>
    </xf>
    <xf numFmtId="0" fontId="0" fillId="0" borderId="0"/>
    <xf numFmtId="0" fontId="0" fillId="0" borderId="0"/>
    <xf numFmtId="0" fontId="79" fillId="0" borderId="0"/>
    <xf numFmtId="0" fontId="0" fillId="0" borderId="0"/>
    <xf numFmtId="0" fontId="80" fillId="26" borderId="0" applyNumberFormat="0" applyBorder="0" applyAlignment="0" applyProtection="0">
      <alignment vertical="center"/>
    </xf>
    <xf numFmtId="0" fontId="0" fillId="19" borderId="24" applyNumberFormat="0" applyFont="0" applyAlignment="0" applyProtection="0">
      <alignment vertical="center"/>
    </xf>
  </cellStyleXfs>
  <cellXfs count="451">
    <xf numFmtId="0" fontId="0" fillId="0" borderId="0" xfId="0">
      <alignment vertical="center"/>
    </xf>
    <xf numFmtId="0" fontId="0" fillId="2" borderId="1" xfId="0" applyFill="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1" xfId="0" applyBorder="1">
      <alignment vertical="center"/>
    </xf>
    <xf numFmtId="0" fontId="1" fillId="2" borderId="1" xfId="0" applyFont="1" applyFill="1" applyBorder="1" applyAlignment="1">
      <alignment horizontal="center" vertical="center"/>
    </xf>
    <xf numFmtId="0" fontId="2" fillId="3" borderId="1" xfId="69" applyFont="1" applyFill="1" applyBorder="1" applyAlignment="1">
      <alignment horizontal="center" vertical="center" wrapText="1"/>
    </xf>
    <xf numFmtId="0" fontId="1"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0" borderId="1" xfId="0" applyFont="1" applyBorder="1" applyAlignment="1">
      <alignment horizontal="center" vertical="center"/>
    </xf>
    <xf numFmtId="0" fontId="6"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8" fillId="0" borderId="1" xfId="0" applyFont="1" applyBorder="1">
      <alignment vertical="center"/>
    </xf>
    <xf numFmtId="0" fontId="6" fillId="2"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0" fillId="5" borderId="1" xfId="0" applyFill="1" applyBorder="1">
      <alignment vertical="center"/>
    </xf>
    <xf numFmtId="0" fontId="10" fillId="0" borderId="1" xfId="0" applyFont="1" applyBorder="1" applyAlignment="1">
      <alignment horizontal="center" vertical="center" wrapText="1"/>
    </xf>
    <xf numFmtId="0" fontId="11" fillId="0" borderId="1" xfId="0" applyFont="1" applyBorder="1">
      <alignment vertical="center"/>
    </xf>
    <xf numFmtId="0" fontId="12" fillId="0" borderId="1" xfId="0" applyFont="1" applyBorder="1" applyAlignment="1">
      <alignment horizontal="justify" vertical="center" wrapText="1"/>
    </xf>
    <xf numFmtId="0" fontId="12" fillId="6" borderId="1" xfId="0" applyFont="1" applyFill="1" applyBorder="1" applyAlignment="1">
      <alignment horizontal="center" vertical="center"/>
    </xf>
    <xf numFmtId="0" fontId="12" fillId="0" borderId="1" xfId="0" applyFont="1" applyBorder="1" applyAlignment="1">
      <alignment horizontal="justify" vertical="center"/>
    </xf>
    <xf numFmtId="0" fontId="9" fillId="0" borderId="1" xfId="0" applyFont="1" applyBorder="1" applyAlignment="1">
      <alignment horizontal="center" vertical="center" wrapText="1"/>
    </xf>
    <xf numFmtId="0" fontId="12" fillId="7" borderId="1" xfId="0" applyFont="1" applyFill="1" applyBorder="1" applyAlignment="1">
      <alignment horizontal="center" vertical="center"/>
    </xf>
    <xf numFmtId="0" fontId="9"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left" vertical="center"/>
    </xf>
    <xf numFmtId="0" fontId="0" fillId="0" borderId="1" xfId="0" applyFont="1" applyBorder="1" applyAlignment="1">
      <alignment horizontal="left" vertical="center"/>
    </xf>
    <xf numFmtId="0" fontId="0" fillId="0" borderId="0" xfId="0" applyFont="1" applyAlignment="1">
      <alignment horizontal="left" vertical="center"/>
    </xf>
    <xf numFmtId="0" fontId="0" fillId="0" borderId="0" xfId="0" applyFont="1">
      <alignment vertical="center"/>
    </xf>
    <xf numFmtId="0" fontId="13" fillId="4" borderId="1" xfId="0" applyFont="1" applyFill="1" applyBorder="1" applyAlignment="1">
      <alignment horizontal="left" vertical="center" wrapText="1"/>
    </xf>
    <xf numFmtId="0" fontId="0" fillId="4" borderId="1" xfId="0" applyFont="1" applyFill="1" applyBorder="1" applyAlignment="1">
      <alignment horizontal="center" vertical="center" wrapText="1"/>
    </xf>
    <xf numFmtId="0" fontId="0" fillId="4" borderId="1" xfId="0" applyFont="1" applyFill="1" applyBorder="1" applyAlignment="1">
      <alignment horizontal="center" vertical="center"/>
    </xf>
    <xf numFmtId="0" fontId="0" fillId="0" borderId="1" xfId="0" applyFont="1" applyBorder="1">
      <alignment vertical="center"/>
    </xf>
    <xf numFmtId="0" fontId="0" fillId="0" borderId="1" xfId="39" applyBorder="1"/>
    <xf numFmtId="0" fontId="0" fillId="0" borderId="0" xfId="39"/>
    <xf numFmtId="0" fontId="0" fillId="0" borderId="0" xfId="39" applyAlignment="1">
      <alignment horizontal="left"/>
    </xf>
    <xf numFmtId="0" fontId="0" fillId="0" borderId="0" xfId="39" applyAlignment="1">
      <alignment horizontal="left"/>
    </xf>
    <xf numFmtId="0" fontId="4" fillId="8" borderId="2" xfId="39" applyFont="1" applyFill="1" applyBorder="1" applyAlignment="1">
      <alignment horizontal="center" vertical="center" wrapText="1"/>
    </xf>
    <xf numFmtId="0" fontId="4" fillId="8" borderId="2" xfId="39" applyFont="1" applyFill="1" applyBorder="1" applyAlignment="1">
      <alignment horizontal="left" vertical="center" wrapText="1"/>
    </xf>
    <xf numFmtId="0" fontId="4" fillId="8" borderId="3" xfId="39" applyFont="1" applyFill="1" applyBorder="1" applyAlignment="1">
      <alignment horizontal="center" vertical="center" wrapText="1"/>
    </xf>
    <xf numFmtId="0" fontId="4" fillId="8" borderId="3" xfId="39" applyFont="1" applyFill="1" applyBorder="1" applyAlignment="1">
      <alignment horizontal="left" vertical="center" wrapText="1"/>
    </xf>
    <xf numFmtId="0" fontId="14" fillId="4" borderId="1" xfId="39" applyFont="1" applyFill="1" applyBorder="1" applyAlignment="1">
      <alignment horizontal="center" vertical="center" wrapText="1"/>
    </xf>
    <xf numFmtId="0" fontId="15" fillId="9" borderId="1" xfId="39" applyFont="1" applyFill="1" applyBorder="1" applyAlignment="1">
      <alignment horizontal="left" vertical="center"/>
    </xf>
    <xf numFmtId="0" fontId="15" fillId="9" borderId="1" xfId="39" applyFont="1" applyFill="1" applyBorder="1" applyAlignment="1">
      <alignment horizontal="center" vertical="center"/>
    </xf>
    <xf numFmtId="0" fontId="15" fillId="6" borderId="1" xfId="39" applyFont="1" applyFill="1" applyBorder="1" applyAlignment="1">
      <alignment horizontal="center" vertical="center"/>
    </xf>
    <xf numFmtId="0" fontId="16" fillId="9" borderId="1" xfId="39" applyFont="1" applyFill="1" applyBorder="1" applyAlignment="1">
      <alignment horizontal="left" vertical="center"/>
    </xf>
    <xf numFmtId="0" fontId="16" fillId="9" borderId="1" xfId="39" applyFont="1" applyFill="1" applyBorder="1" applyAlignment="1">
      <alignment horizontal="center" vertical="center"/>
    </xf>
    <xf numFmtId="0" fontId="15" fillId="5" borderId="1" xfId="39" applyFont="1" applyFill="1" applyBorder="1" applyAlignment="1">
      <alignment horizontal="center" vertical="center"/>
    </xf>
    <xf numFmtId="0" fontId="15" fillId="2" borderId="1" xfId="39" applyFont="1" applyFill="1" applyBorder="1" applyAlignment="1">
      <alignment horizontal="center" vertical="center"/>
    </xf>
    <xf numFmtId="0" fontId="17" fillId="9" borderId="1" xfId="39" applyFont="1" applyFill="1" applyBorder="1" applyAlignment="1">
      <alignment horizontal="left" vertical="center" wrapText="1"/>
    </xf>
    <xf numFmtId="0" fontId="17" fillId="9" borderId="1" xfId="39" applyFont="1" applyFill="1" applyBorder="1" applyAlignment="1">
      <alignment horizontal="center" vertical="center" wrapText="1"/>
    </xf>
    <xf numFmtId="0" fontId="17" fillId="0" borderId="1" xfId="39" applyFont="1" applyBorder="1" applyAlignment="1">
      <alignment horizontal="left" vertical="center" wrapText="1"/>
    </xf>
    <xf numFmtId="0" fontId="17" fillId="0" borderId="1" xfId="39" applyFont="1" applyBorder="1" applyAlignment="1">
      <alignment horizontal="center" vertical="center" wrapText="1"/>
    </xf>
    <xf numFmtId="0" fontId="15" fillId="0" borderId="1" xfId="39" applyFont="1" applyBorder="1" applyAlignment="1">
      <alignment horizontal="left" vertical="center"/>
    </xf>
    <xf numFmtId="0" fontId="15" fillId="0" borderId="1" xfId="39" applyFont="1" applyBorder="1" applyAlignment="1">
      <alignment horizontal="center" vertical="center"/>
    </xf>
    <xf numFmtId="0" fontId="17" fillId="10" borderId="1" xfId="39" applyFont="1" applyFill="1" applyBorder="1" applyAlignment="1">
      <alignment horizontal="left" vertical="center" wrapText="1"/>
    </xf>
    <xf numFmtId="0" fontId="17" fillId="10" borderId="1" xfId="39" applyFont="1" applyFill="1" applyBorder="1" applyAlignment="1">
      <alignment horizontal="center" vertical="center" wrapText="1"/>
    </xf>
    <xf numFmtId="0" fontId="15" fillId="10" borderId="1" xfId="39" applyFont="1" applyFill="1" applyBorder="1" applyAlignment="1">
      <alignment horizontal="center" vertical="center"/>
    </xf>
    <xf numFmtId="0" fontId="15" fillId="10" borderId="1" xfId="39" applyFont="1" applyFill="1" applyBorder="1" applyAlignment="1">
      <alignment horizontal="left" vertical="center"/>
    </xf>
    <xf numFmtId="0" fontId="15" fillId="10" borderId="1" xfId="39" applyFont="1" applyFill="1" applyBorder="1" applyAlignment="1">
      <alignment horizontal="left" vertical="center" wrapText="1"/>
    </xf>
    <xf numFmtId="0" fontId="15" fillId="9" borderId="1" xfId="39" applyFont="1" applyFill="1" applyBorder="1" applyAlignment="1">
      <alignment horizontal="left" vertical="center" wrapText="1"/>
    </xf>
    <xf numFmtId="0" fontId="15" fillId="0" borderId="1" xfId="39" applyFont="1" applyBorder="1" applyAlignment="1">
      <alignment horizontal="left" vertical="center" wrapText="1"/>
    </xf>
    <xf numFmtId="0" fontId="17" fillId="0" borderId="2" xfId="39" applyFont="1" applyBorder="1" applyAlignment="1">
      <alignment horizontal="left" vertical="center" wrapText="1"/>
    </xf>
    <xf numFmtId="0" fontId="17" fillId="0" borderId="2" xfId="39" applyFont="1" applyBorder="1" applyAlignment="1">
      <alignment horizontal="center" vertical="center" wrapText="1"/>
    </xf>
    <xf numFmtId="0" fontId="15" fillId="2" borderId="2" xfId="39" applyFont="1" applyFill="1" applyBorder="1" applyAlignment="1">
      <alignment horizontal="center" vertical="center"/>
    </xf>
    <xf numFmtId="0" fontId="15" fillId="0" borderId="2" xfId="39" applyFont="1" applyBorder="1" applyAlignment="1">
      <alignment horizontal="left" vertical="center"/>
    </xf>
    <xf numFmtId="0" fontId="15" fillId="0" borderId="2" xfId="39" applyFont="1" applyBorder="1" applyAlignment="1">
      <alignment horizontal="center" vertical="center"/>
    </xf>
    <xf numFmtId="0" fontId="18" fillId="0" borderId="1" xfId="39" applyFont="1" applyBorder="1" applyAlignment="1">
      <alignment horizontal="left" vertical="center" wrapText="1"/>
    </xf>
    <xf numFmtId="0" fontId="14" fillId="4" borderId="2" xfId="39" applyFont="1" applyFill="1" applyBorder="1" applyAlignment="1">
      <alignment horizontal="center" vertical="center" wrapText="1"/>
    </xf>
    <xf numFmtId="0" fontId="15" fillId="5" borderId="2" xfId="39" applyFont="1" applyFill="1" applyBorder="1" applyAlignment="1">
      <alignment horizontal="center" vertical="center"/>
    </xf>
    <xf numFmtId="0" fontId="14" fillId="4" borderId="4" xfId="39" applyFont="1" applyFill="1" applyBorder="1" applyAlignment="1">
      <alignment horizontal="center" vertical="center" wrapText="1"/>
    </xf>
    <xf numFmtId="0" fontId="19" fillId="0" borderId="0" xfId="39" applyFont="1" applyAlignment="1">
      <alignment horizontal="center" wrapText="1"/>
    </xf>
    <xf numFmtId="0" fontId="19" fillId="0" borderId="0" xfId="39" applyFont="1" applyAlignment="1">
      <alignment horizontal="left" wrapText="1"/>
    </xf>
    <xf numFmtId="0" fontId="15" fillId="0" borderId="2" xfId="39" applyFont="1" applyBorder="1" applyAlignment="1">
      <alignment horizontal="left" vertical="center" wrapText="1"/>
    </xf>
    <xf numFmtId="0" fontId="0" fillId="0" borderId="0" xfId="0" applyAlignment="1">
      <alignment horizontal="center" vertical="center"/>
    </xf>
    <xf numFmtId="0" fontId="16"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7" fillId="4" borderId="1" xfId="0" applyFont="1" applyFill="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lignment vertical="center"/>
    </xf>
    <xf numFmtId="0" fontId="16" fillId="0" borderId="1" xfId="0" applyFont="1" applyBorder="1" applyAlignment="1">
      <alignment horizontal="left" vertical="center" wrapText="1"/>
    </xf>
    <xf numFmtId="0" fontId="0" fillId="0" borderId="0" xfId="0" applyAlignment="1">
      <alignment vertical="center" wrapText="1"/>
    </xf>
    <xf numFmtId="0" fontId="0" fillId="0" borderId="5" xfId="0" applyBorder="1" applyAlignment="1">
      <alignment horizontal="left" vertical="center"/>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4" borderId="1" xfId="0" applyFont="1" applyFill="1" applyBorder="1" applyAlignment="1">
      <alignment vertical="center" wrapText="1"/>
    </xf>
    <xf numFmtId="0" fontId="23" fillId="4" borderId="1" xfId="0" applyFont="1" applyFill="1" applyBorder="1" applyAlignment="1">
      <alignment horizontal="center" vertical="center" wrapText="1"/>
    </xf>
    <xf numFmtId="0" fontId="0" fillId="4" borderId="0" xfId="0" applyFill="1">
      <alignment vertical="center"/>
    </xf>
    <xf numFmtId="0" fontId="24" fillId="4" borderId="1" xfId="0" applyFont="1" applyFill="1" applyBorder="1">
      <alignment vertical="center"/>
    </xf>
    <xf numFmtId="0" fontId="1" fillId="3" borderId="1" xfId="0" applyFont="1" applyFill="1" applyBorder="1" applyAlignment="1">
      <alignment horizontal="center" vertical="center"/>
    </xf>
    <xf numFmtId="0" fontId="0" fillId="3" borderId="1" xfId="0" applyFill="1" applyBorder="1">
      <alignment vertical="center"/>
    </xf>
    <xf numFmtId="0" fontId="23" fillId="3" borderId="1" xfId="0" applyFont="1" applyFill="1" applyBorder="1" applyAlignment="1">
      <alignment horizontal="center" vertical="center" wrapText="1"/>
    </xf>
    <xf numFmtId="0" fontId="16" fillId="0" borderId="5" xfId="0" applyFont="1" applyBorder="1" applyAlignment="1">
      <alignment horizontal="left" vertical="center"/>
    </xf>
    <xf numFmtId="0" fontId="16" fillId="0" borderId="5" xfId="0" applyFont="1" applyBorder="1" applyAlignment="1">
      <alignment horizontal="left" vertical="center"/>
    </xf>
    <xf numFmtId="0" fontId="16" fillId="0" borderId="0" xfId="0" applyFont="1">
      <alignment vertical="center"/>
    </xf>
    <xf numFmtId="0" fontId="25" fillId="4" borderId="1"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3" borderId="1" xfId="0" applyFont="1" applyFill="1" applyBorder="1" applyAlignment="1">
      <alignment vertical="center" wrapText="1"/>
    </xf>
    <xf numFmtId="0" fontId="16" fillId="3" borderId="0" xfId="0" applyFont="1" applyFill="1">
      <alignment vertical="center"/>
    </xf>
    <xf numFmtId="0" fontId="16" fillId="0" borderId="0" xfId="0" applyFont="1">
      <alignment vertical="center"/>
    </xf>
    <xf numFmtId="0" fontId="16" fillId="3" borderId="1" xfId="0" applyFont="1" applyFill="1" applyBorder="1">
      <alignment vertical="center"/>
    </xf>
    <xf numFmtId="0" fontId="26" fillId="3" borderId="1" xfId="0" applyFont="1" applyFill="1" applyBorder="1" applyAlignment="1">
      <alignment horizontal="center" vertical="center"/>
    </xf>
    <xf numFmtId="0" fontId="26" fillId="3" borderId="1" xfId="69" applyFont="1" applyFill="1" applyBorder="1" applyAlignment="1">
      <alignment horizontal="center" vertical="center" wrapText="1"/>
    </xf>
    <xf numFmtId="0" fontId="26" fillId="3" borderId="1" xfId="0" applyFont="1" applyFill="1" applyBorder="1" applyAlignment="1">
      <alignment horizontal="left" vertical="center"/>
    </xf>
    <xf numFmtId="0" fontId="16" fillId="4" borderId="1" xfId="0" applyFont="1" applyFill="1" applyBorder="1" applyAlignment="1">
      <alignment horizontal="center" vertical="center"/>
    </xf>
    <xf numFmtId="0" fontId="16" fillId="4" borderId="1" xfId="0" applyFont="1" applyFill="1" applyBorder="1" applyAlignment="1">
      <alignment horizontal="left" vertical="center" wrapText="1"/>
    </xf>
    <xf numFmtId="0" fontId="16" fillId="4" borderId="1" xfId="0" applyFont="1" applyFill="1" applyBorder="1">
      <alignment vertical="center"/>
    </xf>
    <xf numFmtId="0" fontId="16" fillId="2" borderId="1" xfId="0" applyFont="1" applyFill="1" applyBorder="1" applyAlignment="1">
      <alignment horizontal="center" vertical="center"/>
    </xf>
    <xf numFmtId="0" fontId="16" fillId="2" borderId="1" xfId="0" applyFont="1" applyFill="1" applyBorder="1" applyAlignment="1"/>
    <xf numFmtId="0" fontId="16" fillId="2" borderId="1" xfId="0" applyFont="1" applyFill="1" applyBorder="1" applyAlignment="1">
      <alignment horizontal="center"/>
    </xf>
    <xf numFmtId="0" fontId="16" fillId="2" borderId="1" xfId="0" applyFont="1" applyFill="1" applyBorder="1">
      <alignment vertical="center"/>
    </xf>
    <xf numFmtId="0" fontId="16" fillId="0" borderId="1" xfId="0" applyFont="1" applyBorder="1" applyAlignment="1">
      <alignment horizontal="center" vertical="center"/>
    </xf>
    <xf numFmtId="0" fontId="16" fillId="2" borderId="1" xfId="0" applyFont="1" applyFill="1" applyBorder="1" applyAlignment="1">
      <alignment horizontal="center" vertical="center"/>
    </xf>
    <xf numFmtId="0" fontId="16" fillId="0" borderId="1" xfId="0" applyFont="1" applyBorder="1" applyAlignment="1"/>
    <xf numFmtId="0" fontId="16" fillId="0" borderId="1" xfId="0" applyFont="1" applyBorder="1" applyAlignment="1">
      <alignment horizontal="center"/>
    </xf>
    <xf numFmtId="0" fontId="16" fillId="0" borderId="0" xfId="0" applyFont="1" applyAlignment="1"/>
    <xf numFmtId="0" fontId="16" fillId="7" borderId="1" xfId="0" applyFont="1" applyFill="1" applyBorder="1" applyAlignment="1">
      <alignment horizontal="center" vertical="center"/>
    </xf>
    <xf numFmtId="0" fontId="18" fillId="0" borderId="1" xfId="0" applyFont="1" applyBorder="1" applyAlignment="1">
      <alignment horizontal="center" vertical="center"/>
    </xf>
    <xf numFmtId="0" fontId="18" fillId="2" borderId="1" xfId="0" applyFont="1" applyFill="1" applyBorder="1" applyAlignment="1">
      <alignment horizontal="center" vertical="center"/>
    </xf>
    <xf numFmtId="0" fontId="18" fillId="0" borderId="1" xfId="0" applyFont="1" applyBorder="1" applyAlignment="1"/>
    <xf numFmtId="0" fontId="18" fillId="0" borderId="1" xfId="0" applyFont="1" applyBorder="1" applyAlignment="1">
      <alignment horizontal="center"/>
    </xf>
    <xf numFmtId="0" fontId="18" fillId="0" borderId="1" xfId="0" applyFont="1" applyBorder="1">
      <alignment vertical="center"/>
    </xf>
    <xf numFmtId="0" fontId="16" fillId="6" borderId="1" xfId="0" applyFont="1" applyFill="1" applyBorder="1" applyAlignment="1">
      <alignment horizontal="center" vertical="center"/>
    </xf>
    <xf numFmtId="0" fontId="26" fillId="0" borderId="1" xfId="0" applyFont="1" applyBorder="1" applyAlignment="1">
      <alignment horizontal="left" vertical="center"/>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0" fontId="26" fillId="0" borderId="0" xfId="0" applyFont="1" applyAlignment="1">
      <alignment horizontal="left" vertical="center"/>
    </xf>
    <xf numFmtId="0" fontId="26" fillId="2" borderId="1" xfId="0" applyFont="1" applyFill="1" applyBorder="1" applyAlignment="1">
      <alignment horizontal="center" vertical="center"/>
    </xf>
    <xf numFmtId="0" fontId="26" fillId="0" borderId="1" xfId="0" applyFont="1" applyBorder="1" applyAlignment="1">
      <alignment horizontal="center" vertical="center"/>
    </xf>
    <xf numFmtId="0" fontId="26" fillId="7" borderId="1" xfId="0" applyFont="1" applyFill="1" applyBorder="1" applyAlignment="1">
      <alignment horizontal="center" vertical="center"/>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6" xfId="0" applyFont="1" applyBorder="1" applyAlignment="1">
      <alignment horizontal="left" vertical="center" wrapText="1"/>
    </xf>
    <xf numFmtId="0" fontId="18" fillId="0" borderId="1" xfId="0" applyFont="1" applyBorder="1" applyAlignment="1">
      <alignment horizontal="left" vertical="center"/>
    </xf>
    <xf numFmtId="0" fontId="18" fillId="0" borderId="3" xfId="0" applyFont="1" applyBorder="1" applyAlignment="1">
      <alignment horizontal="left" vertical="center" wrapText="1"/>
    </xf>
    <xf numFmtId="0" fontId="16" fillId="10" borderId="1" xfId="0" applyFont="1" applyFill="1" applyBorder="1" applyAlignment="1">
      <alignment horizontal="center" vertical="center"/>
    </xf>
    <xf numFmtId="0" fontId="26" fillId="0" borderId="2" xfId="0" applyFont="1" applyBorder="1" applyAlignment="1">
      <alignment horizontal="left" vertical="center"/>
    </xf>
    <xf numFmtId="0" fontId="16" fillId="5" borderId="1" xfId="0" applyFont="1" applyFill="1" applyBorder="1" applyAlignment="1">
      <alignment horizontal="center" vertical="center"/>
    </xf>
    <xf numFmtId="0" fontId="26" fillId="5" borderId="1" xfId="0" applyFont="1" applyFill="1" applyBorder="1" applyAlignment="1">
      <alignment horizontal="left" vertical="center"/>
    </xf>
    <xf numFmtId="0" fontId="26" fillId="5" borderId="1" xfId="0" applyFont="1" applyFill="1" applyBorder="1" applyAlignment="1">
      <alignment horizontal="center" vertical="center"/>
    </xf>
    <xf numFmtId="0" fontId="16" fillId="5" borderId="1" xfId="0" applyFont="1" applyFill="1" applyBorder="1" applyAlignment="1">
      <alignment horizontal="left" vertical="center"/>
    </xf>
    <xf numFmtId="0" fontId="16" fillId="5" borderId="1" xfId="0" applyFont="1" applyFill="1" applyBorder="1" applyAlignment="1"/>
    <xf numFmtId="0" fontId="16" fillId="5" borderId="1" xfId="0" applyFont="1" applyFill="1" applyBorder="1" applyAlignment="1">
      <alignment horizontal="center"/>
    </xf>
    <xf numFmtId="0" fontId="16" fillId="5" borderId="1" xfId="0" applyFont="1" applyFill="1" applyBorder="1" applyAlignment="1">
      <alignment horizontal="left" vertical="center"/>
    </xf>
    <xf numFmtId="0" fontId="16" fillId="0" borderId="0" xfId="0" applyFont="1" applyAlignment="1">
      <alignment horizontal="left" vertical="center"/>
    </xf>
    <xf numFmtId="0" fontId="0" fillId="0" borderId="0" xfId="39" applyAlignment="1">
      <alignment vertical="center" wrapText="1"/>
    </xf>
    <xf numFmtId="0" fontId="16" fillId="0" borderId="5" xfId="39" applyFont="1" applyBorder="1" applyAlignment="1">
      <alignment horizontal="left" vertical="center" wrapText="1"/>
    </xf>
    <xf numFmtId="0" fontId="16" fillId="0" borderId="5" xfId="39" applyFont="1" applyBorder="1" applyAlignment="1">
      <alignment horizontal="left" vertical="center" wrapText="1"/>
    </xf>
    <xf numFmtId="0" fontId="16" fillId="0" borderId="0" xfId="39" applyFont="1" applyAlignment="1">
      <alignment vertical="center" wrapText="1"/>
    </xf>
    <xf numFmtId="0" fontId="20" fillId="0" borderId="1" xfId="65" applyFont="1" applyBorder="1" applyAlignment="1">
      <alignment horizontal="left" vertical="center" wrapText="1"/>
    </xf>
    <xf numFmtId="0" fontId="16" fillId="0" borderId="1" xfId="65" applyFont="1" applyBorder="1" applyAlignment="1">
      <alignment horizontal="left" vertical="center" wrapText="1"/>
    </xf>
    <xf numFmtId="0" fontId="26" fillId="0" borderId="1" xfId="65" applyFont="1" applyBorder="1" applyAlignment="1">
      <alignment horizontal="left" vertical="center" wrapText="1"/>
    </xf>
    <xf numFmtId="0" fontId="16" fillId="0" borderId="0" xfId="39" applyFont="1" applyAlignment="1">
      <alignment vertical="center" wrapText="1"/>
    </xf>
    <xf numFmtId="0" fontId="16" fillId="0" borderId="1" xfId="60" applyFont="1" applyBorder="1" applyAlignment="1">
      <alignment horizontal="left" vertical="center" wrapText="1"/>
    </xf>
    <xf numFmtId="0" fontId="16" fillId="0" borderId="0" xfId="39" applyFont="1" applyAlignment="1">
      <alignment horizontal="center" vertical="center"/>
    </xf>
    <xf numFmtId="0" fontId="16" fillId="0" borderId="5" xfId="39" applyFont="1" applyBorder="1" applyAlignment="1">
      <alignment horizontal="center" vertical="center"/>
    </xf>
    <xf numFmtId="0" fontId="16" fillId="0" borderId="5" xfId="39" applyFont="1" applyBorder="1" applyAlignment="1">
      <alignment horizontal="center" vertical="center"/>
    </xf>
    <xf numFmtId="0" fontId="16" fillId="0" borderId="0" xfId="39" applyFont="1" applyAlignment="1">
      <alignment horizontal="center" vertical="center"/>
    </xf>
    <xf numFmtId="0" fontId="20" fillId="0" borderId="1" xfId="65" applyFont="1" applyBorder="1" applyAlignment="1">
      <alignment horizontal="center" vertical="center" wrapText="1"/>
    </xf>
    <xf numFmtId="0" fontId="16" fillId="0" borderId="1" xfId="65" applyFont="1" applyBorder="1" applyAlignment="1">
      <alignment horizontal="center" vertical="center" wrapText="1"/>
    </xf>
    <xf numFmtId="0" fontId="16" fillId="0" borderId="1" xfId="60" applyFont="1" applyBorder="1" applyAlignment="1">
      <alignment horizontal="center" vertical="center" wrapText="1"/>
    </xf>
    <xf numFmtId="0" fontId="16" fillId="0" borderId="1" xfId="65" applyFont="1" applyFill="1" applyBorder="1" applyAlignment="1">
      <alignment horizontal="left" vertical="center" wrapText="1"/>
    </xf>
    <xf numFmtId="0" fontId="16" fillId="0" borderId="1" xfId="60" applyFont="1" applyFill="1" applyBorder="1" applyAlignment="1">
      <alignment horizontal="left" vertical="center" wrapText="1"/>
    </xf>
    <xf numFmtId="0" fontId="16" fillId="0" borderId="1" xfId="60" applyFont="1" applyFill="1" applyBorder="1" applyAlignment="1">
      <alignment horizontal="left" vertical="center" wrapText="1"/>
    </xf>
    <xf numFmtId="0" fontId="0" fillId="0" borderId="0" xfId="39" applyFill="1"/>
    <xf numFmtId="0" fontId="16" fillId="0" borderId="0" xfId="39" applyFont="1" applyAlignment="1">
      <alignment horizontal="center" vertical="center"/>
    </xf>
    <xf numFmtId="0" fontId="27" fillId="0" borderId="0" xfId="39" applyFont="1" applyAlignment="1">
      <alignment horizontal="center"/>
    </xf>
    <xf numFmtId="0" fontId="0" fillId="0" borderId="0" xfId="70"/>
    <xf numFmtId="0" fontId="0" fillId="0" borderId="0" xfId="70" applyAlignment="1">
      <alignment horizontal="center"/>
    </xf>
    <xf numFmtId="0" fontId="0" fillId="0" borderId="0" xfId="70" applyAlignment="1">
      <alignment horizontal="left"/>
    </xf>
    <xf numFmtId="0" fontId="0" fillId="0" borderId="0" xfId="70" applyAlignment="1">
      <alignment horizontal="left"/>
    </xf>
    <xf numFmtId="0" fontId="0" fillId="0" borderId="0" xfId="70" applyAlignment="1">
      <alignment horizontal="center"/>
    </xf>
    <xf numFmtId="0" fontId="28" fillId="4" borderId="1" xfId="52" applyFont="1" applyFill="1" applyBorder="1" applyAlignment="1">
      <alignment horizontal="center" vertical="center" wrapText="1"/>
    </xf>
    <xf numFmtId="0" fontId="28" fillId="4" borderId="4" xfId="52" applyFont="1" applyFill="1" applyBorder="1" applyAlignment="1">
      <alignment horizontal="left" vertical="center" wrapText="1"/>
    </xf>
    <xf numFmtId="0" fontId="28" fillId="4" borderId="7" xfId="52" applyFont="1" applyFill="1" applyBorder="1" applyAlignment="1">
      <alignment horizontal="center" vertical="center" wrapText="1"/>
    </xf>
    <xf numFmtId="0" fontId="16" fillId="0" borderId="0" xfId="39" applyFont="1" applyAlignment="1">
      <alignment horizontal="center" vertical="center"/>
    </xf>
    <xf numFmtId="0" fontId="26" fillId="0" borderId="1" xfId="70" applyFont="1" applyBorder="1" applyAlignment="1">
      <alignment horizontal="center" vertical="center" wrapText="1"/>
    </xf>
    <xf numFmtId="0" fontId="26" fillId="0" borderId="1" xfId="70" applyFont="1" applyBorder="1" applyAlignment="1">
      <alignment horizontal="left" vertical="center" wrapText="1"/>
    </xf>
    <xf numFmtId="0" fontId="16" fillId="0" borderId="0" xfId="70" applyFont="1" applyAlignment="1">
      <alignment vertical="center"/>
    </xf>
    <xf numFmtId="0" fontId="16" fillId="0" borderId="0" xfId="70" applyFont="1" applyAlignment="1">
      <alignment horizontal="center" vertical="center"/>
    </xf>
    <xf numFmtId="0" fontId="0" fillId="0" borderId="0" xfId="60"/>
    <xf numFmtId="0" fontId="0" fillId="0" borderId="0" xfId="60" applyAlignment="1">
      <alignment horizontal="left"/>
    </xf>
    <xf numFmtId="0" fontId="0" fillId="0" borderId="0" xfId="60" applyAlignment="1">
      <alignment horizontal="center"/>
    </xf>
    <xf numFmtId="0" fontId="28" fillId="4" borderId="7" xfId="52" applyFont="1" applyFill="1" applyBorder="1" applyAlignment="1">
      <alignment horizontal="left" vertical="center" wrapText="1"/>
    </xf>
    <xf numFmtId="49" fontId="29" fillId="0" borderId="1" xfId="60" applyNumberFormat="1" applyFont="1" applyBorder="1" applyAlignment="1">
      <alignment horizontal="center" vertical="center" wrapText="1"/>
    </xf>
    <xf numFmtId="0" fontId="29" fillId="0" borderId="1" xfId="39" applyFont="1" applyBorder="1" applyAlignment="1">
      <alignment horizontal="left" vertical="center" wrapText="1"/>
    </xf>
    <xf numFmtId="49" fontId="29" fillId="0" borderId="1" xfId="39" applyNumberFormat="1" applyFont="1" applyBorder="1" applyAlignment="1">
      <alignment horizontal="center" vertical="center" wrapText="1"/>
    </xf>
    <xf numFmtId="49" fontId="29" fillId="0" borderId="1" xfId="60" applyNumberFormat="1" applyFont="1" applyBorder="1" applyAlignment="1">
      <alignment horizontal="left" vertical="center" wrapText="1"/>
    </xf>
    <xf numFmtId="0" fontId="29" fillId="0" borderId="1" xfId="60" applyFont="1" applyBorder="1" applyAlignment="1">
      <alignment horizontal="left" vertical="center" wrapText="1"/>
    </xf>
    <xf numFmtId="0" fontId="16" fillId="0" borderId="0" xfId="60" applyFont="1" applyAlignment="1">
      <alignment vertical="center"/>
    </xf>
    <xf numFmtId="0" fontId="29" fillId="0" borderId="1" xfId="52" applyFont="1" applyBorder="1" applyAlignment="1">
      <alignment horizontal="left" vertical="center" wrapText="1"/>
    </xf>
    <xf numFmtId="0" fontId="29" fillId="0" borderId="1" xfId="39" applyFont="1" applyBorder="1" applyAlignment="1">
      <alignment horizontal="center" vertical="center" wrapText="1"/>
    </xf>
    <xf numFmtId="0" fontId="29" fillId="0" borderId="1" xfId="70" applyFont="1" applyBorder="1" applyAlignment="1">
      <alignment horizontal="left" vertical="center" wrapText="1"/>
    </xf>
    <xf numFmtId="0" fontId="16" fillId="0" borderId="0" xfId="60" applyFont="1" applyAlignment="1">
      <alignment vertical="center"/>
    </xf>
    <xf numFmtId="0" fontId="16" fillId="0" borderId="0" xfId="60" applyFont="1" applyAlignment="1">
      <alignment horizontal="center" vertical="center"/>
    </xf>
    <xf numFmtId="0" fontId="26" fillId="0" borderId="0" xfId="52" applyFont="1" applyAlignment="1">
      <alignment horizontal="center" vertical="center" wrapText="1"/>
    </xf>
    <xf numFmtId="0" fontId="16" fillId="0" borderId="0" xfId="39" applyFont="1" applyAlignment="1">
      <alignment vertical="center"/>
    </xf>
    <xf numFmtId="0" fontId="8" fillId="0" borderId="0" xfId="70" applyFont="1"/>
    <xf numFmtId="0" fontId="2" fillId="0" borderId="0" xfId="70" applyFont="1"/>
    <xf numFmtId="0" fontId="28" fillId="4" borderId="4" xfId="52" applyFont="1" applyFill="1" applyBorder="1" applyAlignment="1">
      <alignment horizontal="center" vertical="center" wrapText="1"/>
    </xf>
    <xf numFmtId="0" fontId="26" fillId="0" borderId="1" xfId="60" applyFont="1" applyBorder="1" applyAlignment="1">
      <alignment horizontal="left" vertical="center" wrapText="1"/>
    </xf>
    <xf numFmtId="0" fontId="16" fillId="0" borderId="1" xfId="39" applyFont="1" applyBorder="1" applyAlignment="1">
      <alignment horizontal="center" vertical="center" wrapText="1"/>
    </xf>
    <xf numFmtId="0" fontId="0" fillId="0" borderId="0" xfId="70" applyAlignment="1">
      <alignment horizontal="left" wrapText="1"/>
    </xf>
    <xf numFmtId="0" fontId="0" fillId="0" borderId="0" xfId="39" applyAlignment="1">
      <alignment horizontal="center"/>
    </xf>
    <xf numFmtId="0" fontId="0" fillId="10" borderId="1" xfId="39" applyFill="1" applyBorder="1" applyAlignment="1">
      <alignment horizontal="left" vertical="center"/>
    </xf>
    <xf numFmtId="0" fontId="0" fillId="10" borderId="1" xfId="39" applyFill="1" applyBorder="1" applyAlignment="1">
      <alignment vertical="center"/>
    </xf>
    <xf numFmtId="0" fontId="16" fillId="10" borderId="1" xfId="39" applyFont="1" applyFill="1" applyBorder="1" applyAlignment="1">
      <alignment vertical="center"/>
    </xf>
    <xf numFmtId="0" fontId="16" fillId="10" borderId="1" xfId="39" applyFont="1" applyFill="1" applyBorder="1" applyAlignment="1">
      <alignment vertical="center"/>
    </xf>
    <xf numFmtId="0" fontId="0" fillId="0" borderId="1" xfId="39" applyBorder="1" applyAlignment="1">
      <alignment horizontal="left"/>
    </xf>
    <xf numFmtId="0" fontId="16" fillId="0" borderId="1" xfId="39" applyFont="1" applyBorder="1"/>
    <xf numFmtId="0" fontId="16" fillId="0" borderId="1" xfId="39" applyFont="1" applyBorder="1"/>
    <xf numFmtId="0" fontId="20" fillId="10" borderId="1" xfId="39" applyFont="1" applyFill="1" applyBorder="1" applyAlignment="1">
      <alignment vertical="center"/>
    </xf>
    <xf numFmtId="0" fontId="16" fillId="10" borderId="1" xfId="39" applyFont="1" applyFill="1" applyBorder="1" applyAlignment="1">
      <alignment horizontal="center" vertical="center"/>
    </xf>
    <xf numFmtId="0" fontId="16" fillId="0" borderId="0" xfId="39" applyFont="1"/>
    <xf numFmtId="0" fontId="16" fillId="0" borderId="1" xfId="39" applyFont="1" applyBorder="1" applyAlignment="1">
      <alignment horizontal="center"/>
    </xf>
    <xf numFmtId="0" fontId="16" fillId="0" borderId="0" xfId="39" applyFont="1"/>
    <xf numFmtId="0" fontId="0" fillId="5" borderId="1" xfId="39" applyFill="1" applyBorder="1" applyAlignment="1">
      <alignment horizontal="left"/>
    </xf>
    <xf numFmtId="0" fontId="0" fillId="5" borderId="1" xfId="39" applyFill="1" applyBorder="1"/>
    <xf numFmtId="0" fontId="0" fillId="5" borderId="0" xfId="0" applyFill="1">
      <alignment vertical="center"/>
    </xf>
    <xf numFmtId="0" fontId="16" fillId="5" borderId="1" xfId="39" applyFont="1" applyFill="1" applyBorder="1"/>
    <xf numFmtId="0" fontId="16" fillId="5" borderId="1" xfId="39" applyFont="1" applyFill="1" applyBorder="1"/>
    <xf numFmtId="0" fontId="16" fillId="5" borderId="1" xfId="39" applyFont="1" applyFill="1" applyBorder="1" applyAlignment="1">
      <alignment horizontal="center"/>
    </xf>
    <xf numFmtId="0" fontId="28" fillId="4" borderId="1" xfId="52" applyFont="1" applyFill="1" applyBorder="1" applyAlignment="1">
      <alignment horizontal="center" vertical="center"/>
    </xf>
    <xf numFmtId="0" fontId="28" fillId="4" borderId="4" xfId="52" applyFont="1" applyFill="1" applyBorder="1" applyAlignment="1">
      <alignment horizontal="center" vertical="center"/>
    </xf>
    <xf numFmtId="0" fontId="29" fillId="0" borderId="1" xfId="65" applyFont="1" applyBorder="1" applyAlignment="1">
      <alignment horizontal="center" vertical="center" wrapText="1"/>
    </xf>
    <xf numFmtId="0" fontId="29" fillId="11" borderId="1" xfId="65" applyFont="1" applyFill="1" applyBorder="1" applyAlignment="1">
      <alignment horizontal="left" vertical="center" wrapText="1"/>
    </xf>
    <xf numFmtId="0" fontId="29" fillId="0" borderId="1" xfId="65" applyFont="1" applyBorder="1" applyAlignment="1">
      <alignment horizontal="left" vertical="center" wrapText="1"/>
    </xf>
    <xf numFmtId="49" fontId="29" fillId="0" borderId="1" xfId="65" applyNumberFormat="1" applyFont="1" applyBorder="1" applyAlignment="1">
      <alignment horizontal="center" vertical="center" wrapText="1"/>
    </xf>
    <xf numFmtId="0" fontId="29" fillId="5" borderId="1" xfId="65" applyFont="1" applyFill="1" applyBorder="1" applyAlignment="1">
      <alignment horizontal="center" vertical="center" wrapText="1"/>
    </xf>
    <xf numFmtId="0" fontId="29" fillId="5" borderId="1" xfId="65" applyFont="1" applyFill="1" applyBorder="1" applyAlignment="1">
      <alignment horizontal="left" vertical="center" wrapText="1"/>
    </xf>
    <xf numFmtId="0" fontId="0" fillId="0" borderId="0" xfId="0"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17" fillId="0" borderId="1" xfId="0" applyFont="1" applyBorder="1" applyAlignment="1">
      <alignment horizontal="center" vertical="center"/>
    </xf>
    <xf numFmtId="49" fontId="30" fillId="0" borderId="1" xfId="0" applyNumberFormat="1" applyFont="1" applyBorder="1" applyAlignment="1">
      <alignment horizontal="left" vertical="center" wrapText="1"/>
    </xf>
    <xf numFmtId="49" fontId="30" fillId="0" borderId="1" xfId="0" applyNumberFormat="1" applyFont="1" applyBorder="1" applyAlignment="1">
      <alignment horizontal="center" vertical="center" wrapText="1"/>
    </xf>
    <xf numFmtId="49" fontId="30" fillId="0" borderId="1" xfId="0" applyNumberFormat="1" applyFont="1" applyBorder="1">
      <alignment vertical="center"/>
    </xf>
    <xf numFmtId="0" fontId="26" fillId="5" borderId="1" xfId="0" applyFont="1" applyFill="1" applyBorder="1" applyAlignment="1">
      <alignment horizontal="justify" vertical="center" wrapText="1"/>
    </xf>
    <xf numFmtId="0" fontId="26" fillId="5" borderId="1" xfId="0" applyFont="1" applyFill="1" applyBorder="1" applyAlignment="1">
      <alignment horizontal="center" vertical="center" wrapText="1"/>
    </xf>
    <xf numFmtId="0" fontId="26" fillId="5" borderId="1" xfId="0" applyFont="1" applyFill="1" applyBorder="1">
      <alignment vertical="center"/>
    </xf>
    <xf numFmtId="0" fontId="17" fillId="0" borderId="1" xfId="0" applyFont="1" applyBorder="1" applyAlignment="1">
      <alignment horizontal="left" vertical="center" wrapText="1"/>
    </xf>
    <xf numFmtId="0" fontId="16" fillId="0" borderId="1" xfId="0" applyFont="1" applyBorder="1" applyAlignment="1">
      <alignment horizontal="justify" vertical="center" wrapText="1"/>
    </xf>
    <xf numFmtId="0" fontId="16" fillId="5" borderId="1" xfId="0" applyFont="1" applyFill="1" applyBorder="1">
      <alignment vertical="center"/>
    </xf>
    <xf numFmtId="0" fontId="17" fillId="0" borderId="1" xfId="0" applyFont="1" applyBorder="1" applyAlignment="1">
      <alignment horizontal="left" vertical="center"/>
    </xf>
    <xf numFmtId="0" fontId="16" fillId="0" borderId="1" xfId="0" applyFont="1" applyBorder="1" applyAlignment="1">
      <alignment horizontal="left" vertical="center"/>
    </xf>
    <xf numFmtId="0" fontId="26" fillId="4" borderId="1" xfId="0" applyFont="1" applyFill="1" applyBorder="1" applyAlignment="1">
      <alignment horizontal="left" vertical="center"/>
    </xf>
    <xf numFmtId="0" fontId="16" fillId="7" borderId="1" xfId="0" applyFont="1" applyFill="1" applyBorder="1" applyAlignment="1">
      <alignment horizontal="center" vertical="center"/>
    </xf>
    <xf numFmtId="0" fontId="26" fillId="7" borderId="1" xfId="0" applyFont="1" applyFill="1" applyBorder="1" applyAlignment="1">
      <alignment horizontal="left" vertical="center"/>
    </xf>
    <xf numFmtId="0" fontId="26" fillId="0" borderId="8" xfId="0" applyFont="1" applyBorder="1">
      <alignment vertical="center"/>
    </xf>
    <xf numFmtId="0" fontId="16" fillId="0" borderId="2" xfId="0" applyFont="1" applyBorder="1" applyAlignment="1">
      <alignment horizontal="center" vertical="center"/>
    </xf>
    <xf numFmtId="0" fontId="16" fillId="0" borderId="2" xfId="0" applyFont="1" applyBorder="1">
      <alignment vertical="center"/>
    </xf>
    <xf numFmtId="0" fontId="16" fillId="0" borderId="2" xfId="0" applyFont="1" applyBorder="1" applyAlignment="1">
      <alignment horizontal="left" vertical="center"/>
    </xf>
    <xf numFmtId="0" fontId="16" fillId="5"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26" fillId="0" borderId="4" xfId="0" applyFont="1" applyBorder="1" applyAlignment="1">
      <alignment horizontal="left" vertical="center" wrapText="1"/>
    </xf>
    <xf numFmtId="0" fontId="26" fillId="6"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5" borderId="1" xfId="0" applyFont="1" applyFill="1" applyBorder="1" applyAlignment="1">
      <alignment horizontal="left" vertical="center" wrapText="1"/>
    </xf>
    <xf numFmtId="0" fontId="26" fillId="0" borderId="0" xfId="0" applyFont="1" applyAlignment="1">
      <alignment horizontal="left" vertical="center" wrapText="1"/>
    </xf>
    <xf numFmtId="0" fontId="26" fillId="4" borderId="1" xfId="0" applyFont="1" applyFill="1" applyBorder="1" applyAlignment="1">
      <alignment horizontal="left" vertical="center" wrapText="1"/>
    </xf>
    <xf numFmtId="0" fontId="26" fillId="4" borderId="1" xfId="0" applyFont="1" applyFill="1" applyBorder="1" applyAlignment="1">
      <alignment horizontal="center" vertical="center" wrapText="1"/>
    </xf>
    <xf numFmtId="0" fontId="26" fillId="2" borderId="1" xfId="0" applyFont="1" applyFill="1" applyBorder="1" applyAlignment="1">
      <alignment horizontal="left" vertical="center" wrapText="1"/>
    </xf>
    <xf numFmtId="0" fontId="2" fillId="0" borderId="0" xfId="0" applyFont="1"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17" fillId="7" borderId="1" xfId="0" applyFont="1" applyFill="1" applyBorder="1" applyAlignment="1">
      <alignment horizontal="center" vertical="center"/>
    </xf>
    <xf numFmtId="0" fontId="17" fillId="2" borderId="1" xfId="0" applyFont="1" applyFill="1" applyBorder="1" applyAlignment="1">
      <alignment horizontal="center" vertical="center"/>
    </xf>
    <xf numFmtId="0" fontId="17" fillId="6" borderId="1" xfId="0" applyFont="1" applyFill="1" applyBorder="1" applyAlignment="1">
      <alignment horizontal="center" vertical="center"/>
    </xf>
    <xf numFmtId="0" fontId="18" fillId="5" borderId="1" xfId="0" applyFont="1" applyFill="1" applyBorder="1" applyAlignment="1">
      <alignment horizontal="justify" vertical="center" wrapText="1"/>
    </xf>
    <xf numFmtId="0" fontId="18" fillId="5" borderId="1" xfId="0" applyFont="1" applyFill="1" applyBorder="1" applyAlignment="1">
      <alignment horizontal="center" vertical="center" wrapText="1"/>
    </xf>
    <xf numFmtId="0" fontId="31" fillId="0" borderId="1" xfId="0" applyFont="1" applyBorder="1" applyAlignment="1">
      <alignment horizontal="left" vertical="center" wrapText="1"/>
    </xf>
    <xf numFmtId="0" fontId="31" fillId="0" borderId="1" xfId="0" applyFont="1" applyBorder="1" applyAlignment="1">
      <alignment horizontal="center" vertical="center"/>
    </xf>
    <xf numFmtId="0" fontId="32" fillId="0" borderId="1" xfId="0" applyFont="1" applyBorder="1">
      <alignment vertical="center"/>
    </xf>
    <xf numFmtId="0" fontId="16" fillId="4" borderId="1" xfId="0" applyFont="1" applyFill="1" applyBorder="1" applyAlignment="1">
      <alignment vertical="center" wrapText="1"/>
    </xf>
    <xf numFmtId="0" fontId="16" fillId="5" borderId="1" xfId="0" applyFont="1" applyFill="1" applyBorder="1" applyAlignment="1">
      <alignment horizontal="justify" vertical="center" wrapText="1"/>
    </xf>
    <xf numFmtId="0" fontId="16" fillId="5" borderId="1" xfId="0" applyFont="1" applyFill="1" applyBorder="1" applyAlignment="1">
      <alignment horizontal="center" vertical="center" wrapText="1"/>
    </xf>
    <xf numFmtId="0" fontId="16" fillId="4" borderId="1" xfId="0" applyFont="1" applyFill="1" applyBorder="1" applyAlignment="1">
      <alignment horizontal="justify" vertical="center" wrapText="1"/>
    </xf>
    <xf numFmtId="0" fontId="2" fillId="0" borderId="0" xfId="0" applyFont="1" applyAlignment="1">
      <alignment horizontal="center" vertical="center"/>
    </xf>
    <xf numFmtId="0" fontId="2" fillId="0" borderId="0" xfId="0" applyFont="1">
      <alignment vertical="center"/>
    </xf>
    <xf numFmtId="0" fontId="0" fillId="0" borderId="0" xfId="0" applyAlignment="1">
      <alignment horizontal="left" vertic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20" fillId="0" borderId="1" xfId="0" applyFont="1" applyBorder="1">
      <alignment vertical="center"/>
    </xf>
    <xf numFmtId="0" fontId="20" fillId="0" borderId="1" xfId="0" applyFont="1" applyBorder="1" applyAlignment="1">
      <alignment horizontal="left" vertical="center"/>
    </xf>
    <xf numFmtId="0" fontId="16" fillId="0" borderId="1" xfId="0" applyFont="1" applyBorder="1">
      <alignment vertical="center"/>
    </xf>
    <xf numFmtId="0" fontId="16" fillId="0" borderId="1" xfId="0" applyFont="1" applyBorder="1" applyAlignment="1">
      <alignment horizontal="left" vertical="center"/>
    </xf>
    <xf numFmtId="0" fontId="26" fillId="6" borderId="1" xfId="0" applyFont="1" applyFill="1" applyBorder="1" applyAlignment="1">
      <alignment horizontal="center" vertical="center"/>
    </xf>
    <xf numFmtId="0" fontId="26" fillId="12" borderId="1" xfId="0" applyFont="1" applyFill="1" applyBorder="1" applyAlignment="1">
      <alignment horizontal="center" vertical="center"/>
    </xf>
    <xf numFmtId="0" fontId="26" fillId="0" borderId="1" xfId="0" applyFont="1" applyBorder="1" applyAlignment="1">
      <alignment vertical="center" wrapText="1"/>
    </xf>
    <xf numFmtId="0" fontId="16" fillId="2" borderId="1" xfId="0" applyFont="1" applyFill="1" applyBorder="1" applyAlignment="1">
      <alignment horizontal="left" vertical="center"/>
    </xf>
    <xf numFmtId="0" fontId="16" fillId="10" borderId="1" xfId="0" applyFont="1" applyFill="1" applyBorder="1" applyAlignment="1">
      <alignment horizontal="left" vertical="center" wrapText="1"/>
    </xf>
    <xf numFmtId="49" fontId="26" fillId="0" borderId="1" xfId="0" applyNumberFormat="1" applyFont="1" applyBorder="1" applyAlignment="1" applyProtection="1">
      <alignment vertical="center" wrapText="1"/>
      <protection locked="0"/>
    </xf>
    <xf numFmtId="0" fontId="34" fillId="0" borderId="1" xfId="0" applyFont="1" applyBorder="1" applyAlignment="1">
      <alignment horizontal="left" vertical="center" wrapText="1"/>
    </xf>
    <xf numFmtId="0" fontId="34" fillId="0" borderId="1" xfId="0" applyFont="1" applyBorder="1" applyAlignment="1">
      <alignment horizontal="center" vertical="center" wrapText="1"/>
    </xf>
    <xf numFmtId="0" fontId="26" fillId="0" borderId="1" xfId="0" applyFont="1" applyBorder="1" applyAlignment="1" applyProtection="1">
      <alignment vertical="center" wrapText="1"/>
      <protection locked="0"/>
    </xf>
    <xf numFmtId="0" fontId="17" fillId="2" borderId="1" xfId="0" applyFont="1" applyFill="1" applyBorder="1" applyAlignment="1">
      <alignment horizontal="left" vertical="center" wrapText="1"/>
    </xf>
    <xf numFmtId="0" fontId="20" fillId="0" borderId="1" xfId="0" applyFont="1" applyBorder="1" applyAlignment="1">
      <alignment horizontal="left" vertical="center"/>
    </xf>
    <xf numFmtId="0" fontId="16" fillId="0" borderId="0" xfId="0" applyFont="1">
      <alignment vertical="center"/>
    </xf>
    <xf numFmtId="0" fontId="17" fillId="10" borderId="1" xfId="0" applyFont="1" applyFill="1" applyBorder="1" applyAlignment="1">
      <alignment horizontal="left" vertical="center" wrapText="1"/>
    </xf>
    <xf numFmtId="0" fontId="26" fillId="0" borderId="1" xfId="0" applyFont="1" applyBorder="1" applyAlignment="1" applyProtection="1">
      <alignment horizontal="left" vertical="center" wrapText="1"/>
      <protection locked="0"/>
    </xf>
    <xf numFmtId="49" fontId="26" fillId="0" borderId="1" xfId="0" applyNumberFormat="1" applyFont="1" applyBorder="1" applyAlignment="1" applyProtection="1">
      <alignment horizontal="left" vertical="center" wrapText="1"/>
      <protection locked="0"/>
    </xf>
    <xf numFmtId="0" fontId="16" fillId="5" borderId="1" xfId="0" applyFont="1" applyFill="1" applyBorder="1">
      <alignment vertical="center"/>
    </xf>
    <xf numFmtId="0" fontId="16" fillId="5" borderId="1" xfId="0" applyFont="1" applyFill="1" applyBorder="1" applyAlignment="1">
      <alignment horizontal="left" vertical="center"/>
    </xf>
    <xf numFmtId="0" fontId="16" fillId="0" borderId="1" xfId="0" applyFont="1" applyBorder="1" applyAlignment="1">
      <alignment horizontal="left" vertical="center"/>
    </xf>
    <xf numFmtId="0" fontId="16" fillId="5" borderId="1" xfId="0" applyFont="1" applyFill="1" applyBorder="1" applyAlignment="1">
      <alignment horizontal="left" vertical="center"/>
    </xf>
    <xf numFmtId="0" fontId="16" fillId="5" borderId="0" xfId="0" applyFont="1" applyFill="1">
      <alignment vertical="center"/>
    </xf>
    <xf numFmtId="0" fontId="16" fillId="0" borderId="6" xfId="0" applyFont="1" applyBorder="1">
      <alignment vertical="center"/>
    </xf>
    <xf numFmtId="0" fontId="26" fillId="5" borderId="8" xfId="0" applyFont="1" applyFill="1" applyBorder="1">
      <alignment vertical="center"/>
    </xf>
    <xf numFmtId="0" fontId="0" fillId="0" borderId="9" xfId="0" applyFont="1" applyBorder="1" applyAlignment="1">
      <alignment horizontal="left" vertical="center"/>
    </xf>
    <xf numFmtId="0" fontId="35" fillId="0" borderId="10" xfId="0" applyFont="1" applyBorder="1" applyAlignment="1">
      <alignment horizontal="center" vertical="center" wrapText="1"/>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0" borderId="12" xfId="0" applyBorder="1" applyAlignment="1">
      <alignment horizontal="left" vertical="center"/>
    </xf>
    <xf numFmtId="0" fontId="35" fillId="0" borderId="1" xfId="0" applyFont="1" applyBorder="1" applyAlignment="1">
      <alignment horizontal="justify" vertical="center" wrapText="1"/>
    </xf>
    <xf numFmtId="0" fontId="0" fillId="0" borderId="4" xfId="0" applyBorder="1" applyAlignment="1">
      <alignment horizontal="center" vertical="center"/>
    </xf>
    <xf numFmtId="0" fontId="36" fillId="0" borderId="1" xfId="0" applyFont="1" applyBorder="1" applyAlignment="1">
      <alignment horizontal="justify" vertical="center" wrapText="1"/>
    </xf>
    <xf numFmtId="0" fontId="0" fillId="0" borderId="13" xfId="0" applyBorder="1" applyAlignment="1">
      <alignment horizontal="left" vertical="center"/>
    </xf>
    <xf numFmtId="0" fontId="0" fillId="0" borderId="14" xfId="0" applyBorder="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37" fillId="0" borderId="0" xfId="39" applyFont="1" applyAlignment="1">
      <alignment horizontal="center"/>
    </xf>
    <xf numFmtId="0" fontId="11" fillId="0" borderId="0" xfId="39" applyFont="1"/>
    <xf numFmtId="0" fontId="11" fillId="5" borderId="0" xfId="39" applyFont="1" applyFill="1"/>
    <xf numFmtId="0" fontId="0" fillId="11" borderId="0" xfId="39" applyFill="1"/>
    <xf numFmtId="0" fontId="0" fillId="0" borderId="0" xfId="39" applyAlignment="1">
      <alignment horizontal="center"/>
    </xf>
    <xf numFmtId="0" fontId="0" fillId="0" borderId="0" xfId="39" applyAlignment="1">
      <alignment wrapText="1"/>
    </xf>
    <xf numFmtId="0" fontId="38" fillId="4" borderId="16" xfId="39" applyFont="1" applyFill="1" applyBorder="1" applyAlignment="1">
      <alignment horizontal="center" vertical="center" wrapText="1"/>
    </xf>
    <xf numFmtId="0" fontId="39" fillId="4" borderId="15" xfId="52" applyFont="1" applyFill="1" applyBorder="1" applyAlignment="1">
      <alignment horizontal="center" vertical="center" wrapText="1"/>
    </xf>
    <xf numFmtId="0" fontId="39" fillId="4" borderId="1" xfId="52" applyFont="1" applyFill="1" applyBorder="1" applyAlignment="1">
      <alignment horizontal="center" vertical="center" wrapText="1"/>
    </xf>
    <xf numFmtId="0" fontId="40" fillId="0" borderId="16" xfId="39" applyFont="1" applyBorder="1" applyAlignment="1">
      <alignment horizontal="center" vertical="center" wrapText="1"/>
    </xf>
    <xf numFmtId="0" fontId="40" fillId="0" borderId="17" xfId="39" applyFont="1" applyBorder="1" applyAlignment="1">
      <alignment horizontal="center" vertical="center" wrapText="1"/>
    </xf>
    <xf numFmtId="0" fontId="40" fillId="0" borderId="16" xfId="39" applyFont="1" applyBorder="1" applyAlignment="1">
      <alignment horizontal="left" vertical="center" wrapText="1"/>
    </xf>
    <xf numFmtId="0" fontId="41" fillId="0" borderId="16" xfId="39" applyFont="1" applyBorder="1" applyAlignment="1">
      <alignment horizontal="center" vertical="center" wrapText="1"/>
    </xf>
    <xf numFmtId="0" fontId="42" fillId="5" borderId="16" xfId="39" applyFont="1" applyFill="1" applyBorder="1" applyAlignment="1">
      <alignment horizontal="center" vertical="center" wrapText="1"/>
    </xf>
    <xf numFmtId="0" fontId="42" fillId="5" borderId="17" xfId="39" applyFont="1" applyFill="1" applyBorder="1" applyAlignment="1">
      <alignment horizontal="center" vertical="center" wrapText="1"/>
    </xf>
    <xf numFmtId="0" fontId="42" fillId="5" borderId="16" xfId="39" applyFont="1" applyFill="1" applyBorder="1" applyAlignment="1">
      <alignment horizontal="left" vertical="center" wrapText="1"/>
    </xf>
    <xf numFmtId="0" fontId="40" fillId="4" borderId="16" xfId="39" applyFont="1" applyFill="1" applyBorder="1" applyAlignment="1">
      <alignment horizontal="center" vertical="center" wrapText="1"/>
    </xf>
    <xf numFmtId="0" fontId="40" fillId="4" borderId="17" xfId="39" applyFont="1" applyFill="1" applyBorder="1" applyAlignment="1">
      <alignment horizontal="center" vertical="center" wrapText="1"/>
    </xf>
    <xf numFmtId="0" fontId="40" fillId="4" borderId="16" xfId="39" applyFont="1" applyFill="1" applyBorder="1" applyAlignment="1">
      <alignment horizontal="left" vertical="center" wrapText="1"/>
    </xf>
    <xf numFmtId="0" fontId="40" fillId="6" borderId="16" xfId="39" applyFont="1" applyFill="1" applyBorder="1" applyAlignment="1">
      <alignment horizontal="left" vertical="center" wrapText="1"/>
    </xf>
    <xf numFmtId="0" fontId="43" fillId="5" borderId="16" xfId="39" applyFont="1" applyFill="1" applyBorder="1" applyAlignment="1">
      <alignment horizontal="center" vertical="center" wrapText="1"/>
    </xf>
    <xf numFmtId="0" fontId="43" fillId="5" borderId="17" xfId="39" applyFont="1" applyFill="1" applyBorder="1" applyAlignment="1">
      <alignment horizontal="center" vertical="center" wrapText="1"/>
    </xf>
    <xf numFmtId="0" fontId="43" fillId="5" borderId="16" xfId="39" applyFont="1" applyFill="1" applyBorder="1" applyAlignment="1">
      <alignment horizontal="left" vertical="center" wrapText="1"/>
    </xf>
    <xf numFmtId="0" fontId="40" fillId="11" borderId="16" xfId="39" applyFont="1" applyFill="1" applyBorder="1" applyAlignment="1">
      <alignment horizontal="center" vertical="center" wrapText="1"/>
    </xf>
    <xf numFmtId="0" fontId="40" fillId="11" borderId="17" xfId="39" applyFont="1" applyFill="1" applyBorder="1" applyAlignment="1">
      <alignment horizontal="center" vertical="center" wrapText="1"/>
    </xf>
    <xf numFmtId="0" fontId="40" fillId="11" borderId="16" xfId="39" applyFont="1" applyFill="1" applyBorder="1" applyAlignment="1">
      <alignment horizontal="left" vertical="center" wrapText="1"/>
    </xf>
    <xf numFmtId="0" fontId="41" fillId="11" borderId="16" xfId="39" applyFont="1" applyFill="1" applyBorder="1" applyAlignment="1">
      <alignment horizontal="center" vertical="center" wrapText="1"/>
    </xf>
    <xf numFmtId="0" fontId="44" fillId="0" borderId="1" xfId="39" applyFont="1" applyBorder="1" applyAlignment="1">
      <alignment horizontal="center" vertical="center" wrapText="1"/>
    </xf>
    <xf numFmtId="0" fontId="45" fillId="0" borderId="1" xfId="39" applyFont="1" applyBorder="1" applyAlignment="1">
      <alignment horizontal="center" vertical="center" wrapText="1"/>
    </xf>
    <xf numFmtId="0" fontId="40" fillId="0" borderId="17" xfId="39" applyFont="1" applyBorder="1" applyAlignment="1">
      <alignment horizontal="left" vertical="center" wrapText="1"/>
    </xf>
    <xf numFmtId="0" fontId="45" fillId="0" borderId="2" xfId="39" applyFont="1" applyBorder="1" applyAlignment="1">
      <alignment horizontal="center" vertical="center" wrapText="1"/>
    </xf>
    <xf numFmtId="0" fontId="40" fillId="11" borderId="1" xfId="39" applyFont="1" applyFill="1" applyBorder="1" applyAlignment="1">
      <alignment horizontal="left" vertical="center" wrapText="1"/>
    </xf>
    <xf numFmtId="0" fontId="44" fillId="11" borderId="1" xfId="39" applyFont="1" applyFill="1" applyBorder="1" applyAlignment="1">
      <alignment horizontal="left" vertical="center" wrapText="1"/>
    </xf>
    <xf numFmtId="0" fontId="44" fillId="11" borderId="1" xfId="39" applyFont="1" applyFill="1" applyBorder="1" applyAlignment="1">
      <alignment horizontal="center" vertical="center" wrapText="1"/>
    </xf>
    <xf numFmtId="0" fontId="0" fillId="11" borderId="1" xfId="39" applyFill="1" applyBorder="1" applyAlignment="1">
      <alignment wrapText="1"/>
    </xf>
    <xf numFmtId="0" fontId="0" fillId="11" borderId="1" xfId="39" applyFill="1" applyBorder="1"/>
    <xf numFmtId="0" fontId="44" fillId="11" borderId="1" xfId="0" applyFont="1" applyFill="1" applyBorder="1" applyAlignment="1">
      <alignment horizontal="left" vertical="center"/>
    </xf>
    <xf numFmtId="0" fontId="2" fillId="0" borderId="1" xfId="0" applyFont="1" applyBorder="1" applyAlignment="1">
      <alignment horizontal="center" vertical="center"/>
    </xf>
    <xf numFmtId="0" fontId="1" fillId="6" borderId="1" xfId="0" applyFont="1" applyFill="1" applyBorder="1" applyAlignment="1">
      <alignment horizontal="center" vertical="center"/>
    </xf>
    <xf numFmtId="0" fontId="46" fillId="0" borderId="1" xfId="0" applyFont="1" applyBorder="1" applyAlignment="1">
      <alignment horizontal="left" vertical="center" wrapText="1"/>
    </xf>
    <xf numFmtId="0" fontId="1" fillId="0" borderId="1" xfId="0" applyFont="1" applyBorder="1" applyAlignment="1">
      <alignment horizontal="left" vertical="center"/>
    </xf>
    <xf numFmtId="0" fontId="47" fillId="0" borderId="1" xfId="0" applyFont="1" applyBorder="1" applyAlignment="1">
      <alignment horizontal="left" vertical="center" wrapText="1"/>
    </xf>
    <xf numFmtId="0" fontId="1" fillId="7" borderId="1" xfId="0" applyFont="1" applyFill="1" applyBorder="1" applyAlignment="1">
      <alignment horizontal="center" vertical="center"/>
    </xf>
    <xf numFmtId="0" fontId="46" fillId="7" borderId="1" xfId="0" applyFont="1" applyFill="1" applyBorder="1" applyAlignment="1">
      <alignment horizontal="left" vertical="center" wrapText="1"/>
    </xf>
    <xf numFmtId="0" fontId="1" fillId="7" borderId="1" xfId="0" applyFont="1" applyFill="1" applyBorder="1" applyAlignment="1">
      <alignment horizontal="left" vertical="center"/>
    </xf>
    <xf numFmtId="0" fontId="47" fillId="7" borderId="1" xfId="0" applyFont="1" applyFill="1" applyBorder="1" applyAlignment="1">
      <alignment horizontal="center" vertical="center" wrapText="1"/>
    </xf>
    <xf numFmtId="0" fontId="46" fillId="5" borderId="1" xfId="0" applyFont="1" applyFill="1" applyBorder="1" applyAlignment="1">
      <alignment horizontal="left" vertical="center" wrapText="1"/>
    </xf>
    <xf numFmtId="0" fontId="47" fillId="5" borderId="1" xfId="0" applyFont="1" applyFill="1" applyBorder="1" applyAlignment="1">
      <alignment horizontal="center" vertical="center" wrapText="1"/>
    </xf>
    <xf numFmtId="0" fontId="1" fillId="5" borderId="1" xfId="0" applyFont="1" applyFill="1" applyBorder="1" applyAlignment="1">
      <alignment horizontal="left" vertical="center"/>
    </xf>
    <xf numFmtId="0" fontId="48" fillId="5" borderId="1" xfId="0" applyFont="1" applyFill="1" applyBorder="1" applyAlignment="1">
      <alignment horizontal="left" vertical="center" wrapText="1"/>
    </xf>
    <xf numFmtId="0" fontId="49" fillId="5" borderId="1" xfId="0" applyFont="1" applyFill="1" applyBorder="1" applyAlignment="1">
      <alignment horizontal="center" vertical="center" wrapText="1"/>
    </xf>
    <xf numFmtId="0" fontId="47" fillId="7" borderId="1" xfId="0" applyFont="1" applyFill="1" applyBorder="1" applyAlignment="1">
      <alignment horizontal="left" vertical="center" wrapText="1"/>
    </xf>
    <xf numFmtId="0" fontId="8" fillId="0" borderId="0" xfId="0" applyFont="1" applyAlignment="1">
      <alignment horizontal="center" vertical="center"/>
    </xf>
    <xf numFmtId="0" fontId="0" fillId="2" borderId="16" xfId="60" applyFont="1" applyFill="1" applyBorder="1" applyAlignment="1">
      <alignment horizontal="center"/>
    </xf>
    <xf numFmtId="0" fontId="0" fillId="2" borderId="0" xfId="0" applyFill="1">
      <alignment vertical="center"/>
    </xf>
    <xf numFmtId="0" fontId="0" fillId="7" borderId="16" xfId="60" applyFont="1" applyFill="1" applyBorder="1" applyAlignment="1">
      <alignment horizontal="center"/>
    </xf>
    <xf numFmtId="0" fontId="50" fillId="0" borderId="1" xfId="0" applyFont="1" applyBorder="1" applyAlignment="1">
      <alignment horizontal="center" vertical="center"/>
    </xf>
    <xf numFmtId="0" fontId="50" fillId="0" borderId="1" xfId="0" applyFont="1" applyBorder="1" applyAlignment="1">
      <alignment horizontal="left" vertical="center"/>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51" fillId="3" borderId="1" xfId="0" applyFont="1" applyFill="1" applyBorder="1" applyAlignment="1">
      <alignment horizontal="center" vertical="center"/>
    </xf>
    <xf numFmtId="0" fontId="50" fillId="3" borderId="1" xfId="0" applyFont="1" applyFill="1" applyBorder="1" applyAlignment="1">
      <alignment horizontal="left" vertical="center"/>
    </xf>
    <xf numFmtId="0" fontId="1" fillId="5" borderId="1" xfId="0" applyFont="1" applyFill="1" applyBorder="1" applyAlignment="1">
      <alignment horizontal="center" vertical="center"/>
    </xf>
    <xf numFmtId="0" fontId="0" fillId="6" borderId="0" xfId="60" applyFill="1" applyAlignment="1">
      <alignment vertical="center"/>
    </xf>
    <xf numFmtId="0" fontId="0" fillId="0" borderId="0" xfId="60" applyAlignment="1">
      <alignment horizontal="left" vertical="center"/>
    </xf>
    <xf numFmtId="0" fontId="0" fillId="0" borderId="0" xfId="60" applyAlignment="1">
      <alignment horizontal="center" vertical="center"/>
    </xf>
    <xf numFmtId="0" fontId="0" fillId="0" borderId="0" xfId="60" applyAlignment="1">
      <alignment vertical="center"/>
    </xf>
    <xf numFmtId="0" fontId="0" fillId="0" borderId="16" xfId="60" applyBorder="1" applyAlignment="1">
      <alignment horizontal="left" vertical="center"/>
    </xf>
    <xf numFmtId="0" fontId="0" fillId="0" borderId="16" xfId="60" applyFont="1" applyBorder="1" applyAlignment="1">
      <alignment horizontal="center" vertical="center"/>
    </xf>
    <xf numFmtId="0" fontId="52" fillId="0" borderId="16" xfId="60" applyFont="1" applyBorder="1" applyAlignment="1">
      <alignment horizontal="center" vertical="center" wrapText="1"/>
    </xf>
    <xf numFmtId="0" fontId="0" fillId="7" borderId="16" xfId="60" applyFill="1" applyBorder="1" applyAlignment="1">
      <alignment horizontal="left" vertical="center"/>
    </xf>
    <xf numFmtId="0" fontId="0" fillId="7" borderId="16" xfId="60" applyFont="1" applyFill="1" applyBorder="1" applyAlignment="1">
      <alignment horizontal="center" vertical="center"/>
    </xf>
    <xf numFmtId="0" fontId="0" fillId="7" borderId="16" xfId="60" applyFont="1" applyFill="1" applyBorder="1" applyAlignment="1">
      <alignment horizontal="center" vertical="center" wrapText="1"/>
    </xf>
    <xf numFmtId="0" fontId="0" fillId="7" borderId="16" xfId="60" applyFont="1" applyFill="1" applyBorder="1" applyAlignment="1">
      <alignment horizontal="left" vertical="center" wrapText="1"/>
    </xf>
    <xf numFmtId="0" fontId="0" fillId="7" borderId="16" xfId="60" applyFont="1" applyFill="1" applyBorder="1" applyAlignment="1">
      <alignment horizontal="left" vertical="center"/>
    </xf>
    <xf numFmtId="0" fontId="0" fillId="6" borderId="16" xfId="60" applyFont="1" applyFill="1" applyBorder="1" applyAlignment="1">
      <alignment horizontal="center" vertical="center"/>
    </xf>
    <xf numFmtId="0" fontId="0" fillId="13" borderId="16" xfId="60" applyFont="1" applyFill="1" applyBorder="1" applyAlignment="1">
      <alignment horizontal="center" vertical="center" wrapText="1"/>
    </xf>
    <xf numFmtId="0" fontId="0" fillId="0" borderId="16" xfId="60" applyFont="1" applyBorder="1" applyAlignment="1">
      <alignment horizontal="left" vertical="center" wrapText="1"/>
    </xf>
    <xf numFmtId="0" fontId="0" fillId="0" borderId="16" xfId="60" applyFont="1" applyBorder="1" applyAlignment="1">
      <alignment horizontal="left" vertical="center"/>
    </xf>
    <xf numFmtId="0" fontId="0" fillId="2" borderId="16" xfId="60" applyFont="1" applyFill="1" applyBorder="1" applyAlignment="1">
      <alignment horizontal="center" vertical="center"/>
    </xf>
    <xf numFmtId="0" fontId="0" fillId="0" borderId="16" xfId="60" applyFont="1" applyBorder="1" applyAlignment="1">
      <alignment horizontal="center" vertical="center" wrapText="1"/>
    </xf>
    <xf numFmtId="0" fontId="0" fillId="7" borderId="16" xfId="60" applyFont="1" applyFill="1" applyBorder="1" applyAlignment="1">
      <alignment vertical="center" wrapText="1"/>
    </xf>
    <xf numFmtId="0" fontId="0" fillId="7" borderId="16" xfId="60" applyFont="1" applyFill="1" applyBorder="1" applyAlignment="1">
      <alignment vertical="center"/>
    </xf>
    <xf numFmtId="0" fontId="52" fillId="7" borderId="16" xfId="60" applyFont="1" applyFill="1" applyBorder="1" applyAlignment="1">
      <alignment horizontal="center" vertical="center" wrapText="1"/>
    </xf>
    <xf numFmtId="0" fontId="52" fillId="0" borderId="16" xfId="60" applyFont="1" applyBorder="1" applyAlignment="1">
      <alignment horizontal="left" vertical="center" wrapText="1"/>
    </xf>
    <xf numFmtId="0" fontId="52" fillId="0" borderId="16" xfId="60" applyFont="1" applyBorder="1" applyAlignment="1">
      <alignment horizontal="left" vertical="center"/>
    </xf>
    <xf numFmtId="0" fontId="0" fillId="0" borderId="17" xfId="60" applyFont="1" applyBorder="1" applyAlignment="1">
      <alignment horizontal="left" vertical="center"/>
    </xf>
    <xf numFmtId="0" fontId="0" fillId="6" borderId="16" xfId="60" applyFill="1" applyBorder="1" applyAlignment="1">
      <alignment horizontal="left" vertical="center"/>
    </xf>
    <xf numFmtId="0" fontId="0" fillId="6" borderId="16" xfId="60" applyFont="1" applyFill="1" applyBorder="1" applyAlignment="1">
      <alignment horizontal="center" vertical="center" wrapText="1"/>
    </xf>
    <xf numFmtId="0" fontId="0" fillId="6" borderId="18" xfId="60" applyFont="1" applyFill="1" applyBorder="1" applyAlignment="1">
      <alignment horizontal="left" vertical="center" wrapText="1"/>
    </xf>
    <xf numFmtId="0" fontId="0" fillId="6" borderId="1" xfId="60" applyFill="1" applyBorder="1" applyAlignment="1">
      <alignment vertical="center"/>
    </xf>
    <xf numFmtId="0" fontId="0" fillId="7" borderId="19" xfId="60" applyFont="1" applyFill="1" applyBorder="1" applyAlignment="1">
      <alignment horizontal="left" vertical="center"/>
    </xf>
    <xf numFmtId="0" fontId="0" fillId="5" borderId="16" xfId="60" applyFill="1" applyBorder="1" applyAlignment="1">
      <alignment horizontal="left" vertical="center"/>
    </xf>
    <xf numFmtId="0" fontId="0" fillId="5" borderId="16" xfId="60" applyFont="1" applyFill="1" applyBorder="1" applyAlignment="1">
      <alignment horizontal="center" vertical="center" wrapText="1"/>
    </xf>
    <xf numFmtId="0" fontId="0" fillId="5" borderId="16" xfId="60" applyFont="1" applyFill="1" applyBorder="1" applyAlignment="1">
      <alignment horizontal="left" vertical="center" wrapText="1"/>
    </xf>
    <xf numFmtId="0" fontId="0" fillId="5" borderId="16" xfId="60" applyFont="1" applyFill="1" applyBorder="1" applyAlignment="1">
      <alignment horizontal="left" vertical="center"/>
    </xf>
    <xf numFmtId="0" fontId="0" fillId="0" borderId="0" xfId="60" applyFont="1" applyAlignment="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3" xfId="0" applyBorder="1">
      <alignment vertical="center"/>
    </xf>
    <xf numFmtId="0" fontId="0" fillId="0" borderId="3" xfId="0" applyBorder="1" applyAlignment="1">
      <alignment horizontal="left" vertical="center"/>
    </xf>
    <xf numFmtId="0" fontId="0" fillId="0" borderId="1" xfId="0" applyBorder="1" applyAlignment="1">
      <alignment horizontal="left" vertical="center"/>
    </xf>
    <xf numFmtId="0" fontId="0" fillId="0" borderId="0" xfId="73"/>
    <xf numFmtId="0" fontId="20" fillId="2" borderId="1" xfId="73" applyFont="1" applyFill="1" applyBorder="1"/>
    <xf numFmtId="0" fontId="16" fillId="0" borderId="1" xfId="73" applyFont="1" applyBorder="1"/>
    <xf numFmtId="0" fontId="16" fillId="4" borderId="1" xfId="73" applyFont="1" applyFill="1" applyBorder="1"/>
    <xf numFmtId="0" fontId="0" fillId="0" borderId="0" xfId="73" applyFont="1"/>
    <xf numFmtId="0" fontId="0" fillId="2" borderId="1" xfId="0" applyFill="1" applyBorder="1">
      <alignment vertical="center"/>
    </xf>
    <xf numFmtId="0" fontId="0" fillId="2" borderId="1" xfId="0" applyFill="1" applyBorder="1" applyAlignment="1">
      <alignment vertical="center" wrapText="1"/>
    </xf>
    <xf numFmtId="0" fontId="0" fillId="4" borderId="1" xfId="0" applyFill="1" applyBorder="1">
      <alignment vertical="center"/>
    </xf>
    <xf numFmtId="0" fontId="0" fillId="4" borderId="1" xfId="0" applyFill="1" applyBorder="1" applyAlignment="1">
      <alignment vertical="center" wrapText="1"/>
    </xf>
  </cellXfs>
  <cellStyles count="7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常规 6" xfId="14"/>
    <cellStyle name="60% - 强调文字颜色 2" xfId="15" builtinId="36"/>
    <cellStyle name="标题 4" xfId="16" builtinId="19"/>
    <cellStyle name="警告文本" xfId="17" builtinId="11"/>
    <cellStyle name="标题" xfId="18" builtinId="15"/>
    <cellStyle name="Normal_Sheet2" xfId="19"/>
    <cellStyle name="常规 2 5"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差_Sheet1" xfId="30"/>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常规 2 2 2" xfId="39"/>
    <cellStyle name="20% - 强调文字颜色 1" xfId="40" builtinId="30"/>
    <cellStyle name="40% - 强调文字颜色 1" xfId="41" builtinId="31"/>
    <cellStyle name="常规 2 2 3" xfId="42"/>
    <cellStyle name="Standard 2" xfId="43"/>
    <cellStyle name="20% - 强调文字颜色 2" xfId="44" builtinId="34"/>
    <cellStyle name="40% - 强调文字颜色 2" xfId="45" builtinId="35"/>
    <cellStyle name="强调文字颜色 3" xfId="46" builtinId="37"/>
    <cellStyle name="强调文字颜色 4" xfId="47" builtinId="41"/>
    <cellStyle name="20% - 强调文字颜色 4" xfId="48" builtinId="42"/>
    <cellStyle name="Normal 2" xfId="49"/>
    <cellStyle name="40% - 强调文字颜色 4" xfId="50" builtinId="43"/>
    <cellStyle name="强调文字颜色 5" xfId="51" builtinId="45"/>
    <cellStyle name="常规 2 2" xfId="52"/>
    <cellStyle name="Normal 3" xfId="53"/>
    <cellStyle name="40% - 强调文字颜色 5" xfId="54" builtinId="47"/>
    <cellStyle name="60% - 强调文字颜色 5" xfId="55" builtinId="48"/>
    <cellStyle name="强调文字颜色 6" xfId="56" builtinId="49"/>
    <cellStyle name="常规 2 3" xfId="57"/>
    <cellStyle name="40% - 强调文字颜色 6" xfId="58" builtinId="51"/>
    <cellStyle name="60% - 强调文字颜色 6" xfId="59" builtinId="52"/>
    <cellStyle name="常规 2 4" xfId="60"/>
    <cellStyle name="Normal 5" xfId="61"/>
    <cellStyle name="差 2" xfId="62"/>
    <cellStyle name="常规 2" xfId="63"/>
    <cellStyle name="常规 3" xfId="64"/>
    <cellStyle name="常规 3 2" xfId="65"/>
    <cellStyle name="常规 3 3" xfId="66"/>
    <cellStyle name="常规 3 4" xfId="67"/>
    <cellStyle name="常规 3 5" xfId="68"/>
    <cellStyle name="常规 4" xfId="69"/>
    <cellStyle name="常规 5" xfId="70"/>
    <cellStyle name="常规 7" xfId="71"/>
    <cellStyle name="常规 8" xfId="72"/>
    <cellStyle name="常规 9" xfId="73"/>
    <cellStyle name="好_Sheet1" xfId="74"/>
    <cellStyle name="注释 2" xfId="7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styles" Target="style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1112520</xdr:colOff>
      <xdr:row>111</xdr:row>
      <xdr:rowOff>0</xdr:rowOff>
    </xdr:from>
    <xdr:to>
      <xdr:col>8</xdr:col>
      <xdr:colOff>224155</xdr:colOff>
      <xdr:row>111</xdr:row>
      <xdr:rowOff>157480</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a:off x="9865995" y="23431500"/>
          <a:ext cx="226060" cy="157480"/>
        </a:xfrm>
        <a:prstGeom prst="rect">
          <a:avLst/>
        </a:prstGeom>
        <a:noFill/>
        <a:ln>
          <a:noFill/>
        </a:ln>
      </xdr:spPr>
    </xdr:pic>
    <xdr:clientData/>
  </xdr:twoCellAnchor>
  <xdr:twoCellAnchor>
    <xdr:from>
      <xdr:col>8</xdr:col>
      <xdr:colOff>0</xdr:colOff>
      <xdr:row>112</xdr:row>
      <xdr:rowOff>0</xdr:rowOff>
    </xdr:from>
    <xdr:to>
      <xdr:col>8</xdr:col>
      <xdr:colOff>226060</xdr:colOff>
      <xdr:row>112</xdr:row>
      <xdr:rowOff>157480</xdr:rowOff>
    </xdr:to>
    <xdr:pic>
      <xdr:nvPicPr>
        <xdr:cNvPr id="169" name="图片 168"/>
        <xdr:cNvPicPr/>
      </xdr:nvPicPr>
      <xdr:blipFill>
        <a:blip r:embed="rId1">
          <a:extLst>
            <a:ext uri="{28A0092B-C50C-407E-A947-70E740481C1C}">
              <a14:useLocalDpi xmlns:a14="http://schemas.microsoft.com/office/drawing/2010/main" val="0"/>
            </a:ext>
          </a:extLst>
        </a:blip>
        <a:srcRect/>
        <a:stretch>
          <a:fillRect/>
        </a:stretch>
      </xdr:blipFill>
      <xdr:spPr>
        <a:xfrm>
          <a:off x="9867900" y="23641050"/>
          <a:ext cx="226060" cy="157480"/>
        </a:xfrm>
        <a:prstGeom prst="rect">
          <a:avLst/>
        </a:prstGeom>
        <a:noFill/>
        <a:ln>
          <a:noFill/>
        </a:ln>
      </xdr:spPr>
    </xdr:pic>
    <xdr:clientData/>
  </xdr:twoCellAnchor>
  <xdr:twoCellAnchor>
    <xdr:from>
      <xdr:col>8</xdr:col>
      <xdr:colOff>0</xdr:colOff>
      <xdr:row>113</xdr:row>
      <xdr:rowOff>0</xdr:rowOff>
    </xdr:from>
    <xdr:to>
      <xdr:col>8</xdr:col>
      <xdr:colOff>226060</xdr:colOff>
      <xdr:row>113</xdr:row>
      <xdr:rowOff>157480</xdr:rowOff>
    </xdr:to>
    <xdr:pic>
      <xdr:nvPicPr>
        <xdr:cNvPr id="170" name="图片 169"/>
        <xdr:cNvPicPr/>
      </xdr:nvPicPr>
      <xdr:blipFill>
        <a:blip r:embed="rId1">
          <a:extLst>
            <a:ext uri="{28A0092B-C50C-407E-A947-70E740481C1C}">
              <a14:useLocalDpi xmlns:a14="http://schemas.microsoft.com/office/drawing/2010/main" val="0"/>
            </a:ext>
          </a:extLst>
        </a:blip>
        <a:srcRect/>
        <a:stretch>
          <a:fillRect/>
        </a:stretch>
      </xdr:blipFill>
      <xdr:spPr>
        <a:xfrm>
          <a:off x="9867900" y="23850600"/>
          <a:ext cx="226060" cy="157480"/>
        </a:xfrm>
        <a:prstGeom prst="rect">
          <a:avLst/>
        </a:prstGeom>
        <a:noFill/>
        <a:ln>
          <a:noFill/>
        </a:ln>
      </xdr:spPr>
    </xdr:pic>
    <xdr:clientData/>
  </xdr:twoCellAnchor>
  <xdr:twoCellAnchor>
    <xdr:from>
      <xdr:col>8</xdr:col>
      <xdr:colOff>0</xdr:colOff>
      <xdr:row>114</xdr:row>
      <xdr:rowOff>0</xdr:rowOff>
    </xdr:from>
    <xdr:to>
      <xdr:col>8</xdr:col>
      <xdr:colOff>226060</xdr:colOff>
      <xdr:row>114</xdr:row>
      <xdr:rowOff>157480</xdr:rowOff>
    </xdr:to>
    <xdr:pic>
      <xdr:nvPicPr>
        <xdr:cNvPr id="171" name="图片 170"/>
        <xdr:cNvPicPr/>
      </xdr:nvPicPr>
      <xdr:blipFill>
        <a:blip r:embed="rId1">
          <a:extLst>
            <a:ext uri="{28A0092B-C50C-407E-A947-70E740481C1C}">
              <a14:useLocalDpi xmlns:a14="http://schemas.microsoft.com/office/drawing/2010/main" val="0"/>
            </a:ext>
          </a:extLst>
        </a:blip>
        <a:srcRect/>
        <a:stretch>
          <a:fillRect/>
        </a:stretch>
      </xdr:blipFill>
      <xdr:spPr>
        <a:xfrm>
          <a:off x="9867900" y="24060150"/>
          <a:ext cx="226060" cy="157480"/>
        </a:xfrm>
        <a:prstGeom prst="rect">
          <a:avLst/>
        </a:prstGeom>
        <a:noFill/>
        <a:ln>
          <a:noFill/>
        </a:ln>
      </xdr:spPr>
    </xdr:pic>
    <xdr:clientData/>
  </xdr:twoCellAnchor>
  <xdr:twoCellAnchor>
    <xdr:from>
      <xdr:col>8</xdr:col>
      <xdr:colOff>0</xdr:colOff>
      <xdr:row>115</xdr:row>
      <xdr:rowOff>0</xdr:rowOff>
    </xdr:from>
    <xdr:to>
      <xdr:col>8</xdr:col>
      <xdr:colOff>226060</xdr:colOff>
      <xdr:row>115</xdr:row>
      <xdr:rowOff>157480</xdr:rowOff>
    </xdr:to>
    <xdr:pic>
      <xdr:nvPicPr>
        <xdr:cNvPr id="172" name="图片 171"/>
        <xdr:cNvPicPr/>
      </xdr:nvPicPr>
      <xdr:blipFill>
        <a:blip r:embed="rId1">
          <a:extLst>
            <a:ext uri="{28A0092B-C50C-407E-A947-70E740481C1C}">
              <a14:useLocalDpi xmlns:a14="http://schemas.microsoft.com/office/drawing/2010/main" val="0"/>
            </a:ext>
          </a:extLst>
        </a:blip>
        <a:srcRect/>
        <a:stretch>
          <a:fillRect/>
        </a:stretch>
      </xdr:blipFill>
      <xdr:spPr>
        <a:xfrm>
          <a:off x="9867900" y="24269700"/>
          <a:ext cx="226060" cy="157480"/>
        </a:xfrm>
        <a:prstGeom prst="rect">
          <a:avLst/>
        </a:prstGeom>
        <a:noFill/>
        <a:ln>
          <a:noFill/>
        </a:ln>
      </xdr:spPr>
    </xdr:pic>
    <xdr:clientData/>
  </xdr:twoCellAnchor>
  <xdr:twoCellAnchor>
    <xdr:from>
      <xdr:col>8</xdr:col>
      <xdr:colOff>0</xdr:colOff>
      <xdr:row>116</xdr:row>
      <xdr:rowOff>0</xdr:rowOff>
    </xdr:from>
    <xdr:to>
      <xdr:col>8</xdr:col>
      <xdr:colOff>226060</xdr:colOff>
      <xdr:row>116</xdr:row>
      <xdr:rowOff>157480</xdr:rowOff>
    </xdr:to>
    <xdr:pic>
      <xdr:nvPicPr>
        <xdr:cNvPr id="173" name="图片 172"/>
        <xdr:cNvPicPr/>
      </xdr:nvPicPr>
      <xdr:blipFill>
        <a:blip r:embed="rId1">
          <a:extLst>
            <a:ext uri="{28A0092B-C50C-407E-A947-70E740481C1C}">
              <a14:useLocalDpi xmlns:a14="http://schemas.microsoft.com/office/drawing/2010/main" val="0"/>
            </a:ext>
          </a:extLst>
        </a:blip>
        <a:srcRect/>
        <a:stretch>
          <a:fillRect/>
        </a:stretch>
      </xdr:blipFill>
      <xdr:spPr>
        <a:xfrm>
          <a:off x="9867900" y="24479250"/>
          <a:ext cx="226060" cy="157480"/>
        </a:xfrm>
        <a:prstGeom prst="rect">
          <a:avLst/>
        </a:prstGeom>
        <a:noFill/>
        <a:ln>
          <a:noFill/>
        </a:ln>
      </xdr:spPr>
    </xdr:pic>
    <xdr:clientData/>
  </xdr:twoCellAnchor>
  <xdr:twoCellAnchor>
    <xdr:from>
      <xdr:col>8</xdr:col>
      <xdr:colOff>0</xdr:colOff>
      <xdr:row>117</xdr:row>
      <xdr:rowOff>0</xdr:rowOff>
    </xdr:from>
    <xdr:to>
      <xdr:col>8</xdr:col>
      <xdr:colOff>226060</xdr:colOff>
      <xdr:row>117</xdr:row>
      <xdr:rowOff>157480</xdr:rowOff>
    </xdr:to>
    <xdr:pic>
      <xdr:nvPicPr>
        <xdr:cNvPr id="174" name="图片 173"/>
        <xdr:cNvPicPr/>
      </xdr:nvPicPr>
      <xdr:blipFill>
        <a:blip r:embed="rId1">
          <a:extLst>
            <a:ext uri="{28A0092B-C50C-407E-A947-70E740481C1C}">
              <a14:useLocalDpi xmlns:a14="http://schemas.microsoft.com/office/drawing/2010/main" val="0"/>
            </a:ext>
          </a:extLst>
        </a:blip>
        <a:srcRect/>
        <a:stretch>
          <a:fillRect/>
        </a:stretch>
      </xdr:blipFill>
      <xdr:spPr>
        <a:xfrm>
          <a:off x="9867900" y="24688800"/>
          <a:ext cx="226060" cy="157480"/>
        </a:xfrm>
        <a:prstGeom prst="rect">
          <a:avLst/>
        </a:prstGeom>
        <a:noFill/>
        <a:ln>
          <a:noFill/>
        </a:ln>
      </xdr:spPr>
    </xdr:pic>
    <xdr:clientData/>
  </xdr:twoCellAnchor>
  <xdr:twoCellAnchor>
    <xdr:from>
      <xdr:col>8</xdr:col>
      <xdr:colOff>0</xdr:colOff>
      <xdr:row>118</xdr:row>
      <xdr:rowOff>0</xdr:rowOff>
    </xdr:from>
    <xdr:to>
      <xdr:col>8</xdr:col>
      <xdr:colOff>226060</xdr:colOff>
      <xdr:row>118</xdr:row>
      <xdr:rowOff>157480</xdr:rowOff>
    </xdr:to>
    <xdr:pic>
      <xdr:nvPicPr>
        <xdr:cNvPr id="175" name="图片 174"/>
        <xdr:cNvPicPr/>
      </xdr:nvPicPr>
      <xdr:blipFill>
        <a:blip r:embed="rId1">
          <a:extLst>
            <a:ext uri="{28A0092B-C50C-407E-A947-70E740481C1C}">
              <a14:useLocalDpi xmlns:a14="http://schemas.microsoft.com/office/drawing/2010/main" val="0"/>
            </a:ext>
          </a:extLst>
        </a:blip>
        <a:srcRect/>
        <a:stretch>
          <a:fillRect/>
        </a:stretch>
      </xdr:blipFill>
      <xdr:spPr>
        <a:xfrm>
          <a:off x="9867900" y="24898350"/>
          <a:ext cx="226060" cy="157480"/>
        </a:xfrm>
        <a:prstGeom prst="rect">
          <a:avLst/>
        </a:prstGeom>
        <a:noFill/>
        <a:ln>
          <a:noFill/>
        </a:ln>
      </xdr:spPr>
    </xdr:pic>
    <xdr:clientData/>
  </xdr:twoCellAnchor>
  <xdr:twoCellAnchor>
    <xdr:from>
      <xdr:col>8</xdr:col>
      <xdr:colOff>0</xdr:colOff>
      <xdr:row>119</xdr:row>
      <xdr:rowOff>0</xdr:rowOff>
    </xdr:from>
    <xdr:to>
      <xdr:col>8</xdr:col>
      <xdr:colOff>226060</xdr:colOff>
      <xdr:row>119</xdr:row>
      <xdr:rowOff>157480</xdr:rowOff>
    </xdr:to>
    <xdr:pic>
      <xdr:nvPicPr>
        <xdr:cNvPr id="176" name="图片 175"/>
        <xdr:cNvPicPr/>
      </xdr:nvPicPr>
      <xdr:blipFill>
        <a:blip r:embed="rId1">
          <a:extLst>
            <a:ext uri="{28A0092B-C50C-407E-A947-70E740481C1C}">
              <a14:useLocalDpi xmlns:a14="http://schemas.microsoft.com/office/drawing/2010/main" val="0"/>
            </a:ext>
          </a:extLst>
        </a:blip>
        <a:srcRect/>
        <a:stretch>
          <a:fillRect/>
        </a:stretch>
      </xdr:blipFill>
      <xdr:spPr>
        <a:xfrm>
          <a:off x="9867900" y="25107900"/>
          <a:ext cx="226060" cy="157480"/>
        </a:xfrm>
        <a:prstGeom prst="rect">
          <a:avLst/>
        </a:prstGeom>
        <a:noFill/>
        <a:ln>
          <a:noFill/>
        </a:ln>
      </xdr:spPr>
    </xdr:pic>
    <xdr:clientData/>
  </xdr:twoCellAnchor>
  <xdr:twoCellAnchor>
    <xdr:from>
      <xdr:col>8</xdr:col>
      <xdr:colOff>0</xdr:colOff>
      <xdr:row>120</xdr:row>
      <xdr:rowOff>0</xdr:rowOff>
    </xdr:from>
    <xdr:to>
      <xdr:col>8</xdr:col>
      <xdr:colOff>226060</xdr:colOff>
      <xdr:row>120</xdr:row>
      <xdr:rowOff>157480</xdr:rowOff>
    </xdr:to>
    <xdr:pic>
      <xdr:nvPicPr>
        <xdr:cNvPr id="177" name="图片 176"/>
        <xdr:cNvPicPr/>
      </xdr:nvPicPr>
      <xdr:blipFill>
        <a:blip r:embed="rId1">
          <a:extLst>
            <a:ext uri="{28A0092B-C50C-407E-A947-70E740481C1C}">
              <a14:useLocalDpi xmlns:a14="http://schemas.microsoft.com/office/drawing/2010/main" val="0"/>
            </a:ext>
          </a:extLst>
        </a:blip>
        <a:srcRect/>
        <a:stretch>
          <a:fillRect/>
        </a:stretch>
      </xdr:blipFill>
      <xdr:spPr>
        <a:xfrm>
          <a:off x="9867900" y="25317450"/>
          <a:ext cx="226060" cy="157480"/>
        </a:xfrm>
        <a:prstGeom prst="rect">
          <a:avLst/>
        </a:prstGeom>
        <a:noFill/>
        <a:ln>
          <a:noFill/>
        </a:ln>
      </xdr:spPr>
    </xdr:pic>
    <xdr:clientData/>
  </xdr:twoCellAnchor>
  <xdr:twoCellAnchor>
    <xdr:from>
      <xdr:col>8</xdr:col>
      <xdr:colOff>0</xdr:colOff>
      <xdr:row>121</xdr:row>
      <xdr:rowOff>0</xdr:rowOff>
    </xdr:from>
    <xdr:to>
      <xdr:col>8</xdr:col>
      <xdr:colOff>226060</xdr:colOff>
      <xdr:row>121</xdr:row>
      <xdr:rowOff>157480</xdr:rowOff>
    </xdr:to>
    <xdr:pic>
      <xdr:nvPicPr>
        <xdr:cNvPr id="178" name="图片 177"/>
        <xdr:cNvPicPr/>
      </xdr:nvPicPr>
      <xdr:blipFill>
        <a:blip r:embed="rId1">
          <a:extLst>
            <a:ext uri="{28A0092B-C50C-407E-A947-70E740481C1C}">
              <a14:useLocalDpi xmlns:a14="http://schemas.microsoft.com/office/drawing/2010/main" val="0"/>
            </a:ext>
          </a:extLst>
        </a:blip>
        <a:srcRect/>
        <a:stretch>
          <a:fillRect/>
        </a:stretch>
      </xdr:blipFill>
      <xdr:spPr>
        <a:xfrm>
          <a:off x="9867900" y="25527000"/>
          <a:ext cx="226060" cy="157480"/>
        </a:xfrm>
        <a:prstGeom prst="rect">
          <a:avLst/>
        </a:prstGeom>
        <a:noFill/>
        <a:ln>
          <a:noFill/>
        </a:ln>
      </xdr:spPr>
    </xdr:pic>
    <xdr:clientData/>
  </xdr:twoCellAnchor>
  <xdr:twoCellAnchor>
    <xdr:from>
      <xdr:col>8</xdr:col>
      <xdr:colOff>0</xdr:colOff>
      <xdr:row>122</xdr:row>
      <xdr:rowOff>0</xdr:rowOff>
    </xdr:from>
    <xdr:to>
      <xdr:col>8</xdr:col>
      <xdr:colOff>226060</xdr:colOff>
      <xdr:row>122</xdr:row>
      <xdr:rowOff>157480</xdr:rowOff>
    </xdr:to>
    <xdr:pic>
      <xdr:nvPicPr>
        <xdr:cNvPr id="179" name="图片 178"/>
        <xdr:cNvPicPr/>
      </xdr:nvPicPr>
      <xdr:blipFill>
        <a:blip r:embed="rId1">
          <a:extLst>
            <a:ext uri="{28A0092B-C50C-407E-A947-70E740481C1C}">
              <a14:useLocalDpi xmlns:a14="http://schemas.microsoft.com/office/drawing/2010/main" val="0"/>
            </a:ext>
          </a:extLst>
        </a:blip>
        <a:srcRect/>
        <a:stretch>
          <a:fillRect/>
        </a:stretch>
      </xdr:blipFill>
      <xdr:spPr>
        <a:xfrm>
          <a:off x="9867900" y="25736550"/>
          <a:ext cx="226060" cy="157480"/>
        </a:xfrm>
        <a:prstGeom prst="rect">
          <a:avLst/>
        </a:prstGeom>
        <a:noFill/>
        <a:ln>
          <a:noFill/>
        </a:ln>
      </xdr:spPr>
    </xdr:pic>
    <xdr:clientData/>
  </xdr:twoCellAnchor>
  <xdr:twoCellAnchor>
    <xdr:from>
      <xdr:col>8</xdr:col>
      <xdr:colOff>0</xdr:colOff>
      <xdr:row>123</xdr:row>
      <xdr:rowOff>0</xdr:rowOff>
    </xdr:from>
    <xdr:to>
      <xdr:col>8</xdr:col>
      <xdr:colOff>226060</xdr:colOff>
      <xdr:row>123</xdr:row>
      <xdr:rowOff>157480</xdr:rowOff>
    </xdr:to>
    <xdr:pic>
      <xdr:nvPicPr>
        <xdr:cNvPr id="180" name="图片 179"/>
        <xdr:cNvPicPr/>
      </xdr:nvPicPr>
      <xdr:blipFill>
        <a:blip r:embed="rId1">
          <a:extLst>
            <a:ext uri="{28A0092B-C50C-407E-A947-70E740481C1C}">
              <a14:useLocalDpi xmlns:a14="http://schemas.microsoft.com/office/drawing/2010/main" val="0"/>
            </a:ext>
          </a:extLst>
        </a:blip>
        <a:srcRect/>
        <a:stretch>
          <a:fillRect/>
        </a:stretch>
      </xdr:blipFill>
      <xdr:spPr>
        <a:xfrm>
          <a:off x="9867900" y="25946100"/>
          <a:ext cx="226060" cy="157480"/>
        </a:xfrm>
        <a:prstGeom prst="rect">
          <a:avLst/>
        </a:prstGeom>
        <a:noFill/>
        <a:ln>
          <a:noFill/>
        </a:ln>
      </xdr:spPr>
    </xdr:pic>
    <xdr:clientData/>
  </xdr:twoCellAnchor>
  <xdr:twoCellAnchor>
    <xdr:from>
      <xdr:col>8</xdr:col>
      <xdr:colOff>0</xdr:colOff>
      <xdr:row>124</xdr:row>
      <xdr:rowOff>0</xdr:rowOff>
    </xdr:from>
    <xdr:to>
      <xdr:col>8</xdr:col>
      <xdr:colOff>226060</xdr:colOff>
      <xdr:row>124</xdr:row>
      <xdr:rowOff>157480</xdr:rowOff>
    </xdr:to>
    <xdr:pic>
      <xdr:nvPicPr>
        <xdr:cNvPr id="181" name="图片 180"/>
        <xdr:cNvPicPr/>
      </xdr:nvPicPr>
      <xdr:blipFill>
        <a:blip r:embed="rId1">
          <a:extLst>
            <a:ext uri="{28A0092B-C50C-407E-A947-70E740481C1C}">
              <a14:useLocalDpi xmlns:a14="http://schemas.microsoft.com/office/drawing/2010/main" val="0"/>
            </a:ext>
          </a:extLst>
        </a:blip>
        <a:srcRect/>
        <a:stretch>
          <a:fillRect/>
        </a:stretch>
      </xdr:blipFill>
      <xdr:spPr>
        <a:xfrm>
          <a:off x="9867900" y="26155650"/>
          <a:ext cx="226060" cy="157480"/>
        </a:xfrm>
        <a:prstGeom prst="rect">
          <a:avLst/>
        </a:prstGeom>
        <a:noFill/>
        <a:ln>
          <a:noFill/>
        </a:ln>
      </xdr:spPr>
    </xdr:pic>
    <xdr:clientData/>
  </xdr:twoCellAnchor>
  <xdr:twoCellAnchor>
    <xdr:from>
      <xdr:col>8</xdr:col>
      <xdr:colOff>0</xdr:colOff>
      <xdr:row>125</xdr:row>
      <xdr:rowOff>0</xdr:rowOff>
    </xdr:from>
    <xdr:to>
      <xdr:col>8</xdr:col>
      <xdr:colOff>226060</xdr:colOff>
      <xdr:row>125</xdr:row>
      <xdr:rowOff>157480</xdr:rowOff>
    </xdr:to>
    <xdr:pic>
      <xdr:nvPicPr>
        <xdr:cNvPr id="182" name="图片 181"/>
        <xdr:cNvPicPr/>
      </xdr:nvPicPr>
      <xdr:blipFill>
        <a:blip r:embed="rId1">
          <a:extLst>
            <a:ext uri="{28A0092B-C50C-407E-A947-70E740481C1C}">
              <a14:useLocalDpi xmlns:a14="http://schemas.microsoft.com/office/drawing/2010/main" val="0"/>
            </a:ext>
          </a:extLst>
        </a:blip>
        <a:srcRect/>
        <a:stretch>
          <a:fillRect/>
        </a:stretch>
      </xdr:blipFill>
      <xdr:spPr>
        <a:xfrm>
          <a:off x="9867900" y="26365200"/>
          <a:ext cx="226060" cy="157480"/>
        </a:xfrm>
        <a:prstGeom prst="rect">
          <a:avLst/>
        </a:prstGeom>
        <a:noFill/>
        <a:ln>
          <a:noFill/>
        </a:ln>
      </xdr:spPr>
    </xdr:pic>
    <xdr:clientData/>
  </xdr:twoCellAnchor>
  <xdr:twoCellAnchor>
    <xdr:from>
      <xdr:col>8</xdr:col>
      <xdr:colOff>0</xdr:colOff>
      <xdr:row>126</xdr:row>
      <xdr:rowOff>0</xdr:rowOff>
    </xdr:from>
    <xdr:to>
      <xdr:col>8</xdr:col>
      <xdr:colOff>226060</xdr:colOff>
      <xdr:row>126</xdr:row>
      <xdr:rowOff>157480</xdr:rowOff>
    </xdr:to>
    <xdr:pic>
      <xdr:nvPicPr>
        <xdr:cNvPr id="183" name="图片 182"/>
        <xdr:cNvPicPr/>
      </xdr:nvPicPr>
      <xdr:blipFill>
        <a:blip r:embed="rId1">
          <a:extLst>
            <a:ext uri="{28A0092B-C50C-407E-A947-70E740481C1C}">
              <a14:useLocalDpi xmlns:a14="http://schemas.microsoft.com/office/drawing/2010/main" val="0"/>
            </a:ext>
          </a:extLst>
        </a:blip>
        <a:srcRect/>
        <a:stretch>
          <a:fillRect/>
        </a:stretch>
      </xdr:blipFill>
      <xdr:spPr>
        <a:xfrm>
          <a:off x="9867900" y="26574750"/>
          <a:ext cx="226060" cy="157480"/>
        </a:xfrm>
        <a:prstGeom prst="rect">
          <a:avLst/>
        </a:prstGeom>
        <a:noFill/>
        <a:ln>
          <a:noFill/>
        </a:ln>
      </xdr:spPr>
    </xdr:pic>
    <xdr:clientData/>
  </xdr:twoCellAnchor>
  <xdr:twoCellAnchor>
    <xdr:from>
      <xdr:col>8</xdr:col>
      <xdr:colOff>0</xdr:colOff>
      <xdr:row>127</xdr:row>
      <xdr:rowOff>0</xdr:rowOff>
    </xdr:from>
    <xdr:to>
      <xdr:col>8</xdr:col>
      <xdr:colOff>226060</xdr:colOff>
      <xdr:row>127</xdr:row>
      <xdr:rowOff>157480</xdr:rowOff>
    </xdr:to>
    <xdr:pic>
      <xdr:nvPicPr>
        <xdr:cNvPr id="184" name="图片 183"/>
        <xdr:cNvPicPr/>
      </xdr:nvPicPr>
      <xdr:blipFill>
        <a:blip r:embed="rId1">
          <a:extLst>
            <a:ext uri="{28A0092B-C50C-407E-A947-70E740481C1C}">
              <a14:useLocalDpi xmlns:a14="http://schemas.microsoft.com/office/drawing/2010/main" val="0"/>
            </a:ext>
          </a:extLst>
        </a:blip>
        <a:srcRect/>
        <a:stretch>
          <a:fillRect/>
        </a:stretch>
      </xdr:blipFill>
      <xdr:spPr>
        <a:xfrm>
          <a:off x="9867900" y="26784300"/>
          <a:ext cx="226060" cy="15748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2052320</xdr:colOff>
      <xdr:row>2</xdr:row>
      <xdr:rowOff>11430</xdr:rowOff>
    </xdr:from>
    <xdr:to>
      <xdr:col>8</xdr:col>
      <xdr:colOff>2448560</xdr:colOff>
      <xdr:row>2</xdr:row>
      <xdr:rowOff>191135</xdr:rowOff>
    </xdr:to>
    <xdr:pic>
      <xdr:nvPicPr>
        <xdr:cNvPr id="6" name="图片 7"/>
        <xdr:cNvPicPr>
          <a:picLocks noChangeAspect="1"/>
        </xdr:cNvPicPr>
      </xdr:nvPicPr>
      <xdr:blipFill>
        <a:blip r:embed="rId1"/>
        <a:stretch>
          <a:fillRect/>
        </a:stretch>
      </xdr:blipFill>
      <xdr:spPr>
        <a:xfrm>
          <a:off x="13006070" y="171450"/>
          <a:ext cx="396240" cy="0"/>
        </a:xfrm>
        <a:prstGeom prst="rect">
          <a:avLst/>
        </a:prstGeom>
      </xdr:spPr>
    </xdr:pic>
    <xdr:clientData/>
  </xdr:twoCellAnchor>
  <xdr:twoCellAnchor>
    <xdr:from>
      <xdr:col>8</xdr:col>
      <xdr:colOff>2052955</xdr:colOff>
      <xdr:row>3</xdr:row>
      <xdr:rowOff>12700</xdr:rowOff>
    </xdr:from>
    <xdr:to>
      <xdr:col>8</xdr:col>
      <xdr:colOff>2449195</xdr:colOff>
      <xdr:row>3</xdr:row>
      <xdr:rowOff>192405</xdr:rowOff>
    </xdr:to>
    <xdr:pic>
      <xdr:nvPicPr>
        <xdr:cNvPr id="8" name="图片 7"/>
        <xdr:cNvPicPr>
          <a:picLocks noChangeAspect="1"/>
        </xdr:cNvPicPr>
      </xdr:nvPicPr>
      <xdr:blipFill>
        <a:blip r:embed="rId1"/>
        <a:stretch>
          <a:fillRect/>
        </a:stretch>
      </xdr:blipFill>
      <xdr:spPr>
        <a:xfrm>
          <a:off x="13006705" y="171450"/>
          <a:ext cx="396240" cy="0"/>
        </a:xfrm>
        <a:prstGeom prst="rect">
          <a:avLst/>
        </a:prstGeom>
      </xdr:spPr>
    </xdr:pic>
    <xdr:clientData/>
  </xdr:twoCellAnchor>
  <xdr:twoCellAnchor>
    <xdr:from>
      <xdr:col>8</xdr:col>
      <xdr:colOff>2052320</xdr:colOff>
      <xdr:row>4</xdr:row>
      <xdr:rowOff>13970</xdr:rowOff>
    </xdr:from>
    <xdr:to>
      <xdr:col>8</xdr:col>
      <xdr:colOff>2448560</xdr:colOff>
      <xdr:row>4</xdr:row>
      <xdr:rowOff>193675</xdr:rowOff>
    </xdr:to>
    <xdr:pic>
      <xdr:nvPicPr>
        <xdr:cNvPr id="9" name="图片 7"/>
        <xdr:cNvPicPr>
          <a:picLocks noChangeAspect="1"/>
        </xdr:cNvPicPr>
      </xdr:nvPicPr>
      <xdr:blipFill>
        <a:blip r:embed="rId1"/>
        <a:stretch>
          <a:fillRect/>
        </a:stretch>
      </xdr:blipFill>
      <xdr:spPr>
        <a:xfrm>
          <a:off x="13006070" y="171450"/>
          <a:ext cx="396240" cy="0"/>
        </a:xfrm>
        <a:prstGeom prst="rect">
          <a:avLst/>
        </a:prstGeom>
      </xdr:spPr>
    </xdr:pic>
    <xdr:clientData/>
  </xdr:twoCellAnchor>
  <xdr:twoCellAnchor>
    <xdr:from>
      <xdr:col>8</xdr:col>
      <xdr:colOff>2052320</xdr:colOff>
      <xdr:row>8</xdr:row>
      <xdr:rowOff>11430</xdr:rowOff>
    </xdr:from>
    <xdr:to>
      <xdr:col>8</xdr:col>
      <xdr:colOff>2448560</xdr:colOff>
      <xdr:row>8</xdr:row>
      <xdr:rowOff>191135</xdr:rowOff>
    </xdr:to>
    <xdr:pic>
      <xdr:nvPicPr>
        <xdr:cNvPr id="10" name="图片 7"/>
        <xdr:cNvPicPr>
          <a:picLocks noChangeAspect="1"/>
        </xdr:cNvPicPr>
      </xdr:nvPicPr>
      <xdr:blipFill>
        <a:blip r:embed="rId1"/>
        <a:stretch>
          <a:fillRect/>
        </a:stretch>
      </xdr:blipFill>
      <xdr:spPr>
        <a:xfrm>
          <a:off x="13006070" y="171450"/>
          <a:ext cx="396240" cy="0"/>
        </a:xfrm>
        <a:prstGeom prst="rect">
          <a:avLst/>
        </a:prstGeom>
      </xdr:spPr>
    </xdr:pic>
    <xdr:clientData/>
  </xdr:twoCellAnchor>
  <xdr:twoCellAnchor>
    <xdr:from>
      <xdr:col>8</xdr:col>
      <xdr:colOff>2052955</xdr:colOff>
      <xdr:row>20</xdr:row>
      <xdr:rowOff>12700</xdr:rowOff>
    </xdr:from>
    <xdr:to>
      <xdr:col>8</xdr:col>
      <xdr:colOff>2449195</xdr:colOff>
      <xdr:row>20</xdr:row>
      <xdr:rowOff>192405</xdr:rowOff>
    </xdr:to>
    <xdr:pic>
      <xdr:nvPicPr>
        <xdr:cNvPr id="11" name="图片 7"/>
        <xdr:cNvPicPr>
          <a:picLocks noChangeAspect="1"/>
        </xdr:cNvPicPr>
      </xdr:nvPicPr>
      <xdr:blipFill>
        <a:blip r:embed="rId1"/>
        <a:stretch>
          <a:fillRect/>
        </a:stretch>
      </xdr:blipFill>
      <xdr:spPr>
        <a:xfrm>
          <a:off x="13006705" y="1009650"/>
          <a:ext cx="396240" cy="0"/>
        </a:xfrm>
        <a:prstGeom prst="rect">
          <a:avLst/>
        </a:prstGeom>
      </xdr:spPr>
    </xdr:pic>
    <xdr:clientData/>
  </xdr:twoCellAnchor>
  <xdr:twoCellAnchor>
    <xdr:from>
      <xdr:col>8</xdr:col>
      <xdr:colOff>2052955</xdr:colOff>
      <xdr:row>35</xdr:row>
      <xdr:rowOff>11430</xdr:rowOff>
    </xdr:from>
    <xdr:to>
      <xdr:col>8</xdr:col>
      <xdr:colOff>2449195</xdr:colOff>
      <xdr:row>35</xdr:row>
      <xdr:rowOff>191135</xdr:rowOff>
    </xdr:to>
    <xdr:pic>
      <xdr:nvPicPr>
        <xdr:cNvPr id="12"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36</xdr:row>
      <xdr:rowOff>13970</xdr:rowOff>
    </xdr:from>
    <xdr:to>
      <xdr:col>8</xdr:col>
      <xdr:colOff>2449195</xdr:colOff>
      <xdr:row>36</xdr:row>
      <xdr:rowOff>193675</xdr:rowOff>
    </xdr:to>
    <xdr:pic>
      <xdr:nvPicPr>
        <xdr:cNvPr id="13"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37</xdr:row>
      <xdr:rowOff>12065</xdr:rowOff>
    </xdr:from>
    <xdr:to>
      <xdr:col>8</xdr:col>
      <xdr:colOff>2449195</xdr:colOff>
      <xdr:row>37</xdr:row>
      <xdr:rowOff>191770</xdr:rowOff>
    </xdr:to>
    <xdr:pic>
      <xdr:nvPicPr>
        <xdr:cNvPr id="14"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38</xdr:row>
      <xdr:rowOff>11430</xdr:rowOff>
    </xdr:from>
    <xdr:to>
      <xdr:col>8</xdr:col>
      <xdr:colOff>2449195</xdr:colOff>
      <xdr:row>38</xdr:row>
      <xdr:rowOff>191135</xdr:rowOff>
    </xdr:to>
    <xdr:pic>
      <xdr:nvPicPr>
        <xdr:cNvPr id="15"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39</xdr:row>
      <xdr:rowOff>13970</xdr:rowOff>
    </xdr:from>
    <xdr:to>
      <xdr:col>8</xdr:col>
      <xdr:colOff>2449195</xdr:colOff>
      <xdr:row>39</xdr:row>
      <xdr:rowOff>193675</xdr:rowOff>
    </xdr:to>
    <xdr:pic>
      <xdr:nvPicPr>
        <xdr:cNvPr id="16"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40</xdr:row>
      <xdr:rowOff>12065</xdr:rowOff>
    </xdr:from>
    <xdr:to>
      <xdr:col>8</xdr:col>
      <xdr:colOff>2449195</xdr:colOff>
      <xdr:row>40</xdr:row>
      <xdr:rowOff>191770</xdr:rowOff>
    </xdr:to>
    <xdr:pic>
      <xdr:nvPicPr>
        <xdr:cNvPr id="17"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44</xdr:row>
      <xdr:rowOff>12700</xdr:rowOff>
    </xdr:from>
    <xdr:to>
      <xdr:col>8</xdr:col>
      <xdr:colOff>2449195</xdr:colOff>
      <xdr:row>44</xdr:row>
      <xdr:rowOff>192405</xdr:rowOff>
    </xdr:to>
    <xdr:pic>
      <xdr:nvPicPr>
        <xdr:cNvPr id="18"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45</xdr:row>
      <xdr:rowOff>11430</xdr:rowOff>
    </xdr:from>
    <xdr:to>
      <xdr:col>8</xdr:col>
      <xdr:colOff>2449195</xdr:colOff>
      <xdr:row>45</xdr:row>
      <xdr:rowOff>191135</xdr:rowOff>
    </xdr:to>
    <xdr:pic>
      <xdr:nvPicPr>
        <xdr:cNvPr id="19" name="图片 7"/>
        <xdr:cNvPicPr>
          <a:picLocks noChangeAspect="1"/>
        </xdr:cNvPicPr>
      </xdr:nvPicPr>
      <xdr:blipFill>
        <a:blip r:embed="rId1"/>
        <a:stretch>
          <a:fillRect/>
        </a:stretch>
      </xdr:blipFill>
      <xdr:spPr>
        <a:xfrm>
          <a:off x="13006705" y="1638300"/>
          <a:ext cx="396240" cy="0"/>
        </a:xfrm>
        <a:prstGeom prst="rect">
          <a:avLst/>
        </a:prstGeom>
      </xdr:spPr>
    </xdr:pic>
    <xdr:clientData/>
  </xdr:twoCellAnchor>
  <xdr:twoCellAnchor>
    <xdr:from>
      <xdr:col>8</xdr:col>
      <xdr:colOff>2052955</xdr:colOff>
      <xdr:row>129</xdr:row>
      <xdr:rowOff>13970</xdr:rowOff>
    </xdr:from>
    <xdr:to>
      <xdr:col>8</xdr:col>
      <xdr:colOff>2449195</xdr:colOff>
      <xdr:row>129</xdr:row>
      <xdr:rowOff>193675</xdr:rowOff>
    </xdr:to>
    <xdr:pic>
      <xdr:nvPicPr>
        <xdr:cNvPr id="20" name="图片 7"/>
        <xdr:cNvPicPr>
          <a:picLocks noChangeAspect="1"/>
        </xdr:cNvPicPr>
      </xdr:nvPicPr>
      <xdr:blipFill>
        <a:blip r:embed="rId1"/>
        <a:stretch>
          <a:fillRect/>
        </a:stretch>
      </xdr:blipFill>
      <xdr:spPr>
        <a:xfrm>
          <a:off x="13006705" y="6248400"/>
          <a:ext cx="396240" cy="0"/>
        </a:xfrm>
        <a:prstGeom prst="rect">
          <a:avLst/>
        </a:prstGeom>
      </xdr:spPr>
    </xdr:pic>
    <xdr:clientData/>
  </xdr:twoCellAnchor>
  <xdr:twoCellAnchor>
    <xdr:from>
      <xdr:col>8</xdr:col>
      <xdr:colOff>2055495</xdr:colOff>
      <xdr:row>5</xdr:row>
      <xdr:rowOff>12065</xdr:rowOff>
    </xdr:from>
    <xdr:to>
      <xdr:col>8</xdr:col>
      <xdr:colOff>2271395</xdr:colOff>
      <xdr:row>5</xdr:row>
      <xdr:rowOff>190500</xdr:rowOff>
    </xdr:to>
    <xdr:pic>
      <xdr:nvPicPr>
        <xdr:cNvPr id="90" name="图片 8"/>
        <xdr:cNvPicPr>
          <a:picLocks noChangeAspect="1"/>
        </xdr:cNvPicPr>
      </xdr:nvPicPr>
      <xdr:blipFill>
        <a:blip r:embed="rId2"/>
        <a:stretch>
          <a:fillRect/>
        </a:stretch>
      </xdr:blipFill>
      <xdr:spPr>
        <a:xfrm>
          <a:off x="13009245" y="171450"/>
          <a:ext cx="215900" cy="0"/>
        </a:xfrm>
        <a:prstGeom prst="rect">
          <a:avLst/>
        </a:prstGeom>
      </xdr:spPr>
    </xdr:pic>
    <xdr:clientData/>
  </xdr:twoCellAnchor>
  <xdr:twoCellAnchor>
    <xdr:from>
      <xdr:col>8</xdr:col>
      <xdr:colOff>2055495</xdr:colOff>
      <xdr:row>6</xdr:row>
      <xdr:rowOff>12700</xdr:rowOff>
    </xdr:from>
    <xdr:to>
      <xdr:col>8</xdr:col>
      <xdr:colOff>2271395</xdr:colOff>
      <xdr:row>6</xdr:row>
      <xdr:rowOff>191135</xdr:rowOff>
    </xdr:to>
    <xdr:pic>
      <xdr:nvPicPr>
        <xdr:cNvPr id="53" name="图片 8"/>
        <xdr:cNvPicPr>
          <a:picLocks noChangeAspect="1"/>
        </xdr:cNvPicPr>
      </xdr:nvPicPr>
      <xdr:blipFill>
        <a:blip r:embed="rId2"/>
        <a:stretch>
          <a:fillRect/>
        </a:stretch>
      </xdr:blipFill>
      <xdr:spPr>
        <a:xfrm>
          <a:off x="13009245" y="171450"/>
          <a:ext cx="215900" cy="0"/>
        </a:xfrm>
        <a:prstGeom prst="rect">
          <a:avLst/>
        </a:prstGeom>
      </xdr:spPr>
    </xdr:pic>
    <xdr:clientData/>
  </xdr:twoCellAnchor>
  <xdr:twoCellAnchor>
    <xdr:from>
      <xdr:col>8</xdr:col>
      <xdr:colOff>2055495</xdr:colOff>
      <xdr:row>7</xdr:row>
      <xdr:rowOff>12700</xdr:rowOff>
    </xdr:from>
    <xdr:to>
      <xdr:col>8</xdr:col>
      <xdr:colOff>2271395</xdr:colOff>
      <xdr:row>7</xdr:row>
      <xdr:rowOff>191135</xdr:rowOff>
    </xdr:to>
    <xdr:pic>
      <xdr:nvPicPr>
        <xdr:cNvPr id="55" name="图片 8"/>
        <xdr:cNvPicPr>
          <a:picLocks noChangeAspect="1"/>
        </xdr:cNvPicPr>
      </xdr:nvPicPr>
      <xdr:blipFill>
        <a:blip r:embed="rId2"/>
        <a:stretch>
          <a:fillRect/>
        </a:stretch>
      </xdr:blipFill>
      <xdr:spPr>
        <a:xfrm>
          <a:off x="13009245" y="171450"/>
          <a:ext cx="215900" cy="0"/>
        </a:xfrm>
        <a:prstGeom prst="rect">
          <a:avLst/>
        </a:prstGeom>
      </xdr:spPr>
    </xdr:pic>
    <xdr:clientData/>
  </xdr:twoCellAnchor>
  <xdr:twoCellAnchor>
    <xdr:from>
      <xdr:col>8</xdr:col>
      <xdr:colOff>2055495</xdr:colOff>
      <xdr:row>13</xdr:row>
      <xdr:rowOff>13335</xdr:rowOff>
    </xdr:from>
    <xdr:to>
      <xdr:col>8</xdr:col>
      <xdr:colOff>2271395</xdr:colOff>
      <xdr:row>13</xdr:row>
      <xdr:rowOff>191770</xdr:rowOff>
    </xdr:to>
    <xdr:pic>
      <xdr:nvPicPr>
        <xdr:cNvPr id="93" name="图片 8"/>
        <xdr:cNvPicPr>
          <a:picLocks noChangeAspect="1"/>
        </xdr:cNvPicPr>
      </xdr:nvPicPr>
      <xdr:blipFill>
        <a:blip r:embed="rId2"/>
        <a:stretch>
          <a:fillRect/>
        </a:stretch>
      </xdr:blipFill>
      <xdr:spPr>
        <a:xfrm>
          <a:off x="13009245" y="1009650"/>
          <a:ext cx="215900" cy="0"/>
        </a:xfrm>
        <a:prstGeom prst="rect">
          <a:avLst/>
        </a:prstGeom>
      </xdr:spPr>
    </xdr:pic>
    <xdr:clientData/>
  </xdr:twoCellAnchor>
  <xdr:twoCellAnchor>
    <xdr:from>
      <xdr:col>8</xdr:col>
      <xdr:colOff>2055495</xdr:colOff>
      <xdr:row>16</xdr:row>
      <xdr:rowOff>13970</xdr:rowOff>
    </xdr:from>
    <xdr:to>
      <xdr:col>8</xdr:col>
      <xdr:colOff>2271395</xdr:colOff>
      <xdr:row>16</xdr:row>
      <xdr:rowOff>192405</xdr:rowOff>
    </xdr:to>
    <xdr:pic>
      <xdr:nvPicPr>
        <xdr:cNvPr id="94" name="图片 8"/>
        <xdr:cNvPicPr>
          <a:picLocks noChangeAspect="1"/>
        </xdr:cNvPicPr>
      </xdr:nvPicPr>
      <xdr:blipFill>
        <a:blip r:embed="rId2"/>
        <a:stretch>
          <a:fillRect/>
        </a:stretch>
      </xdr:blipFill>
      <xdr:spPr>
        <a:xfrm>
          <a:off x="13009245" y="1009650"/>
          <a:ext cx="215900" cy="0"/>
        </a:xfrm>
        <a:prstGeom prst="rect">
          <a:avLst/>
        </a:prstGeom>
      </xdr:spPr>
    </xdr:pic>
    <xdr:clientData/>
  </xdr:twoCellAnchor>
  <xdr:twoCellAnchor>
    <xdr:from>
      <xdr:col>8</xdr:col>
      <xdr:colOff>2055495</xdr:colOff>
      <xdr:row>19</xdr:row>
      <xdr:rowOff>13970</xdr:rowOff>
    </xdr:from>
    <xdr:to>
      <xdr:col>8</xdr:col>
      <xdr:colOff>2271395</xdr:colOff>
      <xdr:row>19</xdr:row>
      <xdr:rowOff>192405</xdr:rowOff>
    </xdr:to>
    <xdr:pic>
      <xdr:nvPicPr>
        <xdr:cNvPr id="95" name="图片 8"/>
        <xdr:cNvPicPr>
          <a:picLocks noChangeAspect="1"/>
        </xdr:cNvPicPr>
      </xdr:nvPicPr>
      <xdr:blipFill>
        <a:blip r:embed="rId2"/>
        <a:stretch>
          <a:fillRect/>
        </a:stretch>
      </xdr:blipFill>
      <xdr:spPr>
        <a:xfrm>
          <a:off x="13009245" y="1009650"/>
          <a:ext cx="215900" cy="0"/>
        </a:xfrm>
        <a:prstGeom prst="rect">
          <a:avLst/>
        </a:prstGeom>
      </xdr:spPr>
    </xdr:pic>
    <xdr:clientData/>
  </xdr:twoCellAnchor>
  <xdr:twoCellAnchor>
    <xdr:from>
      <xdr:col>8</xdr:col>
      <xdr:colOff>2055495</xdr:colOff>
      <xdr:row>21</xdr:row>
      <xdr:rowOff>14605</xdr:rowOff>
    </xdr:from>
    <xdr:to>
      <xdr:col>8</xdr:col>
      <xdr:colOff>2271395</xdr:colOff>
      <xdr:row>21</xdr:row>
      <xdr:rowOff>193040</xdr:rowOff>
    </xdr:to>
    <xdr:pic>
      <xdr:nvPicPr>
        <xdr:cNvPr id="96" name="图片 8"/>
        <xdr:cNvPicPr>
          <a:picLocks noChangeAspect="1"/>
        </xdr:cNvPicPr>
      </xdr:nvPicPr>
      <xdr:blipFill>
        <a:blip r:embed="rId2"/>
        <a:stretch>
          <a:fillRect/>
        </a:stretch>
      </xdr:blipFill>
      <xdr:spPr>
        <a:xfrm>
          <a:off x="13009245" y="1009650"/>
          <a:ext cx="215900" cy="0"/>
        </a:xfrm>
        <a:prstGeom prst="rect">
          <a:avLst/>
        </a:prstGeom>
      </xdr:spPr>
    </xdr:pic>
    <xdr:clientData/>
  </xdr:twoCellAnchor>
  <xdr:twoCellAnchor>
    <xdr:from>
      <xdr:col>8</xdr:col>
      <xdr:colOff>2055495</xdr:colOff>
      <xdr:row>28</xdr:row>
      <xdr:rowOff>15240</xdr:rowOff>
    </xdr:from>
    <xdr:to>
      <xdr:col>8</xdr:col>
      <xdr:colOff>2271395</xdr:colOff>
      <xdr:row>28</xdr:row>
      <xdr:rowOff>193675</xdr:rowOff>
    </xdr:to>
    <xdr:pic>
      <xdr:nvPicPr>
        <xdr:cNvPr id="97" name="图片 8"/>
        <xdr:cNvPicPr>
          <a:picLocks noChangeAspect="1"/>
        </xdr:cNvPicPr>
      </xdr:nvPicPr>
      <xdr:blipFill>
        <a:blip r:embed="rId2"/>
        <a:stretch>
          <a:fillRect/>
        </a:stretch>
      </xdr:blipFill>
      <xdr:spPr>
        <a:xfrm>
          <a:off x="13009245" y="1219200"/>
          <a:ext cx="215900" cy="0"/>
        </a:xfrm>
        <a:prstGeom prst="rect">
          <a:avLst/>
        </a:prstGeom>
      </xdr:spPr>
    </xdr:pic>
    <xdr:clientData/>
  </xdr:twoCellAnchor>
  <xdr:twoCellAnchor>
    <xdr:from>
      <xdr:col>8</xdr:col>
      <xdr:colOff>2055495</xdr:colOff>
      <xdr:row>31</xdr:row>
      <xdr:rowOff>15875</xdr:rowOff>
    </xdr:from>
    <xdr:to>
      <xdr:col>8</xdr:col>
      <xdr:colOff>2271395</xdr:colOff>
      <xdr:row>31</xdr:row>
      <xdr:rowOff>194310</xdr:rowOff>
    </xdr:to>
    <xdr:pic>
      <xdr:nvPicPr>
        <xdr:cNvPr id="98"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32</xdr:row>
      <xdr:rowOff>15875</xdr:rowOff>
    </xdr:from>
    <xdr:to>
      <xdr:col>8</xdr:col>
      <xdr:colOff>2271395</xdr:colOff>
      <xdr:row>32</xdr:row>
      <xdr:rowOff>194310</xdr:rowOff>
    </xdr:to>
    <xdr:pic>
      <xdr:nvPicPr>
        <xdr:cNvPr id="99"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46</xdr:row>
      <xdr:rowOff>16510</xdr:rowOff>
    </xdr:from>
    <xdr:to>
      <xdr:col>8</xdr:col>
      <xdr:colOff>2271395</xdr:colOff>
      <xdr:row>46</xdr:row>
      <xdr:rowOff>194945</xdr:rowOff>
    </xdr:to>
    <xdr:pic>
      <xdr:nvPicPr>
        <xdr:cNvPr id="100"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47</xdr:row>
      <xdr:rowOff>17145</xdr:rowOff>
    </xdr:from>
    <xdr:to>
      <xdr:col>8</xdr:col>
      <xdr:colOff>2271395</xdr:colOff>
      <xdr:row>47</xdr:row>
      <xdr:rowOff>195580</xdr:rowOff>
    </xdr:to>
    <xdr:pic>
      <xdr:nvPicPr>
        <xdr:cNvPr id="101"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48</xdr:row>
      <xdr:rowOff>17780</xdr:rowOff>
    </xdr:from>
    <xdr:to>
      <xdr:col>8</xdr:col>
      <xdr:colOff>2271395</xdr:colOff>
      <xdr:row>48</xdr:row>
      <xdr:rowOff>196215</xdr:rowOff>
    </xdr:to>
    <xdr:pic>
      <xdr:nvPicPr>
        <xdr:cNvPr id="102"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49</xdr:row>
      <xdr:rowOff>17780</xdr:rowOff>
    </xdr:from>
    <xdr:to>
      <xdr:col>8</xdr:col>
      <xdr:colOff>2271395</xdr:colOff>
      <xdr:row>49</xdr:row>
      <xdr:rowOff>196215</xdr:rowOff>
    </xdr:to>
    <xdr:pic>
      <xdr:nvPicPr>
        <xdr:cNvPr id="103"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50</xdr:row>
      <xdr:rowOff>18415</xdr:rowOff>
    </xdr:from>
    <xdr:to>
      <xdr:col>8</xdr:col>
      <xdr:colOff>2271395</xdr:colOff>
      <xdr:row>50</xdr:row>
      <xdr:rowOff>196850</xdr:rowOff>
    </xdr:to>
    <xdr:pic>
      <xdr:nvPicPr>
        <xdr:cNvPr id="104"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51</xdr:row>
      <xdr:rowOff>19050</xdr:rowOff>
    </xdr:from>
    <xdr:to>
      <xdr:col>8</xdr:col>
      <xdr:colOff>2271395</xdr:colOff>
      <xdr:row>51</xdr:row>
      <xdr:rowOff>197485</xdr:rowOff>
    </xdr:to>
    <xdr:pic>
      <xdr:nvPicPr>
        <xdr:cNvPr id="105"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52</xdr:row>
      <xdr:rowOff>19050</xdr:rowOff>
    </xdr:from>
    <xdr:to>
      <xdr:col>8</xdr:col>
      <xdr:colOff>2271395</xdr:colOff>
      <xdr:row>52</xdr:row>
      <xdr:rowOff>197485</xdr:rowOff>
    </xdr:to>
    <xdr:pic>
      <xdr:nvPicPr>
        <xdr:cNvPr id="106"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54</xdr:row>
      <xdr:rowOff>19685</xdr:rowOff>
    </xdr:from>
    <xdr:to>
      <xdr:col>8</xdr:col>
      <xdr:colOff>2271395</xdr:colOff>
      <xdr:row>54</xdr:row>
      <xdr:rowOff>198120</xdr:rowOff>
    </xdr:to>
    <xdr:pic>
      <xdr:nvPicPr>
        <xdr:cNvPr id="107"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55</xdr:row>
      <xdr:rowOff>20320</xdr:rowOff>
    </xdr:from>
    <xdr:to>
      <xdr:col>8</xdr:col>
      <xdr:colOff>2271395</xdr:colOff>
      <xdr:row>55</xdr:row>
      <xdr:rowOff>198755</xdr:rowOff>
    </xdr:to>
    <xdr:pic>
      <xdr:nvPicPr>
        <xdr:cNvPr id="108"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56</xdr:row>
      <xdr:rowOff>20955</xdr:rowOff>
    </xdr:from>
    <xdr:to>
      <xdr:col>8</xdr:col>
      <xdr:colOff>2271395</xdr:colOff>
      <xdr:row>56</xdr:row>
      <xdr:rowOff>199390</xdr:rowOff>
    </xdr:to>
    <xdr:pic>
      <xdr:nvPicPr>
        <xdr:cNvPr id="109"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57</xdr:row>
      <xdr:rowOff>20955</xdr:rowOff>
    </xdr:from>
    <xdr:to>
      <xdr:col>8</xdr:col>
      <xdr:colOff>2271395</xdr:colOff>
      <xdr:row>57</xdr:row>
      <xdr:rowOff>199390</xdr:rowOff>
    </xdr:to>
    <xdr:pic>
      <xdr:nvPicPr>
        <xdr:cNvPr id="110"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65</xdr:row>
      <xdr:rowOff>22225</xdr:rowOff>
    </xdr:from>
    <xdr:to>
      <xdr:col>8</xdr:col>
      <xdr:colOff>2271395</xdr:colOff>
      <xdr:row>65</xdr:row>
      <xdr:rowOff>200660</xdr:rowOff>
    </xdr:to>
    <xdr:pic>
      <xdr:nvPicPr>
        <xdr:cNvPr id="111"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64</xdr:row>
      <xdr:rowOff>21590</xdr:rowOff>
    </xdr:from>
    <xdr:to>
      <xdr:col>8</xdr:col>
      <xdr:colOff>2271395</xdr:colOff>
      <xdr:row>64</xdr:row>
      <xdr:rowOff>200025</xdr:rowOff>
    </xdr:to>
    <xdr:pic>
      <xdr:nvPicPr>
        <xdr:cNvPr id="112"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76</xdr:row>
      <xdr:rowOff>22860</xdr:rowOff>
    </xdr:from>
    <xdr:to>
      <xdr:col>8</xdr:col>
      <xdr:colOff>2271395</xdr:colOff>
      <xdr:row>76</xdr:row>
      <xdr:rowOff>201295</xdr:rowOff>
    </xdr:to>
    <xdr:pic>
      <xdr:nvPicPr>
        <xdr:cNvPr id="113"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77</xdr:row>
      <xdr:rowOff>22860</xdr:rowOff>
    </xdr:from>
    <xdr:to>
      <xdr:col>8</xdr:col>
      <xdr:colOff>2271395</xdr:colOff>
      <xdr:row>77</xdr:row>
      <xdr:rowOff>201295</xdr:rowOff>
    </xdr:to>
    <xdr:pic>
      <xdr:nvPicPr>
        <xdr:cNvPr id="114"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82</xdr:row>
      <xdr:rowOff>23495</xdr:rowOff>
    </xdr:from>
    <xdr:to>
      <xdr:col>8</xdr:col>
      <xdr:colOff>2271395</xdr:colOff>
      <xdr:row>82</xdr:row>
      <xdr:rowOff>201930</xdr:rowOff>
    </xdr:to>
    <xdr:pic>
      <xdr:nvPicPr>
        <xdr:cNvPr id="115"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83</xdr:row>
      <xdr:rowOff>24130</xdr:rowOff>
    </xdr:from>
    <xdr:to>
      <xdr:col>8</xdr:col>
      <xdr:colOff>2271395</xdr:colOff>
      <xdr:row>83</xdr:row>
      <xdr:rowOff>202565</xdr:rowOff>
    </xdr:to>
    <xdr:pic>
      <xdr:nvPicPr>
        <xdr:cNvPr id="116" name="图片 8"/>
        <xdr:cNvPicPr>
          <a:picLocks noChangeAspect="1"/>
        </xdr:cNvPicPr>
      </xdr:nvPicPr>
      <xdr:blipFill>
        <a:blip r:embed="rId2"/>
        <a:stretch>
          <a:fillRect/>
        </a:stretch>
      </xdr:blipFill>
      <xdr:spPr>
        <a:xfrm>
          <a:off x="13009245" y="1638300"/>
          <a:ext cx="215900" cy="0"/>
        </a:xfrm>
        <a:prstGeom prst="rect">
          <a:avLst/>
        </a:prstGeom>
      </xdr:spPr>
    </xdr:pic>
    <xdr:clientData/>
  </xdr:twoCellAnchor>
  <xdr:twoCellAnchor>
    <xdr:from>
      <xdr:col>8</xdr:col>
      <xdr:colOff>2055495</xdr:colOff>
      <xdr:row>86</xdr:row>
      <xdr:rowOff>24765</xdr:rowOff>
    </xdr:from>
    <xdr:to>
      <xdr:col>8</xdr:col>
      <xdr:colOff>2271395</xdr:colOff>
      <xdr:row>86</xdr:row>
      <xdr:rowOff>203200</xdr:rowOff>
    </xdr:to>
    <xdr:pic>
      <xdr:nvPicPr>
        <xdr:cNvPr id="117" name="图片 8"/>
        <xdr:cNvPicPr>
          <a:picLocks noChangeAspect="1"/>
        </xdr:cNvPicPr>
      </xdr:nvPicPr>
      <xdr:blipFill>
        <a:blip r:embed="rId2"/>
        <a:stretch>
          <a:fillRect/>
        </a:stretch>
      </xdr:blipFill>
      <xdr:spPr>
        <a:xfrm>
          <a:off x="13009245" y="2057400"/>
          <a:ext cx="215900" cy="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zoomScale="130" zoomScaleNormal="130" topLeftCell="A13" workbookViewId="0">
      <selection activeCell="D25" sqref="D25"/>
    </sheetView>
  </sheetViews>
  <sheetFormatPr defaultColWidth="9" defaultRowHeight="13.5" outlineLevelCol="3"/>
  <cols>
    <col min="2" max="2" width="9.5" customWidth="1"/>
    <col min="4" max="4" width="52.375" customWidth="1"/>
  </cols>
  <sheetData>
    <row r="1" spans="1:4">
      <c r="A1" s="5" t="s">
        <v>0</v>
      </c>
      <c r="B1" s="5" t="s">
        <v>1</v>
      </c>
      <c r="C1" s="5" t="s">
        <v>2</v>
      </c>
      <c r="D1" s="5" t="s">
        <v>3</v>
      </c>
    </row>
    <row r="2" spans="1:4">
      <c r="A2" s="5" t="s">
        <v>4</v>
      </c>
      <c r="B2" s="5">
        <v>20190811</v>
      </c>
      <c r="C2" s="5" t="s">
        <v>5</v>
      </c>
      <c r="D2" s="5" t="s">
        <v>6</v>
      </c>
    </row>
    <row r="3" ht="27" spans="1:4">
      <c r="A3" s="5" t="s">
        <v>7</v>
      </c>
      <c r="B3" s="5">
        <v>20201224</v>
      </c>
      <c r="C3" s="5"/>
      <c r="D3" s="279" t="s">
        <v>8</v>
      </c>
    </row>
    <row r="4" spans="1:4">
      <c r="A4" s="5"/>
      <c r="B4" s="5"/>
      <c r="C4" s="5"/>
      <c r="D4" s="5"/>
    </row>
    <row r="5" spans="1:4">
      <c r="A5" s="5" t="s">
        <v>9</v>
      </c>
      <c r="B5" s="5">
        <v>20210625</v>
      </c>
      <c r="C5" s="5"/>
      <c r="D5" s="5" t="s">
        <v>10</v>
      </c>
    </row>
    <row r="6" spans="1:4">
      <c r="A6" s="5" t="s">
        <v>11</v>
      </c>
      <c r="B6" s="5">
        <v>20210824</v>
      </c>
      <c r="C6" s="5"/>
      <c r="D6" s="5" t="s">
        <v>12</v>
      </c>
    </row>
    <row r="7" spans="1:4">
      <c r="A7" s="5" t="s">
        <v>13</v>
      </c>
      <c r="B7" s="5">
        <v>20210831</v>
      </c>
      <c r="C7" s="5"/>
      <c r="D7" s="5" t="s">
        <v>14</v>
      </c>
    </row>
    <row r="8" ht="33.6" customHeight="1" spans="1:4">
      <c r="A8" s="5" t="s">
        <v>15</v>
      </c>
      <c r="B8" s="5">
        <v>20220216</v>
      </c>
      <c r="C8" s="5"/>
      <c r="D8" s="279" t="s">
        <v>16</v>
      </c>
    </row>
    <row r="9" ht="27" spans="1:4">
      <c r="A9" s="5" t="s">
        <v>17</v>
      </c>
      <c r="B9" s="5">
        <v>20220218</v>
      </c>
      <c r="C9" s="5"/>
      <c r="D9" s="279" t="s">
        <v>18</v>
      </c>
    </row>
    <row r="10" ht="54" spans="1:4">
      <c r="A10" s="5" t="s">
        <v>19</v>
      </c>
      <c r="B10" s="5">
        <v>20220419</v>
      </c>
      <c r="C10" s="5"/>
      <c r="D10" s="279" t="s">
        <v>20</v>
      </c>
    </row>
    <row r="11" spans="1:4">
      <c r="A11" s="5" t="s">
        <v>21</v>
      </c>
      <c r="B11" s="5">
        <v>20220527</v>
      </c>
      <c r="C11" s="5"/>
      <c r="D11" s="279" t="s">
        <v>22</v>
      </c>
    </row>
    <row r="12" ht="40.5" spans="1:4">
      <c r="A12" s="447" t="s">
        <v>23</v>
      </c>
      <c r="B12" s="447">
        <v>20220530</v>
      </c>
      <c r="C12" s="447"/>
      <c r="D12" s="448" t="s">
        <v>24</v>
      </c>
    </row>
    <row r="13" ht="79.15" customHeight="1" spans="1:4">
      <c r="A13" s="5" t="s">
        <v>25</v>
      </c>
      <c r="B13" s="5">
        <v>20220723</v>
      </c>
      <c r="C13" s="5"/>
      <c r="D13" s="279" t="s">
        <v>26</v>
      </c>
    </row>
    <row r="14" ht="175.5" spans="1:4">
      <c r="A14" s="5" t="s">
        <v>27</v>
      </c>
      <c r="B14" s="5">
        <v>20221109</v>
      </c>
      <c r="C14" s="5"/>
      <c r="D14" s="279" t="s">
        <v>28</v>
      </c>
    </row>
    <row r="15" spans="1:4">
      <c r="A15" s="5" t="s">
        <v>29</v>
      </c>
      <c r="B15" s="5">
        <v>20221229</v>
      </c>
      <c r="C15" s="5"/>
      <c r="D15" s="279" t="s">
        <v>30</v>
      </c>
    </row>
    <row r="16" spans="1:4">
      <c r="A16" s="5" t="s">
        <v>31</v>
      </c>
      <c r="B16" s="5">
        <v>20230215</v>
      </c>
      <c r="C16" s="5"/>
      <c r="D16" s="5" t="s">
        <v>32</v>
      </c>
    </row>
    <row r="17" ht="40.5" spans="1:4">
      <c r="A17" s="449" t="s">
        <v>33</v>
      </c>
      <c r="B17" s="449">
        <v>20230406</v>
      </c>
      <c r="C17" s="449"/>
      <c r="D17" s="450" t="s">
        <v>34</v>
      </c>
    </row>
    <row r="18" ht="27" spans="1:4">
      <c r="A18" s="449" t="s">
        <v>35</v>
      </c>
      <c r="B18" s="449">
        <v>20230411</v>
      </c>
      <c r="C18" s="449"/>
      <c r="D18" s="450" t="s">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workbookViewId="0">
      <selection activeCell="A30" sqref="A30"/>
    </sheetView>
  </sheetViews>
  <sheetFormatPr defaultColWidth="9" defaultRowHeight="13.5" outlineLevelCol="3"/>
  <cols>
    <col min="1" max="1" width="29.75" style="442" customWidth="1"/>
    <col min="2" max="2" width="13.75" style="442" customWidth="1"/>
    <col min="3" max="16384" width="9" style="442"/>
  </cols>
  <sheetData>
    <row r="1" ht="15" spans="1:3">
      <c r="A1" s="443" t="s">
        <v>37</v>
      </c>
      <c r="B1" s="443" t="s">
        <v>38</v>
      </c>
      <c r="C1" s="443" t="s">
        <v>39</v>
      </c>
    </row>
    <row r="2" ht="16.5" spans="1:3">
      <c r="A2" s="444" t="s">
        <v>40</v>
      </c>
      <c r="B2" s="444" t="s">
        <v>41</v>
      </c>
      <c r="C2" s="444" t="s">
        <v>42</v>
      </c>
    </row>
    <row r="3" ht="16.5" spans="1:3">
      <c r="A3" s="444" t="s">
        <v>43</v>
      </c>
      <c r="B3" s="444" t="s">
        <v>44</v>
      </c>
      <c r="C3" s="444" t="s">
        <v>42</v>
      </c>
    </row>
    <row r="4" ht="16.5" spans="1:3">
      <c r="A4" s="444" t="s">
        <v>45</v>
      </c>
      <c r="B4" s="444" t="s">
        <v>46</v>
      </c>
      <c r="C4" s="444" t="s">
        <v>47</v>
      </c>
    </row>
    <row r="5" ht="16.5" spans="1:3">
      <c r="A5" s="444" t="s">
        <v>48</v>
      </c>
      <c r="B5" s="444" t="s">
        <v>49</v>
      </c>
      <c r="C5" s="444" t="s">
        <v>47</v>
      </c>
    </row>
    <row r="6" ht="16.5" spans="1:3">
      <c r="A6" s="444" t="s">
        <v>50</v>
      </c>
      <c r="B6" s="444" t="s">
        <v>51</v>
      </c>
      <c r="C6" s="444" t="s">
        <v>47</v>
      </c>
    </row>
    <row r="7" ht="16.5" spans="1:3">
      <c r="A7" s="444" t="s">
        <v>52</v>
      </c>
      <c r="B7" s="444" t="s">
        <v>53</v>
      </c>
      <c r="C7" s="444" t="s">
        <v>42</v>
      </c>
    </row>
    <row r="8" ht="16.5" spans="1:3">
      <c r="A8" s="444" t="s">
        <v>54</v>
      </c>
      <c r="B8" s="444" t="s">
        <v>55</v>
      </c>
      <c r="C8" s="444" t="s">
        <v>42</v>
      </c>
    </row>
    <row r="9" ht="16.5" spans="1:3">
      <c r="A9" s="444" t="s">
        <v>56</v>
      </c>
      <c r="B9" s="444" t="s">
        <v>57</v>
      </c>
      <c r="C9" s="444" t="s">
        <v>42</v>
      </c>
    </row>
    <row r="10" ht="16.5" spans="1:3">
      <c r="A10" s="444" t="s">
        <v>58</v>
      </c>
      <c r="B10" s="444" t="s">
        <v>59</v>
      </c>
      <c r="C10" s="444" t="s">
        <v>42</v>
      </c>
    </row>
    <row r="11" ht="16.5" spans="1:3">
      <c r="A11" s="444" t="s">
        <v>60</v>
      </c>
      <c r="B11" s="444" t="s">
        <v>61</v>
      </c>
      <c r="C11" s="444" t="s">
        <v>47</v>
      </c>
    </row>
    <row r="12" ht="16.5" spans="1:3">
      <c r="A12" s="444" t="s">
        <v>62</v>
      </c>
      <c r="B12" s="444" t="s">
        <v>63</v>
      </c>
      <c r="C12" s="444" t="s">
        <v>42</v>
      </c>
    </row>
    <row r="13" ht="16.5" spans="1:3">
      <c r="A13" s="444" t="s">
        <v>64</v>
      </c>
      <c r="B13" s="444" t="s">
        <v>65</v>
      </c>
      <c r="C13" s="444" t="s">
        <v>47</v>
      </c>
    </row>
    <row r="14" ht="16.5" spans="1:3">
      <c r="A14" s="444" t="s">
        <v>66</v>
      </c>
      <c r="B14" s="444" t="s">
        <v>67</v>
      </c>
      <c r="C14" s="444" t="s">
        <v>47</v>
      </c>
    </row>
    <row r="15" ht="16.5" spans="1:3">
      <c r="A15" s="444" t="s">
        <v>68</v>
      </c>
      <c r="B15" s="444" t="s">
        <v>55</v>
      </c>
      <c r="C15" s="444" t="s">
        <v>42</v>
      </c>
    </row>
    <row r="16" ht="16.5" spans="1:3">
      <c r="A16" s="444" t="s">
        <v>69</v>
      </c>
      <c r="B16" s="444" t="s">
        <v>55</v>
      </c>
      <c r="C16" s="444" t="s">
        <v>42</v>
      </c>
    </row>
    <row r="17" ht="16.5" spans="1:3">
      <c r="A17" s="444" t="s">
        <v>70</v>
      </c>
      <c r="B17" s="444" t="s">
        <v>71</v>
      </c>
      <c r="C17" s="444" t="s">
        <v>47</v>
      </c>
    </row>
    <row r="18" ht="16.5" spans="1:3">
      <c r="A18" s="444" t="s">
        <v>72</v>
      </c>
      <c r="B18" s="444" t="s">
        <v>73</v>
      </c>
      <c r="C18" s="444" t="s">
        <v>47</v>
      </c>
    </row>
    <row r="19" ht="16.5" spans="1:3">
      <c r="A19" s="444" t="s">
        <v>74</v>
      </c>
      <c r="B19" s="444" t="s">
        <v>75</v>
      </c>
      <c r="C19" s="444" t="s">
        <v>47</v>
      </c>
    </row>
    <row r="20" ht="16.5" spans="1:3">
      <c r="A20" s="444" t="s">
        <v>76</v>
      </c>
      <c r="B20" s="444" t="s">
        <v>77</v>
      </c>
      <c r="C20" s="444" t="s">
        <v>47</v>
      </c>
    </row>
    <row r="21" ht="16.5" spans="1:3">
      <c r="A21" s="444" t="s">
        <v>78</v>
      </c>
      <c r="B21" s="444" t="s">
        <v>79</v>
      </c>
      <c r="C21" s="444" t="s">
        <v>47</v>
      </c>
    </row>
    <row r="22" ht="16.5" spans="1:3">
      <c r="A22" s="444" t="s">
        <v>80</v>
      </c>
      <c r="B22" s="444" t="s">
        <v>81</v>
      </c>
      <c r="C22" s="444" t="s">
        <v>42</v>
      </c>
    </row>
    <row r="23" ht="16.5" spans="1:3">
      <c r="A23" s="444" t="s">
        <v>82</v>
      </c>
      <c r="B23" s="444" t="s">
        <v>83</v>
      </c>
      <c r="C23" s="444" t="s">
        <v>42</v>
      </c>
    </row>
    <row r="24" ht="16.5" spans="1:3">
      <c r="A24" s="444" t="s">
        <v>84</v>
      </c>
      <c r="B24" s="444" t="s">
        <v>81</v>
      </c>
      <c r="C24" s="444" t="s">
        <v>42</v>
      </c>
    </row>
    <row r="25" ht="16.5" spans="1:3">
      <c r="A25" s="444" t="s">
        <v>85</v>
      </c>
      <c r="B25" s="444" t="s">
        <v>86</v>
      </c>
      <c r="C25" s="444" t="s">
        <v>42</v>
      </c>
    </row>
    <row r="26" ht="16.5" spans="1:3">
      <c r="A26" s="444" t="s">
        <v>87</v>
      </c>
      <c r="B26" s="444" t="s">
        <v>88</v>
      </c>
      <c r="C26" s="444" t="s">
        <v>42</v>
      </c>
    </row>
    <row r="27" ht="16.5" spans="1:3">
      <c r="A27" s="444" t="s">
        <v>89</v>
      </c>
      <c r="B27" s="444" t="s">
        <v>90</v>
      </c>
      <c r="C27" s="444" t="s">
        <v>42</v>
      </c>
    </row>
    <row r="28" ht="16.5" spans="1:4">
      <c r="A28" s="445" t="s">
        <v>91</v>
      </c>
      <c r="B28" s="445" t="s">
        <v>90</v>
      </c>
      <c r="C28" s="445" t="s">
        <v>42</v>
      </c>
      <c r="D28" s="446" t="s">
        <v>92</v>
      </c>
    </row>
    <row r="29" ht="16.5" spans="1:3">
      <c r="A29" s="444" t="s">
        <v>93</v>
      </c>
      <c r="B29" s="444" t="s">
        <v>94</v>
      </c>
      <c r="C29" s="444" t="s">
        <v>42</v>
      </c>
    </row>
    <row r="30" ht="16.5" spans="1:3">
      <c r="A30" s="444" t="s">
        <v>95</v>
      </c>
      <c r="B30" s="444" t="s">
        <v>96</v>
      </c>
      <c r="C30" s="444" t="s">
        <v>42</v>
      </c>
    </row>
    <row r="31" ht="16.5" spans="1:3">
      <c r="A31" s="444" t="s">
        <v>97</v>
      </c>
      <c r="B31" s="444" t="s">
        <v>98</v>
      </c>
      <c r="C31" s="444" t="s">
        <v>42</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115" zoomScaleNormal="115" workbookViewId="0">
      <selection activeCell="B40" sqref="B40"/>
    </sheetView>
  </sheetViews>
  <sheetFormatPr defaultColWidth="9" defaultRowHeight="13.5" outlineLevelRow="7" outlineLevelCol="4"/>
  <cols>
    <col min="3" max="3" width="24.125" customWidth="1"/>
  </cols>
  <sheetData>
    <row r="1" ht="14.25" spans="1:5">
      <c r="A1" s="436" t="s">
        <v>99</v>
      </c>
      <c r="B1" s="437" t="s">
        <v>100</v>
      </c>
      <c r="C1" s="437" t="s">
        <v>101</v>
      </c>
      <c r="D1" s="437" t="s">
        <v>102</v>
      </c>
      <c r="E1" s="438" t="s">
        <v>103</v>
      </c>
    </row>
    <row r="2" spans="1:5">
      <c r="A2" s="439">
        <v>1</v>
      </c>
      <c r="B2" s="440" t="s">
        <v>104</v>
      </c>
      <c r="C2" s="439" t="s">
        <v>105</v>
      </c>
      <c r="D2" s="439">
        <v>521301</v>
      </c>
      <c r="E2" s="439">
        <v>17</v>
      </c>
    </row>
    <row r="3" spans="1:5">
      <c r="A3" s="5">
        <v>2</v>
      </c>
      <c r="B3" s="441" t="s">
        <v>104</v>
      </c>
      <c r="C3" s="5" t="s">
        <v>106</v>
      </c>
      <c r="D3" s="5">
        <v>521304</v>
      </c>
      <c r="E3" s="5">
        <v>15</v>
      </c>
    </row>
    <row r="4" spans="1:5">
      <c r="A4" s="5">
        <v>3</v>
      </c>
      <c r="B4" s="441" t="s">
        <v>104</v>
      </c>
      <c r="C4" s="5" t="s">
        <v>107</v>
      </c>
      <c r="D4" s="5">
        <v>521305</v>
      </c>
      <c r="E4" s="5">
        <v>15</v>
      </c>
    </row>
    <row r="5" spans="1:5">
      <c r="A5" s="5">
        <v>4</v>
      </c>
      <c r="B5" s="441" t="s">
        <v>104</v>
      </c>
      <c r="C5" s="5" t="s">
        <v>108</v>
      </c>
      <c r="D5" s="5">
        <v>521306</v>
      </c>
      <c r="E5" s="5">
        <v>15</v>
      </c>
    </row>
    <row r="6" spans="1:5">
      <c r="A6" s="5">
        <v>5</v>
      </c>
      <c r="B6" s="441" t="s">
        <v>104</v>
      </c>
      <c r="C6" s="5" t="s">
        <v>109</v>
      </c>
      <c r="D6" s="5">
        <v>521307</v>
      </c>
      <c r="E6" s="5">
        <v>15</v>
      </c>
    </row>
    <row r="7" spans="1:5">
      <c r="A7" s="5">
        <v>6</v>
      </c>
      <c r="B7" s="441" t="s">
        <v>110</v>
      </c>
      <c r="C7" s="5" t="s">
        <v>111</v>
      </c>
      <c r="D7" s="5">
        <v>5977</v>
      </c>
      <c r="E7" s="5">
        <v>1</v>
      </c>
    </row>
    <row r="8" spans="1:5">
      <c r="A8" s="5">
        <v>7</v>
      </c>
      <c r="B8" s="441" t="s">
        <v>110</v>
      </c>
      <c r="C8" s="5" t="s">
        <v>112</v>
      </c>
      <c r="D8" s="5">
        <v>153</v>
      </c>
      <c r="E8" s="5">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81"/>
  <sheetViews>
    <sheetView topLeftCell="A58" workbookViewId="0">
      <selection activeCell="C79" sqref="C79:C81"/>
    </sheetView>
  </sheetViews>
  <sheetFormatPr defaultColWidth="8.875" defaultRowHeight="13.5"/>
  <cols>
    <col min="1" max="1" width="8.875" style="403"/>
    <col min="2" max="2" width="8.875" style="404"/>
    <col min="3" max="3" width="19.75" style="405" customWidth="1"/>
    <col min="4" max="4" width="22" style="405" customWidth="1"/>
    <col min="5" max="5" width="60.75" style="405" customWidth="1"/>
    <col min="6" max="6" width="46.25" style="405" customWidth="1"/>
    <col min="7" max="7" width="17.625" style="405" customWidth="1"/>
    <col min="8" max="8" width="11.625" style="405" customWidth="1"/>
    <col min="9" max="16384" width="8.875" style="405"/>
  </cols>
  <sheetData>
    <row r="1" ht="14.25" spans="1:6">
      <c r="A1" s="406" t="s">
        <v>99</v>
      </c>
      <c r="B1" s="407" t="s">
        <v>113</v>
      </c>
      <c r="C1" s="408" t="s">
        <v>114</v>
      </c>
      <c r="D1" s="408" t="s">
        <v>115</v>
      </c>
      <c r="E1" s="408" t="s">
        <v>116</v>
      </c>
      <c r="F1" s="408" t="s">
        <v>117</v>
      </c>
    </row>
    <row r="2" ht="14.25" spans="1:6">
      <c r="A2" s="409">
        <v>1</v>
      </c>
      <c r="B2" s="410" t="s">
        <v>118</v>
      </c>
      <c r="C2" s="411">
        <v>168</v>
      </c>
      <c r="D2" s="411">
        <v>16</v>
      </c>
      <c r="E2" s="412" t="s">
        <v>119</v>
      </c>
      <c r="F2" s="413" t="s">
        <v>119</v>
      </c>
    </row>
    <row r="3" ht="14.25" spans="1:6">
      <c r="A3" s="406">
        <v>2</v>
      </c>
      <c r="B3" s="414" t="s">
        <v>120</v>
      </c>
      <c r="C3" s="415">
        <v>168</v>
      </c>
      <c r="D3" s="415">
        <v>18</v>
      </c>
      <c r="E3" s="416" t="s">
        <v>121</v>
      </c>
      <c r="F3" s="417" t="s">
        <v>122</v>
      </c>
    </row>
    <row r="4" ht="14.25" spans="1:6">
      <c r="A4" s="409">
        <v>3</v>
      </c>
      <c r="B4" s="410" t="s">
        <v>118</v>
      </c>
      <c r="C4" s="411">
        <v>168</v>
      </c>
      <c r="D4" s="411">
        <v>2</v>
      </c>
      <c r="E4" s="412" t="s">
        <v>123</v>
      </c>
      <c r="F4" s="413" t="s">
        <v>123</v>
      </c>
    </row>
    <row r="5" ht="14.25" spans="1:6">
      <c r="A5" s="409">
        <v>4</v>
      </c>
      <c r="B5" s="410" t="s">
        <v>118</v>
      </c>
      <c r="C5" s="411">
        <v>169</v>
      </c>
      <c r="D5" s="411">
        <v>16</v>
      </c>
      <c r="E5" s="412" t="s">
        <v>124</v>
      </c>
      <c r="F5" s="413" t="s">
        <v>124</v>
      </c>
    </row>
    <row r="6" ht="14.25" spans="1:6">
      <c r="A6" s="409">
        <v>5</v>
      </c>
      <c r="B6" s="410" t="s">
        <v>118</v>
      </c>
      <c r="C6" s="411">
        <v>169</v>
      </c>
      <c r="D6" s="411">
        <v>18</v>
      </c>
      <c r="E6" s="412" t="s">
        <v>125</v>
      </c>
      <c r="F6" s="413" t="s">
        <v>125</v>
      </c>
    </row>
    <row r="7" ht="14.25" spans="1:6">
      <c r="A7" s="409">
        <v>6</v>
      </c>
      <c r="B7" s="410" t="s">
        <v>118</v>
      </c>
      <c r="C7" s="411">
        <v>169</v>
      </c>
      <c r="D7" s="411">
        <v>2</v>
      </c>
      <c r="E7" s="412" t="s">
        <v>126</v>
      </c>
      <c r="F7" s="413" t="s">
        <v>126</v>
      </c>
    </row>
    <row r="8" ht="14.25" spans="1:6">
      <c r="A8" s="409">
        <v>7</v>
      </c>
      <c r="B8" s="410" t="s">
        <v>118</v>
      </c>
      <c r="C8" s="411">
        <v>158</v>
      </c>
      <c r="D8" s="411">
        <v>16</v>
      </c>
      <c r="E8" s="412" t="s">
        <v>127</v>
      </c>
      <c r="F8" s="413" t="s">
        <v>127</v>
      </c>
    </row>
    <row r="9" ht="14.25" spans="1:6">
      <c r="A9" s="406">
        <v>8</v>
      </c>
      <c r="B9" s="418" t="s">
        <v>128</v>
      </c>
      <c r="C9" s="415">
        <v>158</v>
      </c>
      <c r="D9" s="419">
        <v>18</v>
      </c>
      <c r="E9" s="416" t="s">
        <v>129</v>
      </c>
      <c r="F9" s="417" t="s">
        <v>129</v>
      </c>
    </row>
    <row r="10" ht="14.25" spans="1:7">
      <c r="A10" s="409">
        <v>9</v>
      </c>
      <c r="B10" s="410" t="s">
        <v>118</v>
      </c>
      <c r="C10" s="411">
        <v>158</v>
      </c>
      <c r="D10" s="411">
        <v>2</v>
      </c>
      <c r="E10" s="420" t="s">
        <v>130</v>
      </c>
      <c r="F10" s="421" t="s">
        <v>130</v>
      </c>
      <c r="G10" s="405" t="s">
        <v>131</v>
      </c>
    </row>
    <row r="11" ht="14.25" spans="1:6">
      <c r="A11" s="406">
        <v>10</v>
      </c>
      <c r="B11" s="418" t="s">
        <v>128</v>
      </c>
      <c r="C11" s="415">
        <v>597</v>
      </c>
      <c r="D11" s="415">
        <v>2</v>
      </c>
      <c r="E11" s="416" t="s">
        <v>132</v>
      </c>
      <c r="F11" s="417" t="s">
        <v>132</v>
      </c>
    </row>
    <row r="12" ht="14.25" spans="1:7">
      <c r="A12" s="406">
        <v>11</v>
      </c>
      <c r="B12" s="414" t="s">
        <v>120</v>
      </c>
      <c r="C12" s="415">
        <v>21003</v>
      </c>
      <c r="D12" s="408">
        <v>12</v>
      </c>
      <c r="E12" s="416" t="s">
        <v>133</v>
      </c>
      <c r="F12" s="417" t="s">
        <v>133</v>
      </c>
      <c r="G12" s="405" t="s">
        <v>134</v>
      </c>
    </row>
    <row r="13" ht="14.25" spans="1:7">
      <c r="A13" s="406">
        <v>12</v>
      </c>
      <c r="B13" s="414" t="s">
        <v>120</v>
      </c>
      <c r="C13" s="419">
        <v>21004</v>
      </c>
      <c r="D13" s="419">
        <v>12</v>
      </c>
      <c r="E13" s="416" t="s">
        <v>135</v>
      </c>
      <c r="F13" s="417" t="s">
        <v>135</v>
      </c>
      <c r="G13" s="405" t="s">
        <v>136</v>
      </c>
    </row>
    <row r="14" ht="14.25" spans="1:6">
      <c r="A14" s="406">
        <v>13</v>
      </c>
      <c r="B14" s="418" t="s">
        <v>128</v>
      </c>
      <c r="C14" s="415">
        <v>21005</v>
      </c>
      <c r="D14" s="408">
        <v>4</v>
      </c>
      <c r="E14" s="416" t="s">
        <v>137</v>
      </c>
      <c r="F14" s="417" t="s">
        <v>137</v>
      </c>
    </row>
    <row r="15" ht="14.25" spans="1:6">
      <c r="A15" s="406">
        <v>14</v>
      </c>
      <c r="B15" s="418" t="s">
        <v>128</v>
      </c>
      <c r="C15" s="415">
        <v>21005</v>
      </c>
      <c r="D15" s="408">
        <v>3</v>
      </c>
      <c r="E15" s="416" t="s">
        <v>138</v>
      </c>
      <c r="F15" s="417" t="s">
        <v>138</v>
      </c>
    </row>
    <row r="16" ht="14.25" spans="1:6">
      <c r="A16" s="409">
        <v>15</v>
      </c>
      <c r="B16" s="410" t="s">
        <v>118</v>
      </c>
      <c r="C16" s="411">
        <v>21005</v>
      </c>
      <c r="D16" s="422">
        <v>6</v>
      </c>
      <c r="E16" s="412" t="s">
        <v>139</v>
      </c>
      <c r="F16" s="413" t="s">
        <v>140</v>
      </c>
    </row>
    <row r="17" ht="14.25" spans="1:6">
      <c r="A17" s="409">
        <v>16</v>
      </c>
      <c r="B17" s="410" t="s">
        <v>118</v>
      </c>
      <c r="C17" s="411">
        <v>21006</v>
      </c>
      <c r="D17" s="411">
        <v>16</v>
      </c>
      <c r="E17" s="412" t="s">
        <v>141</v>
      </c>
      <c r="F17" s="413" t="s">
        <v>142</v>
      </c>
    </row>
    <row r="18" ht="14.25" spans="1:6">
      <c r="A18" s="409">
        <v>17</v>
      </c>
      <c r="B18" s="410" t="s">
        <v>118</v>
      </c>
      <c r="C18" s="411">
        <v>21006</v>
      </c>
      <c r="D18" s="411">
        <v>18</v>
      </c>
      <c r="E18" s="412" t="s">
        <v>143</v>
      </c>
      <c r="F18" s="413" t="s">
        <v>144</v>
      </c>
    </row>
    <row r="19" ht="14.25" spans="1:8">
      <c r="A19" s="406">
        <v>18</v>
      </c>
      <c r="B19" s="418" t="s">
        <v>128</v>
      </c>
      <c r="C19" s="415">
        <v>21006</v>
      </c>
      <c r="D19" s="415">
        <v>5</v>
      </c>
      <c r="E19" s="416" t="s">
        <v>145</v>
      </c>
      <c r="F19" s="417" t="s">
        <v>146</v>
      </c>
      <c r="G19" s="405" t="s">
        <v>147</v>
      </c>
      <c r="H19" s="405">
        <v>5</v>
      </c>
    </row>
    <row r="20" ht="14.25" spans="1:6">
      <c r="A20" s="406">
        <v>19</v>
      </c>
      <c r="B20" s="418" t="s">
        <v>128</v>
      </c>
      <c r="C20" s="415">
        <v>21006</v>
      </c>
      <c r="D20" s="415">
        <v>6</v>
      </c>
      <c r="E20" s="416" t="s">
        <v>148</v>
      </c>
      <c r="F20" s="417" t="s">
        <v>149</v>
      </c>
    </row>
    <row r="21" ht="15" spans="1:7">
      <c r="A21" s="406">
        <v>20</v>
      </c>
      <c r="B21" s="418" t="s">
        <v>128</v>
      </c>
      <c r="C21" s="415">
        <v>21007</v>
      </c>
      <c r="D21" s="415">
        <v>16</v>
      </c>
      <c r="E21" s="423" t="s">
        <v>150</v>
      </c>
      <c r="F21" s="424" t="s">
        <v>151</v>
      </c>
      <c r="G21" s="405" t="s">
        <v>152</v>
      </c>
    </row>
    <row r="22" ht="14.25" spans="1:6">
      <c r="A22" s="406">
        <v>21</v>
      </c>
      <c r="B22" s="418" t="s">
        <v>128</v>
      </c>
      <c r="C22" s="415">
        <v>21007</v>
      </c>
      <c r="D22" s="415">
        <v>18</v>
      </c>
      <c r="E22" s="416" t="s">
        <v>153</v>
      </c>
      <c r="F22" s="425" t="s">
        <v>154</v>
      </c>
    </row>
    <row r="23" s="402" customFormat="1" ht="14.25" spans="1:9">
      <c r="A23" s="426">
        <v>22</v>
      </c>
      <c r="B23" s="414" t="s">
        <v>120</v>
      </c>
      <c r="C23" s="427">
        <v>21007</v>
      </c>
      <c r="D23" s="427">
        <v>5</v>
      </c>
      <c r="E23" s="428" t="s">
        <v>155</v>
      </c>
      <c r="F23" s="429" t="s">
        <v>155</v>
      </c>
      <c r="G23" s="402" t="s">
        <v>156</v>
      </c>
      <c r="H23" s="402" t="s">
        <v>157</v>
      </c>
      <c r="I23" s="402" t="s">
        <v>158</v>
      </c>
    </row>
    <row r="24" ht="14.25" spans="1:6">
      <c r="A24" s="409">
        <v>23</v>
      </c>
      <c r="B24" s="410" t="s">
        <v>118</v>
      </c>
      <c r="C24" s="411">
        <v>21007</v>
      </c>
      <c r="D24" s="411">
        <v>2</v>
      </c>
      <c r="E24" s="412" t="s">
        <v>159</v>
      </c>
      <c r="F24" s="430" t="s">
        <v>160</v>
      </c>
    </row>
    <row r="25" ht="14.25" spans="1:6">
      <c r="A25" s="409">
        <v>24</v>
      </c>
      <c r="B25" s="410" t="s">
        <v>118</v>
      </c>
      <c r="C25" s="411">
        <v>21008</v>
      </c>
      <c r="D25" s="411">
        <v>16</v>
      </c>
      <c r="E25" s="412" t="s">
        <v>161</v>
      </c>
      <c r="F25" s="413" t="s">
        <v>162</v>
      </c>
    </row>
    <row r="26" ht="14.25" spans="1:6">
      <c r="A26" s="409">
        <v>25</v>
      </c>
      <c r="B26" s="410" t="s">
        <v>118</v>
      </c>
      <c r="C26" s="411">
        <v>21008</v>
      </c>
      <c r="D26" s="411">
        <v>18</v>
      </c>
      <c r="E26" s="412" t="s">
        <v>163</v>
      </c>
      <c r="F26" s="413" t="s">
        <v>164</v>
      </c>
    </row>
    <row r="27" ht="14.25" spans="1:6">
      <c r="A27" s="406">
        <v>26</v>
      </c>
      <c r="B27" s="418" t="s">
        <v>128</v>
      </c>
      <c r="C27" s="415">
        <v>21008</v>
      </c>
      <c r="D27" s="415">
        <v>5</v>
      </c>
      <c r="E27" s="416" t="s">
        <v>165</v>
      </c>
      <c r="F27" s="417" t="s">
        <v>166</v>
      </c>
    </row>
    <row r="28" ht="14.25" spans="1:6">
      <c r="A28" s="406">
        <v>27</v>
      </c>
      <c r="B28" s="418" t="s">
        <v>128</v>
      </c>
      <c r="C28" s="415">
        <v>21008</v>
      </c>
      <c r="D28" s="415">
        <v>6</v>
      </c>
      <c r="E28" s="416" t="s">
        <v>167</v>
      </c>
      <c r="F28" s="417" t="s">
        <v>168</v>
      </c>
    </row>
    <row r="29" ht="15" spans="1:6">
      <c r="A29" s="406">
        <v>28</v>
      </c>
      <c r="B29" s="418" t="s">
        <v>128</v>
      </c>
      <c r="C29" s="415">
        <v>91</v>
      </c>
      <c r="D29" s="415">
        <v>16</v>
      </c>
      <c r="E29" s="423" t="s">
        <v>169</v>
      </c>
      <c r="F29" s="424" t="s">
        <v>170</v>
      </c>
    </row>
    <row r="30" ht="14.25" spans="1:6">
      <c r="A30" s="406">
        <v>29</v>
      </c>
      <c r="B30" s="418" t="s">
        <v>128</v>
      </c>
      <c r="C30" s="415">
        <v>91</v>
      </c>
      <c r="D30" s="415">
        <v>18</v>
      </c>
      <c r="E30" s="416" t="s">
        <v>171</v>
      </c>
      <c r="F30" s="417" t="s">
        <v>172</v>
      </c>
    </row>
    <row r="31" ht="14.25" spans="1:6">
      <c r="A31" s="409">
        <v>30</v>
      </c>
      <c r="B31" s="410" t="s">
        <v>118</v>
      </c>
      <c r="C31" s="411">
        <v>91</v>
      </c>
      <c r="D31" s="411">
        <v>2</v>
      </c>
      <c r="E31" s="412" t="s">
        <v>173</v>
      </c>
      <c r="F31" s="413" t="s">
        <v>174</v>
      </c>
    </row>
    <row r="32" ht="14.25" spans="1:6">
      <c r="A32" s="409">
        <v>31</v>
      </c>
      <c r="B32" s="410" t="s">
        <v>118</v>
      </c>
      <c r="C32" s="411">
        <v>21009</v>
      </c>
      <c r="D32" s="411">
        <v>16</v>
      </c>
      <c r="E32" s="412" t="s">
        <v>175</v>
      </c>
      <c r="F32" s="413" t="s">
        <v>176</v>
      </c>
    </row>
    <row r="33" ht="14.25" spans="1:6">
      <c r="A33" s="409">
        <v>32</v>
      </c>
      <c r="B33" s="410" t="s">
        <v>118</v>
      </c>
      <c r="C33" s="411">
        <v>21009</v>
      </c>
      <c r="D33" s="411">
        <v>18</v>
      </c>
      <c r="E33" s="412" t="s">
        <v>177</v>
      </c>
      <c r="F33" s="413" t="s">
        <v>178</v>
      </c>
    </row>
    <row r="34" ht="14.25" spans="1:6">
      <c r="A34" s="406">
        <v>33</v>
      </c>
      <c r="B34" s="418" t="s">
        <v>128</v>
      </c>
      <c r="C34" s="415">
        <v>21009</v>
      </c>
      <c r="D34" s="415">
        <v>5</v>
      </c>
      <c r="E34" s="416" t="s">
        <v>179</v>
      </c>
      <c r="F34" s="417" t="s">
        <v>180</v>
      </c>
    </row>
    <row r="35" ht="14.25" spans="1:6">
      <c r="A35" s="406">
        <v>34</v>
      </c>
      <c r="B35" s="418" t="s">
        <v>128</v>
      </c>
      <c r="C35" s="415">
        <v>21009</v>
      </c>
      <c r="D35" s="415">
        <v>6</v>
      </c>
      <c r="E35" s="416" t="s">
        <v>181</v>
      </c>
      <c r="F35" s="417" t="s">
        <v>182</v>
      </c>
    </row>
    <row r="36" ht="15" spans="1:6">
      <c r="A36" s="406">
        <v>35</v>
      </c>
      <c r="B36" s="418" t="s">
        <v>128</v>
      </c>
      <c r="C36" s="415">
        <v>29</v>
      </c>
      <c r="D36" s="415">
        <v>16</v>
      </c>
      <c r="E36" s="423" t="s">
        <v>183</v>
      </c>
      <c r="F36" s="424" t="s">
        <v>184</v>
      </c>
    </row>
    <row r="37" ht="14.25" spans="1:6">
      <c r="A37" s="406">
        <v>36</v>
      </c>
      <c r="B37" s="418" t="s">
        <v>128</v>
      </c>
      <c r="C37" s="415">
        <v>29</v>
      </c>
      <c r="D37" s="415">
        <v>18</v>
      </c>
      <c r="E37" s="416" t="s">
        <v>185</v>
      </c>
      <c r="F37" s="417" t="s">
        <v>186</v>
      </c>
    </row>
    <row r="38" ht="14.25" spans="1:6">
      <c r="A38" s="409">
        <v>37</v>
      </c>
      <c r="B38" s="410" t="s">
        <v>118</v>
      </c>
      <c r="C38" s="411">
        <v>29</v>
      </c>
      <c r="D38" s="411">
        <v>2</v>
      </c>
      <c r="E38" s="412" t="s">
        <v>187</v>
      </c>
      <c r="F38" s="413" t="s">
        <v>188</v>
      </c>
    </row>
    <row r="39" ht="14.25" spans="1:6">
      <c r="A39" s="406">
        <v>38</v>
      </c>
      <c r="B39" s="418" t="s">
        <v>128</v>
      </c>
      <c r="C39" s="415">
        <v>21012</v>
      </c>
      <c r="D39" s="408">
        <v>4</v>
      </c>
      <c r="E39" s="416" t="s">
        <v>189</v>
      </c>
      <c r="F39" s="417" t="s">
        <v>189</v>
      </c>
    </row>
    <row r="40" ht="14.25" spans="1:6">
      <c r="A40" s="406">
        <v>39</v>
      </c>
      <c r="B40" s="418" t="s">
        <v>128</v>
      </c>
      <c r="C40" s="415">
        <v>21012</v>
      </c>
      <c r="D40" s="408">
        <v>3</v>
      </c>
      <c r="E40" s="416" t="s">
        <v>190</v>
      </c>
      <c r="F40" s="417" t="s">
        <v>190</v>
      </c>
    </row>
    <row r="41" ht="14.25" spans="1:6">
      <c r="A41" s="409">
        <v>40</v>
      </c>
      <c r="B41" s="410" t="s">
        <v>118</v>
      </c>
      <c r="C41" s="411">
        <v>21012</v>
      </c>
      <c r="D41" s="422">
        <v>6</v>
      </c>
      <c r="E41" s="412" t="s">
        <v>191</v>
      </c>
      <c r="F41" s="413" t="s">
        <v>192</v>
      </c>
    </row>
    <row r="42" ht="14.25" spans="1:6">
      <c r="A42" s="406">
        <v>41</v>
      </c>
      <c r="B42" s="418" t="s">
        <v>128</v>
      </c>
      <c r="C42" s="415">
        <v>21013</v>
      </c>
      <c r="D42" s="408">
        <v>4</v>
      </c>
      <c r="E42" s="416" t="s">
        <v>193</v>
      </c>
      <c r="F42" s="417" t="s">
        <v>193</v>
      </c>
    </row>
    <row r="43" ht="14.25" spans="1:6">
      <c r="A43" s="406">
        <v>42</v>
      </c>
      <c r="B43" s="418" t="s">
        <v>128</v>
      </c>
      <c r="C43" s="415">
        <v>21013</v>
      </c>
      <c r="D43" s="408">
        <v>3</v>
      </c>
      <c r="E43" s="416" t="s">
        <v>194</v>
      </c>
      <c r="F43" s="417" t="s">
        <v>194</v>
      </c>
    </row>
    <row r="44" ht="14.25" spans="1:6">
      <c r="A44" s="409">
        <v>43</v>
      </c>
      <c r="B44" s="410" t="s">
        <v>118</v>
      </c>
      <c r="C44" s="411">
        <v>21013</v>
      </c>
      <c r="D44" s="422">
        <v>6</v>
      </c>
      <c r="E44" s="412" t="s">
        <v>195</v>
      </c>
      <c r="F44" s="413" t="s">
        <v>196</v>
      </c>
    </row>
    <row r="45" ht="14.25" spans="1:6">
      <c r="A45" s="406">
        <v>44</v>
      </c>
      <c r="B45" s="418" t="s">
        <v>128</v>
      </c>
      <c r="C45" s="415">
        <v>21014</v>
      </c>
      <c r="D45" s="408">
        <v>4</v>
      </c>
      <c r="E45" s="416" t="s">
        <v>197</v>
      </c>
      <c r="F45" s="417" t="s">
        <v>197</v>
      </c>
    </row>
    <row r="46" ht="14.25" spans="1:6">
      <c r="A46" s="406">
        <v>45</v>
      </c>
      <c r="B46" s="418" t="s">
        <v>128</v>
      </c>
      <c r="C46" s="415">
        <v>21014</v>
      </c>
      <c r="D46" s="408">
        <v>3</v>
      </c>
      <c r="E46" s="416" t="s">
        <v>198</v>
      </c>
      <c r="F46" s="417" t="s">
        <v>198</v>
      </c>
    </row>
    <row r="47" ht="14.25" spans="1:6">
      <c r="A47" s="409">
        <v>46</v>
      </c>
      <c r="B47" s="410" t="s">
        <v>118</v>
      </c>
      <c r="C47" s="411">
        <v>21014</v>
      </c>
      <c r="D47" s="422">
        <v>6</v>
      </c>
      <c r="E47" s="412" t="s">
        <v>199</v>
      </c>
      <c r="F47" s="413" t="s">
        <v>200</v>
      </c>
    </row>
    <row r="48" ht="14.25" spans="1:6">
      <c r="A48" s="406">
        <v>47</v>
      </c>
      <c r="B48" s="414" t="s">
        <v>120</v>
      </c>
      <c r="C48" s="415">
        <v>21015</v>
      </c>
      <c r="D48" s="408">
        <v>4</v>
      </c>
      <c r="E48" s="416" t="s">
        <v>201</v>
      </c>
      <c r="F48" s="417" t="s">
        <v>201</v>
      </c>
    </row>
    <row r="49" ht="14.25" spans="1:6">
      <c r="A49" s="406">
        <v>48</v>
      </c>
      <c r="B49" s="418" t="s">
        <v>128</v>
      </c>
      <c r="C49" s="415">
        <v>21015</v>
      </c>
      <c r="D49" s="408">
        <v>3</v>
      </c>
      <c r="E49" s="416" t="s">
        <v>202</v>
      </c>
      <c r="F49" s="417" t="s">
        <v>202</v>
      </c>
    </row>
    <row r="50" ht="14.25" spans="1:6">
      <c r="A50" s="409">
        <v>49</v>
      </c>
      <c r="B50" s="410" t="s">
        <v>118</v>
      </c>
      <c r="C50" s="411">
        <v>21015</v>
      </c>
      <c r="D50" s="422">
        <v>6</v>
      </c>
      <c r="E50" s="412" t="s">
        <v>203</v>
      </c>
      <c r="F50" s="413" t="s">
        <v>204</v>
      </c>
    </row>
    <row r="51" ht="14.25" spans="1:6">
      <c r="A51" s="409">
        <v>50</v>
      </c>
      <c r="B51" s="410" t="s">
        <v>118</v>
      </c>
      <c r="C51" s="411">
        <v>630</v>
      </c>
      <c r="D51" s="411">
        <v>12</v>
      </c>
      <c r="E51" s="412" t="s">
        <v>205</v>
      </c>
      <c r="F51" s="413" t="s">
        <v>205</v>
      </c>
    </row>
    <row r="52" ht="14.25" spans="1:6">
      <c r="A52" s="406">
        <v>51</v>
      </c>
      <c r="B52" s="414" t="s">
        <v>120</v>
      </c>
      <c r="C52" s="415">
        <v>21016</v>
      </c>
      <c r="D52" s="415">
        <v>12</v>
      </c>
      <c r="E52" s="416" t="s">
        <v>206</v>
      </c>
      <c r="F52" s="417" t="s">
        <v>206</v>
      </c>
    </row>
    <row r="53" ht="14.25" spans="1:6">
      <c r="A53" s="409">
        <v>52</v>
      </c>
      <c r="B53" s="410" t="s">
        <v>118</v>
      </c>
      <c r="C53" s="411">
        <v>21017</v>
      </c>
      <c r="D53" s="411">
        <v>12</v>
      </c>
      <c r="E53" s="412" t="s">
        <v>207</v>
      </c>
      <c r="F53" s="413" t="s">
        <v>207</v>
      </c>
    </row>
    <row r="54" ht="14.25" spans="1:6">
      <c r="A54" s="406">
        <v>53</v>
      </c>
      <c r="B54" s="414" t="s">
        <v>120</v>
      </c>
      <c r="C54" s="415">
        <v>21018</v>
      </c>
      <c r="D54" s="415">
        <v>12</v>
      </c>
      <c r="E54" s="416" t="s">
        <v>208</v>
      </c>
      <c r="F54" s="417" t="s">
        <v>208</v>
      </c>
    </row>
    <row r="55" ht="14.25" spans="1:6">
      <c r="A55" s="406">
        <v>54</v>
      </c>
      <c r="B55" s="414" t="s">
        <v>120</v>
      </c>
      <c r="C55" s="415">
        <v>21019</v>
      </c>
      <c r="D55" s="408">
        <v>4</v>
      </c>
      <c r="E55" s="416" t="s">
        <v>209</v>
      </c>
      <c r="F55" s="417" t="s">
        <v>210</v>
      </c>
    </row>
    <row r="56" ht="14.25" spans="1:6">
      <c r="A56" s="406">
        <v>55</v>
      </c>
      <c r="B56" s="418" t="s">
        <v>128</v>
      </c>
      <c r="C56" s="415">
        <v>21019</v>
      </c>
      <c r="D56" s="408">
        <v>3</v>
      </c>
      <c r="E56" s="416" t="s">
        <v>211</v>
      </c>
      <c r="F56" s="417" t="s">
        <v>212</v>
      </c>
    </row>
    <row r="57" ht="14.25" spans="1:6">
      <c r="A57" s="409">
        <v>56</v>
      </c>
      <c r="B57" s="410" t="s">
        <v>118</v>
      </c>
      <c r="C57" s="411">
        <v>21019</v>
      </c>
      <c r="D57" s="422">
        <v>6</v>
      </c>
      <c r="E57" s="412" t="s">
        <v>213</v>
      </c>
      <c r="F57" s="413" t="s">
        <v>214</v>
      </c>
    </row>
    <row r="58" ht="14.25" spans="1:6">
      <c r="A58" s="406">
        <v>57</v>
      </c>
      <c r="B58" s="418" t="s">
        <v>128</v>
      </c>
      <c r="C58" s="415">
        <v>21022</v>
      </c>
      <c r="D58" s="408">
        <v>4</v>
      </c>
      <c r="E58" s="416" t="s">
        <v>215</v>
      </c>
      <c r="F58" s="417" t="s">
        <v>215</v>
      </c>
    </row>
    <row r="59" ht="14.25" spans="1:6">
      <c r="A59" s="406">
        <v>58</v>
      </c>
      <c r="B59" s="418" t="s">
        <v>128</v>
      </c>
      <c r="C59" s="415">
        <v>21022</v>
      </c>
      <c r="D59" s="408">
        <v>3</v>
      </c>
      <c r="E59" s="416" t="s">
        <v>216</v>
      </c>
      <c r="F59" s="417" t="s">
        <v>216</v>
      </c>
    </row>
    <row r="60" ht="14.25" spans="1:6">
      <c r="A60" s="409">
        <v>59</v>
      </c>
      <c r="B60" s="410" t="s">
        <v>118</v>
      </c>
      <c r="C60" s="411">
        <v>21022</v>
      </c>
      <c r="D60" s="422">
        <v>6</v>
      </c>
      <c r="E60" s="412" t="s">
        <v>217</v>
      </c>
      <c r="F60" s="413" t="s">
        <v>218</v>
      </c>
    </row>
    <row r="61" ht="14.25" spans="1:6">
      <c r="A61" s="409">
        <v>60</v>
      </c>
      <c r="B61" s="410" t="s">
        <v>118</v>
      </c>
      <c r="C61" s="411">
        <v>21056</v>
      </c>
      <c r="D61" s="411">
        <v>16</v>
      </c>
      <c r="E61" s="412" t="s">
        <v>219</v>
      </c>
      <c r="F61" s="413" t="s">
        <v>220</v>
      </c>
    </row>
    <row r="62" ht="14.25" spans="1:6">
      <c r="A62" s="409">
        <v>61</v>
      </c>
      <c r="B62" s="410" t="s">
        <v>118</v>
      </c>
      <c r="C62" s="411">
        <v>21056</v>
      </c>
      <c r="D62" s="411">
        <v>18</v>
      </c>
      <c r="E62" s="412" t="s">
        <v>221</v>
      </c>
      <c r="F62" s="413" t="s">
        <v>222</v>
      </c>
    </row>
    <row r="63" ht="14.25" spans="1:6">
      <c r="A63" s="406">
        <v>62</v>
      </c>
      <c r="B63" s="418" t="s">
        <v>128</v>
      </c>
      <c r="C63" s="415">
        <v>21056</v>
      </c>
      <c r="D63" s="415">
        <v>5</v>
      </c>
      <c r="E63" s="416" t="s">
        <v>223</v>
      </c>
      <c r="F63" s="417" t="s">
        <v>224</v>
      </c>
    </row>
    <row r="64" ht="14.25" spans="1:6">
      <c r="A64" s="406">
        <v>63</v>
      </c>
      <c r="B64" s="418" t="s">
        <v>128</v>
      </c>
      <c r="C64" s="415">
        <v>21056</v>
      </c>
      <c r="D64" s="415">
        <v>6</v>
      </c>
      <c r="E64" s="416" t="s">
        <v>225</v>
      </c>
      <c r="F64" s="417" t="s">
        <v>226</v>
      </c>
    </row>
    <row r="65" ht="15" spans="1:6">
      <c r="A65" s="406">
        <v>64</v>
      </c>
      <c r="B65" s="418" t="s">
        <v>128</v>
      </c>
      <c r="C65" s="415">
        <v>21067</v>
      </c>
      <c r="D65" s="415">
        <v>16</v>
      </c>
      <c r="E65" s="423" t="s">
        <v>227</v>
      </c>
      <c r="F65" s="424" t="s">
        <v>228</v>
      </c>
    </row>
    <row r="66" ht="14.25" spans="1:6">
      <c r="A66" s="406">
        <v>65</v>
      </c>
      <c r="B66" s="418" t="s">
        <v>128</v>
      </c>
      <c r="C66" s="415">
        <v>21067</v>
      </c>
      <c r="D66" s="415">
        <v>18</v>
      </c>
      <c r="E66" s="416" t="s">
        <v>229</v>
      </c>
      <c r="F66" s="417" t="s">
        <v>230</v>
      </c>
    </row>
    <row r="67" ht="14.25" spans="1:6">
      <c r="A67" s="409">
        <v>66</v>
      </c>
      <c r="B67" s="410" t="s">
        <v>118</v>
      </c>
      <c r="C67" s="411">
        <v>21067</v>
      </c>
      <c r="D67" s="411">
        <v>2</v>
      </c>
      <c r="E67" s="412" t="s">
        <v>231</v>
      </c>
      <c r="F67" s="413" t="s">
        <v>232</v>
      </c>
    </row>
    <row r="68" ht="14.25" spans="1:7">
      <c r="A68" s="431">
        <v>67</v>
      </c>
      <c r="B68" s="418" t="s">
        <v>128</v>
      </c>
      <c r="C68" s="432">
        <v>522111</v>
      </c>
      <c r="D68" s="432">
        <v>18</v>
      </c>
      <c r="E68" s="433" t="s">
        <v>233</v>
      </c>
      <c r="F68" s="434" t="s">
        <v>234</v>
      </c>
      <c r="G68" s="435" t="s">
        <v>235</v>
      </c>
    </row>
    <row r="69" ht="14.25" spans="1:7">
      <c r="A69" s="431">
        <v>68</v>
      </c>
      <c r="B69" s="418" t="s">
        <v>128</v>
      </c>
      <c r="C69" s="432">
        <v>522112</v>
      </c>
      <c r="D69" s="432">
        <v>18</v>
      </c>
      <c r="E69" s="433" t="s">
        <v>236</v>
      </c>
      <c r="F69" s="434" t="s">
        <v>236</v>
      </c>
      <c r="G69" s="435" t="s">
        <v>235</v>
      </c>
    </row>
    <row r="70" ht="14.25" spans="1:7">
      <c r="A70" s="431">
        <v>69</v>
      </c>
      <c r="B70" s="418" t="s">
        <v>128</v>
      </c>
      <c r="C70" s="432">
        <v>522115</v>
      </c>
      <c r="D70" s="432">
        <v>12</v>
      </c>
      <c r="E70" s="433" t="s">
        <v>237</v>
      </c>
      <c r="F70" s="434" t="s">
        <v>237</v>
      </c>
      <c r="G70" s="435" t="s">
        <v>235</v>
      </c>
    </row>
    <row r="71" ht="14.25" spans="1:7">
      <c r="A71" s="431">
        <v>70</v>
      </c>
      <c r="B71" s="418" t="s">
        <v>128</v>
      </c>
      <c r="C71" s="432">
        <v>522116</v>
      </c>
      <c r="D71" s="432">
        <v>12</v>
      </c>
      <c r="E71" s="433" t="s">
        <v>238</v>
      </c>
      <c r="F71" s="434" t="s">
        <v>238</v>
      </c>
      <c r="G71" s="435" t="s">
        <v>235</v>
      </c>
    </row>
    <row r="72" ht="14.25" spans="1:7">
      <c r="A72" s="431">
        <v>71</v>
      </c>
      <c r="B72" s="418" t="s">
        <v>128</v>
      </c>
      <c r="C72" s="432">
        <v>522117</v>
      </c>
      <c r="D72" s="432">
        <v>12</v>
      </c>
      <c r="E72" s="433" t="s">
        <v>239</v>
      </c>
      <c r="F72" s="434" t="s">
        <v>239</v>
      </c>
      <c r="G72" s="435" t="s">
        <v>235</v>
      </c>
    </row>
    <row r="73" ht="14.25" spans="1:7">
      <c r="A73" s="431">
        <v>72</v>
      </c>
      <c r="B73" s="418" t="s">
        <v>128</v>
      </c>
      <c r="C73" s="432">
        <v>522119</v>
      </c>
      <c r="D73" s="432">
        <v>5</v>
      </c>
      <c r="E73" s="433" t="s">
        <v>240</v>
      </c>
      <c r="F73" s="434" t="s">
        <v>240</v>
      </c>
      <c r="G73" s="435" t="s">
        <v>235</v>
      </c>
    </row>
    <row r="74" ht="14.25" spans="1:7">
      <c r="A74" s="431">
        <v>73</v>
      </c>
      <c r="B74" s="418" t="s">
        <v>128</v>
      </c>
      <c r="C74" s="432">
        <v>522119</v>
      </c>
      <c r="D74" s="432">
        <v>4</v>
      </c>
      <c r="E74" s="433" t="s">
        <v>241</v>
      </c>
      <c r="F74" s="434" t="s">
        <v>241</v>
      </c>
      <c r="G74" s="435" t="s">
        <v>235</v>
      </c>
    </row>
    <row r="75" ht="14.25" spans="1:7">
      <c r="A75" s="431">
        <v>74</v>
      </c>
      <c r="B75" s="418" t="s">
        <v>128</v>
      </c>
      <c r="C75" s="432">
        <v>1746</v>
      </c>
      <c r="D75" s="432">
        <v>9</v>
      </c>
      <c r="E75" s="433" t="s">
        <v>242</v>
      </c>
      <c r="F75" s="434" t="s">
        <v>242</v>
      </c>
      <c r="G75" s="435" t="s">
        <v>235</v>
      </c>
    </row>
    <row r="76" ht="14.25" spans="1:7">
      <c r="A76" s="431">
        <v>75</v>
      </c>
      <c r="B76" s="418" t="s">
        <v>128</v>
      </c>
      <c r="C76" s="432">
        <v>1746</v>
      </c>
      <c r="D76" s="432">
        <v>2</v>
      </c>
      <c r="E76" s="433" t="s">
        <v>243</v>
      </c>
      <c r="F76" s="434" t="s">
        <v>243</v>
      </c>
      <c r="G76" s="435" t="s">
        <v>235</v>
      </c>
    </row>
    <row r="77" ht="14.25" spans="1:7">
      <c r="A77" s="431">
        <v>76</v>
      </c>
      <c r="B77" s="418" t="s">
        <v>128</v>
      </c>
      <c r="C77" s="432">
        <v>21068</v>
      </c>
      <c r="D77" s="432">
        <v>2</v>
      </c>
      <c r="E77" s="433" t="s">
        <v>244</v>
      </c>
      <c r="F77" s="434" t="s">
        <v>244</v>
      </c>
      <c r="G77" s="435" t="s">
        <v>235</v>
      </c>
    </row>
    <row r="78" ht="14.25" spans="1:7">
      <c r="A78" s="431">
        <v>77</v>
      </c>
      <c r="B78" s="418" t="s">
        <v>128</v>
      </c>
      <c r="C78" s="432">
        <v>21068</v>
      </c>
      <c r="D78" s="432">
        <v>2</v>
      </c>
      <c r="E78" s="433" t="s">
        <v>245</v>
      </c>
      <c r="F78" s="434" t="s">
        <v>245</v>
      </c>
      <c r="G78" s="435" t="s">
        <v>235</v>
      </c>
    </row>
    <row r="79" ht="14.25" spans="1:7">
      <c r="A79" s="409">
        <v>78</v>
      </c>
      <c r="B79" s="410" t="s">
        <v>118</v>
      </c>
      <c r="C79" s="411">
        <v>522113</v>
      </c>
      <c r="D79" s="411">
        <v>16</v>
      </c>
      <c r="E79" s="412" t="s">
        <v>246</v>
      </c>
      <c r="F79" s="413" t="s">
        <v>246</v>
      </c>
      <c r="G79" s="435" t="s">
        <v>247</v>
      </c>
    </row>
    <row r="80" spans="1:7">
      <c r="A80" s="409">
        <v>79</v>
      </c>
      <c r="B80" s="410" t="s">
        <v>118</v>
      </c>
      <c r="C80" s="411">
        <v>522114</v>
      </c>
      <c r="D80" s="411">
        <v>18</v>
      </c>
      <c r="E80" s="412" t="s">
        <v>248</v>
      </c>
      <c r="F80" s="413" t="s">
        <v>248</v>
      </c>
      <c r="G80" s="435" t="s">
        <v>247</v>
      </c>
    </row>
    <row r="81" ht="14.25" spans="1:7">
      <c r="A81" s="409">
        <v>80</v>
      </c>
      <c r="B81" s="410" t="s">
        <v>118</v>
      </c>
      <c r="C81" s="411">
        <v>522113</v>
      </c>
      <c r="D81" s="411">
        <v>16</v>
      </c>
      <c r="E81" s="412" t="s">
        <v>249</v>
      </c>
      <c r="F81" s="413" t="s">
        <v>249</v>
      </c>
      <c r="G81" s="435" t="s">
        <v>247</v>
      </c>
    </row>
  </sheetData>
  <autoFilter ref="A1:I81">
    <extLst/>
  </autoFilter>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62"/>
  <sheetViews>
    <sheetView zoomScale="130" zoomScaleNormal="130" topLeftCell="A41" workbookViewId="0">
      <selection activeCell="C55" sqref="C55:E62"/>
    </sheetView>
  </sheetViews>
  <sheetFormatPr defaultColWidth="9" defaultRowHeight="13.5" outlineLevelCol="7"/>
  <cols>
    <col min="5" max="5" width="50" style="27" customWidth="1"/>
    <col min="6" max="6" width="12.5" customWidth="1"/>
    <col min="7" max="7" width="23.75" customWidth="1"/>
    <col min="8" max="8" width="10.5" customWidth="1"/>
  </cols>
  <sheetData>
    <row r="1" ht="14.25" spans="1:5">
      <c r="A1" s="2" t="s">
        <v>99</v>
      </c>
      <c r="B1" s="2" t="s">
        <v>113</v>
      </c>
      <c r="C1" s="2" t="s">
        <v>102</v>
      </c>
      <c r="D1" s="3" t="s">
        <v>103</v>
      </c>
      <c r="E1" s="4" t="s">
        <v>250</v>
      </c>
    </row>
    <row r="2" ht="14.25" spans="1:8">
      <c r="A2" s="2">
        <v>1</v>
      </c>
      <c r="B2" s="390" t="s">
        <v>128</v>
      </c>
      <c r="C2" s="2">
        <v>521400</v>
      </c>
      <c r="D2" s="2">
        <v>23</v>
      </c>
      <c r="E2" s="377" t="s">
        <v>251</v>
      </c>
      <c r="G2" s="391" t="s">
        <v>252</v>
      </c>
      <c r="H2" s="391">
        <v>20211230</v>
      </c>
    </row>
    <row r="3" ht="14.25" spans="1:5">
      <c r="A3" s="2">
        <v>2</v>
      </c>
      <c r="B3" s="390" t="s">
        <v>128</v>
      </c>
      <c r="C3" s="2">
        <v>521401</v>
      </c>
      <c r="D3" s="2">
        <v>5</v>
      </c>
      <c r="E3" s="377" t="s">
        <v>253</v>
      </c>
    </row>
    <row r="4" ht="14.25" spans="1:6">
      <c r="A4" s="2">
        <v>3</v>
      </c>
      <c r="B4" s="390" t="s">
        <v>128</v>
      </c>
      <c r="C4" s="99">
        <v>521401</v>
      </c>
      <c r="D4" s="99">
        <v>1</v>
      </c>
      <c r="E4" s="8" t="s">
        <v>254</v>
      </c>
      <c r="F4" t="s">
        <v>255</v>
      </c>
    </row>
    <row r="5" ht="14.25" spans="1:6">
      <c r="A5" s="2">
        <v>4</v>
      </c>
      <c r="B5" s="390" t="s">
        <v>128</v>
      </c>
      <c r="C5" s="99">
        <v>521401</v>
      </c>
      <c r="D5" s="99">
        <v>0</v>
      </c>
      <c r="E5" s="8" t="s">
        <v>256</v>
      </c>
      <c r="F5" t="s">
        <v>255</v>
      </c>
    </row>
    <row r="6" ht="14.25" spans="1:6">
      <c r="A6" s="2">
        <v>5</v>
      </c>
      <c r="B6" s="390" t="s">
        <v>128</v>
      </c>
      <c r="C6" s="99">
        <v>521401</v>
      </c>
      <c r="D6" s="99">
        <v>25</v>
      </c>
      <c r="E6" s="8" t="s">
        <v>257</v>
      </c>
      <c r="F6" t="s">
        <v>255</v>
      </c>
    </row>
    <row r="7" ht="14.25" spans="1:6">
      <c r="A7" s="2">
        <v>6</v>
      </c>
      <c r="B7" s="390" t="s">
        <v>128</v>
      </c>
      <c r="C7" s="99">
        <v>521401</v>
      </c>
      <c r="D7" s="99">
        <v>20</v>
      </c>
      <c r="E7" s="8" t="s">
        <v>258</v>
      </c>
      <c r="F7" t="s">
        <v>255</v>
      </c>
    </row>
    <row r="8" ht="14.25" spans="1:6">
      <c r="A8" s="2">
        <v>7</v>
      </c>
      <c r="B8" s="390" t="s">
        <v>128</v>
      </c>
      <c r="C8" s="2">
        <v>521401</v>
      </c>
      <c r="D8" s="2">
        <v>12</v>
      </c>
      <c r="E8" s="377" t="s">
        <v>259</v>
      </c>
      <c r="F8" t="s">
        <v>255</v>
      </c>
    </row>
    <row r="9" ht="14.25" spans="1:6">
      <c r="A9" s="2">
        <v>8</v>
      </c>
      <c r="B9" s="390" t="s">
        <v>128</v>
      </c>
      <c r="C9" s="99">
        <v>521401</v>
      </c>
      <c r="D9" s="99">
        <v>19</v>
      </c>
      <c r="E9" s="8" t="s">
        <v>260</v>
      </c>
      <c r="F9" t="s">
        <v>255</v>
      </c>
    </row>
    <row r="10" ht="14.25" spans="1:6">
      <c r="A10" s="379">
        <v>9</v>
      </c>
      <c r="B10" s="392" t="s">
        <v>118</v>
      </c>
      <c r="C10" s="379">
        <v>521401</v>
      </c>
      <c r="D10" s="379">
        <v>16</v>
      </c>
      <c r="E10" s="381" t="s">
        <v>261</v>
      </c>
      <c r="F10" t="s">
        <v>255</v>
      </c>
    </row>
    <row r="11" ht="14.25" spans="1:6">
      <c r="A11" s="379">
        <v>10</v>
      </c>
      <c r="B11" s="392" t="s">
        <v>118</v>
      </c>
      <c r="C11" s="379">
        <v>521401</v>
      </c>
      <c r="D11" s="379">
        <v>6</v>
      </c>
      <c r="E11" s="381" t="s">
        <v>262</v>
      </c>
      <c r="F11" t="s">
        <v>255</v>
      </c>
    </row>
    <row r="12" ht="14.25" spans="1:6">
      <c r="A12" s="379">
        <v>11</v>
      </c>
      <c r="B12" s="392" t="s">
        <v>118</v>
      </c>
      <c r="C12" s="379">
        <v>521401</v>
      </c>
      <c r="D12" s="379">
        <v>3</v>
      </c>
      <c r="E12" s="381" t="s">
        <v>263</v>
      </c>
      <c r="F12" t="s">
        <v>255</v>
      </c>
    </row>
    <row r="13" ht="14.25" spans="1:6">
      <c r="A13" s="379">
        <v>12</v>
      </c>
      <c r="B13" s="392" t="s">
        <v>118</v>
      </c>
      <c r="C13" s="379">
        <v>521401</v>
      </c>
      <c r="D13" s="379">
        <v>4</v>
      </c>
      <c r="E13" s="381" t="s">
        <v>264</v>
      </c>
      <c r="F13" t="s">
        <v>255</v>
      </c>
    </row>
    <row r="14" ht="14.25" spans="1:6">
      <c r="A14" s="379">
        <v>13</v>
      </c>
      <c r="B14" s="392" t="s">
        <v>118</v>
      </c>
      <c r="C14" s="379">
        <v>521401</v>
      </c>
      <c r="D14" s="379">
        <v>26</v>
      </c>
      <c r="E14" s="381" t="s">
        <v>265</v>
      </c>
      <c r="F14" t="s">
        <v>255</v>
      </c>
    </row>
    <row r="15" ht="14.25" spans="1:6">
      <c r="A15" s="2">
        <v>14</v>
      </c>
      <c r="B15" s="390" t="s">
        <v>128</v>
      </c>
      <c r="C15" s="99">
        <v>521401</v>
      </c>
      <c r="D15" s="99">
        <v>21</v>
      </c>
      <c r="E15" s="8" t="s">
        <v>266</v>
      </c>
      <c r="F15" t="s">
        <v>255</v>
      </c>
    </row>
    <row r="16" ht="14.25" spans="1:6">
      <c r="A16" s="2">
        <v>15</v>
      </c>
      <c r="B16" s="390" t="s">
        <v>128</v>
      </c>
      <c r="C16" s="99">
        <v>521401</v>
      </c>
      <c r="D16" s="99">
        <v>22</v>
      </c>
      <c r="E16" s="8" t="s">
        <v>267</v>
      </c>
      <c r="F16" t="s">
        <v>255</v>
      </c>
    </row>
    <row r="17" ht="14.25" spans="1:6">
      <c r="A17" s="2">
        <v>16</v>
      </c>
      <c r="B17" s="390" t="s">
        <v>128</v>
      </c>
      <c r="C17" s="2">
        <v>521402</v>
      </c>
      <c r="D17" s="2">
        <v>12</v>
      </c>
      <c r="E17" s="377" t="s">
        <v>268</v>
      </c>
      <c r="F17" t="s">
        <v>255</v>
      </c>
    </row>
    <row r="18" ht="14.25" spans="1:6">
      <c r="A18" s="379">
        <v>17</v>
      </c>
      <c r="B18" s="392" t="s">
        <v>118</v>
      </c>
      <c r="C18" s="379">
        <v>521402</v>
      </c>
      <c r="D18" s="379">
        <v>6</v>
      </c>
      <c r="E18" s="381" t="s">
        <v>269</v>
      </c>
      <c r="F18" t="s">
        <v>255</v>
      </c>
    </row>
    <row r="19" ht="14.25" spans="1:6">
      <c r="A19" s="379">
        <v>18</v>
      </c>
      <c r="B19" s="392" t="s">
        <v>118</v>
      </c>
      <c r="C19" s="379">
        <v>521402</v>
      </c>
      <c r="D19" s="379">
        <v>3</v>
      </c>
      <c r="E19" s="381" t="s">
        <v>270</v>
      </c>
      <c r="F19" t="s">
        <v>255</v>
      </c>
    </row>
    <row r="20" ht="14.25" spans="1:6">
      <c r="A20" s="379">
        <v>19</v>
      </c>
      <c r="B20" s="392" t="s">
        <v>118</v>
      </c>
      <c r="C20" s="379">
        <v>521402</v>
      </c>
      <c r="D20" s="379">
        <v>4</v>
      </c>
      <c r="E20" s="381" t="s">
        <v>271</v>
      </c>
      <c r="F20" t="s">
        <v>255</v>
      </c>
    </row>
    <row r="21" ht="14.25" spans="1:6">
      <c r="A21" s="2">
        <v>20</v>
      </c>
      <c r="B21" s="390" t="s">
        <v>128</v>
      </c>
      <c r="C21" s="99">
        <v>521402</v>
      </c>
      <c r="D21" s="99">
        <v>19</v>
      </c>
      <c r="E21" s="8" t="s">
        <v>272</v>
      </c>
      <c r="F21" t="s">
        <v>255</v>
      </c>
    </row>
    <row r="22" ht="14.25" spans="1:6">
      <c r="A22" s="379">
        <v>21</v>
      </c>
      <c r="B22" s="392" t="s">
        <v>118</v>
      </c>
      <c r="C22" s="379">
        <v>521402</v>
      </c>
      <c r="D22" s="379">
        <v>16</v>
      </c>
      <c r="E22" s="381" t="s">
        <v>273</v>
      </c>
      <c r="F22" t="s">
        <v>255</v>
      </c>
    </row>
    <row r="23" ht="14.25" spans="1:6">
      <c r="A23" s="379">
        <v>22</v>
      </c>
      <c r="B23" s="392" t="s">
        <v>118</v>
      </c>
      <c r="C23" s="379">
        <v>521402</v>
      </c>
      <c r="D23" s="379">
        <v>20</v>
      </c>
      <c r="E23" s="381" t="s">
        <v>274</v>
      </c>
      <c r="F23" t="s">
        <v>255</v>
      </c>
    </row>
    <row r="24" ht="14.25" spans="1:6">
      <c r="A24" s="379">
        <v>23</v>
      </c>
      <c r="B24" s="392" t="s">
        <v>118</v>
      </c>
      <c r="C24" s="379">
        <v>521402</v>
      </c>
      <c r="D24" s="379">
        <v>15</v>
      </c>
      <c r="E24" s="381" t="s">
        <v>275</v>
      </c>
      <c r="F24" t="s">
        <v>255</v>
      </c>
    </row>
    <row r="25" ht="14.25" spans="1:6">
      <c r="A25" s="2">
        <v>24</v>
      </c>
      <c r="B25" s="390" t="s">
        <v>128</v>
      </c>
      <c r="C25" s="99">
        <v>521402</v>
      </c>
      <c r="D25" s="99">
        <v>10</v>
      </c>
      <c r="E25" s="8" t="s">
        <v>276</v>
      </c>
      <c r="F25" t="s">
        <v>255</v>
      </c>
    </row>
    <row r="26" ht="14.25" spans="1:5">
      <c r="A26" s="2">
        <v>25</v>
      </c>
      <c r="B26" s="390" t="s">
        <v>128</v>
      </c>
      <c r="C26" s="2">
        <v>521403</v>
      </c>
      <c r="D26" s="2">
        <v>12</v>
      </c>
      <c r="E26" s="377" t="s">
        <v>277</v>
      </c>
    </row>
    <row r="27" ht="14.25" spans="1:5">
      <c r="A27" s="2">
        <v>26</v>
      </c>
      <c r="B27" s="390" t="s">
        <v>128</v>
      </c>
      <c r="C27" s="2">
        <v>521404</v>
      </c>
      <c r="D27" s="2">
        <v>12</v>
      </c>
      <c r="E27" s="377" t="s">
        <v>278</v>
      </c>
    </row>
    <row r="28" ht="14.25" spans="1:5">
      <c r="A28" s="2">
        <v>27</v>
      </c>
      <c r="B28" s="390" t="s">
        <v>128</v>
      </c>
      <c r="C28" s="2">
        <v>521405</v>
      </c>
      <c r="D28" s="2">
        <v>12</v>
      </c>
      <c r="E28" s="377" t="s">
        <v>279</v>
      </c>
    </row>
    <row r="29" ht="14.25" spans="1:7">
      <c r="A29" s="2">
        <v>28</v>
      </c>
      <c r="B29" s="390" t="s">
        <v>128</v>
      </c>
      <c r="C29" s="99">
        <v>521406</v>
      </c>
      <c r="D29" s="99">
        <v>12</v>
      </c>
      <c r="E29" s="8" t="s">
        <v>280</v>
      </c>
      <c r="F29" t="s">
        <v>281</v>
      </c>
      <c r="G29" t="s">
        <v>282</v>
      </c>
    </row>
    <row r="30" ht="14.25" spans="1:5">
      <c r="A30" s="2">
        <v>29</v>
      </c>
      <c r="B30" s="390" t="s">
        <v>128</v>
      </c>
      <c r="C30" s="374">
        <v>521407</v>
      </c>
      <c r="D30" s="374">
        <v>12</v>
      </c>
      <c r="E30" s="4" t="s">
        <v>283</v>
      </c>
    </row>
    <row r="31" ht="14.25" spans="1:5">
      <c r="A31" s="2">
        <v>30</v>
      </c>
      <c r="B31" s="2"/>
      <c r="C31" s="393">
        <v>521408</v>
      </c>
      <c r="D31" s="393"/>
      <c r="E31" s="394" t="s">
        <v>284</v>
      </c>
    </row>
    <row r="32" ht="14.25" spans="1:6">
      <c r="A32" s="379">
        <v>31</v>
      </c>
      <c r="B32" s="392" t="s">
        <v>118</v>
      </c>
      <c r="C32" s="395">
        <v>521408</v>
      </c>
      <c r="D32" s="395">
        <v>18</v>
      </c>
      <c r="E32" s="396" t="s">
        <v>285</v>
      </c>
      <c r="F32" t="s">
        <v>255</v>
      </c>
    </row>
    <row r="33" ht="14.25" spans="1:6">
      <c r="A33" s="379">
        <v>32</v>
      </c>
      <c r="B33" s="392" t="s">
        <v>118</v>
      </c>
      <c r="C33" s="395">
        <v>521408</v>
      </c>
      <c r="D33" s="395">
        <v>28</v>
      </c>
      <c r="E33" s="396" t="s">
        <v>286</v>
      </c>
      <c r="F33" t="s">
        <v>255</v>
      </c>
    </row>
    <row r="34" ht="14.25" spans="1:5">
      <c r="A34" s="2">
        <v>33</v>
      </c>
      <c r="B34" s="390" t="s">
        <v>128</v>
      </c>
      <c r="C34" s="374">
        <v>521409</v>
      </c>
      <c r="D34" s="374">
        <v>12</v>
      </c>
      <c r="E34" s="4" t="s">
        <v>287</v>
      </c>
    </row>
    <row r="35" ht="14.25" spans="1:5">
      <c r="A35" s="379">
        <v>34</v>
      </c>
      <c r="B35" s="392" t="s">
        <v>118</v>
      </c>
      <c r="C35" s="395">
        <v>521409</v>
      </c>
      <c r="D35" s="395">
        <v>6</v>
      </c>
      <c r="E35" s="396" t="s">
        <v>288</v>
      </c>
    </row>
    <row r="36" ht="14.25" spans="1:5">
      <c r="A36" s="379">
        <v>35</v>
      </c>
      <c r="B36" s="392" t="s">
        <v>118</v>
      </c>
      <c r="C36" s="395">
        <v>521409</v>
      </c>
      <c r="D36" s="395">
        <v>3</v>
      </c>
      <c r="E36" s="396" t="s">
        <v>289</v>
      </c>
    </row>
    <row r="37" ht="14.25" spans="1:5">
      <c r="A37" s="379">
        <v>36</v>
      </c>
      <c r="B37" s="392" t="s">
        <v>118</v>
      </c>
      <c r="C37" s="395">
        <v>521409</v>
      </c>
      <c r="D37" s="395">
        <v>4</v>
      </c>
      <c r="E37" s="396" t="s">
        <v>290</v>
      </c>
    </row>
    <row r="38" ht="14.25" spans="1:5">
      <c r="A38" s="379">
        <v>37</v>
      </c>
      <c r="B38" s="392" t="s">
        <v>118</v>
      </c>
      <c r="C38" s="395">
        <v>521409</v>
      </c>
      <c r="D38" s="395">
        <v>16</v>
      </c>
      <c r="E38" s="396" t="s">
        <v>291</v>
      </c>
    </row>
    <row r="39" ht="14.25" spans="1:5">
      <c r="A39" s="2">
        <v>38</v>
      </c>
      <c r="B39" s="390" t="s">
        <v>128</v>
      </c>
      <c r="C39" s="397">
        <v>521409</v>
      </c>
      <c r="D39" s="397">
        <v>21</v>
      </c>
      <c r="E39" s="398" t="s">
        <v>292</v>
      </c>
    </row>
    <row r="40" ht="14.25" spans="1:5">
      <c r="A40" s="2">
        <v>39</v>
      </c>
      <c r="B40" s="390" t="s">
        <v>128</v>
      </c>
      <c r="C40" s="397">
        <v>521409</v>
      </c>
      <c r="D40" s="397">
        <v>22</v>
      </c>
      <c r="E40" s="398" t="s">
        <v>293</v>
      </c>
    </row>
    <row r="41" ht="14.25" spans="1:5">
      <c r="A41" s="2">
        <v>40</v>
      </c>
      <c r="B41" s="390" t="s">
        <v>128</v>
      </c>
      <c r="C41" s="2">
        <v>521410</v>
      </c>
      <c r="D41" s="2">
        <v>12</v>
      </c>
      <c r="E41" s="4" t="s">
        <v>294</v>
      </c>
    </row>
    <row r="42" ht="14.25" spans="1:6">
      <c r="A42" s="2">
        <v>41</v>
      </c>
      <c r="B42" s="2"/>
      <c r="C42" s="399">
        <v>521411</v>
      </c>
      <c r="D42" s="399">
        <v>12</v>
      </c>
      <c r="E42" s="400" t="s">
        <v>295</v>
      </c>
      <c r="F42" t="s">
        <v>281</v>
      </c>
    </row>
    <row r="43" ht="14.25" spans="1:5">
      <c r="A43" s="2">
        <v>42</v>
      </c>
      <c r="B43" s="390" t="s">
        <v>128</v>
      </c>
      <c r="C43" s="2">
        <v>521412</v>
      </c>
      <c r="D43" s="2">
        <v>0</v>
      </c>
      <c r="E43" s="4" t="s">
        <v>296</v>
      </c>
    </row>
    <row r="44" ht="14.25" spans="1:6">
      <c r="A44" s="2">
        <v>43</v>
      </c>
      <c r="B44" s="390" t="s">
        <v>128</v>
      </c>
      <c r="C44" s="2">
        <v>521413</v>
      </c>
      <c r="D44" s="2">
        <v>0</v>
      </c>
      <c r="E44" s="398" t="s">
        <v>297</v>
      </c>
      <c r="F44" t="s">
        <v>298</v>
      </c>
    </row>
    <row r="45" ht="14.25" spans="1:5">
      <c r="A45" s="2">
        <v>44</v>
      </c>
      <c r="B45" s="390" t="s">
        <v>128</v>
      </c>
      <c r="C45" s="2">
        <v>521414</v>
      </c>
      <c r="D45" s="2">
        <v>0</v>
      </c>
      <c r="E45" s="4" t="s">
        <v>299</v>
      </c>
    </row>
    <row r="46" ht="14.25" spans="1:5">
      <c r="A46" s="2">
        <v>45</v>
      </c>
      <c r="B46" s="390" t="s">
        <v>128</v>
      </c>
      <c r="C46" s="2">
        <v>521415</v>
      </c>
      <c r="D46" s="2">
        <v>0</v>
      </c>
      <c r="E46" s="4" t="s">
        <v>300</v>
      </c>
    </row>
    <row r="47" ht="14.25" spans="1:5">
      <c r="A47" s="379">
        <v>46</v>
      </c>
      <c r="B47" s="392" t="s">
        <v>118</v>
      </c>
      <c r="C47" s="379">
        <v>521415</v>
      </c>
      <c r="D47" s="379">
        <v>1</v>
      </c>
      <c r="E47" s="396" t="s">
        <v>301</v>
      </c>
    </row>
    <row r="48" ht="14.25" spans="1:5">
      <c r="A48" s="2">
        <v>47</v>
      </c>
      <c r="B48" s="390" t="s">
        <v>128</v>
      </c>
      <c r="C48" s="2">
        <v>521415</v>
      </c>
      <c r="D48" s="2">
        <v>23</v>
      </c>
      <c r="E48" s="4" t="s">
        <v>302</v>
      </c>
    </row>
    <row r="49" ht="14.25" spans="1:5">
      <c r="A49" s="2">
        <v>48</v>
      </c>
      <c r="B49" s="390" t="s">
        <v>128</v>
      </c>
      <c r="C49" s="2">
        <v>521416</v>
      </c>
      <c r="D49" s="2">
        <v>0</v>
      </c>
      <c r="E49" s="4" t="s">
        <v>303</v>
      </c>
    </row>
    <row r="50" ht="14.25" spans="1:5">
      <c r="A50" s="379">
        <v>49</v>
      </c>
      <c r="B50" s="392" t="s">
        <v>118</v>
      </c>
      <c r="C50" s="379">
        <v>521416</v>
      </c>
      <c r="D50" s="379">
        <v>1</v>
      </c>
      <c r="E50" s="381" t="s">
        <v>304</v>
      </c>
    </row>
    <row r="51" ht="14.25" spans="1:5">
      <c r="A51" s="2">
        <v>50</v>
      </c>
      <c r="B51" s="390" t="s">
        <v>128</v>
      </c>
      <c r="C51" s="2">
        <v>521416</v>
      </c>
      <c r="D51" s="2">
        <v>23</v>
      </c>
      <c r="E51" s="377" t="s">
        <v>305</v>
      </c>
    </row>
    <row r="52" ht="14.25" spans="1:5">
      <c r="A52" s="2">
        <v>51</v>
      </c>
      <c r="B52" s="390" t="s">
        <v>128</v>
      </c>
      <c r="C52" s="2">
        <v>521417</v>
      </c>
      <c r="D52" s="2">
        <v>1</v>
      </c>
      <c r="E52" s="377" t="s">
        <v>306</v>
      </c>
    </row>
    <row r="53" ht="14.25" spans="1:5">
      <c r="A53" s="2">
        <v>52</v>
      </c>
      <c r="B53" s="390" t="s">
        <v>128</v>
      </c>
      <c r="C53" s="2">
        <v>521418</v>
      </c>
      <c r="D53" s="2">
        <v>0</v>
      </c>
      <c r="E53" s="377" t="s">
        <v>307</v>
      </c>
    </row>
    <row r="54" spans="1:5">
      <c r="A54" s="2">
        <v>53</v>
      </c>
      <c r="B54" s="390" t="s">
        <v>128</v>
      </c>
      <c r="C54" s="2">
        <v>521419</v>
      </c>
      <c r="D54" s="2">
        <v>12</v>
      </c>
      <c r="E54" s="377" t="s">
        <v>308</v>
      </c>
    </row>
    <row r="55" ht="14.25" spans="1:6">
      <c r="A55" s="401">
        <v>54</v>
      </c>
      <c r="B55" s="390" t="s">
        <v>128</v>
      </c>
      <c r="C55" s="401">
        <v>521414</v>
      </c>
      <c r="D55" s="401">
        <v>19</v>
      </c>
      <c r="E55" s="385" t="s">
        <v>309</v>
      </c>
      <c r="F55" t="s">
        <v>235</v>
      </c>
    </row>
    <row r="56" ht="14.25" spans="1:6">
      <c r="A56" s="401">
        <v>55</v>
      </c>
      <c r="B56" s="390" t="s">
        <v>128</v>
      </c>
      <c r="C56" s="401">
        <v>521414</v>
      </c>
      <c r="D56" s="401">
        <v>6</v>
      </c>
      <c r="E56" s="385" t="s">
        <v>310</v>
      </c>
      <c r="F56" t="s">
        <v>235</v>
      </c>
    </row>
    <row r="57" ht="14.25" spans="1:6">
      <c r="A57" s="401">
        <v>56</v>
      </c>
      <c r="B57" s="390" t="s">
        <v>128</v>
      </c>
      <c r="C57" s="401">
        <v>521414</v>
      </c>
      <c r="D57" s="401">
        <v>3</v>
      </c>
      <c r="E57" s="385" t="s">
        <v>311</v>
      </c>
      <c r="F57" t="s">
        <v>235</v>
      </c>
    </row>
    <row r="58" ht="14.25" spans="1:6">
      <c r="A58" s="401">
        <v>57</v>
      </c>
      <c r="B58" s="390" t="s">
        <v>128</v>
      </c>
      <c r="C58" s="401">
        <v>521414</v>
      </c>
      <c r="D58" s="401">
        <v>4</v>
      </c>
      <c r="E58" s="385" t="s">
        <v>312</v>
      </c>
      <c r="F58" t="s">
        <v>235</v>
      </c>
    </row>
    <row r="59" ht="14.25" spans="1:6">
      <c r="A59" s="401">
        <v>58</v>
      </c>
      <c r="B59" s="390" t="s">
        <v>128</v>
      </c>
      <c r="C59" s="401">
        <v>521414</v>
      </c>
      <c r="D59" s="401">
        <v>16</v>
      </c>
      <c r="E59" s="385" t="s">
        <v>313</v>
      </c>
      <c r="F59" t="s">
        <v>235</v>
      </c>
    </row>
    <row r="60" ht="14.25" spans="1:6">
      <c r="A60" s="401">
        <v>59</v>
      </c>
      <c r="B60" s="390" t="s">
        <v>128</v>
      </c>
      <c r="C60" s="401">
        <v>521414</v>
      </c>
      <c r="D60" s="401">
        <v>18</v>
      </c>
      <c r="E60" s="385" t="s">
        <v>314</v>
      </c>
      <c r="F60" t="s">
        <v>235</v>
      </c>
    </row>
    <row r="61" ht="14.25" spans="1:6">
      <c r="A61" s="401">
        <v>60</v>
      </c>
      <c r="B61" s="390" t="s">
        <v>128</v>
      </c>
      <c r="C61" s="401">
        <v>521414</v>
      </c>
      <c r="D61" s="401">
        <v>23</v>
      </c>
      <c r="E61" s="385" t="s">
        <v>315</v>
      </c>
      <c r="F61" t="s">
        <v>235</v>
      </c>
    </row>
    <row r="62" ht="14.25" spans="1:6">
      <c r="A62" s="401">
        <v>61</v>
      </c>
      <c r="B62" s="390" t="s">
        <v>128</v>
      </c>
      <c r="C62" s="401">
        <v>521414</v>
      </c>
      <c r="D62" s="401">
        <v>24</v>
      </c>
      <c r="E62" s="385" t="s">
        <v>316</v>
      </c>
      <c r="F62" t="s">
        <v>235</v>
      </c>
    </row>
  </sheetData>
  <autoFilter ref="A1:H62">
    <extLst/>
  </autoFilter>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F13"/>
  <sheetViews>
    <sheetView workbookViewId="0">
      <selection activeCell="E26" sqref="E26"/>
    </sheetView>
  </sheetViews>
  <sheetFormatPr defaultColWidth="9" defaultRowHeight="13.5" outlineLevelCol="5"/>
  <cols>
    <col min="2" max="2" width="18" customWidth="1"/>
    <col min="5" max="5" width="48.75" customWidth="1"/>
    <col min="6" max="6" width="38.5" customWidth="1"/>
  </cols>
  <sheetData>
    <row r="2" spans="1:5">
      <c r="A2" s="2" t="s">
        <v>99</v>
      </c>
      <c r="B2" s="2" t="s">
        <v>101</v>
      </c>
      <c r="C2" s="2" t="s">
        <v>102</v>
      </c>
      <c r="D2" s="3" t="s">
        <v>103</v>
      </c>
      <c r="E2" s="374" t="s">
        <v>250</v>
      </c>
    </row>
    <row r="3" ht="16.15" customHeight="1" spans="1:6">
      <c r="A3" s="2">
        <v>1</v>
      </c>
      <c r="B3" s="377" t="s">
        <v>317</v>
      </c>
      <c r="C3" s="2">
        <v>521950</v>
      </c>
      <c r="D3" s="2">
        <v>0</v>
      </c>
      <c r="E3" s="377" t="str">
        <f>"LSCU"&amp;":"&amp;B3&amp;"("&amp;C3&amp;","&amp;D3&amp;")"</f>
        <v>LSCU:输入欠压(521950,0)</v>
      </c>
      <c r="F3" t="s">
        <v>318</v>
      </c>
    </row>
    <row r="4" ht="16.15" customHeight="1" spans="1:6">
      <c r="A4" s="2">
        <v>2</v>
      </c>
      <c r="B4" s="377" t="s">
        <v>319</v>
      </c>
      <c r="C4" s="2">
        <v>521951</v>
      </c>
      <c r="D4" s="2">
        <v>0</v>
      </c>
      <c r="E4" s="377" t="str">
        <f>"LSCU"&amp;":"&amp;B4&amp;"("&amp;C4&amp;","&amp;D4&amp;")"</f>
        <v>LSCU:输入过压(521951,0)</v>
      </c>
      <c r="F4" t="s">
        <v>318</v>
      </c>
    </row>
    <row r="5" ht="16.15" customHeight="1" spans="1:6">
      <c r="A5" s="2">
        <v>3</v>
      </c>
      <c r="B5" s="377" t="s">
        <v>320</v>
      </c>
      <c r="C5" s="2">
        <v>521952</v>
      </c>
      <c r="D5" s="2">
        <v>12</v>
      </c>
      <c r="E5" s="377" t="str">
        <f>"LSCU"&amp;":"&amp;B5&amp;"("&amp;C5&amp;","&amp;D5&amp;")"</f>
        <v>LSCU:EEPROM故障(521952,12)</v>
      </c>
      <c r="F5" t="s">
        <v>318</v>
      </c>
    </row>
    <row r="6" ht="16.15" customHeight="1" spans="1:6">
      <c r="A6" s="2">
        <v>4</v>
      </c>
      <c r="B6" s="377" t="s">
        <v>321</v>
      </c>
      <c r="C6" s="2">
        <v>521953</v>
      </c>
      <c r="D6" s="2">
        <v>0</v>
      </c>
      <c r="E6" s="377" t="str">
        <f t="shared" ref="E6:E13" si="0">"LSCU"&amp;":"&amp;B6&amp;"("&amp;C6&amp;","&amp;D6&amp;")"</f>
        <v>LSCU:过流故障(521953,0)</v>
      </c>
      <c r="F6" t="s">
        <v>318</v>
      </c>
    </row>
    <row r="7" ht="16.15" customHeight="1" spans="1:6">
      <c r="A7" s="2">
        <v>5</v>
      </c>
      <c r="B7" s="377" t="s">
        <v>322</v>
      </c>
      <c r="C7" s="2">
        <v>521954</v>
      </c>
      <c r="D7" s="2">
        <v>0</v>
      </c>
      <c r="E7" s="377" t="str">
        <f t="shared" si="0"/>
        <v>LSCU:过温故障(521954,0)</v>
      </c>
      <c r="F7" t="s">
        <v>318</v>
      </c>
    </row>
    <row r="8" ht="16.15" customHeight="1" spans="1:6">
      <c r="A8" s="2">
        <v>6</v>
      </c>
      <c r="B8" s="377" t="s">
        <v>323</v>
      </c>
      <c r="C8" s="2">
        <v>521955</v>
      </c>
      <c r="D8" s="2">
        <v>0</v>
      </c>
      <c r="E8" s="377" t="str">
        <f t="shared" si="0"/>
        <v>LSCU:过载故障(521955,0)</v>
      </c>
      <c r="F8" t="s">
        <v>318</v>
      </c>
    </row>
    <row r="9" ht="16.15" customHeight="1" spans="1:6">
      <c r="A9" s="2">
        <v>7</v>
      </c>
      <c r="B9" s="377" t="s">
        <v>324</v>
      </c>
      <c r="C9" s="2">
        <v>521956</v>
      </c>
      <c r="D9" s="2">
        <v>8</v>
      </c>
      <c r="E9" s="377" t="str">
        <f t="shared" si="0"/>
        <v>LSCU:输出缺相(521956,8)</v>
      </c>
      <c r="F9" t="s">
        <v>318</v>
      </c>
    </row>
    <row r="10" ht="16.15" customHeight="1" spans="1:6">
      <c r="A10" s="2">
        <v>8</v>
      </c>
      <c r="B10" s="377" t="s">
        <v>325</v>
      </c>
      <c r="C10" s="2">
        <v>521957</v>
      </c>
      <c r="D10" s="2">
        <v>23</v>
      </c>
      <c r="E10" s="377" t="str">
        <f t="shared" si="0"/>
        <v>LSCU:CAN通讯中断故障(521957,23)</v>
      </c>
      <c r="F10" t="s">
        <v>318</v>
      </c>
    </row>
    <row r="11" ht="16.15" customHeight="1" spans="1:6">
      <c r="A11" s="2">
        <v>9</v>
      </c>
      <c r="B11" s="377" t="s">
        <v>326</v>
      </c>
      <c r="C11" s="374">
        <v>521957</v>
      </c>
      <c r="D11" s="374">
        <v>2</v>
      </c>
      <c r="E11" s="377" t="str">
        <f t="shared" si="0"/>
        <v>LSCU:CAN通讯超时故障(521957,2)</v>
      </c>
      <c r="F11" t="s">
        <v>318</v>
      </c>
    </row>
    <row r="12" ht="16.15" customHeight="1" spans="1:6">
      <c r="A12" s="2">
        <v>10</v>
      </c>
      <c r="B12" s="377" t="s">
        <v>327</v>
      </c>
      <c r="C12" s="374">
        <v>521958</v>
      </c>
      <c r="D12" s="374">
        <v>0</v>
      </c>
      <c r="E12" s="377" t="str">
        <f t="shared" si="0"/>
        <v>LSCU:电机过载故障(521958,0)</v>
      </c>
      <c r="F12" t="s">
        <v>318</v>
      </c>
    </row>
    <row r="13" ht="16.15" customHeight="1" spans="1:6">
      <c r="A13" s="2">
        <v>11</v>
      </c>
      <c r="B13" s="377" t="s">
        <v>328</v>
      </c>
      <c r="C13" s="374">
        <v>521959</v>
      </c>
      <c r="D13" s="374">
        <v>0</v>
      </c>
      <c r="E13" s="377" t="str">
        <f t="shared" si="0"/>
        <v>LSCU:电机过温故障(521959,0)</v>
      </c>
      <c r="F13" t="s">
        <v>318</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28"/>
  <sheetViews>
    <sheetView workbookViewId="0">
      <selection activeCell="D7" sqref="D7:E8"/>
    </sheetView>
  </sheetViews>
  <sheetFormatPr defaultColWidth="9" defaultRowHeight="13.5" outlineLevelCol="6"/>
  <cols>
    <col min="1" max="1" width="5.25" customWidth="1"/>
    <col min="2" max="2" width="9" customWidth="1"/>
    <col min="3" max="3" width="23.625" style="27" customWidth="1"/>
    <col min="4" max="4" width="9.5" style="76" customWidth="1"/>
    <col min="5" max="5" width="11.375" style="76" customWidth="1"/>
    <col min="6" max="6" width="41.375" customWidth="1"/>
    <col min="7" max="7" width="23.75" customWidth="1"/>
  </cols>
  <sheetData>
    <row r="1" ht="16.9" customHeight="1"/>
    <row r="2" s="76" customFormat="1" ht="18.6" customHeight="1" spans="1:6">
      <c r="A2" s="2" t="s">
        <v>99</v>
      </c>
      <c r="B2" s="2" t="s">
        <v>113</v>
      </c>
      <c r="C2" s="2" t="s">
        <v>101</v>
      </c>
      <c r="D2" s="2" t="s">
        <v>102</v>
      </c>
      <c r="E2" s="3" t="s">
        <v>103</v>
      </c>
      <c r="F2" s="374" t="s">
        <v>250</v>
      </c>
    </row>
    <row r="3" ht="18.6" customHeight="1" spans="1:6">
      <c r="A3" s="2">
        <v>1</v>
      </c>
      <c r="B3" s="375" t="s">
        <v>120</v>
      </c>
      <c r="C3" s="376" t="s">
        <v>329</v>
      </c>
      <c r="D3" s="2">
        <v>521900</v>
      </c>
      <c r="E3" s="2">
        <v>0</v>
      </c>
      <c r="F3" s="377" t="str">
        <f>"HSCU"&amp;":"&amp;C3&amp;"("&amp;D3&amp;","&amp;E3&amp;")"</f>
        <v>HSCU:输入欠压 (521900,0)</v>
      </c>
    </row>
    <row r="4" ht="18.6" customHeight="1" spans="1:6">
      <c r="A4" s="2">
        <v>2</v>
      </c>
      <c r="B4" s="375" t="s">
        <v>120</v>
      </c>
      <c r="C4" s="376" t="s">
        <v>330</v>
      </c>
      <c r="D4" s="2">
        <v>521901</v>
      </c>
      <c r="E4" s="2">
        <v>0</v>
      </c>
      <c r="F4" s="377" t="str">
        <f t="shared" ref="F4:F27" si="0">"HSCU"&amp;":"&amp;C4&amp;"("&amp;D4&amp;","&amp;E4&amp;")"</f>
        <v>HSCU:输入过压 (521901,0)</v>
      </c>
    </row>
    <row r="5" ht="18.6" customHeight="1" spans="1:6">
      <c r="A5" s="2">
        <v>3</v>
      </c>
      <c r="B5" s="375" t="s">
        <v>120</v>
      </c>
      <c r="C5" s="378" t="s">
        <v>331</v>
      </c>
      <c r="D5" s="2">
        <v>521902</v>
      </c>
      <c r="E5" s="2">
        <v>12</v>
      </c>
      <c r="F5" s="377" t="str">
        <f t="shared" si="0"/>
        <v>HSCU:EEPROM故障 (521902,12)</v>
      </c>
    </row>
    <row r="6" ht="18.6" customHeight="1" spans="1:6">
      <c r="A6" s="2">
        <v>4</v>
      </c>
      <c r="B6" s="375" t="s">
        <v>120</v>
      </c>
      <c r="C6" s="376" t="s">
        <v>332</v>
      </c>
      <c r="D6" s="2">
        <v>521903</v>
      </c>
      <c r="E6" s="2">
        <v>0</v>
      </c>
      <c r="F6" s="377" t="str">
        <f t="shared" si="0"/>
        <v>HSCU:过流故障 (521903,0)</v>
      </c>
    </row>
    <row r="7" ht="18.6" customHeight="1" spans="1:6">
      <c r="A7" s="379">
        <v>5</v>
      </c>
      <c r="B7" s="379" t="s">
        <v>333</v>
      </c>
      <c r="C7" s="380" t="s">
        <v>334</v>
      </c>
      <c r="D7" s="379">
        <v>521904</v>
      </c>
      <c r="E7" s="379">
        <v>0</v>
      </c>
      <c r="F7" s="381" t="str">
        <f t="shared" si="0"/>
        <v>HSCU:过温故障 (521904,0)</v>
      </c>
    </row>
    <row r="8" ht="18.6" customHeight="1" spans="1:7">
      <c r="A8" s="379">
        <v>6</v>
      </c>
      <c r="B8" s="379" t="s">
        <v>118</v>
      </c>
      <c r="C8" s="380" t="s">
        <v>335</v>
      </c>
      <c r="D8" s="382">
        <v>521904</v>
      </c>
      <c r="E8" s="382">
        <v>16</v>
      </c>
      <c r="F8" s="381" t="str">
        <f t="shared" si="0"/>
        <v>HSCU:过温报警(521904,16)</v>
      </c>
      <c r="G8" t="s">
        <v>281</v>
      </c>
    </row>
    <row r="9" ht="18.6" customHeight="1" spans="1:6">
      <c r="A9" s="2">
        <v>7</v>
      </c>
      <c r="B9" s="6" t="s">
        <v>128</v>
      </c>
      <c r="C9" s="376" t="s">
        <v>336</v>
      </c>
      <c r="D9" s="2">
        <v>521905</v>
      </c>
      <c r="E9" s="2">
        <v>0</v>
      </c>
      <c r="F9" s="377" t="str">
        <f t="shared" si="0"/>
        <v>HSCU:控制器过载故障 (521905,0)</v>
      </c>
    </row>
    <row r="10" ht="18.6" customHeight="1" spans="1:6">
      <c r="A10" s="2">
        <v>8</v>
      </c>
      <c r="B10" s="375" t="s">
        <v>120</v>
      </c>
      <c r="C10" s="376" t="s">
        <v>337</v>
      </c>
      <c r="D10" s="2">
        <v>521906</v>
      </c>
      <c r="E10" s="2">
        <v>8</v>
      </c>
      <c r="F10" s="377" t="str">
        <f t="shared" si="0"/>
        <v>HSCU:输出缺相 (521906,8)</v>
      </c>
    </row>
    <row r="11" ht="18.6" customHeight="1" spans="1:6">
      <c r="A11" s="2">
        <v>9</v>
      </c>
      <c r="B11" s="6" t="s">
        <v>128</v>
      </c>
      <c r="C11" s="378" t="s">
        <v>338</v>
      </c>
      <c r="D11" s="2">
        <v>521907</v>
      </c>
      <c r="E11" s="2">
        <v>23</v>
      </c>
      <c r="F11" s="377" t="str">
        <f t="shared" si="0"/>
        <v>HSCU:CAN 通讯中断故障 (521907,23)</v>
      </c>
    </row>
    <row r="12" ht="18.6" customHeight="1" spans="1:6">
      <c r="A12" s="2">
        <v>10</v>
      </c>
      <c r="B12" s="6" t="s">
        <v>128</v>
      </c>
      <c r="C12" s="378" t="s">
        <v>339</v>
      </c>
      <c r="D12" s="374">
        <v>521907</v>
      </c>
      <c r="E12" s="374">
        <v>2</v>
      </c>
      <c r="F12" s="377" t="str">
        <f t="shared" si="0"/>
        <v>HSCU:CAN 通讯超时故障 (521907,2)</v>
      </c>
    </row>
    <row r="13" ht="18.6" customHeight="1" spans="1:6">
      <c r="A13" s="2">
        <v>11</v>
      </c>
      <c r="B13" s="375" t="s">
        <v>120</v>
      </c>
      <c r="C13" s="376" t="s">
        <v>340</v>
      </c>
      <c r="D13" s="374">
        <v>521908</v>
      </c>
      <c r="E13" s="374">
        <v>0</v>
      </c>
      <c r="F13" s="377" t="str">
        <f t="shared" si="0"/>
        <v>HSCU:电机过载故障 (521908,0)</v>
      </c>
    </row>
    <row r="14" ht="18.6" customHeight="1" spans="1:7">
      <c r="A14" s="2">
        <v>12</v>
      </c>
      <c r="B14" s="375" t="s">
        <v>120</v>
      </c>
      <c r="C14" s="383" t="s">
        <v>341</v>
      </c>
      <c r="D14" s="384">
        <v>521908</v>
      </c>
      <c r="E14" s="384">
        <v>12</v>
      </c>
      <c r="F14" s="385" t="str">
        <f t="shared" si="0"/>
        <v>HSCU:电流检测（零漂）故障(521908,12)</v>
      </c>
      <c r="G14" t="s">
        <v>342</v>
      </c>
    </row>
    <row r="15" ht="18.6" customHeight="1" spans="1:7">
      <c r="A15" s="2">
        <v>13</v>
      </c>
      <c r="B15" s="375" t="s">
        <v>120</v>
      </c>
      <c r="C15" s="383" t="s">
        <v>343</v>
      </c>
      <c r="D15" s="384">
        <v>521909</v>
      </c>
      <c r="E15" s="384">
        <v>0</v>
      </c>
      <c r="F15" s="385" t="str">
        <f t="shared" si="0"/>
        <v>HSCU:控制器过温故障 (521909,0)</v>
      </c>
      <c r="G15" t="s">
        <v>342</v>
      </c>
    </row>
    <row r="16" ht="18.6" customHeight="1" spans="1:7">
      <c r="A16" s="2">
        <v>14</v>
      </c>
      <c r="B16" s="375" t="s">
        <v>120</v>
      </c>
      <c r="C16" s="383" t="s">
        <v>344</v>
      </c>
      <c r="D16" s="384">
        <v>521909</v>
      </c>
      <c r="E16" s="384">
        <v>10</v>
      </c>
      <c r="F16" s="385" t="str">
        <f t="shared" si="0"/>
        <v>HSCU:转速偏差过大 (521909,10)</v>
      </c>
      <c r="G16" t="s">
        <v>342</v>
      </c>
    </row>
    <row r="17" ht="18.6" customHeight="1" spans="1:7">
      <c r="A17" s="2">
        <v>15</v>
      </c>
      <c r="B17" s="6" t="s">
        <v>128</v>
      </c>
      <c r="C17" s="386" t="s">
        <v>345</v>
      </c>
      <c r="D17" s="387">
        <v>521909</v>
      </c>
      <c r="E17" s="387">
        <v>16</v>
      </c>
      <c r="F17" s="385" t="str">
        <f t="shared" si="0"/>
        <v>HSCU:控制器过温报警(521909,16)</v>
      </c>
      <c r="G17" t="s">
        <v>342</v>
      </c>
    </row>
    <row r="18" ht="18.6" customHeight="1" spans="1:7">
      <c r="A18" s="379">
        <v>16</v>
      </c>
      <c r="B18" s="379" t="s">
        <v>118</v>
      </c>
      <c r="C18" s="388" t="s">
        <v>346</v>
      </c>
      <c r="D18" s="382">
        <v>521910</v>
      </c>
      <c r="E18" s="382">
        <v>12</v>
      </c>
      <c r="F18" s="381" t="str">
        <f t="shared" si="0"/>
        <v>HSCU:PT100 短路 (521910,12)</v>
      </c>
      <c r="G18" t="s">
        <v>342</v>
      </c>
    </row>
    <row r="19" ht="18.6" customHeight="1" spans="1:7">
      <c r="A19" s="379">
        <v>17</v>
      </c>
      <c r="B19" s="379" t="s">
        <v>118</v>
      </c>
      <c r="C19" s="388" t="s">
        <v>347</v>
      </c>
      <c r="D19" s="382">
        <v>521910</v>
      </c>
      <c r="E19" s="382">
        <v>5</v>
      </c>
      <c r="F19" s="381" t="str">
        <f t="shared" si="0"/>
        <v>HSCU:PT100 开路 (521910,5)</v>
      </c>
      <c r="G19" t="s">
        <v>342</v>
      </c>
    </row>
    <row r="20" ht="18.6" customHeight="1" spans="1:7">
      <c r="A20" s="2">
        <v>18</v>
      </c>
      <c r="B20" s="375" t="s">
        <v>120</v>
      </c>
      <c r="C20" s="383" t="s">
        <v>348</v>
      </c>
      <c r="D20" s="384">
        <v>521911</v>
      </c>
      <c r="E20" s="384">
        <v>0</v>
      </c>
      <c r="F20" s="385" t="str">
        <f t="shared" si="0"/>
        <v>HSCU:超速故障(521911,0)</v>
      </c>
      <c r="G20" t="s">
        <v>342</v>
      </c>
    </row>
    <row r="21" ht="18.6" customHeight="1" spans="1:7">
      <c r="A21" s="2">
        <v>19</v>
      </c>
      <c r="B21" s="375" t="s">
        <v>120</v>
      </c>
      <c r="C21" s="383" t="s">
        <v>349</v>
      </c>
      <c r="D21" s="384">
        <v>521912</v>
      </c>
      <c r="E21" s="384">
        <v>7</v>
      </c>
      <c r="F21" s="385" t="str">
        <f t="shared" si="0"/>
        <v>HSCU:相间短路故障(521912,7)</v>
      </c>
      <c r="G21" t="s">
        <v>342</v>
      </c>
    </row>
    <row r="22" ht="18.6" customHeight="1" spans="1:7">
      <c r="A22" s="2">
        <v>20</v>
      </c>
      <c r="B22" s="375" t="s">
        <v>120</v>
      </c>
      <c r="C22" s="383" t="s">
        <v>350</v>
      </c>
      <c r="D22" s="384">
        <v>521913</v>
      </c>
      <c r="E22" s="384">
        <v>7</v>
      </c>
      <c r="F22" s="385" t="str">
        <f t="shared" si="0"/>
        <v>HSCU:失调故障(521913,7)</v>
      </c>
      <c r="G22" t="s">
        <v>342</v>
      </c>
    </row>
    <row r="23" ht="18.6" customHeight="1" spans="1:7">
      <c r="A23" s="2">
        <v>21</v>
      </c>
      <c r="B23" s="375" t="s">
        <v>120</v>
      </c>
      <c r="C23" s="383" t="s">
        <v>351</v>
      </c>
      <c r="D23" s="384">
        <v>521914</v>
      </c>
      <c r="E23" s="384">
        <v>12</v>
      </c>
      <c r="F23" s="385" t="str">
        <f t="shared" si="0"/>
        <v>HSCU:硬件故障(521914,12)</v>
      </c>
      <c r="G23" t="s">
        <v>342</v>
      </c>
    </row>
    <row r="24" ht="18.6" customHeight="1" spans="1:7">
      <c r="A24" s="2">
        <v>22</v>
      </c>
      <c r="B24" s="6" t="s">
        <v>128</v>
      </c>
      <c r="C24" s="383" t="s">
        <v>352</v>
      </c>
      <c r="D24" s="384">
        <v>521915</v>
      </c>
      <c r="E24" s="384">
        <v>5</v>
      </c>
      <c r="F24" s="385" t="str">
        <f t="shared" si="0"/>
        <v>HSCU:控制器温度传感器断路故障(521915,5)</v>
      </c>
      <c r="G24" t="s">
        <v>342</v>
      </c>
    </row>
    <row r="25" ht="18.6" customHeight="1" spans="1:7">
      <c r="A25" s="2">
        <v>23</v>
      </c>
      <c r="B25" s="6" t="s">
        <v>128</v>
      </c>
      <c r="C25" s="383" t="s">
        <v>353</v>
      </c>
      <c r="D25" s="384">
        <v>521915</v>
      </c>
      <c r="E25" s="384">
        <v>6</v>
      </c>
      <c r="F25" s="385" t="str">
        <f t="shared" si="0"/>
        <v>HSCU:控制器温度传感器短路故障(521915,6)</v>
      </c>
      <c r="G25" t="s">
        <v>342</v>
      </c>
    </row>
    <row r="26" ht="18.6" customHeight="1" spans="1:7">
      <c r="A26" s="2">
        <v>24</v>
      </c>
      <c r="B26" s="375" t="s">
        <v>120</v>
      </c>
      <c r="C26" s="383" t="s">
        <v>354</v>
      </c>
      <c r="D26" s="384">
        <v>521916</v>
      </c>
      <c r="E26" s="384">
        <v>1</v>
      </c>
      <c r="F26" s="385" t="str">
        <f t="shared" si="0"/>
        <v>HSCU:辅助电源欠压(521916,1)</v>
      </c>
      <c r="G26" t="s">
        <v>342</v>
      </c>
    </row>
    <row r="27" ht="18.6" customHeight="1" spans="1:7">
      <c r="A27" s="379">
        <v>25</v>
      </c>
      <c r="B27" s="379" t="s">
        <v>118</v>
      </c>
      <c r="C27" s="380" t="s">
        <v>355</v>
      </c>
      <c r="D27" s="382">
        <v>521916</v>
      </c>
      <c r="E27" s="382">
        <v>16</v>
      </c>
      <c r="F27" s="381" t="str">
        <f t="shared" si="0"/>
        <v>HSCU:辅助电源过压(521916,16)</v>
      </c>
      <c r="G27" t="s">
        <v>342</v>
      </c>
    </row>
    <row r="28" spans="4:7">
      <c r="D28" s="389"/>
      <c r="E28" s="389"/>
      <c r="F28" s="389"/>
      <c r="G28" s="389"/>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78"/>
  <sheetViews>
    <sheetView topLeftCell="D1" workbookViewId="0">
      <pane ySplit="1" topLeftCell="A23" activePane="bottomLeft" state="frozen"/>
      <selection/>
      <selection pane="bottomLeft" activeCell="G39" sqref="G39"/>
    </sheetView>
  </sheetViews>
  <sheetFormatPr defaultColWidth="9" defaultRowHeight="13.5" outlineLevelCol="7"/>
  <cols>
    <col min="1" max="1" width="3.875" style="36" customWidth="1"/>
    <col min="2" max="2" width="8.5" style="36" customWidth="1"/>
    <col min="3" max="3" width="49.875" style="37" customWidth="1"/>
    <col min="4" max="4" width="17.25" style="341" customWidth="1"/>
    <col min="5" max="5" width="5.125" style="36" customWidth="1"/>
    <col min="6" max="6" width="72.5" style="37" customWidth="1"/>
    <col min="7" max="7" width="84.875" style="342" customWidth="1"/>
    <col min="8" max="16384" width="9" style="36"/>
  </cols>
  <sheetData>
    <row r="1" s="337" customFormat="1" ht="29.25" spans="1:7">
      <c r="A1" s="343" t="s">
        <v>99</v>
      </c>
      <c r="B1" s="343" t="s">
        <v>356</v>
      </c>
      <c r="C1" s="344" t="s">
        <v>357</v>
      </c>
      <c r="D1" s="345" t="s">
        <v>102</v>
      </c>
      <c r="E1" s="345" t="s">
        <v>103</v>
      </c>
      <c r="F1" s="345" t="s">
        <v>358</v>
      </c>
      <c r="G1" s="346" t="s">
        <v>359</v>
      </c>
    </row>
    <row r="2" ht="15" spans="1:7">
      <c r="A2" s="346">
        <v>1</v>
      </c>
      <c r="B2" s="347">
        <v>9800</v>
      </c>
      <c r="C2" s="348" t="s">
        <v>360</v>
      </c>
      <c r="D2" s="347">
        <v>523000</v>
      </c>
      <c r="E2" s="346">
        <v>3</v>
      </c>
      <c r="F2" s="348" t="s">
        <v>361</v>
      </c>
      <c r="G2" s="346"/>
    </row>
    <row r="3" ht="15" spans="1:7">
      <c r="A3" s="346">
        <v>2</v>
      </c>
      <c r="B3" s="347">
        <v>9801</v>
      </c>
      <c r="C3" s="348" t="s">
        <v>362</v>
      </c>
      <c r="D3" s="347">
        <v>523000</v>
      </c>
      <c r="E3" s="346">
        <v>4</v>
      </c>
      <c r="F3" s="348" t="s">
        <v>363</v>
      </c>
      <c r="G3" s="346"/>
    </row>
    <row r="4" ht="15" spans="1:7">
      <c r="A4" s="346">
        <v>5</v>
      </c>
      <c r="B4" s="347">
        <v>9809</v>
      </c>
      <c r="C4" s="348" t="s">
        <v>364</v>
      </c>
      <c r="D4" s="347">
        <v>523004</v>
      </c>
      <c r="E4" s="346">
        <v>3</v>
      </c>
      <c r="F4" s="348" t="s">
        <v>365</v>
      </c>
      <c r="G4" s="349" t="s">
        <v>366</v>
      </c>
    </row>
    <row r="5" ht="15" spans="1:7">
      <c r="A5" s="346">
        <v>6</v>
      </c>
      <c r="B5" s="347">
        <v>9810</v>
      </c>
      <c r="C5" s="348" t="s">
        <v>367</v>
      </c>
      <c r="D5" s="347">
        <v>523004</v>
      </c>
      <c r="E5" s="346">
        <v>4</v>
      </c>
      <c r="F5" s="348" t="s">
        <v>368</v>
      </c>
      <c r="G5" s="349" t="s">
        <v>366</v>
      </c>
    </row>
    <row r="6" ht="15" spans="1:7">
      <c r="A6" s="346">
        <v>7</v>
      </c>
      <c r="B6" s="347">
        <v>9811</v>
      </c>
      <c r="C6" s="348" t="s">
        <v>369</v>
      </c>
      <c r="D6" s="347">
        <v>523005</v>
      </c>
      <c r="E6" s="346">
        <v>3</v>
      </c>
      <c r="F6" s="348" t="s">
        <v>370</v>
      </c>
      <c r="G6" s="349" t="s">
        <v>366</v>
      </c>
    </row>
    <row r="7" ht="15" spans="1:7">
      <c r="A7" s="346">
        <v>8</v>
      </c>
      <c r="B7" s="347">
        <v>9812</v>
      </c>
      <c r="C7" s="348" t="s">
        <v>371</v>
      </c>
      <c r="D7" s="347">
        <v>523005</v>
      </c>
      <c r="E7" s="346">
        <v>4</v>
      </c>
      <c r="F7" s="348" t="s">
        <v>372</v>
      </c>
      <c r="G7" s="349" t="s">
        <v>366</v>
      </c>
    </row>
    <row r="8" ht="15" spans="1:7">
      <c r="A8" s="346">
        <v>11</v>
      </c>
      <c r="B8" s="347">
        <v>9815</v>
      </c>
      <c r="C8" s="348" t="s">
        <v>373</v>
      </c>
      <c r="D8" s="346">
        <v>523007</v>
      </c>
      <c r="E8" s="346">
        <v>12</v>
      </c>
      <c r="F8" s="348" t="s">
        <v>374</v>
      </c>
      <c r="G8" s="346"/>
    </row>
    <row r="9" ht="15" spans="1:7">
      <c r="A9" s="346">
        <v>12</v>
      </c>
      <c r="B9" s="347">
        <v>9816</v>
      </c>
      <c r="C9" s="348" t="s">
        <v>375</v>
      </c>
      <c r="D9" s="346">
        <v>523034</v>
      </c>
      <c r="E9" s="346">
        <v>8</v>
      </c>
      <c r="F9" s="348" t="s">
        <v>376</v>
      </c>
      <c r="G9" s="346"/>
    </row>
    <row r="10" ht="15" spans="1:7">
      <c r="A10" s="346">
        <v>13</v>
      </c>
      <c r="B10" s="347">
        <v>9817</v>
      </c>
      <c r="C10" s="348" t="s">
        <v>377</v>
      </c>
      <c r="D10" s="346">
        <v>523008</v>
      </c>
      <c r="E10" s="346">
        <v>8</v>
      </c>
      <c r="F10" s="348" t="s">
        <v>378</v>
      </c>
      <c r="G10" s="346"/>
    </row>
    <row r="11" ht="15" spans="1:7">
      <c r="A11" s="346">
        <v>14</v>
      </c>
      <c r="B11" s="347">
        <v>9818</v>
      </c>
      <c r="C11" s="348" t="s">
        <v>379</v>
      </c>
      <c r="D11" s="346">
        <v>523009</v>
      </c>
      <c r="E11" s="346">
        <v>8</v>
      </c>
      <c r="F11" s="348" t="s">
        <v>380</v>
      </c>
      <c r="G11" s="346"/>
    </row>
    <row r="12" ht="15" spans="1:7">
      <c r="A12" s="346">
        <v>15</v>
      </c>
      <c r="B12" s="347">
        <v>9819</v>
      </c>
      <c r="C12" s="348" t="s">
        <v>381</v>
      </c>
      <c r="D12" s="346">
        <v>523010</v>
      </c>
      <c r="E12" s="346">
        <v>8</v>
      </c>
      <c r="F12" s="348" t="s">
        <v>382</v>
      </c>
      <c r="G12" s="346"/>
    </row>
    <row r="13" s="338" customFormat="1" ht="15" spans="1:8">
      <c r="A13" s="350">
        <v>21</v>
      </c>
      <c r="B13" s="351">
        <v>9830</v>
      </c>
      <c r="C13" s="352" t="s">
        <v>383</v>
      </c>
      <c r="D13" s="350">
        <v>523020</v>
      </c>
      <c r="E13" s="350">
        <v>12</v>
      </c>
      <c r="F13" s="352" t="s">
        <v>384</v>
      </c>
      <c r="G13" s="350"/>
      <c r="H13" s="338" t="s">
        <v>385</v>
      </c>
    </row>
    <row r="14" s="338" customFormat="1" ht="15" spans="1:8">
      <c r="A14" s="350">
        <v>22</v>
      </c>
      <c r="B14" s="351">
        <v>9832</v>
      </c>
      <c r="C14" s="352" t="s">
        <v>386</v>
      </c>
      <c r="D14" s="350">
        <v>523022</v>
      </c>
      <c r="E14" s="350">
        <v>12</v>
      </c>
      <c r="F14" s="352" t="s">
        <v>387</v>
      </c>
      <c r="G14" s="350"/>
      <c r="H14" s="338" t="s">
        <v>385</v>
      </c>
    </row>
    <row r="15" ht="15" spans="1:7">
      <c r="A15" s="346">
        <v>23</v>
      </c>
      <c r="B15" s="347">
        <v>9833</v>
      </c>
      <c r="C15" s="348" t="s">
        <v>388</v>
      </c>
      <c r="D15" s="346">
        <v>523023</v>
      </c>
      <c r="E15" s="346">
        <v>12</v>
      </c>
      <c r="F15" s="348" t="s">
        <v>389</v>
      </c>
      <c r="G15" s="346"/>
    </row>
    <row r="16" ht="15" spans="1:7">
      <c r="A16" s="346">
        <v>24</v>
      </c>
      <c r="B16" s="347">
        <v>9834</v>
      </c>
      <c r="C16" s="348" t="s">
        <v>390</v>
      </c>
      <c r="D16" s="346">
        <v>523024</v>
      </c>
      <c r="E16" s="346">
        <v>12</v>
      </c>
      <c r="F16" s="348" t="s">
        <v>391</v>
      </c>
      <c r="G16" s="346"/>
    </row>
    <row r="17" ht="15" spans="1:7">
      <c r="A17" s="346">
        <v>25</v>
      </c>
      <c r="B17" s="347">
        <v>9835</v>
      </c>
      <c r="C17" s="348" t="s">
        <v>392</v>
      </c>
      <c r="D17" s="346">
        <v>523025</v>
      </c>
      <c r="E17" s="346">
        <v>12</v>
      </c>
      <c r="F17" s="348" t="s">
        <v>393</v>
      </c>
      <c r="G17" s="346"/>
    </row>
    <row r="18" ht="15" spans="1:7">
      <c r="A18" s="346">
        <v>26</v>
      </c>
      <c r="B18" s="347">
        <v>9836</v>
      </c>
      <c r="C18" s="348" t="s">
        <v>394</v>
      </c>
      <c r="D18" s="346">
        <v>523026</v>
      </c>
      <c r="E18" s="346">
        <v>12</v>
      </c>
      <c r="F18" s="348" t="s">
        <v>395</v>
      </c>
      <c r="G18" s="346"/>
    </row>
    <row r="19" ht="15" spans="1:7">
      <c r="A19" s="346">
        <v>27</v>
      </c>
      <c r="B19" s="347">
        <v>9837</v>
      </c>
      <c r="C19" s="348" t="s">
        <v>396</v>
      </c>
      <c r="D19" s="346">
        <v>523027</v>
      </c>
      <c r="E19" s="346">
        <v>12</v>
      </c>
      <c r="F19" s="348" t="s">
        <v>397</v>
      </c>
      <c r="G19" s="346"/>
    </row>
    <row r="20" ht="15" spans="1:7">
      <c r="A20" s="346">
        <v>28</v>
      </c>
      <c r="B20" s="347">
        <v>9838</v>
      </c>
      <c r="C20" s="348" t="s">
        <v>398</v>
      </c>
      <c r="D20" s="346">
        <v>523028</v>
      </c>
      <c r="E20" s="346">
        <v>12</v>
      </c>
      <c r="F20" s="348" t="s">
        <v>399</v>
      </c>
      <c r="G20" s="346"/>
    </row>
    <row r="21" ht="15" spans="1:7">
      <c r="A21" s="346">
        <v>29</v>
      </c>
      <c r="B21" s="347">
        <v>9839</v>
      </c>
      <c r="C21" s="348" t="s">
        <v>400</v>
      </c>
      <c r="D21" s="346">
        <v>523029</v>
      </c>
      <c r="E21" s="346">
        <v>12</v>
      </c>
      <c r="F21" s="348" t="s">
        <v>401</v>
      </c>
      <c r="G21" s="346"/>
    </row>
    <row r="22" ht="15" spans="1:7">
      <c r="A22" s="346">
        <v>30</v>
      </c>
      <c r="B22" s="347">
        <v>9840</v>
      </c>
      <c r="C22" s="348" t="s">
        <v>402</v>
      </c>
      <c r="D22" s="346">
        <v>523030</v>
      </c>
      <c r="E22" s="346">
        <v>12</v>
      </c>
      <c r="F22" s="348" t="s">
        <v>403</v>
      </c>
      <c r="G22" s="346"/>
    </row>
    <row r="23" ht="15" spans="1:8">
      <c r="A23" s="353"/>
      <c r="B23" s="354"/>
      <c r="C23" s="355" t="s">
        <v>404</v>
      </c>
      <c r="D23" s="353">
        <v>523031</v>
      </c>
      <c r="E23" s="353">
        <v>12</v>
      </c>
      <c r="F23" s="355" t="s">
        <v>405</v>
      </c>
      <c r="G23" s="353"/>
      <c r="H23" s="36" t="s">
        <v>406</v>
      </c>
    </row>
    <row r="24" ht="15" spans="1:8">
      <c r="A24" s="353"/>
      <c r="B24" s="354"/>
      <c r="C24" s="355" t="s">
        <v>407</v>
      </c>
      <c r="D24" s="353">
        <v>523032</v>
      </c>
      <c r="E24" s="353">
        <v>12</v>
      </c>
      <c r="F24" s="355" t="s">
        <v>408</v>
      </c>
      <c r="G24" s="353"/>
      <c r="H24" s="36" t="s">
        <v>406</v>
      </c>
    </row>
    <row r="25" s="339" customFormat="1" ht="15" spans="1:8">
      <c r="A25" s="350">
        <v>31</v>
      </c>
      <c r="B25" s="351">
        <v>9841</v>
      </c>
      <c r="C25" s="352" t="s">
        <v>409</v>
      </c>
      <c r="D25" s="350">
        <v>523031</v>
      </c>
      <c r="E25" s="350">
        <v>0</v>
      </c>
      <c r="F25" s="352" t="s">
        <v>410</v>
      </c>
      <c r="G25" s="350" t="s">
        <v>411</v>
      </c>
      <c r="H25" s="339" t="s">
        <v>385</v>
      </c>
    </row>
    <row r="26" s="339" customFormat="1" ht="15" spans="1:7">
      <c r="A26" s="350">
        <v>32</v>
      </c>
      <c r="B26" s="351">
        <v>9842</v>
      </c>
      <c r="C26" s="352" t="s">
        <v>412</v>
      </c>
      <c r="D26" s="350">
        <v>523032</v>
      </c>
      <c r="E26" s="350">
        <v>0</v>
      </c>
      <c r="F26" s="352" t="s">
        <v>413</v>
      </c>
      <c r="G26" s="350" t="s">
        <v>414</v>
      </c>
    </row>
    <row r="27" ht="15" spans="1:7">
      <c r="A27" s="346">
        <v>33</v>
      </c>
      <c r="B27" s="347">
        <v>9843</v>
      </c>
      <c r="C27" s="348" t="s">
        <v>415</v>
      </c>
      <c r="D27" s="346">
        <v>523033</v>
      </c>
      <c r="E27" s="346">
        <v>8</v>
      </c>
      <c r="F27" s="348" t="s">
        <v>416</v>
      </c>
      <c r="G27" s="346"/>
    </row>
    <row r="28" ht="29.25" spans="1:7">
      <c r="A28" s="346">
        <v>34</v>
      </c>
      <c r="B28" s="347">
        <v>9845</v>
      </c>
      <c r="C28" s="348" t="s">
        <v>417</v>
      </c>
      <c r="D28" s="346">
        <v>523036</v>
      </c>
      <c r="E28" s="346">
        <v>8</v>
      </c>
      <c r="F28" s="348" t="s">
        <v>418</v>
      </c>
      <c r="G28" s="346" t="s">
        <v>419</v>
      </c>
    </row>
    <row r="29" ht="29.25" spans="1:7">
      <c r="A29" s="346">
        <v>35</v>
      </c>
      <c r="B29" s="347">
        <v>9846</v>
      </c>
      <c r="C29" s="348" t="s">
        <v>420</v>
      </c>
      <c r="D29" s="346">
        <v>523037</v>
      </c>
      <c r="E29" s="346">
        <v>8</v>
      </c>
      <c r="F29" s="348" t="s">
        <v>421</v>
      </c>
      <c r="G29" s="346" t="s">
        <v>422</v>
      </c>
    </row>
    <row r="30" ht="15" spans="1:7">
      <c r="A30" s="346">
        <v>36</v>
      </c>
      <c r="B30" s="347">
        <v>9847</v>
      </c>
      <c r="C30" s="348" t="s">
        <v>423</v>
      </c>
      <c r="D30" s="346">
        <v>171</v>
      </c>
      <c r="E30" s="346">
        <v>2</v>
      </c>
      <c r="F30" s="348" t="s">
        <v>424</v>
      </c>
      <c r="G30" s="346" t="s">
        <v>425</v>
      </c>
    </row>
    <row r="31" ht="29.25" spans="1:7">
      <c r="A31" s="346">
        <v>37</v>
      </c>
      <c r="B31" s="347">
        <v>9848</v>
      </c>
      <c r="C31" s="348" t="s">
        <v>426</v>
      </c>
      <c r="D31" s="346">
        <v>171</v>
      </c>
      <c r="E31" s="346">
        <v>3</v>
      </c>
      <c r="F31" s="356" t="s">
        <v>427</v>
      </c>
      <c r="G31" s="346" t="s">
        <v>428</v>
      </c>
    </row>
    <row r="32" ht="29.25" spans="1:7">
      <c r="A32" s="346">
        <v>38</v>
      </c>
      <c r="B32" s="347">
        <v>9849</v>
      </c>
      <c r="C32" s="348" t="s">
        <v>429</v>
      </c>
      <c r="D32" s="346">
        <v>171</v>
      </c>
      <c r="E32" s="346">
        <v>4</v>
      </c>
      <c r="F32" s="348" t="s">
        <v>430</v>
      </c>
      <c r="G32" s="346" t="s">
        <v>431</v>
      </c>
    </row>
    <row r="33" ht="15" spans="1:8">
      <c r="A33" s="357">
        <v>39</v>
      </c>
      <c r="B33" s="358">
        <v>9850</v>
      </c>
      <c r="C33" s="359" t="s">
        <v>432</v>
      </c>
      <c r="D33" s="357">
        <v>177</v>
      </c>
      <c r="E33" s="357">
        <v>3</v>
      </c>
      <c r="F33" s="359" t="s">
        <v>433</v>
      </c>
      <c r="G33" s="357"/>
      <c r="H33" s="36" t="s">
        <v>385</v>
      </c>
    </row>
    <row r="34" s="339" customFormat="1" ht="15" spans="1:7">
      <c r="A34" s="350">
        <v>40</v>
      </c>
      <c r="B34" s="351">
        <v>9851</v>
      </c>
      <c r="C34" s="352" t="s">
        <v>434</v>
      </c>
      <c r="D34" s="350">
        <v>177</v>
      </c>
      <c r="E34" s="350">
        <v>4</v>
      </c>
      <c r="F34" s="352" t="s">
        <v>435</v>
      </c>
      <c r="G34" s="350"/>
    </row>
    <row r="35" s="339" customFormat="1" ht="15" spans="1:7">
      <c r="A35" s="350">
        <v>41</v>
      </c>
      <c r="B35" s="351">
        <v>9852</v>
      </c>
      <c r="C35" s="352" t="s">
        <v>436</v>
      </c>
      <c r="D35" s="350">
        <v>523038</v>
      </c>
      <c r="E35" s="350">
        <v>12</v>
      </c>
      <c r="F35" s="352" t="s">
        <v>437</v>
      </c>
      <c r="G35" s="350"/>
    </row>
    <row r="36" s="339" customFormat="1" ht="15" spans="1:7">
      <c r="A36" s="350">
        <v>42</v>
      </c>
      <c r="B36" s="351">
        <v>9853</v>
      </c>
      <c r="C36" s="352" t="s">
        <v>438</v>
      </c>
      <c r="D36" s="350">
        <v>523039</v>
      </c>
      <c r="E36" s="350">
        <v>12</v>
      </c>
      <c r="F36" s="352" t="s">
        <v>439</v>
      </c>
      <c r="G36" s="350"/>
    </row>
    <row r="37" s="339" customFormat="1" ht="15" spans="1:7">
      <c r="A37" s="350">
        <v>43</v>
      </c>
      <c r="B37" s="351">
        <v>9854</v>
      </c>
      <c r="C37" s="352" t="s">
        <v>440</v>
      </c>
      <c r="D37" s="350">
        <v>523040</v>
      </c>
      <c r="E37" s="350">
        <v>12</v>
      </c>
      <c r="F37" s="352" t="s">
        <v>441</v>
      </c>
      <c r="G37" s="350"/>
    </row>
    <row r="38" s="339" customFormat="1" ht="15" spans="1:7">
      <c r="A38" s="350">
        <v>44</v>
      </c>
      <c r="B38" s="351">
        <v>9855</v>
      </c>
      <c r="C38" s="352" t="s">
        <v>442</v>
      </c>
      <c r="D38" s="350">
        <v>523041</v>
      </c>
      <c r="E38" s="350">
        <v>1</v>
      </c>
      <c r="F38" s="352" t="s">
        <v>443</v>
      </c>
      <c r="G38" s="350" t="s">
        <v>444</v>
      </c>
    </row>
    <row r="39" s="340" customFormat="1" ht="29.25" spans="1:7">
      <c r="A39" s="360">
        <v>45</v>
      </c>
      <c r="B39" s="361">
        <v>9856</v>
      </c>
      <c r="C39" s="362" t="s">
        <v>445</v>
      </c>
      <c r="D39" s="360">
        <v>523042</v>
      </c>
      <c r="E39" s="360">
        <v>8</v>
      </c>
      <c r="F39" s="362" t="s">
        <v>446</v>
      </c>
      <c r="G39" s="363" t="s">
        <v>447</v>
      </c>
    </row>
    <row r="40" s="339" customFormat="1" ht="15" spans="1:7">
      <c r="A40" s="350">
        <v>46</v>
      </c>
      <c r="B40" s="351">
        <v>9857</v>
      </c>
      <c r="C40" s="352" t="s">
        <v>448</v>
      </c>
      <c r="D40" s="350">
        <v>523043</v>
      </c>
      <c r="E40" s="350">
        <v>8</v>
      </c>
      <c r="F40" s="352" t="s">
        <v>449</v>
      </c>
      <c r="G40" s="350"/>
    </row>
    <row r="41" s="339" customFormat="1" ht="15" spans="1:8">
      <c r="A41" s="350">
        <v>47</v>
      </c>
      <c r="B41" s="351">
        <v>9858</v>
      </c>
      <c r="C41" s="352" t="s">
        <v>450</v>
      </c>
      <c r="D41" s="350">
        <v>523044</v>
      </c>
      <c r="E41" s="350">
        <v>8</v>
      </c>
      <c r="F41" s="352" t="s">
        <v>451</v>
      </c>
      <c r="G41" s="350"/>
      <c r="H41" s="339" t="s">
        <v>385</v>
      </c>
    </row>
    <row r="42" s="340" customFormat="1" ht="15" spans="1:7">
      <c r="A42" s="360">
        <v>48</v>
      </c>
      <c r="B42" s="361">
        <v>9859</v>
      </c>
      <c r="C42" s="362" t="s">
        <v>452</v>
      </c>
      <c r="D42" s="360">
        <v>523045</v>
      </c>
      <c r="E42" s="360">
        <v>8</v>
      </c>
      <c r="F42" s="362" t="s">
        <v>453</v>
      </c>
      <c r="G42" s="362"/>
    </row>
    <row r="43" s="339" customFormat="1" ht="15" spans="1:8">
      <c r="A43" s="350">
        <v>49</v>
      </c>
      <c r="B43" s="350">
        <v>9860</v>
      </c>
      <c r="C43" s="352" t="s">
        <v>454</v>
      </c>
      <c r="D43" s="350">
        <v>523046</v>
      </c>
      <c r="E43" s="350">
        <v>8</v>
      </c>
      <c r="F43" s="352" t="s">
        <v>455</v>
      </c>
      <c r="G43" s="351"/>
      <c r="H43" s="339" t="s">
        <v>385</v>
      </c>
    </row>
    <row r="44" ht="15" spans="1:7">
      <c r="A44" s="346">
        <v>50</v>
      </c>
      <c r="B44" s="347">
        <v>9861</v>
      </c>
      <c r="C44" s="348" t="s">
        <v>456</v>
      </c>
      <c r="D44" s="364">
        <v>523047</v>
      </c>
      <c r="E44" s="364">
        <v>8</v>
      </c>
      <c r="F44" s="348" t="s">
        <v>457</v>
      </c>
      <c r="G44" s="365"/>
    </row>
    <row r="45" ht="14.25" spans="1:7">
      <c r="A45" s="347">
        <v>51</v>
      </c>
      <c r="B45" s="347">
        <v>9862</v>
      </c>
      <c r="C45" s="366" t="s">
        <v>458</v>
      </c>
      <c r="D45" s="364">
        <v>523048</v>
      </c>
      <c r="E45" s="364">
        <v>8</v>
      </c>
      <c r="F45" s="366" t="s">
        <v>459</v>
      </c>
      <c r="G45" s="367"/>
    </row>
    <row r="46" s="340" customFormat="1" ht="14.25" spans="1:7">
      <c r="A46" s="368">
        <v>52</v>
      </c>
      <c r="B46" s="368"/>
      <c r="C46" s="369" t="s">
        <v>460</v>
      </c>
      <c r="D46" s="370">
        <v>523051</v>
      </c>
      <c r="E46" s="370">
        <v>8</v>
      </c>
      <c r="F46" s="369" t="s">
        <v>460</v>
      </c>
      <c r="G46" s="371" t="s">
        <v>461</v>
      </c>
    </row>
    <row r="47" s="340" customFormat="1" ht="14.25" spans="1:7">
      <c r="A47" s="368">
        <v>53</v>
      </c>
      <c r="B47" s="368"/>
      <c r="C47" s="369" t="s">
        <v>462</v>
      </c>
      <c r="D47" s="370">
        <v>523052</v>
      </c>
      <c r="E47" s="370">
        <v>8</v>
      </c>
      <c r="F47" s="369" t="s">
        <v>462</v>
      </c>
      <c r="G47" s="372" t="s">
        <v>461</v>
      </c>
    </row>
    <row r="48" s="340" customFormat="1" ht="14.25" spans="1:7">
      <c r="A48" s="368">
        <v>54</v>
      </c>
      <c r="B48" s="368"/>
      <c r="C48" s="369" t="s">
        <v>463</v>
      </c>
      <c r="D48" s="370">
        <v>523053</v>
      </c>
      <c r="E48" s="370">
        <v>8</v>
      </c>
      <c r="F48" s="369" t="s">
        <v>463</v>
      </c>
      <c r="G48" s="372" t="s">
        <v>461</v>
      </c>
    </row>
    <row r="49" s="340" customFormat="1" ht="14.25" spans="1:7">
      <c r="A49" s="368">
        <v>55</v>
      </c>
      <c r="B49" s="368"/>
      <c r="C49" s="369" t="s">
        <v>464</v>
      </c>
      <c r="D49" s="370">
        <v>523054</v>
      </c>
      <c r="E49" s="370">
        <v>8</v>
      </c>
      <c r="F49" s="369" t="s">
        <v>464</v>
      </c>
      <c r="G49" s="372" t="s">
        <v>461</v>
      </c>
    </row>
    <row r="50" s="340" customFormat="1" ht="14.25" spans="1:7">
      <c r="A50" s="368">
        <v>56</v>
      </c>
      <c r="B50" s="368"/>
      <c r="C50" s="369" t="s">
        <v>465</v>
      </c>
      <c r="D50" s="370">
        <v>523055</v>
      </c>
      <c r="E50" s="370">
        <v>8</v>
      </c>
      <c r="F50" s="369" t="s">
        <v>465</v>
      </c>
      <c r="G50" s="372" t="s">
        <v>461</v>
      </c>
    </row>
    <row r="51" s="340" customFormat="1" ht="14.25" spans="1:7">
      <c r="A51" s="368">
        <v>57</v>
      </c>
      <c r="B51" s="368"/>
      <c r="C51" s="369" t="s">
        <v>466</v>
      </c>
      <c r="D51" s="370">
        <v>523056</v>
      </c>
      <c r="E51" s="370">
        <v>8</v>
      </c>
      <c r="F51" s="369" t="s">
        <v>466</v>
      </c>
      <c r="G51" s="372" t="s">
        <v>461</v>
      </c>
    </row>
    <row r="52" s="340" customFormat="1" ht="14.25" spans="1:7">
      <c r="A52" s="368">
        <v>58</v>
      </c>
      <c r="B52" s="368"/>
      <c r="C52" s="369" t="s">
        <v>467</v>
      </c>
      <c r="D52" s="370">
        <v>523057</v>
      </c>
      <c r="E52" s="370">
        <v>8</v>
      </c>
      <c r="F52" s="369" t="s">
        <v>467</v>
      </c>
      <c r="G52" s="372" t="s">
        <v>461</v>
      </c>
    </row>
    <row r="53" s="340" customFormat="1" ht="14.25" spans="1:7">
      <c r="A53" s="368">
        <v>59</v>
      </c>
      <c r="B53" s="368"/>
      <c r="C53" s="373" t="s">
        <v>468</v>
      </c>
      <c r="D53" s="370">
        <v>523058</v>
      </c>
      <c r="E53" s="370">
        <v>8</v>
      </c>
      <c r="F53" s="373" t="s">
        <v>468</v>
      </c>
      <c r="G53" s="372" t="s">
        <v>461</v>
      </c>
    </row>
    <row r="54" s="340" customFormat="1" ht="14.25" spans="1:7">
      <c r="A54" s="368">
        <v>60</v>
      </c>
      <c r="B54" s="368"/>
      <c r="C54" s="369" t="s">
        <v>469</v>
      </c>
      <c r="D54" s="370">
        <v>523059</v>
      </c>
      <c r="E54" s="370">
        <v>8</v>
      </c>
      <c r="F54" s="369" t="s">
        <v>469</v>
      </c>
      <c r="G54" s="372" t="s">
        <v>461</v>
      </c>
    </row>
    <row r="55" s="340" customFormat="1" ht="14.25" spans="1:7">
      <c r="A55" s="368">
        <v>61</v>
      </c>
      <c r="B55" s="368"/>
      <c r="C55" s="369" t="s">
        <v>470</v>
      </c>
      <c r="D55" s="370">
        <v>523060</v>
      </c>
      <c r="E55" s="370">
        <v>8</v>
      </c>
      <c r="F55" s="369" t="s">
        <v>470</v>
      </c>
      <c r="G55" s="372" t="s">
        <v>461</v>
      </c>
    </row>
    <row r="56" spans="3:7">
      <c r="C56" s="36"/>
      <c r="F56" s="36"/>
      <c r="G56" s="36"/>
    </row>
    <row r="57" spans="3:7">
      <c r="C57" s="36"/>
      <c r="F57" s="36"/>
      <c r="G57" s="36"/>
    </row>
    <row r="58" spans="3:7">
      <c r="C58" s="36"/>
      <c r="G58" s="36"/>
    </row>
    <row r="59" spans="3:7">
      <c r="C59" s="36"/>
      <c r="G59" s="36"/>
    </row>
    <row r="60" spans="3:7">
      <c r="C60" s="36"/>
      <c r="G60" s="36"/>
    </row>
    <row r="61" spans="3:7">
      <c r="C61" s="36"/>
      <c r="G61" s="36"/>
    </row>
    <row r="62" spans="3:7">
      <c r="C62" s="36"/>
      <c r="G62" s="36"/>
    </row>
    <row r="63" spans="3:7">
      <c r="C63" s="36"/>
      <c r="G63" s="36"/>
    </row>
    <row r="64" spans="3:7">
      <c r="C64" s="36"/>
      <c r="G64" s="36"/>
    </row>
    <row r="65" spans="3:7">
      <c r="C65" s="36"/>
      <c r="G65" s="36"/>
    </row>
    <row r="66" spans="3:7">
      <c r="C66" s="36"/>
      <c r="G66" s="36"/>
    </row>
    <row r="67" spans="3:7">
      <c r="C67" s="36"/>
      <c r="G67" s="36"/>
    </row>
    <row r="68" s="36" customFormat="1" spans="4:4">
      <c r="D68" s="341"/>
    </row>
    <row r="69" s="36" customFormat="1" spans="4:4">
      <c r="D69" s="341"/>
    </row>
    <row r="70" s="36" customFormat="1" spans="4:4">
      <c r="D70" s="341"/>
    </row>
    <row r="71" s="36" customFormat="1" spans="4:4">
      <c r="D71" s="341"/>
    </row>
    <row r="72" s="36" customFormat="1" spans="4:4">
      <c r="D72" s="341"/>
    </row>
    <row r="73" s="36" customFormat="1" spans="4:4">
      <c r="D73" s="341"/>
    </row>
    <row r="74" s="36" customFormat="1" spans="4:4">
      <c r="D74" s="341"/>
    </row>
    <row r="75" s="36" customFormat="1" spans="4:4">
      <c r="D75" s="341"/>
    </row>
    <row r="76" s="36" customFormat="1" spans="4:4">
      <c r="D76" s="341"/>
    </row>
    <row r="77" s="36" customFormat="1" spans="4:4">
      <c r="D77" s="341"/>
    </row>
    <row r="78" s="36" customFormat="1" spans="4:4">
      <c r="D78" s="341"/>
    </row>
  </sheetData>
  <pageMargins left="0.7" right="0.7" top="0.75" bottom="0.75" header="0.3" footer="0.3"/>
  <pageSetup paperSize="1" orientation="portrait" horizontalDpi="200" verticalDpi="200"/>
  <headerFooter/>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2"/>
  <sheetViews>
    <sheetView workbookViewId="0">
      <selection activeCell="P14" sqref="P14"/>
    </sheetView>
  </sheetViews>
  <sheetFormatPr defaultColWidth="9" defaultRowHeight="13.5" outlineLevelCol="5"/>
  <cols>
    <col min="2" max="2" width="22.5" customWidth="1"/>
    <col min="4" max="4" width="4.5" customWidth="1"/>
    <col min="5" max="5" width="38.75" customWidth="1"/>
  </cols>
  <sheetData>
    <row r="1" spans="1:5">
      <c r="A1" s="14" t="s">
        <v>99</v>
      </c>
      <c r="B1" s="14" t="s">
        <v>101</v>
      </c>
      <c r="C1" s="14" t="s">
        <v>102</v>
      </c>
      <c r="D1" s="14" t="s">
        <v>103</v>
      </c>
      <c r="E1" s="14" t="s">
        <v>250</v>
      </c>
    </row>
    <row r="2" spans="1:6">
      <c r="A2" s="14">
        <v>1</v>
      </c>
      <c r="B2" s="14" t="s">
        <v>471</v>
      </c>
      <c r="C2" s="14">
        <v>524000</v>
      </c>
      <c r="D2" s="14">
        <v>0</v>
      </c>
      <c r="E2" s="14" t="s">
        <v>472</v>
      </c>
      <c r="F2" t="s">
        <v>473</v>
      </c>
    </row>
    <row r="3" spans="1:5">
      <c r="A3" s="14">
        <v>2</v>
      </c>
      <c r="B3" s="14" t="s">
        <v>474</v>
      </c>
      <c r="C3" s="14">
        <v>524000</v>
      </c>
      <c r="D3" s="14">
        <v>1</v>
      </c>
      <c r="E3" s="14" t="s">
        <v>475</v>
      </c>
    </row>
    <row r="4" spans="1:5">
      <c r="A4" s="14">
        <v>3</v>
      </c>
      <c r="B4" s="14" t="s">
        <v>476</v>
      </c>
      <c r="C4" s="14">
        <v>524001</v>
      </c>
      <c r="D4" s="14">
        <v>19</v>
      </c>
      <c r="E4" s="14" t="s">
        <v>477</v>
      </c>
    </row>
    <row r="5" spans="1:5">
      <c r="A5" s="14">
        <v>4</v>
      </c>
      <c r="B5" s="14" t="s">
        <v>478</v>
      </c>
      <c r="C5" s="14">
        <v>524002</v>
      </c>
      <c r="D5" s="14">
        <v>3</v>
      </c>
      <c r="E5" s="14" t="s">
        <v>479</v>
      </c>
    </row>
    <row r="6" spans="1:5">
      <c r="A6" s="14">
        <v>5</v>
      </c>
      <c r="B6" s="14" t="s">
        <v>480</v>
      </c>
      <c r="C6" s="14">
        <v>524002</v>
      </c>
      <c r="D6" s="14">
        <v>4</v>
      </c>
      <c r="E6" s="14" t="s">
        <v>481</v>
      </c>
    </row>
    <row r="7" spans="1:5">
      <c r="A7" s="14">
        <v>6</v>
      </c>
      <c r="B7" s="14" t="s">
        <v>482</v>
      </c>
      <c r="C7" s="14">
        <v>524003</v>
      </c>
      <c r="D7" s="14">
        <v>3</v>
      </c>
      <c r="E7" s="14" t="s">
        <v>483</v>
      </c>
    </row>
    <row r="8" spans="1:5">
      <c r="A8" s="14">
        <v>7</v>
      </c>
      <c r="B8" s="14" t="s">
        <v>484</v>
      </c>
      <c r="C8" s="14">
        <v>524003</v>
      </c>
      <c r="D8" s="14">
        <v>4</v>
      </c>
      <c r="E8" s="14" t="s">
        <v>485</v>
      </c>
    </row>
    <row r="9" spans="1:6">
      <c r="A9" s="14">
        <v>8</v>
      </c>
      <c r="B9" s="14" t="s">
        <v>486</v>
      </c>
      <c r="C9" s="14">
        <v>524004</v>
      </c>
      <c r="D9" s="14">
        <v>3</v>
      </c>
      <c r="E9" s="14" t="s">
        <v>487</v>
      </c>
      <c r="F9" t="s">
        <v>488</v>
      </c>
    </row>
    <row r="10" spans="1:6">
      <c r="A10" s="14">
        <v>9</v>
      </c>
      <c r="B10" s="14" t="s">
        <v>489</v>
      </c>
      <c r="C10" s="14">
        <v>524005</v>
      </c>
      <c r="D10" s="14">
        <v>3</v>
      </c>
      <c r="E10" s="14" t="s">
        <v>490</v>
      </c>
      <c r="F10" t="s">
        <v>491</v>
      </c>
    </row>
    <row r="11" spans="1:6">
      <c r="A11" s="14">
        <v>10</v>
      </c>
      <c r="B11" s="14" t="s">
        <v>492</v>
      </c>
      <c r="C11" s="14">
        <v>524006</v>
      </c>
      <c r="D11" s="14">
        <v>3</v>
      </c>
      <c r="E11" s="14" t="s">
        <v>493</v>
      </c>
      <c r="F11" t="s">
        <v>494</v>
      </c>
    </row>
    <row r="12" spans="1:5">
      <c r="A12" s="14">
        <v>11</v>
      </c>
      <c r="B12" s="14" t="s">
        <v>495</v>
      </c>
      <c r="C12" s="14">
        <v>524006</v>
      </c>
      <c r="D12" s="14">
        <v>4</v>
      </c>
      <c r="E12" s="14" t="s">
        <v>496</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26"/>
  <sheetViews>
    <sheetView workbookViewId="0">
      <selection activeCell="H23" sqref="H23"/>
    </sheetView>
  </sheetViews>
  <sheetFormatPr defaultColWidth="9" defaultRowHeight="13.5" outlineLevelCol="5"/>
  <cols>
    <col min="1" max="1" width="5.75" style="27" customWidth="1"/>
    <col min="2" max="2" width="35" customWidth="1"/>
    <col min="3" max="3" width="10.75" style="76" customWidth="1"/>
    <col min="4" max="4" width="15.375" style="76" customWidth="1"/>
    <col min="5" max="5" width="62.375" customWidth="1"/>
  </cols>
  <sheetData>
    <row r="1" ht="14.25"/>
    <row r="2" ht="20.1" customHeight="1" spans="1:5">
      <c r="A2" s="325" t="s">
        <v>99</v>
      </c>
      <c r="B2" s="326" t="s">
        <v>497</v>
      </c>
      <c r="C2" s="327" t="s">
        <v>114</v>
      </c>
      <c r="D2" s="328" t="s">
        <v>115</v>
      </c>
      <c r="E2" s="5" t="s">
        <v>250</v>
      </c>
    </row>
    <row r="3" ht="20.1" customHeight="1" spans="1:5">
      <c r="A3" s="329">
        <v>1</v>
      </c>
      <c r="B3" s="330" t="s">
        <v>498</v>
      </c>
      <c r="C3" s="267">
        <v>789</v>
      </c>
      <c r="D3" s="331">
        <v>8</v>
      </c>
      <c r="E3" s="34" t="s">
        <v>499</v>
      </c>
    </row>
    <row r="4" ht="20.1" customHeight="1" spans="1:5">
      <c r="A4" s="329">
        <v>2</v>
      </c>
      <c r="B4" s="330" t="s">
        <v>500</v>
      </c>
      <c r="C4" s="267">
        <v>789</v>
      </c>
      <c r="D4" s="331">
        <v>12</v>
      </c>
      <c r="E4" s="34" t="s">
        <v>501</v>
      </c>
    </row>
    <row r="5" ht="20.1" customHeight="1" spans="1:5">
      <c r="A5" s="329">
        <v>3</v>
      </c>
      <c r="B5" s="330" t="s">
        <v>502</v>
      </c>
      <c r="C5" s="267">
        <v>790</v>
      </c>
      <c r="D5" s="331">
        <v>8</v>
      </c>
      <c r="E5" s="34" t="s">
        <v>503</v>
      </c>
    </row>
    <row r="6" ht="20.1" customHeight="1" spans="1:6">
      <c r="A6" s="329">
        <v>4</v>
      </c>
      <c r="B6" s="330" t="s">
        <v>504</v>
      </c>
      <c r="C6" s="267">
        <v>790</v>
      </c>
      <c r="D6" s="331">
        <v>12</v>
      </c>
      <c r="E6" s="34" t="s">
        <v>505</v>
      </c>
      <c r="F6">
        <v>316</v>
      </c>
    </row>
    <row r="7" ht="20.1" customHeight="1" spans="1:5">
      <c r="A7" s="329">
        <v>5</v>
      </c>
      <c r="B7" s="330" t="s">
        <v>506</v>
      </c>
      <c r="C7" s="267">
        <v>791</v>
      </c>
      <c r="D7" s="331">
        <v>8</v>
      </c>
      <c r="E7" s="34" t="s">
        <v>507</v>
      </c>
    </row>
    <row r="8" ht="20.1" customHeight="1" spans="1:6">
      <c r="A8" s="329">
        <v>6</v>
      </c>
      <c r="B8" s="330" t="s">
        <v>508</v>
      </c>
      <c r="C8" s="267">
        <v>791</v>
      </c>
      <c r="D8" s="331">
        <v>12</v>
      </c>
      <c r="E8" s="34" t="s">
        <v>509</v>
      </c>
      <c r="F8">
        <v>317</v>
      </c>
    </row>
    <row r="9" ht="20.1" customHeight="1" spans="1:6">
      <c r="A9" s="329">
        <v>7</v>
      </c>
      <c r="B9" s="330" t="s">
        <v>510</v>
      </c>
      <c r="C9" s="267">
        <v>792</v>
      </c>
      <c r="D9" s="331">
        <v>8</v>
      </c>
      <c r="E9" s="34" t="s">
        <v>511</v>
      </c>
      <c r="F9">
        <v>317</v>
      </c>
    </row>
    <row r="10" ht="20.1" customHeight="1" spans="1:5">
      <c r="A10" s="329">
        <v>8</v>
      </c>
      <c r="B10" s="330" t="s">
        <v>512</v>
      </c>
      <c r="C10" s="267">
        <v>792</v>
      </c>
      <c r="D10" s="331">
        <v>12</v>
      </c>
      <c r="E10" s="34" t="s">
        <v>513</v>
      </c>
    </row>
    <row r="11" ht="20.1" customHeight="1" spans="1:5">
      <c r="A11" s="329">
        <v>9</v>
      </c>
      <c r="B11" s="330" t="s">
        <v>514</v>
      </c>
      <c r="C11" s="267">
        <v>795</v>
      </c>
      <c r="D11" s="331">
        <v>4</v>
      </c>
      <c r="E11" s="34" t="s">
        <v>515</v>
      </c>
    </row>
    <row r="12" ht="20.1" customHeight="1" spans="1:5">
      <c r="A12" s="329">
        <v>10</v>
      </c>
      <c r="B12" s="330" t="s">
        <v>516</v>
      </c>
      <c r="C12" s="267">
        <v>795</v>
      </c>
      <c r="D12" s="331">
        <v>5</v>
      </c>
      <c r="E12" s="34" t="s">
        <v>517</v>
      </c>
    </row>
    <row r="13" ht="20.1" customHeight="1" spans="1:6">
      <c r="A13" s="329">
        <v>11</v>
      </c>
      <c r="B13" s="330" t="s">
        <v>518</v>
      </c>
      <c r="C13" s="267">
        <v>796</v>
      </c>
      <c r="D13" s="331">
        <v>4</v>
      </c>
      <c r="E13" s="34" t="s">
        <v>519</v>
      </c>
      <c r="F13" t="s">
        <v>520</v>
      </c>
    </row>
    <row r="14" ht="20.1" customHeight="1" spans="1:5">
      <c r="A14" s="329">
        <v>12</v>
      </c>
      <c r="B14" s="330" t="s">
        <v>521</v>
      </c>
      <c r="C14" s="267">
        <v>796</v>
      </c>
      <c r="D14" s="331">
        <v>5</v>
      </c>
      <c r="E14" s="34" t="s">
        <v>522</v>
      </c>
    </row>
    <row r="15" ht="20.1" customHeight="1" spans="1:5">
      <c r="A15" s="329">
        <v>13</v>
      </c>
      <c r="B15" s="330" t="s">
        <v>523</v>
      </c>
      <c r="C15" s="267">
        <v>797</v>
      </c>
      <c r="D15" s="331">
        <v>4</v>
      </c>
      <c r="E15" s="34" t="s">
        <v>524</v>
      </c>
    </row>
    <row r="16" ht="20.1" customHeight="1" spans="1:5">
      <c r="A16" s="329">
        <v>14</v>
      </c>
      <c r="B16" s="330" t="s">
        <v>525</v>
      </c>
      <c r="C16" s="267">
        <v>797</v>
      </c>
      <c r="D16" s="331">
        <v>5</v>
      </c>
      <c r="E16" s="34" t="s">
        <v>526</v>
      </c>
    </row>
    <row r="17" ht="20.1" customHeight="1" spans="1:5">
      <c r="A17" s="329">
        <v>15</v>
      </c>
      <c r="B17" s="330" t="s">
        <v>527</v>
      </c>
      <c r="C17" s="267">
        <v>798</v>
      </c>
      <c r="D17" s="331">
        <v>4</v>
      </c>
      <c r="E17" s="34" t="s">
        <v>528</v>
      </c>
    </row>
    <row r="18" ht="20.1" customHeight="1" spans="1:5">
      <c r="A18" s="329">
        <v>16</v>
      </c>
      <c r="B18" s="330" t="s">
        <v>529</v>
      </c>
      <c r="C18" s="267">
        <v>798</v>
      </c>
      <c r="D18" s="331">
        <v>5</v>
      </c>
      <c r="E18" s="34" t="s">
        <v>530</v>
      </c>
    </row>
    <row r="19" ht="20.1" customHeight="1" spans="1:5">
      <c r="A19" s="329">
        <v>17</v>
      </c>
      <c r="B19" s="330" t="s">
        <v>531</v>
      </c>
      <c r="C19" s="267">
        <v>627</v>
      </c>
      <c r="D19" s="331">
        <v>3</v>
      </c>
      <c r="E19" s="34" t="s">
        <v>532</v>
      </c>
    </row>
    <row r="20" ht="20.1" customHeight="1" spans="1:6">
      <c r="A20" s="329">
        <v>18</v>
      </c>
      <c r="B20" s="330" t="s">
        <v>533</v>
      </c>
      <c r="C20" s="267">
        <v>627</v>
      </c>
      <c r="D20" s="331">
        <v>4</v>
      </c>
      <c r="E20" s="34" t="s">
        <v>534</v>
      </c>
      <c r="F20">
        <v>273</v>
      </c>
    </row>
    <row r="21" ht="20.1" customHeight="1" spans="1:5">
      <c r="A21" s="329">
        <v>19</v>
      </c>
      <c r="B21" s="332" t="s">
        <v>535</v>
      </c>
      <c r="C21" s="267">
        <v>629</v>
      </c>
      <c r="D21" s="331">
        <v>12</v>
      </c>
      <c r="E21" s="34" t="s">
        <v>536</v>
      </c>
    </row>
    <row r="22" ht="20.1" customHeight="1" spans="1:5">
      <c r="A22" s="329">
        <v>20</v>
      </c>
      <c r="B22" s="332" t="s">
        <v>537</v>
      </c>
      <c r="C22" s="267">
        <v>806</v>
      </c>
      <c r="D22" s="331">
        <v>4</v>
      </c>
      <c r="E22" s="34" t="s">
        <v>538</v>
      </c>
    </row>
    <row r="23" ht="20.1" customHeight="1" spans="1:5">
      <c r="A23" s="329">
        <v>21</v>
      </c>
      <c r="B23" s="330" t="s">
        <v>539</v>
      </c>
      <c r="C23" s="267">
        <v>116</v>
      </c>
      <c r="D23" s="331">
        <v>4</v>
      </c>
      <c r="E23" s="34" t="s">
        <v>540</v>
      </c>
    </row>
    <row r="24" ht="20.1" customHeight="1" spans="1:5">
      <c r="A24" s="329">
        <v>22</v>
      </c>
      <c r="B24" s="330" t="s">
        <v>541</v>
      </c>
      <c r="C24" s="267">
        <v>117</v>
      </c>
      <c r="D24" s="331">
        <v>4</v>
      </c>
      <c r="E24" s="34" t="s">
        <v>542</v>
      </c>
    </row>
    <row r="25" ht="17.25" customHeight="1" spans="1:5">
      <c r="A25" s="329">
        <v>23</v>
      </c>
      <c r="B25" s="5" t="s">
        <v>543</v>
      </c>
      <c r="C25" s="267">
        <v>116</v>
      </c>
      <c r="D25" s="331">
        <v>5</v>
      </c>
      <c r="E25" s="34" t="s">
        <v>544</v>
      </c>
    </row>
    <row r="26" ht="23.25" customHeight="1" spans="1:5">
      <c r="A26" s="333">
        <v>24</v>
      </c>
      <c r="B26" s="334" t="s">
        <v>545</v>
      </c>
      <c r="C26" s="335">
        <v>117</v>
      </c>
      <c r="D26" s="336">
        <v>5</v>
      </c>
      <c r="E26" s="34" t="s">
        <v>546</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36"/>
  <sheetViews>
    <sheetView workbookViewId="0">
      <pane ySplit="2" topLeftCell="A3" activePane="bottomLeft" state="frozen"/>
      <selection/>
      <selection pane="bottomLeft" activeCell="C10" sqref="C10:E10"/>
    </sheetView>
  </sheetViews>
  <sheetFormatPr defaultColWidth="22.375" defaultRowHeight="13.5"/>
  <cols>
    <col min="1" max="1" width="5.25" style="293" customWidth="1"/>
    <col min="2" max="2" width="9" style="293" customWidth="1"/>
    <col min="3" max="3" width="32.5" style="278" customWidth="1"/>
    <col min="4" max="4" width="8.75" style="293" customWidth="1"/>
    <col min="5" max="5" width="7.25" style="294" customWidth="1"/>
    <col min="6" max="6" width="45" style="278" customWidth="1"/>
    <col min="7" max="7" width="7.125" customWidth="1"/>
    <col min="8" max="8" width="14.625" style="295" customWidth="1"/>
    <col min="9" max="9" width="45.75" style="295" customWidth="1"/>
    <col min="10" max="10" width="49.875" customWidth="1"/>
  </cols>
  <sheetData>
    <row r="1" ht="30" spans="1:11">
      <c r="A1" s="296" t="s">
        <v>99</v>
      </c>
      <c r="B1" s="296" t="s">
        <v>113</v>
      </c>
      <c r="C1" s="297" t="s">
        <v>101</v>
      </c>
      <c r="D1" s="297" t="s">
        <v>547</v>
      </c>
      <c r="E1" s="297" t="s">
        <v>548</v>
      </c>
      <c r="F1" s="298" t="s">
        <v>250</v>
      </c>
      <c r="G1" s="299" t="s">
        <v>549</v>
      </c>
      <c r="H1" s="300"/>
      <c r="I1" s="313" t="s">
        <v>550</v>
      </c>
      <c r="J1" s="314"/>
      <c r="K1" s="314"/>
    </row>
    <row r="2" ht="16.5" spans="1:11">
      <c r="A2" s="141">
        <v>1</v>
      </c>
      <c r="B2" s="140" t="s">
        <v>128</v>
      </c>
      <c r="C2" s="137" t="s">
        <v>551</v>
      </c>
      <c r="D2" s="138">
        <v>521300</v>
      </c>
      <c r="E2" s="138">
        <v>17</v>
      </c>
      <c r="F2" s="137" t="s">
        <v>552</v>
      </c>
      <c r="G2" s="301"/>
      <c r="H2" s="302"/>
      <c r="I2" s="302"/>
      <c r="J2" s="314"/>
      <c r="K2" s="314"/>
    </row>
    <row r="3" ht="16.5" spans="1:11">
      <c r="A3" s="141">
        <v>2</v>
      </c>
      <c r="B3" s="303" t="s">
        <v>120</v>
      </c>
      <c r="C3" s="137" t="s">
        <v>553</v>
      </c>
      <c r="D3" s="138">
        <v>521300</v>
      </c>
      <c r="E3" s="138">
        <v>18</v>
      </c>
      <c r="F3" s="137" t="s">
        <v>554</v>
      </c>
      <c r="G3" s="301"/>
      <c r="H3" s="302"/>
      <c r="I3" s="302"/>
      <c r="J3" s="314"/>
      <c r="K3" s="314"/>
    </row>
    <row r="4" ht="16.5" spans="1:11">
      <c r="A4" s="141">
        <v>3</v>
      </c>
      <c r="B4" s="303" t="s">
        <v>120</v>
      </c>
      <c r="C4" s="137" t="s">
        <v>555</v>
      </c>
      <c r="D4" s="138">
        <v>521300</v>
      </c>
      <c r="E4" s="138">
        <v>1</v>
      </c>
      <c r="F4" s="137" t="s">
        <v>556</v>
      </c>
      <c r="G4" s="301"/>
      <c r="H4" s="302"/>
      <c r="I4" s="302"/>
      <c r="J4" s="314"/>
      <c r="K4" s="314"/>
    </row>
    <row r="5" ht="16.5" spans="1:11">
      <c r="A5" s="141">
        <v>4</v>
      </c>
      <c r="B5" s="140" t="s">
        <v>128</v>
      </c>
      <c r="C5" s="137" t="s">
        <v>557</v>
      </c>
      <c r="D5" s="138">
        <v>521301</v>
      </c>
      <c r="E5" s="138">
        <v>15</v>
      </c>
      <c r="F5" s="137" t="s">
        <v>558</v>
      </c>
      <c r="G5" s="301"/>
      <c r="H5" s="302"/>
      <c r="I5" s="302"/>
      <c r="J5" s="314"/>
      <c r="K5" s="314"/>
    </row>
    <row r="6" ht="16.5" spans="1:11">
      <c r="A6" s="141">
        <v>5</v>
      </c>
      <c r="B6" s="303" t="s">
        <v>120</v>
      </c>
      <c r="C6" s="137" t="s">
        <v>559</v>
      </c>
      <c r="D6" s="138">
        <v>521301</v>
      </c>
      <c r="E6" s="138">
        <v>16</v>
      </c>
      <c r="F6" s="137" t="s">
        <v>560</v>
      </c>
      <c r="G6" s="301"/>
      <c r="H6" s="302"/>
      <c r="I6" s="302"/>
      <c r="J6" s="314"/>
      <c r="K6" s="314"/>
    </row>
    <row r="7" ht="16.5" spans="1:11">
      <c r="A7" s="141">
        <v>6</v>
      </c>
      <c r="B7" s="303" t="s">
        <v>120</v>
      </c>
      <c r="C7" s="137" t="s">
        <v>561</v>
      </c>
      <c r="D7" s="138">
        <v>521301</v>
      </c>
      <c r="E7" s="138">
        <v>0</v>
      </c>
      <c r="F7" s="137" t="s">
        <v>562</v>
      </c>
      <c r="G7" s="301"/>
      <c r="H7" s="302"/>
      <c r="I7" s="302"/>
      <c r="J7" s="314"/>
      <c r="K7" s="314"/>
    </row>
    <row r="8" ht="16.5" spans="1:11">
      <c r="A8" s="141">
        <v>7</v>
      </c>
      <c r="B8" s="141"/>
      <c r="C8" s="137" t="s">
        <v>563</v>
      </c>
      <c r="D8" s="138">
        <v>521301</v>
      </c>
      <c r="E8" s="138">
        <v>17</v>
      </c>
      <c r="F8" s="137" t="s">
        <v>564</v>
      </c>
      <c r="G8" s="86" t="s">
        <v>385</v>
      </c>
      <c r="H8" s="302"/>
      <c r="I8" s="302"/>
      <c r="J8" s="314"/>
      <c r="K8" s="314"/>
    </row>
    <row r="9" ht="16.5" spans="1:11">
      <c r="A9" s="141">
        <v>8</v>
      </c>
      <c r="B9" s="141"/>
      <c r="C9" s="137" t="s">
        <v>565</v>
      </c>
      <c r="D9" s="138">
        <v>521301</v>
      </c>
      <c r="E9" s="138">
        <v>18</v>
      </c>
      <c r="F9" s="137" t="s">
        <v>566</v>
      </c>
      <c r="G9" s="301"/>
      <c r="H9" s="302"/>
      <c r="I9" s="302"/>
      <c r="J9" s="314"/>
      <c r="K9" s="314"/>
    </row>
    <row r="10" ht="16.5" spans="1:11">
      <c r="A10" s="141">
        <v>9</v>
      </c>
      <c r="B10" s="140" t="s">
        <v>128</v>
      </c>
      <c r="C10" s="137" t="s">
        <v>567</v>
      </c>
      <c r="D10" s="138">
        <v>521301</v>
      </c>
      <c r="E10" s="138">
        <v>1</v>
      </c>
      <c r="F10" s="137" t="s">
        <v>568</v>
      </c>
      <c r="G10" s="301"/>
      <c r="H10" s="302"/>
      <c r="I10" s="302"/>
      <c r="J10" s="314"/>
      <c r="K10" s="314"/>
    </row>
    <row r="11" ht="16.5" spans="1:11">
      <c r="A11" s="141">
        <v>10</v>
      </c>
      <c r="B11" s="304" t="s">
        <v>333</v>
      </c>
      <c r="C11" s="137" t="s">
        <v>569</v>
      </c>
      <c r="D11" s="138">
        <v>521302</v>
      </c>
      <c r="E11" s="138">
        <v>15</v>
      </c>
      <c r="F11" s="137" t="s">
        <v>570</v>
      </c>
      <c r="G11" s="301"/>
      <c r="H11" s="302"/>
      <c r="I11" s="302"/>
      <c r="J11" s="314"/>
      <c r="K11" s="314"/>
    </row>
    <row r="12" ht="16.5" spans="1:11">
      <c r="A12" s="141">
        <v>11</v>
      </c>
      <c r="B12" s="304" t="s">
        <v>118</v>
      </c>
      <c r="C12" s="137" t="s">
        <v>571</v>
      </c>
      <c r="D12" s="138">
        <v>521302</v>
      </c>
      <c r="E12" s="138">
        <v>16</v>
      </c>
      <c r="F12" s="137" t="s">
        <v>572</v>
      </c>
      <c r="G12" s="301"/>
      <c r="H12" s="302"/>
      <c r="I12" s="302"/>
      <c r="J12" s="314"/>
      <c r="K12" s="314"/>
    </row>
    <row r="13" ht="16.5" spans="1:11">
      <c r="A13" s="141">
        <v>12</v>
      </c>
      <c r="B13" s="140" t="s">
        <v>128</v>
      </c>
      <c r="C13" s="137" t="s">
        <v>573</v>
      </c>
      <c r="D13" s="138">
        <v>521302</v>
      </c>
      <c r="E13" s="138">
        <v>0</v>
      </c>
      <c r="F13" s="137" t="s">
        <v>574</v>
      </c>
      <c r="G13" s="301"/>
      <c r="H13" s="302"/>
      <c r="I13" s="302"/>
      <c r="J13" s="314"/>
      <c r="K13" s="314"/>
    </row>
    <row r="14" ht="16.5" spans="1:11">
      <c r="A14" s="141">
        <v>13</v>
      </c>
      <c r="B14" s="141"/>
      <c r="C14" s="137" t="s">
        <v>575</v>
      </c>
      <c r="D14" s="138">
        <v>521303</v>
      </c>
      <c r="E14" s="138">
        <v>0</v>
      </c>
      <c r="F14" s="137" t="s">
        <v>576</v>
      </c>
      <c r="G14" s="301"/>
      <c r="H14" s="302"/>
      <c r="I14" s="302"/>
      <c r="J14" s="314"/>
      <c r="K14" s="314"/>
    </row>
    <row r="15" ht="16.5" spans="1:11">
      <c r="A15" s="141">
        <v>14</v>
      </c>
      <c r="B15" s="141"/>
      <c r="C15" s="137" t="s">
        <v>577</v>
      </c>
      <c r="D15" s="138">
        <v>521303</v>
      </c>
      <c r="E15" s="138">
        <v>1</v>
      </c>
      <c r="F15" s="137" t="s">
        <v>578</v>
      </c>
      <c r="G15" s="301"/>
      <c r="H15" s="302"/>
      <c r="I15" s="302"/>
      <c r="J15" s="314"/>
      <c r="K15" s="314"/>
    </row>
    <row r="16" ht="16.5" spans="1:11">
      <c r="A16" s="141">
        <v>15</v>
      </c>
      <c r="B16" s="304" t="s">
        <v>118</v>
      </c>
      <c r="C16" s="137" t="s">
        <v>579</v>
      </c>
      <c r="D16" s="138">
        <v>521304</v>
      </c>
      <c r="E16" s="138">
        <v>15</v>
      </c>
      <c r="F16" s="137" t="s">
        <v>580</v>
      </c>
      <c r="G16" s="86" t="s">
        <v>385</v>
      </c>
      <c r="H16" s="302"/>
      <c r="I16" s="302"/>
      <c r="J16" s="314"/>
      <c r="K16" s="314"/>
    </row>
    <row r="17" ht="16.5" spans="1:11">
      <c r="A17" s="141">
        <v>16</v>
      </c>
      <c r="B17" s="304" t="s">
        <v>118</v>
      </c>
      <c r="C17" s="137" t="s">
        <v>581</v>
      </c>
      <c r="D17" s="138">
        <v>521304</v>
      </c>
      <c r="E17" s="138">
        <v>16</v>
      </c>
      <c r="F17" s="137" t="s">
        <v>582</v>
      </c>
      <c r="G17" s="301"/>
      <c r="H17" s="302"/>
      <c r="I17" s="302"/>
      <c r="J17" s="314"/>
      <c r="K17" s="314"/>
    </row>
    <row r="18" ht="16.5" spans="1:11">
      <c r="A18" s="141">
        <v>17</v>
      </c>
      <c r="B18" s="304" t="s">
        <v>118</v>
      </c>
      <c r="C18" s="137" t="s">
        <v>583</v>
      </c>
      <c r="D18" s="138">
        <v>521304</v>
      </c>
      <c r="E18" s="138">
        <v>0</v>
      </c>
      <c r="F18" s="137" t="s">
        <v>584</v>
      </c>
      <c r="G18" s="301"/>
      <c r="H18" s="302"/>
      <c r="I18" s="302"/>
      <c r="J18" s="314"/>
      <c r="K18" s="314"/>
    </row>
    <row r="19" ht="16.5" spans="1:11">
      <c r="A19" s="141">
        <v>18</v>
      </c>
      <c r="B19" s="140" t="s">
        <v>128</v>
      </c>
      <c r="C19" s="137" t="s">
        <v>585</v>
      </c>
      <c r="D19" s="138">
        <v>521304</v>
      </c>
      <c r="E19" s="138">
        <v>17</v>
      </c>
      <c r="F19" s="137" t="s">
        <v>586</v>
      </c>
      <c r="G19" s="301"/>
      <c r="H19" s="302"/>
      <c r="I19" s="302"/>
      <c r="J19" s="314"/>
      <c r="K19" s="314"/>
    </row>
    <row r="20" ht="16.5" spans="1:11">
      <c r="A20" s="141">
        <v>19</v>
      </c>
      <c r="B20" s="303" t="s">
        <v>120</v>
      </c>
      <c r="C20" s="137" t="s">
        <v>587</v>
      </c>
      <c r="D20" s="138">
        <v>521304</v>
      </c>
      <c r="E20" s="138">
        <v>18</v>
      </c>
      <c r="F20" s="137" t="s">
        <v>588</v>
      </c>
      <c r="G20" s="301"/>
      <c r="H20" s="302"/>
      <c r="I20" s="302"/>
      <c r="J20" s="314"/>
      <c r="K20" s="314"/>
    </row>
    <row r="21" ht="16.5" spans="1:11">
      <c r="A21" s="141">
        <v>20</v>
      </c>
      <c r="B21" s="303" t="s">
        <v>120</v>
      </c>
      <c r="C21" s="137" t="s">
        <v>589</v>
      </c>
      <c r="D21" s="138">
        <v>521304</v>
      </c>
      <c r="E21" s="138">
        <v>1</v>
      </c>
      <c r="F21" s="137" t="s">
        <v>590</v>
      </c>
      <c r="G21" s="301"/>
      <c r="H21" s="302"/>
      <c r="I21" s="302"/>
      <c r="J21" s="314"/>
      <c r="K21" s="314"/>
    </row>
    <row r="22" ht="16.5" spans="1:11">
      <c r="A22" s="141">
        <v>21</v>
      </c>
      <c r="B22" s="140" t="s">
        <v>128</v>
      </c>
      <c r="C22" s="136" t="s">
        <v>591</v>
      </c>
      <c r="D22" s="138">
        <v>521304</v>
      </c>
      <c r="E22" s="138">
        <v>23</v>
      </c>
      <c r="F22" s="137" t="s">
        <v>592</v>
      </c>
      <c r="G22" s="301"/>
      <c r="H22" s="302"/>
      <c r="I22" s="302"/>
      <c r="J22" s="314"/>
      <c r="K22" s="314"/>
    </row>
    <row r="23" ht="16.5" spans="1:11">
      <c r="A23" s="141">
        <v>22</v>
      </c>
      <c r="B23" s="304" t="s">
        <v>118</v>
      </c>
      <c r="C23" s="137" t="s">
        <v>593</v>
      </c>
      <c r="D23" s="138">
        <v>521305</v>
      </c>
      <c r="E23" s="138">
        <v>15</v>
      </c>
      <c r="F23" s="137" t="s">
        <v>594</v>
      </c>
      <c r="G23" s="86" t="s">
        <v>385</v>
      </c>
      <c r="H23" s="302"/>
      <c r="I23" s="302"/>
      <c r="J23" s="314"/>
      <c r="K23" s="314"/>
    </row>
    <row r="24" ht="16.5" spans="1:11">
      <c r="A24" s="141">
        <v>23</v>
      </c>
      <c r="B24" s="304" t="s">
        <v>118</v>
      </c>
      <c r="C24" s="137" t="s">
        <v>595</v>
      </c>
      <c r="D24" s="138">
        <v>521305</v>
      </c>
      <c r="E24" s="138">
        <v>16</v>
      </c>
      <c r="F24" s="137" t="s">
        <v>596</v>
      </c>
      <c r="G24" s="301"/>
      <c r="H24" s="302"/>
      <c r="I24" s="302"/>
      <c r="J24" s="314"/>
      <c r="K24" s="314"/>
    </row>
    <row r="25" ht="16.5" spans="1:11">
      <c r="A25" s="141">
        <v>24</v>
      </c>
      <c r="B25" s="304" t="s">
        <v>118</v>
      </c>
      <c r="C25" s="137" t="s">
        <v>597</v>
      </c>
      <c r="D25" s="138">
        <v>521305</v>
      </c>
      <c r="E25" s="138">
        <v>0</v>
      </c>
      <c r="F25" s="137" t="s">
        <v>598</v>
      </c>
      <c r="G25" s="301"/>
      <c r="H25" s="302"/>
      <c r="I25" s="302"/>
      <c r="J25" s="314"/>
      <c r="K25" s="314"/>
    </row>
    <row r="26" ht="16.5" spans="1:11">
      <c r="A26" s="141">
        <v>25</v>
      </c>
      <c r="B26" s="140" t="s">
        <v>128</v>
      </c>
      <c r="C26" s="137" t="s">
        <v>599</v>
      </c>
      <c r="D26" s="138">
        <v>521305</v>
      </c>
      <c r="E26" s="138">
        <v>17</v>
      </c>
      <c r="F26" s="137" t="s">
        <v>600</v>
      </c>
      <c r="G26" s="301"/>
      <c r="H26" s="302"/>
      <c r="I26" s="302"/>
      <c r="J26" s="314"/>
      <c r="K26" s="314"/>
    </row>
    <row r="27" ht="16.5" spans="1:11">
      <c r="A27" s="141">
        <v>26</v>
      </c>
      <c r="B27" s="303" t="s">
        <v>120</v>
      </c>
      <c r="C27" s="137" t="s">
        <v>601</v>
      </c>
      <c r="D27" s="138">
        <v>521305</v>
      </c>
      <c r="E27" s="138">
        <v>18</v>
      </c>
      <c r="F27" s="137" t="s">
        <v>602</v>
      </c>
      <c r="G27" s="301"/>
      <c r="H27" s="302"/>
      <c r="I27" s="302"/>
      <c r="J27" s="314"/>
      <c r="K27" s="314"/>
    </row>
    <row r="28" ht="16.5" spans="1:11">
      <c r="A28" s="141">
        <v>27</v>
      </c>
      <c r="B28" s="303" t="s">
        <v>120</v>
      </c>
      <c r="C28" s="137" t="s">
        <v>603</v>
      </c>
      <c r="D28" s="138">
        <v>521305</v>
      </c>
      <c r="E28" s="138">
        <v>1</v>
      </c>
      <c r="F28" s="137" t="s">
        <v>604</v>
      </c>
      <c r="G28" s="301"/>
      <c r="H28" s="302"/>
      <c r="I28" s="302"/>
      <c r="J28" s="314"/>
      <c r="K28" s="314"/>
    </row>
    <row r="29" ht="16.5" spans="1:11">
      <c r="A29" s="141">
        <v>28</v>
      </c>
      <c r="B29" s="303" t="s">
        <v>120</v>
      </c>
      <c r="C29" s="305" t="s">
        <v>605</v>
      </c>
      <c r="D29" s="138">
        <v>521305</v>
      </c>
      <c r="E29" s="138">
        <v>12</v>
      </c>
      <c r="F29" s="137" t="s">
        <v>606</v>
      </c>
      <c r="G29" s="301"/>
      <c r="H29" s="306" t="s">
        <v>607</v>
      </c>
      <c r="I29" s="312" t="s">
        <v>606</v>
      </c>
      <c r="J29" s="314"/>
      <c r="K29" s="314"/>
    </row>
    <row r="30" ht="16.5" spans="1:11">
      <c r="A30" s="141">
        <v>29</v>
      </c>
      <c r="B30" s="304" t="s">
        <v>118</v>
      </c>
      <c r="C30" s="137" t="s">
        <v>608</v>
      </c>
      <c r="D30" s="138">
        <v>521306</v>
      </c>
      <c r="E30" s="138">
        <v>15</v>
      </c>
      <c r="F30" s="137" t="s">
        <v>609</v>
      </c>
      <c r="G30" s="288" t="s">
        <v>385</v>
      </c>
      <c r="H30" s="307" t="s">
        <v>610</v>
      </c>
      <c r="I30" s="307" t="s">
        <v>611</v>
      </c>
      <c r="J30" s="314"/>
      <c r="K30" s="314"/>
    </row>
    <row r="31" ht="16.5" spans="1:11">
      <c r="A31" s="141">
        <v>30</v>
      </c>
      <c r="B31" s="141"/>
      <c r="C31" s="137" t="s">
        <v>612</v>
      </c>
      <c r="D31" s="138">
        <v>521306</v>
      </c>
      <c r="E31" s="138">
        <v>16</v>
      </c>
      <c r="F31" s="137" t="s">
        <v>613</v>
      </c>
      <c r="G31" s="301"/>
      <c r="H31" s="302"/>
      <c r="I31" s="302"/>
      <c r="J31" s="314"/>
      <c r="K31" s="314"/>
    </row>
    <row r="32" ht="16.5" spans="1:11">
      <c r="A32" s="141">
        <v>31</v>
      </c>
      <c r="B32" s="141"/>
      <c r="C32" s="137" t="s">
        <v>614</v>
      </c>
      <c r="D32" s="138">
        <v>521306</v>
      </c>
      <c r="E32" s="138">
        <v>0</v>
      </c>
      <c r="F32" s="137" t="s">
        <v>615</v>
      </c>
      <c r="G32" s="301"/>
      <c r="H32" s="302"/>
      <c r="I32" s="302"/>
      <c r="J32" s="314"/>
      <c r="K32" s="314"/>
    </row>
    <row r="33" ht="16.5" spans="1:11">
      <c r="A33" s="141">
        <v>32</v>
      </c>
      <c r="B33" s="304" t="s">
        <v>333</v>
      </c>
      <c r="C33" s="137" t="s">
        <v>616</v>
      </c>
      <c r="D33" s="138">
        <v>521307</v>
      </c>
      <c r="E33" s="138">
        <v>15</v>
      </c>
      <c r="F33" s="137" t="s">
        <v>617</v>
      </c>
      <c r="G33" s="86" t="s">
        <v>385</v>
      </c>
      <c r="H33" s="307" t="s">
        <v>610</v>
      </c>
      <c r="I33" s="315" t="s">
        <v>618</v>
      </c>
      <c r="J33" s="314"/>
      <c r="K33" s="314"/>
    </row>
    <row r="34" ht="16.5" spans="1:11">
      <c r="A34" s="141">
        <v>33</v>
      </c>
      <c r="B34" s="304" t="s">
        <v>118</v>
      </c>
      <c r="C34" s="137" t="s">
        <v>619</v>
      </c>
      <c r="D34" s="138">
        <v>521307</v>
      </c>
      <c r="E34" s="138">
        <v>16</v>
      </c>
      <c r="F34" s="137" t="s">
        <v>620</v>
      </c>
      <c r="G34" s="301"/>
      <c r="H34" s="307" t="s">
        <v>610</v>
      </c>
      <c r="I34" s="315" t="s">
        <v>621</v>
      </c>
      <c r="J34" s="314"/>
      <c r="K34" s="314"/>
    </row>
    <row r="35" ht="16.5" spans="1:11">
      <c r="A35" s="141">
        <v>34</v>
      </c>
      <c r="B35" s="304" t="s">
        <v>118</v>
      </c>
      <c r="C35" s="137" t="s">
        <v>622</v>
      </c>
      <c r="D35" s="138">
        <v>521307</v>
      </c>
      <c r="E35" s="138">
        <v>0</v>
      </c>
      <c r="F35" s="137" t="s">
        <v>623</v>
      </c>
      <c r="G35" s="301"/>
      <c r="H35" s="307" t="s">
        <v>610</v>
      </c>
      <c r="I35" s="315" t="s">
        <v>624</v>
      </c>
      <c r="J35" s="314"/>
      <c r="K35" s="314"/>
    </row>
    <row r="36" ht="16.5" spans="1:11">
      <c r="A36" s="141">
        <v>35</v>
      </c>
      <c r="B36" s="140" t="s">
        <v>128</v>
      </c>
      <c r="C36" s="308" t="s">
        <v>625</v>
      </c>
      <c r="D36" s="138">
        <v>521307</v>
      </c>
      <c r="E36" s="138">
        <v>6</v>
      </c>
      <c r="F36" s="137" t="s">
        <v>626</v>
      </c>
      <c r="G36" s="301"/>
      <c r="H36" s="306" t="s">
        <v>607</v>
      </c>
      <c r="I36" s="312" t="s">
        <v>626</v>
      </c>
      <c r="J36" s="314"/>
      <c r="K36" s="314"/>
    </row>
    <row r="37" ht="16.5" spans="1:11">
      <c r="A37" s="141">
        <v>36</v>
      </c>
      <c r="B37" s="304" t="s">
        <v>118</v>
      </c>
      <c r="C37" s="137" t="s">
        <v>627</v>
      </c>
      <c r="D37" s="138">
        <v>521308</v>
      </c>
      <c r="E37" s="138">
        <v>15</v>
      </c>
      <c r="F37" s="137" t="s">
        <v>628</v>
      </c>
      <c r="G37" s="301"/>
      <c r="H37" s="307" t="s">
        <v>610</v>
      </c>
      <c r="I37" s="315" t="s">
        <v>629</v>
      </c>
      <c r="J37" s="314"/>
      <c r="K37" s="314"/>
    </row>
    <row r="38" ht="16.5" spans="1:11">
      <c r="A38" s="141">
        <v>37</v>
      </c>
      <c r="B38" s="304" t="s">
        <v>118</v>
      </c>
      <c r="C38" s="137" t="s">
        <v>630</v>
      </c>
      <c r="D38" s="138">
        <v>521308</v>
      </c>
      <c r="E38" s="138">
        <v>16</v>
      </c>
      <c r="F38" s="137" t="s">
        <v>631</v>
      </c>
      <c r="G38" s="301"/>
      <c r="H38" s="307" t="s">
        <v>610</v>
      </c>
      <c r="I38" s="315" t="s">
        <v>632</v>
      </c>
      <c r="J38" s="314"/>
      <c r="K38" s="314"/>
    </row>
    <row r="39" ht="16.5" spans="1:11">
      <c r="A39" s="141">
        <v>38</v>
      </c>
      <c r="B39" s="140" t="s">
        <v>128</v>
      </c>
      <c r="C39" s="137" t="s">
        <v>633</v>
      </c>
      <c r="D39" s="138">
        <v>521308</v>
      </c>
      <c r="E39" s="138">
        <v>0</v>
      </c>
      <c r="F39" s="137" t="s">
        <v>634</v>
      </c>
      <c r="G39" s="301"/>
      <c r="H39" s="307" t="s">
        <v>610</v>
      </c>
      <c r="I39" s="315" t="s">
        <v>635</v>
      </c>
      <c r="J39" s="314"/>
      <c r="K39" s="314"/>
    </row>
    <row r="40" ht="16.5" spans="1:11">
      <c r="A40" s="141">
        <v>39</v>
      </c>
      <c r="B40" s="304" t="s">
        <v>118</v>
      </c>
      <c r="C40" s="137" t="s">
        <v>636</v>
      </c>
      <c r="D40" s="138">
        <v>521309</v>
      </c>
      <c r="E40" s="138">
        <v>17</v>
      </c>
      <c r="F40" s="137" t="s">
        <v>637</v>
      </c>
      <c r="G40" s="301"/>
      <c r="H40" s="302"/>
      <c r="I40" s="302"/>
      <c r="J40" s="314"/>
      <c r="K40" s="314"/>
    </row>
    <row r="41" ht="16.5" spans="1:11">
      <c r="A41" s="141">
        <v>40</v>
      </c>
      <c r="B41" s="140" t="s">
        <v>128</v>
      </c>
      <c r="C41" s="137" t="s">
        <v>638</v>
      </c>
      <c r="D41" s="138">
        <v>521309</v>
      </c>
      <c r="E41" s="138">
        <v>18</v>
      </c>
      <c r="F41" s="137" t="s">
        <v>639</v>
      </c>
      <c r="G41" s="301"/>
      <c r="H41" s="302"/>
      <c r="I41" s="302"/>
      <c r="J41" s="314"/>
      <c r="K41" s="314"/>
    </row>
    <row r="42" ht="16.5" spans="1:11">
      <c r="A42" s="141">
        <v>41</v>
      </c>
      <c r="B42" s="140" t="s">
        <v>128</v>
      </c>
      <c r="C42" s="137" t="s">
        <v>640</v>
      </c>
      <c r="D42" s="138">
        <v>521309</v>
      </c>
      <c r="E42" s="138">
        <v>1</v>
      </c>
      <c r="F42" s="137" t="s">
        <v>641</v>
      </c>
      <c r="G42" s="301"/>
      <c r="H42" s="302"/>
      <c r="I42" s="302"/>
      <c r="J42" s="314"/>
      <c r="K42" s="314"/>
    </row>
    <row r="43" ht="16.5" spans="1:11">
      <c r="A43" s="141">
        <v>42</v>
      </c>
      <c r="B43" s="304" t="s">
        <v>118</v>
      </c>
      <c r="C43" s="137" t="s">
        <v>642</v>
      </c>
      <c r="D43" s="138">
        <v>521309</v>
      </c>
      <c r="E43" s="138">
        <v>0</v>
      </c>
      <c r="F43" s="137" t="s">
        <v>643</v>
      </c>
      <c r="G43" s="301"/>
      <c r="H43" s="302"/>
      <c r="I43" s="302"/>
      <c r="J43" s="314"/>
      <c r="K43" s="314"/>
    </row>
    <row r="44" ht="16.5" spans="1:11">
      <c r="A44" s="141">
        <v>43</v>
      </c>
      <c r="B44" s="304" t="s">
        <v>118</v>
      </c>
      <c r="C44" s="136" t="s">
        <v>644</v>
      </c>
      <c r="D44" s="138">
        <v>521309</v>
      </c>
      <c r="E44" s="138">
        <v>2</v>
      </c>
      <c r="F44" s="137" t="s">
        <v>645</v>
      </c>
      <c r="G44" s="301"/>
      <c r="H44" s="302"/>
      <c r="I44" s="302"/>
      <c r="J44" s="314"/>
      <c r="K44" s="314"/>
    </row>
    <row r="45" ht="16.5" spans="1:11">
      <c r="A45" s="141">
        <v>44</v>
      </c>
      <c r="B45" s="303" t="s">
        <v>120</v>
      </c>
      <c r="C45" s="137" t="s">
        <v>646</v>
      </c>
      <c r="D45" s="138">
        <v>521310</v>
      </c>
      <c r="E45" s="138">
        <v>13</v>
      </c>
      <c r="F45" s="137" t="s">
        <v>647</v>
      </c>
      <c r="G45" s="301"/>
      <c r="H45" s="302"/>
      <c r="I45" s="302"/>
      <c r="J45" s="314"/>
      <c r="K45" s="314"/>
    </row>
    <row r="46" ht="16.5" spans="1:11">
      <c r="A46" s="141">
        <v>45</v>
      </c>
      <c r="B46" s="303" t="s">
        <v>120</v>
      </c>
      <c r="C46" s="137" t="s">
        <v>648</v>
      </c>
      <c r="D46" s="138">
        <v>521311</v>
      </c>
      <c r="E46" s="138">
        <v>9</v>
      </c>
      <c r="F46" s="137" t="s">
        <v>649</v>
      </c>
      <c r="G46" s="301"/>
      <c r="H46" s="302"/>
      <c r="I46" s="302"/>
      <c r="J46" s="314"/>
      <c r="K46" s="314"/>
    </row>
    <row r="47" ht="16.5" spans="1:11">
      <c r="A47" s="141">
        <v>46</v>
      </c>
      <c r="B47" s="140" t="s">
        <v>128</v>
      </c>
      <c r="C47" s="137" t="s">
        <v>650</v>
      </c>
      <c r="D47" s="138">
        <v>521312</v>
      </c>
      <c r="E47" s="138">
        <v>5</v>
      </c>
      <c r="F47" s="137" t="s">
        <v>651</v>
      </c>
      <c r="G47" s="301"/>
      <c r="H47" s="302"/>
      <c r="I47" s="302"/>
      <c r="J47" s="314"/>
      <c r="K47" s="314"/>
    </row>
    <row r="48" ht="16.5" spans="1:11">
      <c r="A48" s="141">
        <v>47</v>
      </c>
      <c r="B48" s="141"/>
      <c r="C48" s="137" t="s">
        <v>652</v>
      </c>
      <c r="D48" s="138">
        <v>521313</v>
      </c>
      <c r="E48" s="138">
        <v>13</v>
      </c>
      <c r="F48" s="137" t="s">
        <v>653</v>
      </c>
      <c r="G48" s="301"/>
      <c r="H48" s="302"/>
      <c r="I48" s="302"/>
      <c r="J48" s="314"/>
      <c r="K48" s="314"/>
    </row>
    <row r="49" ht="16.5" spans="1:11">
      <c r="A49" s="141">
        <v>48</v>
      </c>
      <c r="B49" s="141"/>
      <c r="C49" s="309" t="s">
        <v>654</v>
      </c>
      <c r="D49" s="310">
        <v>521314</v>
      </c>
      <c r="E49" s="310"/>
      <c r="F49" s="309" t="s">
        <v>655</v>
      </c>
      <c r="G49" s="301"/>
      <c r="H49" s="302"/>
      <c r="I49" s="302"/>
      <c r="J49" s="314"/>
      <c r="K49" s="314"/>
    </row>
    <row r="50" ht="16.5" spans="1:11">
      <c r="A50" s="141">
        <v>49</v>
      </c>
      <c r="B50" s="141"/>
      <c r="C50" s="137" t="s">
        <v>656</v>
      </c>
      <c r="D50" s="138">
        <v>521315</v>
      </c>
      <c r="E50" s="138">
        <v>6</v>
      </c>
      <c r="F50" s="137" t="s">
        <v>657</v>
      </c>
      <c r="G50" s="301"/>
      <c r="H50" s="302"/>
      <c r="I50" s="302"/>
      <c r="J50" s="314"/>
      <c r="K50" s="314"/>
    </row>
    <row r="51" ht="16.5" spans="1:11">
      <c r="A51" s="141">
        <v>50</v>
      </c>
      <c r="B51" s="141"/>
      <c r="C51" s="137" t="s">
        <v>658</v>
      </c>
      <c r="D51" s="138">
        <v>521316</v>
      </c>
      <c r="E51" s="138">
        <v>6</v>
      </c>
      <c r="F51" s="137" t="s">
        <v>659</v>
      </c>
      <c r="G51" s="301"/>
      <c r="H51" s="302"/>
      <c r="I51" s="302"/>
      <c r="J51" s="314"/>
      <c r="K51" s="314"/>
    </row>
    <row r="52" ht="16.5" spans="1:11">
      <c r="A52" s="141">
        <v>51</v>
      </c>
      <c r="B52" s="141"/>
      <c r="C52" s="137" t="s">
        <v>660</v>
      </c>
      <c r="D52" s="138">
        <v>521317</v>
      </c>
      <c r="E52" s="138">
        <v>12</v>
      </c>
      <c r="F52" s="137" t="s">
        <v>661</v>
      </c>
      <c r="G52" s="301"/>
      <c r="H52" s="302"/>
      <c r="I52" s="302"/>
      <c r="J52" s="314"/>
      <c r="K52" s="314"/>
    </row>
    <row r="53" ht="16.5" spans="1:11">
      <c r="A53" s="141">
        <v>52</v>
      </c>
      <c r="B53" s="141"/>
      <c r="C53" s="137" t="s">
        <v>662</v>
      </c>
      <c r="D53" s="138">
        <v>521318</v>
      </c>
      <c r="E53" s="138">
        <v>4</v>
      </c>
      <c r="F53" s="137" t="s">
        <v>663</v>
      </c>
      <c r="G53" s="301"/>
      <c r="H53" s="302"/>
      <c r="I53" s="302"/>
      <c r="J53" s="314"/>
      <c r="K53" s="314"/>
    </row>
    <row r="54" ht="16.5" spans="1:11">
      <c r="A54" s="141">
        <v>53</v>
      </c>
      <c r="B54" s="141"/>
      <c r="C54" s="137" t="s">
        <v>664</v>
      </c>
      <c r="D54" s="138">
        <v>521319</v>
      </c>
      <c r="E54" s="138">
        <v>2</v>
      </c>
      <c r="F54" s="137" t="s">
        <v>665</v>
      </c>
      <c r="G54" s="301"/>
      <c r="H54" s="302"/>
      <c r="I54" s="302"/>
      <c r="J54" s="314"/>
      <c r="K54" s="314"/>
    </row>
    <row r="55" ht="16.5" spans="1:11">
      <c r="A55" s="141">
        <v>54</v>
      </c>
      <c r="B55" s="141"/>
      <c r="C55" s="137" t="s">
        <v>666</v>
      </c>
      <c r="D55" s="138">
        <v>521321</v>
      </c>
      <c r="E55" s="138">
        <v>2</v>
      </c>
      <c r="F55" s="137" t="s">
        <v>667</v>
      </c>
      <c r="G55" s="301"/>
      <c r="H55" s="302"/>
      <c r="I55" s="302"/>
      <c r="J55" s="314"/>
      <c r="K55" s="314"/>
    </row>
    <row r="56" ht="16.5" spans="1:11">
      <c r="A56" s="141">
        <v>55</v>
      </c>
      <c r="B56" s="141"/>
      <c r="C56" s="137" t="s">
        <v>668</v>
      </c>
      <c r="D56" s="138">
        <v>521322</v>
      </c>
      <c r="E56" s="138">
        <v>2</v>
      </c>
      <c r="F56" s="137" t="s">
        <v>669</v>
      </c>
      <c r="G56" s="301"/>
      <c r="H56" s="302"/>
      <c r="I56" s="302"/>
      <c r="J56" s="314"/>
      <c r="K56" s="314"/>
    </row>
    <row r="57" ht="16.5" spans="1:11">
      <c r="A57" s="141">
        <v>56</v>
      </c>
      <c r="B57" s="141"/>
      <c r="C57" s="137" t="s">
        <v>670</v>
      </c>
      <c r="D57" s="138">
        <v>521323</v>
      </c>
      <c r="E57" s="138">
        <v>12</v>
      </c>
      <c r="F57" s="137" t="s">
        <v>671</v>
      </c>
      <c r="G57" s="301"/>
      <c r="H57" s="302"/>
      <c r="I57" s="302"/>
      <c r="J57" s="314"/>
      <c r="K57" s="314"/>
    </row>
    <row r="58" ht="16.5" spans="1:11">
      <c r="A58" s="141">
        <v>57</v>
      </c>
      <c r="B58" s="141"/>
      <c r="C58" s="137" t="s">
        <v>672</v>
      </c>
      <c r="D58" s="138">
        <v>521324</v>
      </c>
      <c r="E58" s="138">
        <v>2</v>
      </c>
      <c r="F58" s="137" t="s">
        <v>673</v>
      </c>
      <c r="G58" s="301"/>
      <c r="H58" s="302"/>
      <c r="I58" s="302"/>
      <c r="J58" s="314"/>
      <c r="K58" s="314"/>
    </row>
    <row r="59" ht="16.5" spans="1:11">
      <c r="A59" s="141">
        <v>58</v>
      </c>
      <c r="B59" s="141"/>
      <c r="C59" s="137" t="s">
        <v>674</v>
      </c>
      <c r="D59" s="138">
        <v>521325</v>
      </c>
      <c r="E59" s="138">
        <v>3</v>
      </c>
      <c r="F59" s="137" t="s">
        <v>675</v>
      </c>
      <c r="G59" s="301"/>
      <c r="H59" s="302"/>
      <c r="I59" s="302"/>
      <c r="J59" s="314"/>
      <c r="K59" s="314"/>
    </row>
    <row r="60" ht="16.5" spans="1:11">
      <c r="A60" s="141">
        <v>59</v>
      </c>
      <c r="B60" s="303" t="s">
        <v>120</v>
      </c>
      <c r="C60" s="137" t="s">
        <v>676</v>
      </c>
      <c r="D60" s="138">
        <v>521327</v>
      </c>
      <c r="E60" s="138">
        <v>5</v>
      </c>
      <c r="F60" s="137" t="s">
        <v>677</v>
      </c>
      <c r="G60" s="301"/>
      <c r="H60" s="302"/>
      <c r="I60" s="302"/>
      <c r="J60" s="314"/>
      <c r="K60" s="314"/>
    </row>
    <row r="61" ht="16.5" spans="1:11">
      <c r="A61" s="141">
        <v>60</v>
      </c>
      <c r="B61" s="140" t="s">
        <v>128</v>
      </c>
      <c r="C61" s="137" t="s">
        <v>678</v>
      </c>
      <c r="D61" s="138">
        <v>521327</v>
      </c>
      <c r="E61" s="138">
        <v>3</v>
      </c>
      <c r="F61" s="137" t="s">
        <v>679</v>
      </c>
      <c r="G61" s="301"/>
      <c r="H61" s="302"/>
      <c r="I61" s="302"/>
      <c r="J61" s="314"/>
      <c r="K61" s="314"/>
    </row>
    <row r="62" ht="16.5" spans="1:11">
      <c r="A62" s="141">
        <v>61</v>
      </c>
      <c r="B62" s="303" t="s">
        <v>120</v>
      </c>
      <c r="C62" s="311" t="s">
        <v>680</v>
      </c>
      <c r="D62" s="138">
        <v>521328</v>
      </c>
      <c r="E62" s="138">
        <v>5</v>
      </c>
      <c r="F62" s="137" t="s">
        <v>681</v>
      </c>
      <c r="G62" s="301"/>
      <c r="H62" s="312" t="s">
        <v>607</v>
      </c>
      <c r="I62" s="312" t="s">
        <v>681</v>
      </c>
      <c r="J62" s="314"/>
      <c r="K62" s="314"/>
    </row>
    <row r="63" ht="16.5" spans="1:11">
      <c r="A63" s="141">
        <v>62</v>
      </c>
      <c r="B63" s="140" t="s">
        <v>128</v>
      </c>
      <c r="C63" s="311" t="s">
        <v>682</v>
      </c>
      <c r="D63" s="138">
        <v>521328</v>
      </c>
      <c r="E63" s="138">
        <v>3</v>
      </c>
      <c r="F63" s="137" t="s">
        <v>683</v>
      </c>
      <c r="G63" s="301"/>
      <c r="H63" s="312" t="s">
        <v>607</v>
      </c>
      <c r="I63" s="312" t="s">
        <v>683</v>
      </c>
      <c r="J63" s="314"/>
      <c r="K63" s="314"/>
    </row>
    <row r="64" ht="16.5" spans="1:11">
      <c r="A64" s="141">
        <v>63</v>
      </c>
      <c r="B64" s="140" t="s">
        <v>128</v>
      </c>
      <c r="C64" s="137" t="s">
        <v>684</v>
      </c>
      <c r="D64" s="138">
        <v>521329</v>
      </c>
      <c r="E64" s="138">
        <v>5</v>
      </c>
      <c r="F64" s="137" t="s">
        <v>685</v>
      </c>
      <c r="G64" s="301"/>
      <c r="H64" s="307" t="s">
        <v>610</v>
      </c>
      <c r="I64" s="315" t="s">
        <v>686</v>
      </c>
      <c r="J64" s="314"/>
      <c r="K64" s="314"/>
    </row>
    <row r="65" ht="16.5" spans="1:11">
      <c r="A65" s="141">
        <v>64</v>
      </c>
      <c r="B65" s="140" t="s">
        <v>128</v>
      </c>
      <c r="C65" s="137" t="s">
        <v>687</v>
      </c>
      <c r="D65" s="138">
        <v>521329</v>
      </c>
      <c r="E65" s="138">
        <v>3</v>
      </c>
      <c r="F65" s="137" t="s">
        <v>688</v>
      </c>
      <c r="G65" s="301"/>
      <c r="H65" s="307" t="s">
        <v>610</v>
      </c>
      <c r="I65" s="315" t="s">
        <v>689</v>
      </c>
      <c r="J65" s="314"/>
      <c r="K65" s="314"/>
    </row>
    <row r="66" ht="16.5" spans="1:11">
      <c r="A66" s="141">
        <v>65</v>
      </c>
      <c r="B66" s="141"/>
      <c r="C66" s="137" t="s">
        <v>654</v>
      </c>
      <c r="D66" s="138">
        <v>521329</v>
      </c>
      <c r="E66" s="138">
        <v>2</v>
      </c>
      <c r="F66" s="137" t="s">
        <v>690</v>
      </c>
      <c r="G66" s="301"/>
      <c r="H66" s="302"/>
      <c r="I66" s="302"/>
      <c r="J66" s="314"/>
      <c r="K66" s="314"/>
    </row>
    <row r="67" ht="16.5" spans="1:11">
      <c r="A67" s="141">
        <v>66</v>
      </c>
      <c r="B67" s="140" t="s">
        <v>128</v>
      </c>
      <c r="C67" s="137" t="s">
        <v>691</v>
      </c>
      <c r="D67" s="138">
        <v>521330</v>
      </c>
      <c r="E67" s="138">
        <v>5</v>
      </c>
      <c r="F67" s="137" t="s">
        <v>692</v>
      </c>
      <c r="G67" s="301"/>
      <c r="H67" s="307" t="s">
        <v>610</v>
      </c>
      <c r="I67" s="315" t="s">
        <v>693</v>
      </c>
      <c r="J67" s="314"/>
      <c r="K67" s="314"/>
    </row>
    <row r="68" ht="16.5" spans="1:11">
      <c r="A68" s="141">
        <v>67</v>
      </c>
      <c r="B68" s="140" t="s">
        <v>128</v>
      </c>
      <c r="C68" s="137" t="s">
        <v>694</v>
      </c>
      <c r="D68" s="138">
        <v>521330</v>
      </c>
      <c r="E68" s="138">
        <v>3</v>
      </c>
      <c r="F68" s="137" t="s">
        <v>695</v>
      </c>
      <c r="G68" s="301"/>
      <c r="H68" s="307" t="s">
        <v>610</v>
      </c>
      <c r="I68" s="315" t="s">
        <v>696</v>
      </c>
      <c r="J68" s="314"/>
      <c r="K68" s="314"/>
    </row>
    <row r="69" ht="16.5" spans="1:11">
      <c r="A69" s="141">
        <v>68</v>
      </c>
      <c r="B69" s="140" t="s">
        <v>128</v>
      </c>
      <c r="C69" s="311" t="s">
        <v>697</v>
      </c>
      <c r="D69" s="138">
        <v>521331</v>
      </c>
      <c r="E69" s="138">
        <v>5</v>
      </c>
      <c r="F69" s="137" t="s">
        <v>698</v>
      </c>
      <c r="G69" s="301"/>
      <c r="H69" s="306" t="s">
        <v>607</v>
      </c>
      <c r="I69" s="312" t="s">
        <v>698</v>
      </c>
      <c r="J69" s="314"/>
      <c r="K69" s="314"/>
    </row>
    <row r="70" ht="16.5" spans="1:11">
      <c r="A70" s="141">
        <v>69</v>
      </c>
      <c r="B70" s="140" t="s">
        <v>128</v>
      </c>
      <c r="C70" s="311" t="s">
        <v>699</v>
      </c>
      <c r="D70" s="138">
        <v>521331</v>
      </c>
      <c r="E70" s="138">
        <v>3</v>
      </c>
      <c r="F70" s="137" t="s">
        <v>700</v>
      </c>
      <c r="G70" s="301"/>
      <c r="H70" s="306" t="s">
        <v>607</v>
      </c>
      <c r="I70" s="312" t="s">
        <v>700</v>
      </c>
      <c r="J70" s="314"/>
      <c r="K70" s="314"/>
    </row>
    <row r="71" ht="16.5" spans="1:11">
      <c r="A71" s="141">
        <v>70</v>
      </c>
      <c r="B71" s="140" t="s">
        <v>128</v>
      </c>
      <c r="C71" s="311" t="s">
        <v>701</v>
      </c>
      <c r="D71" s="138">
        <v>521332</v>
      </c>
      <c r="E71" s="138">
        <v>5</v>
      </c>
      <c r="F71" s="137" t="s">
        <v>702</v>
      </c>
      <c r="G71" s="301"/>
      <c r="H71" s="306" t="s">
        <v>607</v>
      </c>
      <c r="I71" s="312" t="s">
        <v>702</v>
      </c>
      <c r="J71" s="314"/>
      <c r="K71" s="314"/>
    </row>
    <row r="72" ht="16.5" spans="1:11">
      <c r="A72" s="141">
        <v>71</v>
      </c>
      <c r="B72" s="140" t="s">
        <v>128</v>
      </c>
      <c r="C72" s="311" t="s">
        <v>703</v>
      </c>
      <c r="D72" s="138">
        <v>521332</v>
      </c>
      <c r="E72" s="138">
        <v>3</v>
      </c>
      <c r="F72" s="137" t="s">
        <v>704</v>
      </c>
      <c r="G72" s="301"/>
      <c r="H72" s="306" t="s">
        <v>607</v>
      </c>
      <c r="I72" s="312" t="s">
        <v>704</v>
      </c>
      <c r="J72" s="314"/>
      <c r="K72" s="314"/>
    </row>
    <row r="73" ht="16.5" spans="1:11">
      <c r="A73" s="141">
        <v>72</v>
      </c>
      <c r="B73" s="140" t="s">
        <v>128</v>
      </c>
      <c r="C73" s="137" t="s">
        <v>705</v>
      </c>
      <c r="D73" s="138">
        <v>521333</v>
      </c>
      <c r="E73" s="138">
        <v>5</v>
      </c>
      <c r="F73" s="137" t="s">
        <v>706</v>
      </c>
      <c r="G73" s="301"/>
      <c r="H73" s="302"/>
      <c r="I73" s="302"/>
      <c r="J73" s="314"/>
      <c r="K73" s="314"/>
    </row>
    <row r="74" ht="16.5" spans="1:11">
      <c r="A74" s="141">
        <v>73</v>
      </c>
      <c r="B74" s="303" t="s">
        <v>120</v>
      </c>
      <c r="C74" s="137" t="s">
        <v>707</v>
      </c>
      <c r="D74" s="138">
        <v>521334</v>
      </c>
      <c r="E74" s="138">
        <v>3</v>
      </c>
      <c r="F74" s="137" t="s">
        <v>708</v>
      </c>
      <c r="G74" s="301"/>
      <c r="H74" s="302"/>
      <c r="I74" s="302"/>
      <c r="J74" s="314"/>
      <c r="K74" s="314"/>
    </row>
    <row r="75" ht="16.5" spans="1:11">
      <c r="A75" s="141">
        <v>74</v>
      </c>
      <c r="B75" s="303" t="s">
        <v>120</v>
      </c>
      <c r="C75" s="137" t="s">
        <v>709</v>
      </c>
      <c r="D75" s="138">
        <v>521335</v>
      </c>
      <c r="E75" s="138">
        <v>3</v>
      </c>
      <c r="F75" s="137" t="s">
        <v>710</v>
      </c>
      <c r="G75" s="301"/>
      <c r="H75" s="302"/>
      <c r="I75" s="302"/>
      <c r="J75" s="314"/>
      <c r="K75" s="314"/>
    </row>
    <row r="76" ht="16.5" spans="1:11">
      <c r="A76" s="141">
        <v>75</v>
      </c>
      <c r="B76" s="141"/>
      <c r="C76" s="137" t="s">
        <v>711</v>
      </c>
      <c r="D76" s="138">
        <v>521336</v>
      </c>
      <c r="E76" s="138">
        <v>5</v>
      </c>
      <c r="F76" s="137" t="s">
        <v>712</v>
      </c>
      <c r="G76" s="301"/>
      <c r="H76" s="302"/>
      <c r="I76" s="302"/>
      <c r="J76" s="314"/>
      <c r="K76" s="314"/>
    </row>
    <row r="77" ht="16.5" spans="1:11">
      <c r="A77" s="141">
        <v>76</v>
      </c>
      <c r="B77" s="140" t="s">
        <v>128</v>
      </c>
      <c r="C77" s="137" t="s">
        <v>713</v>
      </c>
      <c r="D77" s="138">
        <v>521336</v>
      </c>
      <c r="E77" s="138">
        <v>16</v>
      </c>
      <c r="F77" s="137" t="s">
        <v>714</v>
      </c>
      <c r="G77" s="301"/>
      <c r="H77" s="302"/>
      <c r="I77" s="302"/>
      <c r="J77" s="314"/>
      <c r="K77" s="314"/>
    </row>
    <row r="78" ht="16.5" spans="1:11">
      <c r="A78" s="141">
        <v>77</v>
      </c>
      <c r="B78" s="303" t="s">
        <v>120</v>
      </c>
      <c r="C78" s="137" t="s">
        <v>715</v>
      </c>
      <c r="D78" s="138">
        <v>521336</v>
      </c>
      <c r="E78" s="138">
        <v>0</v>
      </c>
      <c r="F78" s="137" t="s">
        <v>716</v>
      </c>
      <c r="G78" s="301"/>
      <c r="H78" s="302"/>
      <c r="I78" s="302"/>
      <c r="J78" s="314"/>
      <c r="K78" s="314"/>
    </row>
    <row r="79" ht="16.5" spans="1:11">
      <c r="A79" s="141">
        <v>78</v>
      </c>
      <c r="B79" s="140" t="s">
        <v>128</v>
      </c>
      <c r="C79" s="137" t="s">
        <v>717</v>
      </c>
      <c r="D79" s="138">
        <v>521344</v>
      </c>
      <c r="E79" s="138">
        <v>5</v>
      </c>
      <c r="F79" s="137" t="s">
        <v>718</v>
      </c>
      <c r="G79" s="301"/>
      <c r="H79" s="307" t="s">
        <v>610</v>
      </c>
      <c r="I79" s="315" t="s">
        <v>719</v>
      </c>
      <c r="J79" s="314"/>
      <c r="K79" s="314"/>
    </row>
    <row r="80" ht="16.5" spans="1:11">
      <c r="A80" s="141">
        <v>79</v>
      </c>
      <c r="B80" s="140" t="s">
        <v>128</v>
      </c>
      <c r="C80" s="137" t="s">
        <v>720</v>
      </c>
      <c r="D80" s="138">
        <v>521344</v>
      </c>
      <c r="E80" s="138">
        <v>3</v>
      </c>
      <c r="F80" s="137" t="s">
        <v>721</v>
      </c>
      <c r="G80" s="301"/>
      <c r="H80" s="307" t="s">
        <v>610</v>
      </c>
      <c r="I80" s="315" t="s">
        <v>722</v>
      </c>
      <c r="J80" s="314"/>
      <c r="K80" s="314"/>
    </row>
    <row r="81" ht="16.5" spans="1:11">
      <c r="A81" s="141">
        <v>80</v>
      </c>
      <c r="B81" s="141"/>
      <c r="C81" s="137" t="s">
        <v>723</v>
      </c>
      <c r="D81" s="138">
        <v>521345</v>
      </c>
      <c r="E81" s="138">
        <v>13</v>
      </c>
      <c r="F81" s="137" t="s">
        <v>724</v>
      </c>
      <c r="G81" s="301"/>
      <c r="H81" s="302"/>
      <c r="I81" s="302"/>
      <c r="J81" s="314"/>
      <c r="K81" s="314"/>
    </row>
    <row r="82" ht="16.5" spans="1:11">
      <c r="A82" s="141">
        <v>81</v>
      </c>
      <c r="B82" s="141"/>
      <c r="C82" s="137" t="s">
        <v>725</v>
      </c>
      <c r="D82" s="138">
        <v>521346</v>
      </c>
      <c r="E82" s="138">
        <v>13</v>
      </c>
      <c r="F82" s="137" t="s">
        <v>726</v>
      </c>
      <c r="G82" s="301"/>
      <c r="H82" s="302"/>
      <c r="I82" s="302"/>
      <c r="J82" s="314"/>
      <c r="K82" s="314"/>
    </row>
    <row r="83" ht="16.5" spans="1:11">
      <c r="A83" s="141">
        <v>82</v>
      </c>
      <c r="B83" s="141"/>
      <c r="C83" s="137" t="s">
        <v>727</v>
      </c>
      <c r="D83" s="138">
        <v>521347</v>
      </c>
      <c r="E83" s="138">
        <v>0</v>
      </c>
      <c r="F83" s="137" t="s">
        <v>728</v>
      </c>
      <c r="G83" s="301"/>
      <c r="H83" s="302"/>
      <c r="I83" s="302"/>
      <c r="J83" s="314"/>
      <c r="K83" s="314"/>
    </row>
    <row r="84" ht="16.5" spans="1:11">
      <c r="A84" s="141">
        <v>83</v>
      </c>
      <c r="B84" s="141"/>
      <c r="C84" s="137" t="s">
        <v>729</v>
      </c>
      <c r="D84" s="141">
        <v>521348</v>
      </c>
      <c r="E84" s="138">
        <v>0</v>
      </c>
      <c r="F84" s="137" t="s">
        <v>730</v>
      </c>
      <c r="G84" s="301"/>
      <c r="H84" s="302"/>
      <c r="I84" s="302"/>
      <c r="J84" s="314"/>
      <c r="K84" s="314"/>
    </row>
    <row r="85" ht="16.5" spans="1:11">
      <c r="A85" s="141">
        <v>84</v>
      </c>
      <c r="B85" s="141"/>
      <c r="C85" s="136" t="s">
        <v>731</v>
      </c>
      <c r="D85" s="141">
        <v>521348</v>
      </c>
      <c r="E85" s="138">
        <v>2</v>
      </c>
      <c r="F85" s="137" t="s">
        <v>732</v>
      </c>
      <c r="G85" s="301"/>
      <c r="H85" s="302"/>
      <c r="I85" s="302"/>
      <c r="J85" s="314"/>
      <c r="K85" s="314"/>
    </row>
    <row r="86" ht="16.5" spans="1:11">
      <c r="A86" s="141">
        <v>85</v>
      </c>
      <c r="B86" s="141"/>
      <c r="C86" s="136" t="s">
        <v>733</v>
      </c>
      <c r="D86" s="138">
        <v>521349</v>
      </c>
      <c r="E86" s="138">
        <v>5</v>
      </c>
      <c r="F86" s="137" t="s">
        <v>734</v>
      </c>
      <c r="G86" s="301"/>
      <c r="H86" s="302"/>
      <c r="I86" s="302"/>
      <c r="J86" s="314"/>
      <c r="K86" s="314"/>
    </row>
    <row r="87" ht="16.5" spans="1:11">
      <c r="A87" s="141">
        <v>86</v>
      </c>
      <c r="B87" s="140" t="s">
        <v>128</v>
      </c>
      <c r="C87" s="136" t="s">
        <v>735</v>
      </c>
      <c r="D87" s="138">
        <v>521350</v>
      </c>
      <c r="E87" s="138">
        <v>12</v>
      </c>
      <c r="F87" s="137" t="s">
        <v>736</v>
      </c>
      <c r="G87" s="301"/>
      <c r="H87" s="302"/>
      <c r="I87" s="302"/>
      <c r="J87" s="314"/>
      <c r="K87" s="314"/>
    </row>
    <row r="88" ht="16.5" spans="1:11">
      <c r="A88" s="141">
        <v>87</v>
      </c>
      <c r="B88" s="304" t="s">
        <v>118</v>
      </c>
      <c r="C88" s="308" t="s">
        <v>737</v>
      </c>
      <c r="D88" s="138">
        <v>521353</v>
      </c>
      <c r="E88" s="138">
        <v>0</v>
      </c>
      <c r="F88" s="137" t="s">
        <v>738</v>
      </c>
      <c r="G88" s="301"/>
      <c r="H88" s="306" t="s">
        <v>607</v>
      </c>
      <c r="I88" s="306" t="s">
        <v>739</v>
      </c>
      <c r="J88" s="314"/>
      <c r="K88" s="314"/>
    </row>
    <row r="89" ht="16.5" spans="1:11">
      <c r="A89" s="141">
        <v>88</v>
      </c>
      <c r="B89" s="140" t="s">
        <v>128</v>
      </c>
      <c r="C89" s="308" t="s">
        <v>740</v>
      </c>
      <c r="D89" s="138">
        <v>521360</v>
      </c>
      <c r="E89" s="138">
        <v>15</v>
      </c>
      <c r="F89" s="137" t="s">
        <v>741</v>
      </c>
      <c r="G89" s="301"/>
      <c r="H89" s="306" t="s">
        <v>607</v>
      </c>
      <c r="I89" s="306" t="s">
        <v>742</v>
      </c>
      <c r="J89" s="314"/>
      <c r="K89" s="314"/>
    </row>
    <row r="90" ht="16.5" spans="1:11">
      <c r="A90" s="141">
        <v>89</v>
      </c>
      <c r="B90" s="140" t="s">
        <v>128</v>
      </c>
      <c r="C90" s="308" t="s">
        <v>740</v>
      </c>
      <c r="D90" s="138">
        <v>521360</v>
      </c>
      <c r="E90" s="138">
        <v>16</v>
      </c>
      <c r="F90" s="137" t="s">
        <v>743</v>
      </c>
      <c r="G90" s="301"/>
      <c r="H90" s="306" t="s">
        <v>607</v>
      </c>
      <c r="I90" s="306" t="s">
        <v>744</v>
      </c>
      <c r="J90" s="314"/>
      <c r="K90" s="314"/>
    </row>
    <row r="91" ht="16.5" spans="1:11">
      <c r="A91" s="141">
        <v>90</v>
      </c>
      <c r="B91" s="140" t="s">
        <v>128</v>
      </c>
      <c r="C91" s="308" t="s">
        <v>740</v>
      </c>
      <c r="D91" s="138">
        <v>521360</v>
      </c>
      <c r="E91" s="138">
        <v>0</v>
      </c>
      <c r="F91" s="137" t="s">
        <v>745</v>
      </c>
      <c r="G91" s="301"/>
      <c r="H91" s="306" t="s">
        <v>607</v>
      </c>
      <c r="I91" s="306" t="s">
        <v>746</v>
      </c>
      <c r="J91" s="314"/>
      <c r="K91" s="314"/>
    </row>
    <row r="92" ht="16.5" spans="1:11">
      <c r="A92" s="141">
        <v>91</v>
      </c>
      <c r="B92" s="304" t="s">
        <v>118</v>
      </c>
      <c r="C92" s="308" t="s">
        <v>747</v>
      </c>
      <c r="D92" s="138">
        <v>521361</v>
      </c>
      <c r="E92" s="138">
        <v>15</v>
      </c>
      <c r="F92" s="137" t="s">
        <v>748</v>
      </c>
      <c r="G92" s="301"/>
      <c r="H92" s="306" t="s">
        <v>607</v>
      </c>
      <c r="I92" s="306" t="s">
        <v>749</v>
      </c>
      <c r="J92" s="314"/>
      <c r="K92" s="314"/>
    </row>
    <row r="93" ht="16.5" spans="1:11">
      <c r="A93" s="141">
        <v>92</v>
      </c>
      <c r="B93" s="304" t="s">
        <v>118</v>
      </c>
      <c r="C93" s="308" t="s">
        <v>747</v>
      </c>
      <c r="D93" s="138">
        <v>521361</v>
      </c>
      <c r="E93" s="138">
        <v>16</v>
      </c>
      <c r="F93" s="137" t="s">
        <v>750</v>
      </c>
      <c r="G93" s="301"/>
      <c r="H93" s="306" t="s">
        <v>607</v>
      </c>
      <c r="I93" s="306" t="s">
        <v>751</v>
      </c>
      <c r="J93" s="314"/>
      <c r="K93" s="314"/>
    </row>
    <row r="94" ht="16.5" spans="1:11">
      <c r="A94" s="141">
        <v>93</v>
      </c>
      <c r="B94" s="304" t="s">
        <v>118</v>
      </c>
      <c r="C94" s="308" t="s">
        <v>747</v>
      </c>
      <c r="D94" s="138">
        <v>521361</v>
      </c>
      <c r="E94" s="138">
        <v>0</v>
      </c>
      <c r="F94" s="137" t="s">
        <v>752</v>
      </c>
      <c r="G94" s="301"/>
      <c r="H94" s="306" t="s">
        <v>607</v>
      </c>
      <c r="I94" s="306" t="s">
        <v>753</v>
      </c>
      <c r="J94" s="314"/>
      <c r="K94" s="314"/>
    </row>
    <row r="95" ht="16.5" spans="1:11">
      <c r="A95" s="141">
        <v>94</v>
      </c>
      <c r="B95" s="303" t="s">
        <v>120</v>
      </c>
      <c r="C95" s="311" t="s">
        <v>754</v>
      </c>
      <c r="D95" s="138">
        <v>521362</v>
      </c>
      <c r="E95" s="138">
        <v>7</v>
      </c>
      <c r="F95" s="137" t="s">
        <v>755</v>
      </c>
      <c r="G95" s="301"/>
      <c r="H95" s="306" t="s">
        <v>607</v>
      </c>
      <c r="I95" s="306" t="s">
        <v>756</v>
      </c>
      <c r="J95" s="314"/>
      <c r="K95" s="314"/>
    </row>
    <row r="96" ht="16.5" spans="1:11">
      <c r="A96" s="141">
        <v>95</v>
      </c>
      <c r="B96" s="303" t="s">
        <v>120</v>
      </c>
      <c r="C96" s="311" t="s">
        <v>757</v>
      </c>
      <c r="D96" s="138">
        <v>521363</v>
      </c>
      <c r="E96" s="138">
        <v>7</v>
      </c>
      <c r="F96" s="137" t="s">
        <v>758</v>
      </c>
      <c r="G96" s="301"/>
      <c r="H96" s="306" t="s">
        <v>607</v>
      </c>
      <c r="I96" s="306" t="s">
        <v>759</v>
      </c>
      <c r="J96" s="314"/>
      <c r="K96" s="314"/>
    </row>
    <row r="97" ht="16.5" spans="1:11">
      <c r="A97" s="141">
        <v>96</v>
      </c>
      <c r="B97" s="304" t="s">
        <v>118</v>
      </c>
      <c r="C97" s="311" t="s">
        <v>760</v>
      </c>
      <c r="D97" s="138">
        <v>521364</v>
      </c>
      <c r="E97" s="138">
        <v>12</v>
      </c>
      <c r="F97" s="137" t="s">
        <v>761</v>
      </c>
      <c r="G97" s="301"/>
      <c r="H97" s="306" t="s">
        <v>607</v>
      </c>
      <c r="I97" s="306" t="s">
        <v>762</v>
      </c>
      <c r="J97" s="314"/>
      <c r="K97" s="314"/>
    </row>
    <row r="98" ht="16.5" spans="1:11">
      <c r="A98" s="141">
        <v>97</v>
      </c>
      <c r="B98" s="140" t="s">
        <v>128</v>
      </c>
      <c r="C98" s="308" t="s">
        <v>763</v>
      </c>
      <c r="D98" s="138">
        <v>521365</v>
      </c>
      <c r="E98" s="138">
        <v>12</v>
      </c>
      <c r="F98" s="137" t="s">
        <v>764</v>
      </c>
      <c r="G98" s="301"/>
      <c r="H98" s="306" t="s">
        <v>607</v>
      </c>
      <c r="I98" s="306" t="s">
        <v>765</v>
      </c>
      <c r="J98" s="314"/>
      <c r="K98" s="314"/>
    </row>
    <row r="99" ht="16.5" spans="1:11">
      <c r="A99" s="141">
        <v>98</v>
      </c>
      <c r="B99" s="304" t="s">
        <v>118</v>
      </c>
      <c r="C99" s="311" t="s">
        <v>766</v>
      </c>
      <c r="D99" s="138">
        <v>521366</v>
      </c>
      <c r="E99" s="138">
        <v>5</v>
      </c>
      <c r="F99" s="137" t="s">
        <v>767</v>
      </c>
      <c r="G99" s="301"/>
      <c r="H99" s="306" t="s">
        <v>607</v>
      </c>
      <c r="I99" s="306" t="s">
        <v>768</v>
      </c>
      <c r="J99" s="314"/>
      <c r="K99" s="314"/>
    </row>
    <row r="100" ht="16.5" spans="1:11">
      <c r="A100" s="141">
        <v>99</v>
      </c>
      <c r="B100" s="304" t="s">
        <v>118</v>
      </c>
      <c r="C100" s="311" t="s">
        <v>769</v>
      </c>
      <c r="D100" s="138">
        <v>521366</v>
      </c>
      <c r="E100" s="138">
        <v>3</v>
      </c>
      <c r="F100" s="137" t="s">
        <v>770</v>
      </c>
      <c r="G100" s="301"/>
      <c r="H100" s="306" t="s">
        <v>607</v>
      </c>
      <c r="I100" s="306" t="s">
        <v>771</v>
      </c>
      <c r="J100" s="314"/>
      <c r="K100" s="314"/>
    </row>
    <row r="101" ht="16.5" spans="1:11">
      <c r="A101" s="141">
        <v>100</v>
      </c>
      <c r="B101" s="304" t="s">
        <v>118</v>
      </c>
      <c r="C101" s="311" t="s">
        <v>772</v>
      </c>
      <c r="D101" s="138">
        <v>521367</v>
      </c>
      <c r="E101" s="138">
        <v>5</v>
      </c>
      <c r="F101" s="137" t="s">
        <v>773</v>
      </c>
      <c r="G101" s="301"/>
      <c r="H101" s="306" t="s">
        <v>607</v>
      </c>
      <c r="I101" s="306" t="s">
        <v>774</v>
      </c>
      <c r="J101" s="314"/>
      <c r="K101" s="314"/>
    </row>
    <row r="102" ht="16.5" spans="1:11">
      <c r="A102" s="141">
        <v>101</v>
      </c>
      <c r="B102" s="304" t="s">
        <v>118</v>
      </c>
      <c r="C102" s="311" t="s">
        <v>775</v>
      </c>
      <c r="D102" s="138">
        <v>521367</v>
      </c>
      <c r="E102" s="138">
        <v>3</v>
      </c>
      <c r="F102" s="137" t="s">
        <v>776</v>
      </c>
      <c r="G102" s="301"/>
      <c r="H102" s="306" t="s">
        <v>607</v>
      </c>
      <c r="I102" s="306" t="s">
        <v>777</v>
      </c>
      <c r="J102" s="314"/>
      <c r="K102" s="314"/>
    </row>
    <row r="103" ht="16.5" spans="1:11">
      <c r="A103" s="141">
        <v>102</v>
      </c>
      <c r="B103" s="141"/>
      <c r="C103" s="316" t="s">
        <v>778</v>
      </c>
      <c r="D103" s="141">
        <v>521415</v>
      </c>
      <c r="E103" s="138">
        <v>0</v>
      </c>
      <c r="F103" s="137" t="s">
        <v>779</v>
      </c>
      <c r="G103" s="301"/>
      <c r="H103" s="302"/>
      <c r="I103" s="302"/>
      <c r="J103" s="314"/>
      <c r="K103" s="314"/>
    </row>
    <row r="104" ht="16.5" spans="1:11">
      <c r="A104" s="141">
        <v>103</v>
      </c>
      <c r="B104" s="140" t="s">
        <v>128</v>
      </c>
      <c r="C104" s="317" t="s">
        <v>780</v>
      </c>
      <c r="D104" s="141">
        <v>522138</v>
      </c>
      <c r="E104" s="138">
        <v>0</v>
      </c>
      <c r="F104" s="137" t="s">
        <v>781</v>
      </c>
      <c r="G104" s="301"/>
      <c r="H104" s="302"/>
      <c r="I104" s="302"/>
      <c r="J104" s="314"/>
      <c r="K104" s="314"/>
    </row>
    <row r="105" ht="16.5" spans="1:11">
      <c r="A105" s="141">
        <v>104</v>
      </c>
      <c r="B105" s="303" t="s">
        <v>120</v>
      </c>
      <c r="C105" s="136" t="s">
        <v>782</v>
      </c>
      <c r="D105" s="141">
        <v>522139</v>
      </c>
      <c r="E105" s="141">
        <v>1</v>
      </c>
      <c r="F105" s="137" t="s">
        <v>783</v>
      </c>
      <c r="G105" s="301"/>
      <c r="H105" s="302"/>
      <c r="I105" s="302"/>
      <c r="J105" s="314"/>
      <c r="K105" s="314"/>
    </row>
    <row r="106" ht="16.5" spans="1:11">
      <c r="A106" s="141">
        <v>105</v>
      </c>
      <c r="B106" s="140" t="s">
        <v>128</v>
      </c>
      <c r="C106" s="136" t="s">
        <v>784</v>
      </c>
      <c r="D106" s="141">
        <v>522140</v>
      </c>
      <c r="E106" s="141">
        <v>9</v>
      </c>
      <c r="F106" s="137" t="s">
        <v>785</v>
      </c>
      <c r="G106" s="301"/>
      <c r="H106" s="302"/>
      <c r="I106" s="302"/>
      <c r="J106" s="314"/>
      <c r="K106" s="314"/>
    </row>
    <row r="107" ht="16.5" spans="1:11">
      <c r="A107" s="141">
        <v>106</v>
      </c>
      <c r="B107" s="140" t="s">
        <v>128</v>
      </c>
      <c r="C107" s="136" t="s">
        <v>786</v>
      </c>
      <c r="D107" s="141">
        <v>522141</v>
      </c>
      <c r="E107" s="141">
        <v>9</v>
      </c>
      <c r="F107" s="137" t="s">
        <v>787</v>
      </c>
      <c r="G107" s="301"/>
      <c r="H107" s="302"/>
      <c r="I107" s="302"/>
      <c r="J107" s="314"/>
      <c r="K107" s="314"/>
    </row>
    <row r="108" ht="16.5" spans="1:11">
      <c r="A108" s="141">
        <v>107</v>
      </c>
      <c r="B108" s="140" t="s">
        <v>128</v>
      </c>
      <c r="C108" s="136" t="s">
        <v>788</v>
      </c>
      <c r="D108" s="141">
        <v>522142</v>
      </c>
      <c r="E108" s="141">
        <v>0</v>
      </c>
      <c r="F108" s="137" t="s">
        <v>789</v>
      </c>
      <c r="G108" s="301"/>
      <c r="H108" s="302"/>
      <c r="I108" s="302"/>
      <c r="J108" s="314"/>
      <c r="K108" s="314"/>
    </row>
    <row r="109" ht="16.5" spans="1:11">
      <c r="A109" s="141">
        <v>108</v>
      </c>
      <c r="B109" s="304" t="s">
        <v>118</v>
      </c>
      <c r="C109" s="136" t="s">
        <v>790</v>
      </c>
      <c r="D109" s="141">
        <v>522143</v>
      </c>
      <c r="E109" s="141">
        <v>5</v>
      </c>
      <c r="F109" s="137" t="s">
        <v>791</v>
      </c>
      <c r="G109" s="301"/>
      <c r="H109" s="302"/>
      <c r="I109" s="302"/>
      <c r="J109" s="314"/>
      <c r="K109" s="314"/>
    </row>
    <row r="110" ht="16.5" spans="1:11">
      <c r="A110" s="141">
        <v>109</v>
      </c>
      <c r="B110" s="304" t="s">
        <v>118</v>
      </c>
      <c r="C110" s="136" t="s">
        <v>792</v>
      </c>
      <c r="D110" s="141">
        <v>522144</v>
      </c>
      <c r="E110" s="141">
        <v>5</v>
      </c>
      <c r="F110" s="137" t="s">
        <v>793</v>
      </c>
      <c r="G110" s="301"/>
      <c r="H110" s="302"/>
      <c r="I110" s="302"/>
      <c r="J110" s="314"/>
      <c r="K110" s="314"/>
    </row>
    <row r="111" ht="16.5" spans="1:11">
      <c r="A111" s="141">
        <v>110</v>
      </c>
      <c r="B111" s="141"/>
      <c r="C111" s="136" t="s">
        <v>794</v>
      </c>
      <c r="D111" s="141">
        <v>522240</v>
      </c>
      <c r="E111" s="141">
        <v>5</v>
      </c>
      <c r="F111" s="137" t="s">
        <v>795</v>
      </c>
      <c r="G111" s="301"/>
      <c r="H111" s="302"/>
      <c r="I111" s="302"/>
      <c r="J111" s="314"/>
      <c r="K111" s="314"/>
    </row>
    <row r="112" ht="16.5" spans="1:11">
      <c r="A112" s="153">
        <v>111</v>
      </c>
      <c r="B112" s="304" t="s">
        <v>333</v>
      </c>
      <c r="C112" s="273" t="s">
        <v>796</v>
      </c>
      <c r="D112" s="252">
        <v>522240</v>
      </c>
      <c r="E112" s="252">
        <v>12</v>
      </c>
      <c r="F112" s="273" t="s">
        <v>797</v>
      </c>
      <c r="G112" s="318"/>
      <c r="H112" s="319" t="s">
        <v>798</v>
      </c>
      <c r="I112" s="321"/>
      <c r="J112" s="322" t="s">
        <v>799</v>
      </c>
      <c r="K112" s="314"/>
    </row>
    <row r="113" ht="16.5" spans="1:11">
      <c r="A113" s="141">
        <v>112</v>
      </c>
      <c r="B113" s="141"/>
      <c r="C113" s="136" t="s">
        <v>800</v>
      </c>
      <c r="D113" s="141">
        <v>522241</v>
      </c>
      <c r="E113" s="141">
        <v>16</v>
      </c>
      <c r="F113" s="137" t="s">
        <v>801</v>
      </c>
      <c r="G113" s="301"/>
      <c r="H113" s="320" t="s">
        <v>798</v>
      </c>
      <c r="I113" s="302"/>
      <c r="J113" s="314"/>
      <c r="K113" s="314"/>
    </row>
    <row r="114" ht="16.5" spans="1:11">
      <c r="A114" s="141">
        <v>113</v>
      </c>
      <c r="B114" s="141"/>
      <c r="C114" s="136" t="s">
        <v>802</v>
      </c>
      <c r="D114" s="141">
        <v>522242</v>
      </c>
      <c r="E114" s="141">
        <v>5</v>
      </c>
      <c r="F114" s="137" t="s">
        <v>803</v>
      </c>
      <c r="G114" s="301"/>
      <c r="H114" s="320" t="s">
        <v>798</v>
      </c>
      <c r="I114" s="302"/>
      <c r="J114" s="314"/>
      <c r="K114" s="314"/>
    </row>
    <row r="115" ht="16.5" spans="1:11">
      <c r="A115" s="141">
        <v>114</v>
      </c>
      <c r="B115" s="141"/>
      <c r="C115" s="136" t="s">
        <v>804</v>
      </c>
      <c r="D115" s="141">
        <v>522243</v>
      </c>
      <c r="E115" s="141">
        <v>5</v>
      </c>
      <c r="F115" s="137" t="s">
        <v>805</v>
      </c>
      <c r="G115" s="301"/>
      <c r="H115" s="320" t="s">
        <v>798</v>
      </c>
      <c r="I115" s="302"/>
      <c r="J115" s="314"/>
      <c r="K115" s="314"/>
    </row>
    <row r="116" ht="16.5" spans="1:11">
      <c r="A116" s="141">
        <v>115</v>
      </c>
      <c r="B116" s="141"/>
      <c r="C116" s="137" t="s">
        <v>800</v>
      </c>
      <c r="D116" s="141">
        <v>522244</v>
      </c>
      <c r="E116" s="141">
        <v>0</v>
      </c>
      <c r="F116" s="137" t="s">
        <v>806</v>
      </c>
      <c r="G116" s="301"/>
      <c r="H116" s="320" t="s">
        <v>798</v>
      </c>
      <c r="I116" s="302"/>
      <c r="J116" s="314"/>
      <c r="K116" s="314"/>
    </row>
    <row r="117" ht="16.5" spans="1:11">
      <c r="A117" s="141">
        <v>116</v>
      </c>
      <c r="B117" s="141"/>
      <c r="C117" s="137" t="s">
        <v>807</v>
      </c>
      <c r="D117" s="141">
        <v>522245</v>
      </c>
      <c r="E117" s="141">
        <v>9</v>
      </c>
      <c r="F117" s="137" t="s">
        <v>808</v>
      </c>
      <c r="G117" s="301"/>
      <c r="H117" s="320" t="s">
        <v>798</v>
      </c>
      <c r="I117" s="302"/>
      <c r="J117" s="314"/>
      <c r="K117" s="314"/>
    </row>
    <row r="118" ht="16.5" spans="1:11">
      <c r="A118" s="141">
        <v>117</v>
      </c>
      <c r="B118" s="141"/>
      <c r="C118" s="137" t="s">
        <v>809</v>
      </c>
      <c r="D118" s="141">
        <v>522243</v>
      </c>
      <c r="E118" s="141" t="s">
        <v>810</v>
      </c>
      <c r="F118" s="137" t="s">
        <v>811</v>
      </c>
      <c r="G118" s="301"/>
      <c r="H118" s="320" t="s">
        <v>798</v>
      </c>
      <c r="I118" s="302"/>
      <c r="J118" s="323" t="s">
        <v>812</v>
      </c>
      <c r="K118" s="314"/>
    </row>
    <row r="119" ht="16.5" spans="1:11">
      <c r="A119" s="141">
        <v>118</v>
      </c>
      <c r="B119" s="141"/>
      <c r="C119" s="137" t="s">
        <v>813</v>
      </c>
      <c r="D119" s="141" t="s">
        <v>814</v>
      </c>
      <c r="E119" s="141" t="s">
        <v>815</v>
      </c>
      <c r="F119" s="137" t="s">
        <v>816</v>
      </c>
      <c r="G119" s="301"/>
      <c r="H119" s="320" t="s">
        <v>798</v>
      </c>
      <c r="I119" s="302"/>
      <c r="J119" s="323" t="s">
        <v>812</v>
      </c>
      <c r="K119" s="314"/>
    </row>
    <row r="120" ht="16.5" spans="1:11">
      <c r="A120" s="141">
        <v>119</v>
      </c>
      <c r="B120" s="141"/>
      <c r="C120" s="137" t="s">
        <v>817</v>
      </c>
      <c r="D120" s="141" t="s">
        <v>814</v>
      </c>
      <c r="E120" s="141" t="s">
        <v>818</v>
      </c>
      <c r="F120" s="137" t="s">
        <v>819</v>
      </c>
      <c r="G120" s="301"/>
      <c r="H120" s="320" t="s">
        <v>798</v>
      </c>
      <c r="I120" s="302"/>
      <c r="J120" s="323" t="s">
        <v>812</v>
      </c>
      <c r="K120" s="314"/>
    </row>
    <row r="121" ht="16.5" spans="1:11">
      <c r="A121" s="141">
        <v>120</v>
      </c>
      <c r="B121" s="141"/>
      <c r="C121" s="137" t="s">
        <v>800</v>
      </c>
      <c r="D121" s="141">
        <v>522241</v>
      </c>
      <c r="E121" s="141">
        <v>15</v>
      </c>
      <c r="F121" s="137" t="s">
        <v>820</v>
      </c>
      <c r="G121" s="301"/>
      <c r="H121" s="320" t="s">
        <v>798</v>
      </c>
      <c r="I121" s="302"/>
      <c r="J121" s="262" t="s">
        <v>821</v>
      </c>
      <c r="K121" s="314"/>
    </row>
    <row r="122" ht="16.5" spans="1:11">
      <c r="A122" s="141">
        <v>121</v>
      </c>
      <c r="B122" s="141"/>
      <c r="C122" s="137" t="s">
        <v>800</v>
      </c>
      <c r="D122" s="141">
        <v>522241</v>
      </c>
      <c r="E122" s="141">
        <v>16</v>
      </c>
      <c r="F122" s="137" t="s">
        <v>822</v>
      </c>
      <c r="G122" s="301"/>
      <c r="H122" s="320" t="s">
        <v>798</v>
      </c>
      <c r="I122" s="302"/>
      <c r="J122" s="262" t="s">
        <v>821</v>
      </c>
      <c r="K122" s="314"/>
    </row>
    <row r="123" ht="16.5" spans="1:11">
      <c r="A123" s="141">
        <v>122</v>
      </c>
      <c r="B123" s="141"/>
      <c r="C123" s="137" t="s">
        <v>800</v>
      </c>
      <c r="D123" s="141">
        <v>522241</v>
      </c>
      <c r="E123" s="141">
        <v>0</v>
      </c>
      <c r="F123" s="137" t="s">
        <v>823</v>
      </c>
      <c r="G123" s="301"/>
      <c r="H123" s="320" t="s">
        <v>798</v>
      </c>
      <c r="I123" s="302"/>
      <c r="J123" s="262" t="s">
        <v>821</v>
      </c>
      <c r="K123" s="314"/>
    </row>
    <row r="124" ht="16.5" spans="1:11">
      <c r="A124" s="141">
        <v>123</v>
      </c>
      <c r="B124" s="141"/>
      <c r="C124" s="137" t="s">
        <v>802</v>
      </c>
      <c r="D124" s="141">
        <v>522242</v>
      </c>
      <c r="E124" s="141">
        <v>7</v>
      </c>
      <c r="F124" s="137" t="s">
        <v>824</v>
      </c>
      <c r="G124" s="301"/>
      <c r="H124" s="320" t="s">
        <v>798</v>
      </c>
      <c r="I124" s="302"/>
      <c r="J124" s="262" t="s">
        <v>821</v>
      </c>
      <c r="K124" s="314"/>
    </row>
    <row r="125" ht="16.5" spans="1:11">
      <c r="A125" s="141">
        <v>124</v>
      </c>
      <c r="B125" s="141"/>
      <c r="C125" s="137" t="s">
        <v>825</v>
      </c>
      <c r="D125" s="141">
        <v>522244</v>
      </c>
      <c r="E125" s="141">
        <v>5</v>
      </c>
      <c r="F125" s="137" t="s">
        <v>826</v>
      </c>
      <c r="G125" s="301"/>
      <c r="H125" s="320" t="s">
        <v>798</v>
      </c>
      <c r="I125" s="302"/>
      <c r="J125" s="262" t="s">
        <v>821</v>
      </c>
      <c r="K125" s="314"/>
    </row>
    <row r="126" ht="16.5" spans="1:11">
      <c r="A126" s="141">
        <v>125</v>
      </c>
      <c r="B126" s="141"/>
      <c r="C126" s="137" t="s">
        <v>827</v>
      </c>
      <c r="D126" s="141">
        <v>522239</v>
      </c>
      <c r="E126" s="141">
        <v>12</v>
      </c>
      <c r="F126" s="137" t="s">
        <v>828</v>
      </c>
      <c r="G126" s="301"/>
      <c r="H126" s="320" t="s">
        <v>798</v>
      </c>
      <c r="I126" s="302"/>
      <c r="J126" s="262" t="s">
        <v>821</v>
      </c>
      <c r="K126" s="314"/>
    </row>
    <row r="127" ht="16.5" spans="1:11">
      <c r="A127" s="141">
        <v>126</v>
      </c>
      <c r="B127" s="141"/>
      <c r="C127" s="137" t="s">
        <v>829</v>
      </c>
      <c r="D127" s="141">
        <v>522238</v>
      </c>
      <c r="E127" s="141">
        <v>13</v>
      </c>
      <c r="F127" s="137" t="s">
        <v>830</v>
      </c>
      <c r="G127" s="301"/>
      <c r="H127" s="320" t="s">
        <v>798</v>
      </c>
      <c r="I127" s="302"/>
      <c r="J127" s="262" t="s">
        <v>821</v>
      </c>
      <c r="K127" s="314"/>
    </row>
    <row r="128" ht="16.5" spans="1:11">
      <c r="A128" s="141">
        <v>127</v>
      </c>
      <c r="B128" s="141"/>
      <c r="C128" s="137" t="s">
        <v>831</v>
      </c>
      <c r="D128" s="141">
        <v>522237</v>
      </c>
      <c r="E128" s="141">
        <v>23</v>
      </c>
      <c r="F128" s="137" t="s">
        <v>832</v>
      </c>
      <c r="G128" s="301"/>
      <c r="H128" s="320" t="s">
        <v>798</v>
      </c>
      <c r="I128" s="302"/>
      <c r="J128" s="262" t="s">
        <v>821</v>
      </c>
      <c r="K128" s="324" t="s">
        <v>833</v>
      </c>
    </row>
    <row r="129" ht="16.5" spans="1:11">
      <c r="A129" s="141">
        <v>128</v>
      </c>
      <c r="B129" s="303" t="s">
        <v>120</v>
      </c>
      <c r="C129" s="273" t="s">
        <v>834</v>
      </c>
      <c r="D129" s="153">
        <v>521313</v>
      </c>
      <c r="E129" s="153">
        <v>7</v>
      </c>
      <c r="F129" s="273" t="s">
        <v>835</v>
      </c>
      <c r="G129" s="318"/>
      <c r="H129" s="321"/>
      <c r="I129" s="321"/>
      <c r="J129" s="324" t="s">
        <v>836</v>
      </c>
      <c r="K129" s="314"/>
    </row>
    <row r="130" ht="16.5" spans="1:11">
      <c r="A130" s="141">
        <v>129</v>
      </c>
      <c r="B130" s="303" t="s">
        <v>120</v>
      </c>
      <c r="C130" s="273" t="s">
        <v>837</v>
      </c>
      <c r="D130" s="153">
        <v>521316</v>
      </c>
      <c r="E130" s="153">
        <v>12</v>
      </c>
      <c r="F130" s="273" t="s">
        <v>838</v>
      </c>
      <c r="G130" s="318"/>
      <c r="H130" s="321"/>
      <c r="I130" s="321"/>
      <c r="J130" s="324" t="s">
        <v>836</v>
      </c>
      <c r="K130" s="314"/>
    </row>
    <row r="131" ht="16.5" spans="1:11">
      <c r="A131" s="141">
        <v>130</v>
      </c>
      <c r="B131" s="140" t="s">
        <v>128</v>
      </c>
      <c r="C131" s="273" t="s">
        <v>839</v>
      </c>
      <c r="D131" s="153">
        <v>521314</v>
      </c>
      <c r="E131" s="153">
        <v>3</v>
      </c>
      <c r="F131" s="273" t="s">
        <v>840</v>
      </c>
      <c r="G131" s="318"/>
      <c r="H131" s="321"/>
      <c r="I131" s="321"/>
      <c r="J131" s="324" t="s">
        <v>836</v>
      </c>
      <c r="K131" s="314"/>
    </row>
    <row r="132" ht="16.5" spans="1:11">
      <c r="A132" s="141">
        <v>131</v>
      </c>
      <c r="B132" s="140" t="s">
        <v>128</v>
      </c>
      <c r="C132" s="273" t="s">
        <v>841</v>
      </c>
      <c r="D132" s="153">
        <v>521315</v>
      </c>
      <c r="E132" s="153">
        <v>5</v>
      </c>
      <c r="F132" s="273" t="s">
        <v>842</v>
      </c>
      <c r="G132" s="318"/>
      <c r="H132" s="321"/>
      <c r="I132" s="321"/>
      <c r="J132" s="324" t="s">
        <v>836</v>
      </c>
      <c r="K132" s="314"/>
    </row>
    <row r="133" ht="16.5" spans="1:11">
      <c r="A133" s="141">
        <v>131</v>
      </c>
      <c r="B133" s="140" t="s">
        <v>128</v>
      </c>
      <c r="C133" s="273" t="s">
        <v>843</v>
      </c>
      <c r="D133" s="153">
        <v>521317</v>
      </c>
      <c r="E133" s="153">
        <v>3</v>
      </c>
      <c r="F133" s="273" t="s">
        <v>844</v>
      </c>
      <c r="G133" s="318"/>
      <c r="H133" s="321"/>
      <c r="I133" s="321"/>
      <c r="J133" s="324" t="s">
        <v>836</v>
      </c>
      <c r="K133" s="314"/>
    </row>
    <row r="134" ht="16.5" spans="1:11">
      <c r="A134" s="141">
        <v>131</v>
      </c>
      <c r="B134" s="140" t="s">
        <v>128</v>
      </c>
      <c r="C134" s="273" t="s">
        <v>845</v>
      </c>
      <c r="D134" s="153">
        <v>521318</v>
      </c>
      <c r="E134" s="153">
        <v>5</v>
      </c>
      <c r="F134" s="273" t="s">
        <v>846</v>
      </c>
      <c r="G134" s="318"/>
      <c r="H134" s="321"/>
      <c r="I134" s="321"/>
      <c r="J134" s="324" t="s">
        <v>836</v>
      </c>
      <c r="K134" s="314"/>
    </row>
    <row r="135" ht="16.5" spans="1:11">
      <c r="A135" s="141">
        <v>131</v>
      </c>
      <c r="B135" s="141"/>
      <c r="C135" s="137"/>
      <c r="D135" s="141"/>
      <c r="E135" s="141"/>
      <c r="F135" s="137"/>
      <c r="G135" s="301"/>
      <c r="H135" s="302"/>
      <c r="I135" s="302"/>
      <c r="J135" s="262"/>
      <c r="K135" s="314"/>
    </row>
    <row r="136" ht="16.5" spans="1:11">
      <c r="A136" s="141">
        <v>131</v>
      </c>
      <c r="B136" s="141"/>
      <c r="C136" s="137"/>
      <c r="D136" s="141"/>
      <c r="E136" s="141"/>
      <c r="F136" s="137"/>
      <c r="G136" s="301"/>
      <c r="H136" s="302"/>
      <c r="I136" s="302"/>
      <c r="J136" s="262"/>
      <c r="K136" s="314"/>
    </row>
  </sheetData>
  <autoFilter ref="A1:J136">
    <extLst/>
  </autoFilter>
  <sortState ref="A1:H122">
    <sortCondition ref="D1"/>
  </sortState>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
  <sheetViews>
    <sheetView topLeftCell="A35" workbookViewId="0">
      <selection activeCell="D59" sqref="D59"/>
    </sheetView>
  </sheetViews>
  <sheetFormatPr defaultColWidth="9" defaultRowHeight="13.5" outlineLevelCol="7"/>
  <cols>
    <col min="1" max="1" width="5.25" customWidth="1"/>
    <col min="2" max="2" width="9" customWidth="1"/>
    <col min="3" max="3" width="46.75" style="88" customWidth="1"/>
    <col min="4" max="5" width="9.5" style="244" customWidth="1"/>
    <col min="6" max="6" width="61.5" customWidth="1"/>
    <col min="7" max="7" width="28.875" customWidth="1"/>
    <col min="8" max="8" width="19" customWidth="1"/>
  </cols>
  <sheetData>
    <row r="1" spans="1:6">
      <c r="A1" s="5"/>
      <c r="B1" s="5"/>
      <c r="C1" s="279"/>
      <c r="D1" s="280"/>
      <c r="E1" s="280"/>
      <c r="F1" s="5"/>
    </row>
    <row r="2" ht="20.1" customHeight="1" spans="1:8">
      <c r="A2" s="247" t="s">
        <v>99</v>
      </c>
      <c r="B2" s="247" t="s">
        <v>113</v>
      </c>
      <c r="C2" s="82" t="s">
        <v>101</v>
      </c>
      <c r="D2" s="247" t="s">
        <v>114</v>
      </c>
      <c r="E2" s="247" t="s">
        <v>115</v>
      </c>
      <c r="F2" s="247" t="s">
        <v>250</v>
      </c>
      <c r="G2" s="104"/>
      <c r="H2" s="104"/>
    </row>
    <row r="3" ht="26.45" customHeight="1" spans="1:8">
      <c r="A3" s="247">
        <v>1</v>
      </c>
      <c r="B3" s="281" t="s">
        <v>118</v>
      </c>
      <c r="C3" s="137" t="s">
        <v>847</v>
      </c>
      <c r="D3" s="247">
        <v>521700</v>
      </c>
      <c r="E3" s="247">
        <v>16</v>
      </c>
      <c r="F3" s="86" t="str">
        <f>"MCU"&amp;":"&amp;C3&amp;"("&amp;D3&amp;","&amp;E3&amp;")"</f>
        <v>MCU:母线过压保护(521700,16)</v>
      </c>
      <c r="G3" s="104"/>
      <c r="H3" s="104"/>
    </row>
    <row r="4" ht="16.5" spans="1:8">
      <c r="A4" s="247">
        <v>2</v>
      </c>
      <c r="B4" s="282" t="s">
        <v>128</v>
      </c>
      <c r="C4" s="137" t="s">
        <v>848</v>
      </c>
      <c r="D4" s="247">
        <v>521700</v>
      </c>
      <c r="E4" s="247">
        <v>0</v>
      </c>
      <c r="F4" s="86" t="str">
        <f t="shared" ref="F4:F57" si="0">"MCU"&amp;":"&amp;C4&amp;"("&amp;D4&amp;","&amp;E4&amp;")"</f>
        <v>MCU:母线过压停机，高于最高工作电压（软件保护）(521700,0)</v>
      </c>
      <c r="G4" s="104"/>
      <c r="H4" s="104"/>
    </row>
    <row r="5" ht="27" customHeight="1" spans="1:8">
      <c r="A5" s="247">
        <v>3</v>
      </c>
      <c r="B5" s="282" t="s">
        <v>128</v>
      </c>
      <c r="C5" s="137" t="s">
        <v>849</v>
      </c>
      <c r="D5" s="247">
        <v>521700</v>
      </c>
      <c r="E5" s="247">
        <v>22</v>
      </c>
      <c r="F5" s="86" t="str">
        <f t="shared" si="0"/>
        <v>MCU:母线过压停机，高于最高工作电压（硬件保护）(521700,22)</v>
      </c>
      <c r="G5" s="104"/>
      <c r="H5" s="104"/>
    </row>
    <row r="6" ht="20.1" customHeight="1" spans="1:8">
      <c r="A6" s="247">
        <v>4</v>
      </c>
      <c r="B6" s="281" t="s">
        <v>118</v>
      </c>
      <c r="C6" s="137" t="s">
        <v>850</v>
      </c>
      <c r="D6" s="247">
        <v>521700</v>
      </c>
      <c r="E6" s="247">
        <v>18</v>
      </c>
      <c r="F6" s="86" t="str">
        <f t="shared" si="0"/>
        <v>MCU:母线欠压保护(521700,18)</v>
      </c>
      <c r="G6" s="104"/>
      <c r="H6" s="104"/>
    </row>
    <row r="7" ht="20.1" customHeight="1" spans="1:8">
      <c r="A7" s="247">
        <v>5</v>
      </c>
      <c r="B7" s="282" t="s">
        <v>128</v>
      </c>
      <c r="C7" s="137" t="s">
        <v>851</v>
      </c>
      <c r="D7" s="247">
        <v>521700</v>
      </c>
      <c r="E7" s="247">
        <v>1</v>
      </c>
      <c r="F7" s="86" t="str">
        <f t="shared" si="0"/>
        <v>MCU:母线欠压停机，低于最低工作电压(521700,1)</v>
      </c>
      <c r="G7" s="104"/>
      <c r="H7" s="104"/>
    </row>
    <row r="8" ht="20.1" customHeight="1" spans="1:8">
      <c r="A8" s="247">
        <v>6</v>
      </c>
      <c r="B8" s="282" t="s">
        <v>128</v>
      </c>
      <c r="C8" s="137" t="s">
        <v>852</v>
      </c>
      <c r="D8" s="247">
        <v>521701</v>
      </c>
      <c r="E8" s="247">
        <v>0</v>
      </c>
      <c r="F8" s="86" t="str">
        <f t="shared" si="0"/>
        <v>MCU:母线电流过流停机，软件保护(521701,0)</v>
      </c>
      <c r="G8" s="104"/>
      <c r="H8" s="104"/>
    </row>
    <row r="9" ht="20.1" customHeight="1" spans="1:8">
      <c r="A9" s="247">
        <v>7</v>
      </c>
      <c r="B9" s="282" t="s">
        <v>128</v>
      </c>
      <c r="C9" s="137" t="s">
        <v>853</v>
      </c>
      <c r="D9" s="247">
        <v>521701</v>
      </c>
      <c r="E9" s="247">
        <v>22</v>
      </c>
      <c r="F9" s="86" t="str">
        <f t="shared" si="0"/>
        <v>MCU:母线电流过流停机，硬件保护(521701,22)</v>
      </c>
      <c r="G9" s="104"/>
      <c r="H9" s="104"/>
    </row>
    <row r="10" ht="20.1" customHeight="1" spans="1:8">
      <c r="A10" s="247">
        <v>8</v>
      </c>
      <c r="B10" s="282" t="s">
        <v>128</v>
      </c>
      <c r="C10" s="137" t="s">
        <v>854</v>
      </c>
      <c r="D10" s="247">
        <v>521702</v>
      </c>
      <c r="E10" s="247">
        <v>16</v>
      </c>
      <c r="F10" s="86" t="s">
        <v>855</v>
      </c>
      <c r="G10" s="112" t="s">
        <v>856</v>
      </c>
      <c r="H10" s="112" t="s">
        <v>857</v>
      </c>
    </row>
    <row r="11" ht="16.5" spans="1:8">
      <c r="A11" s="247">
        <v>9</v>
      </c>
      <c r="B11" s="282" t="s">
        <v>128</v>
      </c>
      <c r="C11" s="137" t="s">
        <v>858</v>
      </c>
      <c r="D11" s="247">
        <v>521702</v>
      </c>
      <c r="E11" s="247">
        <v>0</v>
      </c>
      <c r="F11" s="86" t="s">
        <v>859</v>
      </c>
      <c r="G11" s="112" t="s">
        <v>860</v>
      </c>
      <c r="H11" s="112" t="s">
        <v>857</v>
      </c>
    </row>
    <row r="12" ht="20.1" customHeight="1" spans="1:8">
      <c r="A12" s="247">
        <v>10</v>
      </c>
      <c r="B12" s="281" t="s">
        <v>118</v>
      </c>
      <c r="C12" s="137" t="s">
        <v>861</v>
      </c>
      <c r="D12" s="247">
        <v>521703</v>
      </c>
      <c r="E12" s="247">
        <v>16</v>
      </c>
      <c r="F12" s="86" t="str">
        <f t="shared" si="0"/>
        <v>MCU:电机绕组过温保护(521703,16)</v>
      </c>
      <c r="G12" s="104"/>
      <c r="H12" s="104"/>
    </row>
    <row r="13" ht="20.1" customHeight="1" spans="1:8">
      <c r="A13" s="247">
        <v>11</v>
      </c>
      <c r="B13" s="282" t="s">
        <v>128</v>
      </c>
      <c r="C13" s="137" t="s">
        <v>862</v>
      </c>
      <c r="D13" s="247">
        <v>521703</v>
      </c>
      <c r="E13" s="247">
        <v>0</v>
      </c>
      <c r="F13" s="86" t="str">
        <f t="shared" si="0"/>
        <v>MCU:电机绕组过温停机(521703,0)</v>
      </c>
      <c r="G13" s="104"/>
      <c r="H13" s="104"/>
    </row>
    <row r="14" ht="20.1" customHeight="1" spans="1:8">
      <c r="A14" s="247">
        <v>12</v>
      </c>
      <c r="B14" s="281" t="s">
        <v>118</v>
      </c>
      <c r="C14" s="137" t="s">
        <v>863</v>
      </c>
      <c r="D14" s="247">
        <v>521704</v>
      </c>
      <c r="E14" s="247">
        <v>16</v>
      </c>
      <c r="F14" s="86" t="str">
        <f t="shared" si="0"/>
        <v>MCU:功率模块温度过温保护(521704,16)</v>
      </c>
      <c r="G14" s="104"/>
      <c r="H14" s="104"/>
    </row>
    <row r="15" ht="20.1" customHeight="1" spans="1:8">
      <c r="A15" s="247">
        <v>13</v>
      </c>
      <c r="B15" s="282" t="s">
        <v>128</v>
      </c>
      <c r="C15" s="137" t="s">
        <v>864</v>
      </c>
      <c r="D15" s="247">
        <v>521704</v>
      </c>
      <c r="E15" s="247">
        <v>0</v>
      </c>
      <c r="F15" s="86" t="str">
        <f t="shared" si="0"/>
        <v>MCU:功率模块温度过温停机(521704,0)</v>
      </c>
      <c r="G15" s="104"/>
      <c r="H15" s="104"/>
    </row>
    <row r="16" ht="20.1" customHeight="1" spans="1:8">
      <c r="A16" s="247">
        <v>14</v>
      </c>
      <c r="B16" s="283" t="s">
        <v>120</v>
      </c>
      <c r="C16" s="254" t="s">
        <v>865</v>
      </c>
      <c r="D16" s="247">
        <v>521705</v>
      </c>
      <c r="E16" s="247">
        <v>22</v>
      </c>
      <c r="F16" s="86" t="str">
        <f t="shared" si="0"/>
        <v>MCU:功率模块故障(521705,22)</v>
      </c>
      <c r="G16" s="104"/>
      <c r="H16" s="104"/>
    </row>
    <row r="17" ht="20.1" customHeight="1" spans="1:8">
      <c r="A17" s="247">
        <v>15</v>
      </c>
      <c r="B17" s="281" t="s">
        <v>118</v>
      </c>
      <c r="C17" s="254" t="s">
        <v>866</v>
      </c>
      <c r="D17" s="247">
        <v>521706</v>
      </c>
      <c r="E17" s="247">
        <v>16</v>
      </c>
      <c r="F17" s="86" t="str">
        <f t="shared" si="0"/>
        <v>MCU:相电流过载，软件保护(521706,16)</v>
      </c>
      <c r="G17" s="104"/>
      <c r="H17" s="104"/>
    </row>
    <row r="18" ht="20.1" customHeight="1" spans="1:8">
      <c r="A18" s="247">
        <v>16</v>
      </c>
      <c r="B18" s="247"/>
      <c r="C18" s="254" t="s">
        <v>867</v>
      </c>
      <c r="D18" s="247">
        <v>521706</v>
      </c>
      <c r="E18" s="247">
        <v>0</v>
      </c>
      <c r="F18" s="86" t="str">
        <f t="shared" si="0"/>
        <v>MCU:相电流过流，软件保护(521706,0)</v>
      </c>
      <c r="G18" s="104"/>
      <c r="H18" s="104"/>
    </row>
    <row r="19" ht="20.1" customHeight="1" spans="1:8">
      <c r="A19" s="247">
        <v>17</v>
      </c>
      <c r="B19" s="247"/>
      <c r="C19" s="254" t="s">
        <v>868</v>
      </c>
      <c r="D19" s="247">
        <v>521706</v>
      </c>
      <c r="E19" s="247">
        <v>22</v>
      </c>
      <c r="F19" s="86" t="str">
        <f t="shared" si="0"/>
        <v>MCU:相电流过流，硬件保护，最严重等级(521706,22)</v>
      </c>
      <c r="G19" s="104"/>
      <c r="H19" s="104"/>
    </row>
    <row r="20" ht="20.1" customHeight="1" spans="1:8">
      <c r="A20" s="247">
        <v>18</v>
      </c>
      <c r="B20" s="282" t="s">
        <v>128</v>
      </c>
      <c r="C20" s="254" t="s">
        <v>869</v>
      </c>
      <c r="D20" s="247">
        <v>168</v>
      </c>
      <c r="E20" s="247">
        <v>0</v>
      </c>
      <c r="F20" s="86" t="str">
        <f t="shared" si="0"/>
        <v>MCU:24V供电电源过压，高于最高工作电压(168,0)</v>
      </c>
      <c r="G20" s="104"/>
      <c r="H20" s="104"/>
    </row>
    <row r="21" ht="20.1" customHeight="1" spans="1:8">
      <c r="A21" s="247">
        <v>19</v>
      </c>
      <c r="B21" s="282" t="s">
        <v>128</v>
      </c>
      <c r="C21" s="254" t="s">
        <v>870</v>
      </c>
      <c r="D21" s="247">
        <v>168</v>
      </c>
      <c r="E21" s="247">
        <v>1</v>
      </c>
      <c r="F21" s="86" t="str">
        <f t="shared" si="0"/>
        <v>MCU:24V供电电源欠压，低于最低工作电压(168,1)</v>
      </c>
      <c r="G21" s="104"/>
      <c r="H21" s="104"/>
    </row>
    <row r="22" ht="20.1" customHeight="1" spans="1:8">
      <c r="A22" s="247">
        <v>20</v>
      </c>
      <c r="B22" s="282" t="s">
        <v>128</v>
      </c>
      <c r="C22" s="254" t="s">
        <v>871</v>
      </c>
      <c r="D22" s="247">
        <v>521708</v>
      </c>
      <c r="E22" s="247">
        <v>2</v>
      </c>
      <c r="F22" s="86" t="str">
        <f t="shared" si="0"/>
        <v>MCU:U相电流传感器零偏过大(521708,2)</v>
      </c>
      <c r="G22" s="104"/>
      <c r="H22" s="104"/>
    </row>
    <row r="23" ht="20.1" customHeight="1" spans="1:8">
      <c r="A23" s="247">
        <v>21</v>
      </c>
      <c r="B23" s="283" t="s">
        <v>120</v>
      </c>
      <c r="C23" s="254" t="s">
        <v>872</v>
      </c>
      <c r="D23" s="247">
        <v>521708</v>
      </c>
      <c r="E23" s="247">
        <v>4</v>
      </c>
      <c r="F23" s="86" t="str">
        <f t="shared" si="0"/>
        <v>MCU:U相电流传感器与地短路、断线(521708,4)</v>
      </c>
      <c r="G23" s="104"/>
      <c r="H23" s="104"/>
    </row>
    <row r="24" ht="20.1" customHeight="1" spans="1:8">
      <c r="A24" s="247">
        <v>22</v>
      </c>
      <c r="B24" s="283" t="s">
        <v>120</v>
      </c>
      <c r="C24" s="254" t="s">
        <v>873</v>
      </c>
      <c r="D24" s="247">
        <v>521708</v>
      </c>
      <c r="E24" s="247">
        <v>3</v>
      </c>
      <c r="F24" s="86" t="str">
        <f t="shared" si="0"/>
        <v>MCU:U相电流传感器与电源短路(521708,3)</v>
      </c>
      <c r="G24" s="104"/>
      <c r="H24" s="104"/>
    </row>
    <row r="25" ht="20.1" customHeight="1" spans="1:8">
      <c r="A25" s="247">
        <v>23</v>
      </c>
      <c r="B25" s="282" t="s">
        <v>128</v>
      </c>
      <c r="C25" s="254" t="s">
        <v>874</v>
      </c>
      <c r="D25" s="247">
        <v>521710</v>
      </c>
      <c r="E25" s="247">
        <v>2</v>
      </c>
      <c r="F25" s="86" t="str">
        <f t="shared" si="0"/>
        <v>MCU:W相电流传感器零偏过大(521710,2)</v>
      </c>
      <c r="G25" s="104"/>
      <c r="H25" s="104"/>
    </row>
    <row r="26" ht="20.1" customHeight="1" spans="1:8">
      <c r="A26" s="247">
        <v>24</v>
      </c>
      <c r="B26" s="283" t="s">
        <v>120</v>
      </c>
      <c r="C26" s="254" t="s">
        <v>875</v>
      </c>
      <c r="D26" s="247">
        <v>521710</v>
      </c>
      <c r="E26" s="247">
        <v>4</v>
      </c>
      <c r="F26" s="86" t="str">
        <f t="shared" si="0"/>
        <v>MCU:W相电流传感器与地短路、断线(521710,4)</v>
      </c>
      <c r="G26" s="104"/>
      <c r="H26" s="104"/>
    </row>
    <row r="27" ht="20.1" customHeight="1" spans="1:8">
      <c r="A27" s="247">
        <v>25</v>
      </c>
      <c r="B27" s="283" t="s">
        <v>120</v>
      </c>
      <c r="C27" s="254" t="s">
        <v>876</v>
      </c>
      <c r="D27" s="247">
        <v>521710</v>
      </c>
      <c r="E27" s="247">
        <v>3</v>
      </c>
      <c r="F27" s="86" t="str">
        <f t="shared" si="0"/>
        <v>MCU:W相电流传感器与电源短路(521710,3)</v>
      </c>
      <c r="G27" s="104"/>
      <c r="H27" s="104"/>
    </row>
    <row r="28" ht="20.1" customHeight="1" spans="1:8">
      <c r="A28" s="247">
        <v>26</v>
      </c>
      <c r="B28" s="282" t="s">
        <v>128</v>
      </c>
      <c r="C28" s="254" t="s">
        <v>877</v>
      </c>
      <c r="D28" s="247">
        <v>521713</v>
      </c>
      <c r="E28" s="247">
        <v>2</v>
      </c>
      <c r="F28" s="86" t="str">
        <f t="shared" si="0"/>
        <v>MCU:电机温度传感器断线(521713,2)</v>
      </c>
      <c r="G28" s="104"/>
      <c r="H28" s="104"/>
    </row>
    <row r="29" ht="20.1" customHeight="1" spans="1:8">
      <c r="A29" s="247">
        <v>27</v>
      </c>
      <c r="B29" s="282" t="s">
        <v>128</v>
      </c>
      <c r="C29" s="284" t="s">
        <v>878</v>
      </c>
      <c r="D29" s="285">
        <v>521713</v>
      </c>
      <c r="E29" s="285">
        <v>4</v>
      </c>
      <c r="F29" s="256" t="str">
        <f t="shared" si="0"/>
        <v>MCU:电机温度传感器对地短路 (521713,4)</v>
      </c>
      <c r="G29" s="112" t="s">
        <v>342</v>
      </c>
      <c r="H29" s="104"/>
    </row>
    <row r="30" ht="20.1" customHeight="1" spans="1:8">
      <c r="A30" s="247">
        <v>28</v>
      </c>
      <c r="B30" s="282" t="s">
        <v>128</v>
      </c>
      <c r="C30" s="284" t="s">
        <v>879</v>
      </c>
      <c r="D30" s="285">
        <v>521714</v>
      </c>
      <c r="E30" s="285">
        <v>2</v>
      </c>
      <c r="F30" s="256" t="str">
        <f t="shared" si="0"/>
        <v>MCU:控制器温度传感器断线 (521714,2)</v>
      </c>
      <c r="G30" s="112" t="s">
        <v>342</v>
      </c>
      <c r="H30" s="104"/>
    </row>
    <row r="31" ht="20.1" customHeight="1" spans="1:8">
      <c r="A31" s="247">
        <v>29</v>
      </c>
      <c r="B31" s="282" t="s">
        <v>128</v>
      </c>
      <c r="C31" s="284" t="s">
        <v>880</v>
      </c>
      <c r="D31" s="285">
        <v>521714</v>
      </c>
      <c r="E31" s="285">
        <v>4</v>
      </c>
      <c r="F31" s="256" t="str">
        <f t="shared" si="0"/>
        <v>MCU:控制器温度传感器对地短路 (521714,4)</v>
      </c>
      <c r="G31" s="112" t="s">
        <v>342</v>
      </c>
      <c r="H31" s="104"/>
    </row>
    <row r="32" ht="19.9" customHeight="1" spans="1:8">
      <c r="A32" s="247">
        <v>30</v>
      </c>
      <c r="B32" s="281" t="s">
        <v>118</v>
      </c>
      <c r="C32" s="254" t="s">
        <v>881</v>
      </c>
      <c r="D32" s="247">
        <v>630</v>
      </c>
      <c r="E32" s="247">
        <v>12</v>
      </c>
      <c r="F32" s="86" t="str">
        <f t="shared" si="0"/>
        <v>MCU:控制器软件错误(630,12)</v>
      </c>
      <c r="G32" s="104"/>
      <c r="H32" s="104"/>
    </row>
    <row r="33" ht="20.1" customHeight="1" spans="1:8">
      <c r="A33" s="247">
        <v>31</v>
      </c>
      <c r="B33" s="282" t="s">
        <v>128</v>
      </c>
      <c r="C33" s="254" t="s">
        <v>882</v>
      </c>
      <c r="D33" s="247">
        <v>639</v>
      </c>
      <c r="E33" s="247">
        <v>9</v>
      </c>
      <c r="F33" s="86" t="str">
        <f t="shared" si="0"/>
        <v>MCU:CAN通讯数据不连续或收不到，丢帧(639,9)</v>
      </c>
      <c r="G33" s="104"/>
      <c r="H33" s="104"/>
    </row>
    <row r="34" ht="20.1" customHeight="1" spans="1:8">
      <c r="A34" s="247">
        <v>32</v>
      </c>
      <c r="B34" s="281" t="s">
        <v>118</v>
      </c>
      <c r="C34" s="254" t="s">
        <v>883</v>
      </c>
      <c r="D34" s="247">
        <v>521717</v>
      </c>
      <c r="E34" s="247">
        <v>23</v>
      </c>
      <c r="F34" s="86" t="str">
        <f t="shared" si="0"/>
        <v>MCU:电机堵转(521717,23)</v>
      </c>
      <c r="G34" s="104"/>
      <c r="H34" s="104"/>
    </row>
    <row r="35" ht="20.1" customHeight="1" spans="1:8">
      <c r="A35" s="247">
        <v>33</v>
      </c>
      <c r="B35" s="247"/>
      <c r="C35" s="286" t="s">
        <v>884</v>
      </c>
      <c r="D35" s="287">
        <v>521718</v>
      </c>
      <c r="E35" s="287">
        <v>11</v>
      </c>
      <c r="F35" s="288" t="str">
        <f t="shared" si="0"/>
        <v>MCU:10s之内同一故障出现3次(521718,11)</v>
      </c>
      <c r="G35" s="112" t="s">
        <v>281</v>
      </c>
      <c r="H35" s="104"/>
    </row>
    <row r="36" ht="20.1" customHeight="1" spans="1:8">
      <c r="A36" s="247">
        <v>34</v>
      </c>
      <c r="B36" s="247"/>
      <c r="C36" s="254" t="s">
        <v>885</v>
      </c>
      <c r="D36" s="247">
        <v>521719</v>
      </c>
      <c r="E36" s="247">
        <v>0</v>
      </c>
      <c r="F36" s="86" t="str">
        <f t="shared" si="0"/>
        <v>MCU:UVW三相绝缘故障(521719,0)</v>
      </c>
      <c r="G36" s="104"/>
      <c r="H36" s="104"/>
    </row>
    <row r="37" ht="20.1" customHeight="1" spans="1:8">
      <c r="A37" s="247">
        <v>35</v>
      </c>
      <c r="B37" s="247"/>
      <c r="C37" s="254" t="s">
        <v>886</v>
      </c>
      <c r="D37" s="247">
        <v>521720</v>
      </c>
      <c r="E37" s="247">
        <v>0</v>
      </c>
      <c r="F37" s="86" t="str">
        <f t="shared" si="0"/>
        <v>MCU:电压传感器信号超过最大范围(521720,0)</v>
      </c>
      <c r="G37" s="104"/>
      <c r="H37" s="104"/>
    </row>
    <row r="38" ht="20.1" customHeight="1" spans="1:8">
      <c r="A38" s="247">
        <v>36</v>
      </c>
      <c r="B38" s="282" t="s">
        <v>128</v>
      </c>
      <c r="C38" s="254" t="s">
        <v>887</v>
      </c>
      <c r="D38" s="247">
        <v>521721</v>
      </c>
      <c r="E38" s="247">
        <v>0</v>
      </c>
      <c r="F38" s="86" t="str">
        <f t="shared" si="0"/>
        <v>MCU:IGBT温度传感器信号超过最大范围(521721,0)</v>
      </c>
      <c r="G38" s="104"/>
      <c r="H38" s="104"/>
    </row>
    <row r="39" ht="20.1" customHeight="1" spans="1:8">
      <c r="A39" s="247">
        <v>37</v>
      </c>
      <c r="B39" s="282" t="s">
        <v>128</v>
      </c>
      <c r="C39" s="254" t="s">
        <v>888</v>
      </c>
      <c r="D39" s="247">
        <v>521721</v>
      </c>
      <c r="E39" s="247">
        <v>4</v>
      </c>
      <c r="F39" s="86" t="str">
        <f t="shared" si="0"/>
        <v>MCU:IGBT温度传感器信号超过最小范围(521721,4)</v>
      </c>
      <c r="G39" s="104"/>
      <c r="H39" s="104"/>
    </row>
    <row r="40" ht="20.1" customHeight="1" spans="1:8">
      <c r="A40" s="247">
        <v>38</v>
      </c>
      <c r="B40" s="282" t="s">
        <v>128</v>
      </c>
      <c r="C40" s="254" t="s">
        <v>889</v>
      </c>
      <c r="D40" s="247">
        <v>521722</v>
      </c>
      <c r="E40" s="247">
        <v>0</v>
      </c>
      <c r="F40" s="86" t="str">
        <f t="shared" si="0"/>
        <v>MCU:电机温度传感器信号超过最大范围(521722,0)</v>
      </c>
      <c r="G40" s="104"/>
      <c r="H40" s="104"/>
    </row>
    <row r="41" ht="20.1" customHeight="1" spans="1:8">
      <c r="A41" s="247">
        <v>39</v>
      </c>
      <c r="B41" s="282" t="s">
        <v>128</v>
      </c>
      <c r="C41" s="254" t="s">
        <v>890</v>
      </c>
      <c r="D41" s="247">
        <v>521722</v>
      </c>
      <c r="E41" s="247">
        <v>4</v>
      </c>
      <c r="F41" s="86" t="str">
        <f t="shared" si="0"/>
        <v>MCU:电机温度传感器信号超过最小范围(521722,4)</v>
      </c>
      <c r="G41" s="104"/>
      <c r="H41" s="104"/>
    </row>
    <row r="42" ht="20.1" customHeight="1" spans="1:8">
      <c r="A42" s="247">
        <v>40</v>
      </c>
      <c r="B42" s="283" t="s">
        <v>120</v>
      </c>
      <c r="C42" s="254" t="s">
        <v>891</v>
      </c>
      <c r="D42" s="247">
        <v>521723</v>
      </c>
      <c r="E42" s="247">
        <v>2</v>
      </c>
      <c r="F42" s="86" t="str">
        <f t="shared" si="0"/>
        <v>MCU:转速传感器信号错误(521723,2)</v>
      </c>
      <c r="G42" s="104"/>
      <c r="H42" s="104"/>
    </row>
    <row r="43" ht="20.1" customHeight="1" spans="1:8">
      <c r="A43" s="247">
        <v>41</v>
      </c>
      <c r="B43" s="282" t="s">
        <v>128</v>
      </c>
      <c r="C43" s="254" t="s">
        <v>892</v>
      </c>
      <c r="D43" s="247">
        <v>521724</v>
      </c>
      <c r="E43" s="247">
        <v>0</v>
      </c>
      <c r="F43" s="86" t="str">
        <f t="shared" si="0"/>
        <v>MCU:高压线路断路(521724,0)</v>
      </c>
      <c r="G43" s="104"/>
      <c r="H43" s="104"/>
    </row>
    <row r="44" ht="20.1" customHeight="1" spans="1:8">
      <c r="A44" s="247">
        <v>42</v>
      </c>
      <c r="B44" s="282" t="s">
        <v>128</v>
      </c>
      <c r="C44" s="254" t="s">
        <v>893</v>
      </c>
      <c r="D44" s="247">
        <v>521725</v>
      </c>
      <c r="E44" s="247">
        <v>0</v>
      </c>
      <c r="F44" s="86" t="str">
        <f t="shared" si="0"/>
        <v>MCU:初始化的所有故障(521725,0)</v>
      </c>
      <c r="G44" s="104"/>
      <c r="H44" s="104"/>
    </row>
    <row r="45" ht="20.1" customHeight="1" spans="1:8">
      <c r="A45" s="247">
        <v>43</v>
      </c>
      <c r="B45" s="282" t="s">
        <v>128</v>
      </c>
      <c r="C45" s="254" t="s">
        <v>894</v>
      </c>
      <c r="D45" s="247">
        <v>521726</v>
      </c>
      <c r="E45" s="247">
        <v>2</v>
      </c>
      <c r="F45" s="86" t="str">
        <f t="shared" si="0"/>
        <v>MCU:电流传感器偏移超出范围(521726,2)</v>
      </c>
      <c r="G45" s="104"/>
      <c r="H45" s="104"/>
    </row>
    <row r="46" ht="20.45" customHeight="1" spans="1:8">
      <c r="A46" s="124">
        <v>44</v>
      </c>
      <c r="B46" s="283" t="s">
        <v>120</v>
      </c>
      <c r="C46" s="289" t="s">
        <v>895</v>
      </c>
      <c r="D46" s="117">
        <v>521727</v>
      </c>
      <c r="E46" s="117">
        <v>16</v>
      </c>
      <c r="F46" s="119" t="str">
        <f t="shared" si="0"/>
        <v>MCU:输出缺相故障(521727,16)</v>
      </c>
      <c r="G46" s="104"/>
      <c r="H46" s="104"/>
    </row>
    <row r="47" ht="20.45" customHeight="1" spans="1:8">
      <c r="A47" s="124">
        <v>45</v>
      </c>
      <c r="B47" s="281" t="s">
        <v>118</v>
      </c>
      <c r="C47" s="289" t="s">
        <v>896</v>
      </c>
      <c r="D47" s="117">
        <v>521728</v>
      </c>
      <c r="E47" s="117">
        <v>3</v>
      </c>
      <c r="F47" s="119" t="str">
        <f t="shared" si="0"/>
        <v>MCU:转速偏差过大故障(521728,3)</v>
      </c>
      <c r="G47" s="104"/>
      <c r="H47" s="104"/>
    </row>
    <row r="48" ht="20.45" customHeight="1" spans="1:8">
      <c r="A48" s="124">
        <v>46</v>
      </c>
      <c r="B48" s="281" t="s">
        <v>118</v>
      </c>
      <c r="C48" s="289" t="s">
        <v>897</v>
      </c>
      <c r="D48" s="117">
        <v>521729</v>
      </c>
      <c r="E48" s="117">
        <v>16</v>
      </c>
      <c r="F48" s="119" t="str">
        <f t="shared" si="0"/>
        <v>MCU:主动放电故障(521729,16)</v>
      </c>
      <c r="G48" s="104"/>
      <c r="H48" s="104"/>
    </row>
    <row r="49" ht="20.45" customHeight="1" spans="1:8">
      <c r="A49" s="124">
        <v>47</v>
      </c>
      <c r="B49" s="283" t="s">
        <v>120</v>
      </c>
      <c r="C49" s="290" t="s">
        <v>898</v>
      </c>
      <c r="D49" s="291">
        <v>521730</v>
      </c>
      <c r="E49" s="291">
        <v>22</v>
      </c>
      <c r="F49" s="256" t="str">
        <f t="shared" si="0"/>
        <v>MCU:功能模块校核故障(521730,22)</v>
      </c>
      <c r="G49" s="112" t="s">
        <v>342</v>
      </c>
      <c r="H49" s="104"/>
    </row>
    <row r="50" ht="20.45" customHeight="1" spans="1:8">
      <c r="A50" s="124">
        <v>48</v>
      </c>
      <c r="B50" s="283" t="s">
        <v>120</v>
      </c>
      <c r="C50" s="290" t="s">
        <v>899</v>
      </c>
      <c r="D50" s="291">
        <v>521731</v>
      </c>
      <c r="E50" s="291">
        <v>2</v>
      </c>
      <c r="F50" s="256" t="str">
        <f t="shared" si="0"/>
        <v>MCU:目标转矩异常增大故障(521731,2)</v>
      </c>
      <c r="G50" s="112" t="s">
        <v>342</v>
      </c>
      <c r="H50" s="104"/>
    </row>
    <row r="51" ht="20.45" customHeight="1" spans="1:8">
      <c r="A51" s="124">
        <v>49</v>
      </c>
      <c r="B51" s="283" t="s">
        <v>120</v>
      </c>
      <c r="C51" s="290" t="s">
        <v>900</v>
      </c>
      <c r="D51" s="291">
        <v>521732</v>
      </c>
      <c r="E51" s="291">
        <v>0</v>
      </c>
      <c r="F51" s="256" t="str">
        <f t="shared" si="0"/>
        <v>MCU:电机零位偏差停机故障(521732,0)</v>
      </c>
      <c r="G51" s="112" t="s">
        <v>342</v>
      </c>
      <c r="H51" s="104"/>
    </row>
    <row r="52" ht="20.45" customHeight="1" spans="1:8">
      <c r="A52" s="124">
        <v>50</v>
      </c>
      <c r="B52" s="282" t="s">
        <v>128</v>
      </c>
      <c r="C52" s="290" t="s">
        <v>901</v>
      </c>
      <c r="D52" s="291">
        <v>521732</v>
      </c>
      <c r="E52" s="291">
        <v>16</v>
      </c>
      <c r="F52" s="256" t="str">
        <f t="shared" si="0"/>
        <v>MCU:电机零位偏差限功率故障(521732,16)</v>
      </c>
      <c r="G52" s="112" t="s">
        <v>342</v>
      </c>
      <c r="H52" s="104"/>
    </row>
    <row r="53" ht="20.45" customHeight="1" spans="1:8">
      <c r="A53" s="124">
        <v>51</v>
      </c>
      <c r="B53" s="283" t="s">
        <v>120</v>
      </c>
      <c r="C53" s="290" t="s">
        <v>902</v>
      </c>
      <c r="D53" s="291">
        <v>521732</v>
      </c>
      <c r="E53" s="291">
        <v>2</v>
      </c>
      <c r="F53" s="256" t="str">
        <f t="shared" si="0"/>
        <v>MCU:电机零位不一致故障(521732,2)</v>
      </c>
      <c r="G53" s="112" t="s">
        <v>342</v>
      </c>
      <c r="H53" s="104"/>
    </row>
    <row r="54" ht="20.45" customHeight="1" spans="1:8">
      <c r="A54" s="124">
        <v>52</v>
      </c>
      <c r="B54" s="283" t="s">
        <v>120</v>
      </c>
      <c r="C54" s="290" t="s">
        <v>903</v>
      </c>
      <c r="D54" s="291">
        <v>521733</v>
      </c>
      <c r="E54" s="291">
        <v>0</v>
      </c>
      <c r="F54" s="256" t="str">
        <f t="shared" si="0"/>
        <v>MCU:估算转矩偏差停机故障(521733,0)</v>
      </c>
      <c r="G54" s="112" t="s">
        <v>342</v>
      </c>
      <c r="H54" s="104"/>
    </row>
    <row r="55" ht="20.45" customHeight="1" spans="1:8">
      <c r="A55" s="124">
        <v>53</v>
      </c>
      <c r="B55" s="281" t="s">
        <v>118</v>
      </c>
      <c r="C55" s="290" t="s">
        <v>904</v>
      </c>
      <c r="D55" s="291">
        <v>521733</v>
      </c>
      <c r="E55" s="291">
        <v>16</v>
      </c>
      <c r="F55" s="256" t="str">
        <f t="shared" si="0"/>
        <v>MCU:估算转矩偏差报警故障(521733,16)</v>
      </c>
      <c r="G55" s="112" t="s">
        <v>342</v>
      </c>
      <c r="H55" s="104"/>
    </row>
    <row r="56" ht="20.45" customHeight="1" spans="1:8">
      <c r="A56" s="124">
        <v>54</v>
      </c>
      <c r="B56" s="281" t="s">
        <v>118</v>
      </c>
      <c r="C56" s="290" t="s">
        <v>905</v>
      </c>
      <c r="D56" s="291">
        <v>521734</v>
      </c>
      <c r="E56" s="291">
        <v>2</v>
      </c>
      <c r="F56" s="256" t="str">
        <f t="shared" si="0"/>
        <v>MCU:操作顺序保护报警(521734,2)</v>
      </c>
      <c r="G56" s="112" t="s">
        <v>342</v>
      </c>
      <c r="H56" s="104"/>
    </row>
    <row r="57" ht="20.45" customHeight="1" spans="1:8">
      <c r="A57" s="124">
        <v>55</v>
      </c>
      <c r="B57" s="281" t="s">
        <v>118</v>
      </c>
      <c r="C57" s="290" t="s">
        <v>906</v>
      </c>
      <c r="D57" s="291">
        <v>521735</v>
      </c>
      <c r="E57" s="291">
        <v>2</v>
      </c>
      <c r="F57" s="256" t="str">
        <f t="shared" si="0"/>
        <v>MCU:高速误挂挡保护报警(521735,2)</v>
      </c>
      <c r="G57" s="112" t="s">
        <v>342</v>
      </c>
      <c r="H57" s="104"/>
    </row>
    <row r="58" ht="22.15" customHeight="1" spans="1:8">
      <c r="A58" s="124">
        <v>56</v>
      </c>
      <c r="B58" s="124"/>
      <c r="C58" s="292" t="s">
        <v>907</v>
      </c>
      <c r="D58" s="78">
        <v>521736</v>
      </c>
      <c r="E58" s="78">
        <v>3</v>
      </c>
      <c r="F58" s="292" t="s">
        <v>908</v>
      </c>
      <c r="G58" s="112" t="s">
        <v>909</v>
      </c>
      <c r="H58" s="104"/>
    </row>
    <row r="59" ht="22.15" customHeight="1" spans="1:8">
      <c r="A59" s="124">
        <v>57</v>
      </c>
      <c r="B59" s="124"/>
      <c r="C59" s="292" t="s">
        <v>910</v>
      </c>
      <c r="D59" s="78">
        <v>521736</v>
      </c>
      <c r="E59" s="78">
        <v>4</v>
      </c>
      <c r="F59" s="292" t="s">
        <v>911</v>
      </c>
      <c r="G59" s="112" t="s">
        <v>912</v>
      </c>
      <c r="H59" s="104"/>
    </row>
    <row r="60" ht="22.15" customHeight="1" spans="1:8">
      <c r="A60" s="124">
        <v>58</v>
      </c>
      <c r="B60" s="124"/>
      <c r="C60" s="118" t="s">
        <v>913</v>
      </c>
      <c r="D60" s="78">
        <v>521736</v>
      </c>
      <c r="E60" s="78">
        <v>22</v>
      </c>
      <c r="F60" s="118" t="s">
        <v>914</v>
      </c>
      <c r="G60" s="112" t="s">
        <v>915</v>
      </c>
      <c r="H60" s="104"/>
    </row>
    <row r="61" ht="22.15" customHeight="1" spans="1:8">
      <c r="A61" s="124">
        <v>59</v>
      </c>
      <c r="B61" s="124"/>
      <c r="C61" s="292" t="s">
        <v>916</v>
      </c>
      <c r="D61" s="78">
        <v>521736</v>
      </c>
      <c r="E61" s="78">
        <v>6</v>
      </c>
      <c r="F61" s="292" t="s">
        <v>917</v>
      </c>
      <c r="G61" s="112" t="s">
        <v>918</v>
      </c>
      <c r="H61" s="104"/>
    </row>
    <row r="62" ht="22.15" customHeight="1" spans="1:8">
      <c r="A62" s="124">
        <v>60</v>
      </c>
      <c r="B62" s="124"/>
      <c r="C62" s="292" t="s">
        <v>919</v>
      </c>
      <c r="D62" s="78">
        <v>521736</v>
      </c>
      <c r="E62" s="78">
        <v>7</v>
      </c>
      <c r="F62" s="292" t="s">
        <v>920</v>
      </c>
      <c r="G62" s="112" t="s">
        <v>921</v>
      </c>
      <c r="H62" s="104"/>
    </row>
    <row r="63" ht="22.15" customHeight="1" spans="1:8">
      <c r="A63" s="124">
        <v>61</v>
      </c>
      <c r="B63" s="124"/>
      <c r="C63" s="292" t="s">
        <v>922</v>
      </c>
      <c r="D63" s="78">
        <v>521736</v>
      </c>
      <c r="E63" s="78">
        <v>16</v>
      </c>
      <c r="F63" s="292" t="s">
        <v>923</v>
      </c>
      <c r="G63" s="112" t="s">
        <v>924</v>
      </c>
      <c r="H63" s="104"/>
    </row>
    <row r="64" ht="22.15" customHeight="1" spans="1:8">
      <c r="A64" s="124">
        <v>62</v>
      </c>
      <c r="B64" s="124"/>
      <c r="C64" s="292" t="s">
        <v>925</v>
      </c>
      <c r="D64" s="78">
        <v>521736</v>
      </c>
      <c r="E64" s="78">
        <v>0</v>
      </c>
      <c r="F64" s="292" t="s">
        <v>926</v>
      </c>
      <c r="G64" s="112" t="s">
        <v>927</v>
      </c>
      <c r="H64" s="104"/>
    </row>
  </sheetData>
  <autoFilter ref="A2:H64">
    <extLst/>
  </autoFilter>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1"/>
  <sheetViews>
    <sheetView workbookViewId="0">
      <selection activeCell="D16" sqref="D16:E17"/>
    </sheetView>
  </sheetViews>
  <sheetFormatPr defaultColWidth="9" defaultRowHeight="13.5" outlineLevelCol="6"/>
  <cols>
    <col min="1" max="1" width="5.25" customWidth="1"/>
    <col min="2" max="2" width="9" customWidth="1"/>
    <col min="3" max="3" width="24.75" style="27" customWidth="1"/>
    <col min="4" max="5" width="11.375" style="244" customWidth="1"/>
    <col min="6" max="6" width="50.125" style="27" customWidth="1"/>
    <col min="7" max="7" width="25.25" customWidth="1"/>
  </cols>
  <sheetData>
    <row r="2" ht="20.1" customHeight="1" spans="1:7">
      <c r="A2" s="138" t="s">
        <v>99</v>
      </c>
      <c r="B2" s="138" t="s">
        <v>113</v>
      </c>
      <c r="C2" s="138" t="s">
        <v>101</v>
      </c>
      <c r="D2" s="138" t="s">
        <v>928</v>
      </c>
      <c r="E2" s="138" t="s">
        <v>929</v>
      </c>
      <c r="F2" s="269" t="s">
        <v>250</v>
      </c>
      <c r="G2" s="104"/>
    </row>
    <row r="3" ht="16.9" customHeight="1" spans="1:7">
      <c r="A3" s="138">
        <v>1</v>
      </c>
      <c r="B3" s="270" t="s">
        <v>120</v>
      </c>
      <c r="C3" s="137" t="s">
        <v>930</v>
      </c>
      <c r="D3" s="138">
        <v>521801</v>
      </c>
      <c r="E3" s="138">
        <v>12</v>
      </c>
      <c r="F3" s="137" t="str">
        <f>"空压机"&amp;":"&amp;C3&amp;"("&amp;D3&amp;","&amp;E3&amp;")"</f>
        <v>空压机:电流检测故障(521801,12)</v>
      </c>
      <c r="G3" s="104"/>
    </row>
    <row r="4" ht="16.9" customHeight="1" spans="1:7">
      <c r="A4" s="138">
        <v>2</v>
      </c>
      <c r="B4" s="270" t="s">
        <v>120</v>
      </c>
      <c r="C4" s="137" t="s">
        <v>931</v>
      </c>
      <c r="D4" s="138">
        <v>521803</v>
      </c>
      <c r="E4" s="138">
        <v>3</v>
      </c>
      <c r="F4" s="137" t="str">
        <f t="shared" ref="F4:F29" si="0">"空压机"&amp;":"&amp;C4&amp;"("&amp;D4&amp;","&amp;E4&amp;")"</f>
        <v>空压机:控制器过载故障(521803,3)</v>
      </c>
      <c r="G4" s="104"/>
    </row>
    <row r="5" ht="16.9" customHeight="1" spans="1:7">
      <c r="A5" s="138">
        <v>3</v>
      </c>
      <c r="B5" s="270" t="s">
        <v>120</v>
      </c>
      <c r="C5" s="137" t="s">
        <v>932</v>
      </c>
      <c r="D5" s="138">
        <v>521803</v>
      </c>
      <c r="E5" s="138">
        <v>12</v>
      </c>
      <c r="F5" s="137" t="str">
        <f t="shared" si="0"/>
        <v>空压机:输出过流(521803,12)</v>
      </c>
      <c r="G5" s="104"/>
    </row>
    <row r="6" ht="16.9" customHeight="1" spans="1:7">
      <c r="A6" s="138">
        <v>4</v>
      </c>
      <c r="B6" s="271" t="s">
        <v>118</v>
      </c>
      <c r="C6" s="137" t="s">
        <v>933</v>
      </c>
      <c r="D6" s="138">
        <v>521808</v>
      </c>
      <c r="E6" s="138">
        <v>12</v>
      </c>
      <c r="F6" s="137" t="str">
        <f t="shared" si="0"/>
        <v>空压机:PT100短路(521808,12)</v>
      </c>
      <c r="G6" s="104"/>
    </row>
    <row r="7" ht="16.9" customHeight="1" spans="1:7">
      <c r="A7" s="138">
        <v>5</v>
      </c>
      <c r="B7" s="271" t="s">
        <v>118</v>
      </c>
      <c r="C7" s="137" t="s">
        <v>934</v>
      </c>
      <c r="D7" s="138">
        <v>521808</v>
      </c>
      <c r="E7" s="138">
        <v>5</v>
      </c>
      <c r="F7" s="137" t="str">
        <f t="shared" si="0"/>
        <v>空压机:PT100开路(521808,5)</v>
      </c>
      <c r="G7" s="104"/>
    </row>
    <row r="8" ht="16.9" customHeight="1" spans="1:7">
      <c r="A8" s="138">
        <v>6</v>
      </c>
      <c r="B8" s="272" t="s">
        <v>128</v>
      </c>
      <c r="C8" s="251" t="s">
        <v>352</v>
      </c>
      <c r="D8" s="252">
        <v>521809</v>
      </c>
      <c r="E8" s="252">
        <v>5</v>
      </c>
      <c r="F8" s="273" t="s">
        <v>935</v>
      </c>
      <c r="G8" s="274" t="s">
        <v>342</v>
      </c>
    </row>
    <row r="9" ht="16.9" customHeight="1" spans="1:7">
      <c r="A9" s="138">
        <v>7</v>
      </c>
      <c r="B9" s="272" t="s">
        <v>128</v>
      </c>
      <c r="C9" s="251" t="s">
        <v>353</v>
      </c>
      <c r="D9" s="252">
        <v>521809</v>
      </c>
      <c r="E9" s="252">
        <v>6</v>
      </c>
      <c r="F9" s="273" t="s">
        <v>936</v>
      </c>
      <c r="G9" s="274" t="s">
        <v>342</v>
      </c>
    </row>
    <row r="10" ht="16.9" customHeight="1" spans="1:7">
      <c r="A10" s="138">
        <v>8</v>
      </c>
      <c r="B10" s="270" t="s">
        <v>120</v>
      </c>
      <c r="C10" s="251" t="s">
        <v>354</v>
      </c>
      <c r="D10" s="252">
        <v>521810</v>
      </c>
      <c r="E10" s="252">
        <v>1</v>
      </c>
      <c r="F10" s="273" t="str">
        <f t="shared" si="0"/>
        <v>空压机:辅助电源欠压(521810,1)</v>
      </c>
      <c r="G10" s="274" t="s">
        <v>342</v>
      </c>
    </row>
    <row r="11" ht="16.9" customHeight="1" spans="1:7">
      <c r="A11" s="138">
        <v>9</v>
      </c>
      <c r="B11" s="271" t="s">
        <v>118</v>
      </c>
      <c r="C11" s="251" t="s">
        <v>355</v>
      </c>
      <c r="D11" s="252">
        <v>521810</v>
      </c>
      <c r="E11" s="252">
        <v>16</v>
      </c>
      <c r="F11" s="273" t="str">
        <f t="shared" si="0"/>
        <v>空压机:辅助电源过压(521810,16)</v>
      </c>
      <c r="G11" s="274" t="s">
        <v>342</v>
      </c>
    </row>
    <row r="12" ht="16.9" customHeight="1" spans="1:7">
      <c r="A12" s="138">
        <v>10</v>
      </c>
      <c r="B12" s="270" t="s">
        <v>120</v>
      </c>
      <c r="C12" s="137" t="s">
        <v>317</v>
      </c>
      <c r="D12" s="138">
        <v>521817</v>
      </c>
      <c r="E12" s="138">
        <v>4</v>
      </c>
      <c r="F12" s="137" t="str">
        <f t="shared" si="0"/>
        <v>空压机:输入欠压(521817,4)</v>
      </c>
      <c r="G12" s="104"/>
    </row>
    <row r="13" ht="16.9" customHeight="1" spans="1:7">
      <c r="A13" s="138">
        <v>11</v>
      </c>
      <c r="B13" s="270" t="s">
        <v>120</v>
      </c>
      <c r="C13" s="137" t="s">
        <v>319</v>
      </c>
      <c r="D13" s="138">
        <v>521817</v>
      </c>
      <c r="E13" s="138">
        <v>3</v>
      </c>
      <c r="F13" s="137" t="str">
        <f t="shared" si="0"/>
        <v>空压机:输入过压(521817,3)</v>
      </c>
      <c r="G13" s="104"/>
    </row>
    <row r="14" ht="16.9" customHeight="1" spans="1:7">
      <c r="A14" s="138">
        <v>12</v>
      </c>
      <c r="B14" s="270" t="s">
        <v>120</v>
      </c>
      <c r="C14" s="137" t="s">
        <v>937</v>
      </c>
      <c r="D14" s="138">
        <v>521819</v>
      </c>
      <c r="E14" s="138">
        <v>0</v>
      </c>
      <c r="F14" s="137" t="str">
        <f t="shared" si="0"/>
        <v>空压机:控制器过温故障(521819,0)</v>
      </c>
      <c r="G14" s="104"/>
    </row>
    <row r="15" ht="16.9" customHeight="1" spans="1:7">
      <c r="A15" s="138">
        <v>13</v>
      </c>
      <c r="B15" s="272" t="s">
        <v>128</v>
      </c>
      <c r="C15" s="137" t="s">
        <v>938</v>
      </c>
      <c r="D15" s="138">
        <v>521819</v>
      </c>
      <c r="E15" s="138">
        <v>3</v>
      </c>
      <c r="F15" s="137" t="str">
        <f t="shared" si="0"/>
        <v>空压机:控制器过温告警(521819,3)</v>
      </c>
      <c r="G15" s="104"/>
    </row>
    <row r="16" ht="16.9" customHeight="1" spans="1:7">
      <c r="A16" s="138">
        <v>14</v>
      </c>
      <c r="B16" s="271" t="s">
        <v>118</v>
      </c>
      <c r="C16" s="137" t="s">
        <v>328</v>
      </c>
      <c r="D16" s="138">
        <v>521820</v>
      </c>
      <c r="E16" s="138">
        <v>0</v>
      </c>
      <c r="F16" s="137" t="str">
        <f t="shared" si="0"/>
        <v>空压机:电机过温故障(521820,0)</v>
      </c>
      <c r="G16" s="104"/>
    </row>
    <row r="17" ht="16.9" customHeight="1" spans="1:7">
      <c r="A17" s="138">
        <v>15</v>
      </c>
      <c r="B17" s="271" t="s">
        <v>333</v>
      </c>
      <c r="C17" s="137" t="s">
        <v>939</v>
      </c>
      <c r="D17" s="138">
        <v>521820</v>
      </c>
      <c r="E17" s="138">
        <v>3</v>
      </c>
      <c r="F17" s="137" t="str">
        <f t="shared" si="0"/>
        <v>空压机:电机过温告警(521820,3)</v>
      </c>
      <c r="G17" s="104"/>
    </row>
    <row r="18" ht="16.9" customHeight="1" spans="1:7">
      <c r="A18" s="138">
        <v>16</v>
      </c>
      <c r="B18" s="270" t="s">
        <v>120</v>
      </c>
      <c r="C18" s="137" t="s">
        <v>324</v>
      </c>
      <c r="D18" s="138">
        <v>521835</v>
      </c>
      <c r="E18" s="138">
        <v>2</v>
      </c>
      <c r="F18" s="137" t="str">
        <f t="shared" si="0"/>
        <v>空压机:输出缺相(521835,2)</v>
      </c>
      <c r="G18" s="104"/>
    </row>
    <row r="19" ht="16.9" customHeight="1" spans="1:7">
      <c r="A19" s="138">
        <v>17</v>
      </c>
      <c r="B19" s="270" t="s">
        <v>120</v>
      </c>
      <c r="C19" s="251" t="s">
        <v>351</v>
      </c>
      <c r="D19" s="252">
        <v>521840</v>
      </c>
      <c r="E19" s="252">
        <v>12</v>
      </c>
      <c r="F19" s="273" t="str">
        <f t="shared" si="0"/>
        <v>空压机:硬件故障(521840,12)</v>
      </c>
      <c r="G19" s="112" t="s">
        <v>342</v>
      </c>
    </row>
    <row r="20" ht="16.9" customHeight="1" spans="1:7">
      <c r="A20" s="138">
        <v>18</v>
      </c>
      <c r="B20" s="270" t="s">
        <v>120</v>
      </c>
      <c r="C20" s="251" t="s">
        <v>348</v>
      </c>
      <c r="D20" s="252">
        <v>521841</v>
      </c>
      <c r="E20" s="252">
        <v>0</v>
      </c>
      <c r="F20" s="273" t="str">
        <f t="shared" si="0"/>
        <v>空压机:超速故障(521841,0)</v>
      </c>
      <c r="G20" s="112" t="s">
        <v>342</v>
      </c>
    </row>
    <row r="21" ht="16.9" customHeight="1" spans="1:7">
      <c r="A21" s="138">
        <v>19</v>
      </c>
      <c r="B21" s="270" t="s">
        <v>120</v>
      </c>
      <c r="C21" s="251" t="s">
        <v>320</v>
      </c>
      <c r="D21" s="252">
        <v>521842</v>
      </c>
      <c r="E21" s="252">
        <v>12</v>
      </c>
      <c r="F21" s="273" t="str">
        <f t="shared" si="0"/>
        <v>空压机:EEPROM故障(521842,12)</v>
      </c>
      <c r="G21" s="112" t="s">
        <v>342</v>
      </c>
    </row>
    <row r="22" ht="16.9" customHeight="1" spans="1:7">
      <c r="A22" s="138">
        <v>20</v>
      </c>
      <c r="B22" s="270" t="s">
        <v>120</v>
      </c>
      <c r="C22" s="251" t="s">
        <v>349</v>
      </c>
      <c r="D22" s="252">
        <v>521843</v>
      </c>
      <c r="E22" s="252">
        <v>7</v>
      </c>
      <c r="F22" s="273" t="str">
        <f t="shared" si="0"/>
        <v>空压机:相间短路故障(521843,7)</v>
      </c>
      <c r="G22" s="112" t="s">
        <v>342</v>
      </c>
    </row>
    <row r="23" ht="16.9" customHeight="1" spans="1:7">
      <c r="A23" s="138">
        <v>21</v>
      </c>
      <c r="B23" s="270" t="s">
        <v>120</v>
      </c>
      <c r="C23" s="137" t="s">
        <v>940</v>
      </c>
      <c r="D23" s="138">
        <v>521844</v>
      </c>
      <c r="E23" s="138">
        <v>6</v>
      </c>
      <c r="F23" s="137" t="str">
        <f t="shared" si="0"/>
        <v>空压机:对地短路(521844,6)</v>
      </c>
      <c r="G23" s="104"/>
    </row>
    <row r="24" ht="16.9" customHeight="1" spans="1:7">
      <c r="A24" s="138">
        <v>22</v>
      </c>
      <c r="B24" s="270" t="s">
        <v>120</v>
      </c>
      <c r="C24" s="137" t="s">
        <v>350</v>
      </c>
      <c r="D24" s="138">
        <v>521845</v>
      </c>
      <c r="E24" s="138">
        <v>12</v>
      </c>
      <c r="F24" s="137" t="str">
        <f t="shared" si="0"/>
        <v>空压机:失调故障(521845,12)</v>
      </c>
      <c r="G24" s="104"/>
    </row>
    <row r="25" ht="16.9" customHeight="1" spans="1:7">
      <c r="A25" s="138">
        <v>23</v>
      </c>
      <c r="B25" s="270" t="s">
        <v>120</v>
      </c>
      <c r="C25" s="137" t="s">
        <v>941</v>
      </c>
      <c r="D25" s="138">
        <v>521846</v>
      </c>
      <c r="E25" s="138">
        <v>10</v>
      </c>
      <c r="F25" s="137" t="str">
        <f t="shared" si="0"/>
        <v>空压机:速度偏差(521846,10)</v>
      </c>
      <c r="G25" s="104"/>
    </row>
    <row r="26" ht="16.9" customHeight="1" spans="1:7">
      <c r="A26" s="138">
        <v>24</v>
      </c>
      <c r="B26" s="270" t="s">
        <v>120</v>
      </c>
      <c r="C26" s="275" t="s">
        <v>942</v>
      </c>
      <c r="D26" s="276">
        <v>521847</v>
      </c>
      <c r="E26" s="276">
        <v>0</v>
      </c>
      <c r="F26" s="275" t="str">
        <f t="shared" si="0"/>
        <v>空压机:电机过载(521847,0)</v>
      </c>
      <c r="G26" s="112" t="s">
        <v>943</v>
      </c>
    </row>
    <row r="27" ht="16.9" customHeight="1" spans="1:7">
      <c r="A27" s="138">
        <v>25</v>
      </c>
      <c r="B27" s="272" t="s">
        <v>128</v>
      </c>
      <c r="C27" s="277" t="s">
        <v>944</v>
      </c>
      <c r="D27" s="272">
        <v>521848</v>
      </c>
      <c r="E27" s="272">
        <v>0</v>
      </c>
      <c r="F27" s="277" t="str">
        <f t="shared" si="0"/>
        <v>空压机:超长时间输出报警 (521848,0)</v>
      </c>
      <c r="G27" s="112" t="s">
        <v>945</v>
      </c>
    </row>
    <row r="28" ht="16.9" customHeight="1" spans="1:7">
      <c r="A28" s="138">
        <v>26</v>
      </c>
      <c r="B28" s="272" t="s">
        <v>128</v>
      </c>
      <c r="C28" s="277" t="s">
        <v>946</v>
      </c>
      <c r="D28" s="272">
        <v>521848</v>
      </c>
      <c r="E28" s="272">
        <v>23</v>
      </c>
      <c r="F28" s="277" t="str">
        <f t="shared" si="0"/>
        <v>空压机:通讯故障 (521848,23)</v>
      </c>
      <c r="G28" s="112" t="s">
        <v>945</v>
      </c>
    </row>
    <row r="29" ht="16.9" customHeight="1" spans="1:7">
      <c r="A29" s="138">
        <v>27</v>
      </c>
      <c r="B29" s="272" t="s">
        <v>128</v>
      </c>
      <c r="C29" s="277" t="s">
        <v>947</v>
      </c>
      <c r="D29" s="272">
        <v>521849</v>
      </c>
      <c r="E29" s="272">
        <v>2</v>
      </c>
      <c r="F29" s="277" t="str">
        <f t="shared" si="0"/>
        <v>空压机:压力开关故障 (521849,2)</v>
      </c>
      <c r="G29" s="112" t="s">
        <v>945</v>
      </c>
    </row>
    <row r="30" spans="6:6">
      <c r="F30" s="278"/>
    </row>
    <row r="31" spans="6:6">
      <c r="F31" s="278"/>
    </row>
  </sheetData>
  <autoFilter ref="A2:G29">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78"/>
  <sheetViews>
    <sheetView workbookViewId="0">
      <selection activeCell="C11" sqref="C11"/>
    </sheetView>
  </sheetViews>
  <sheetFormatPr defaultColWidth="9" defaultRowHeight="13.5" outlineLevelCol="7"/>
  <cols>
    <col min="1" max="1" width="5.25" style="76" customWidth="1"/>
    <col min="2" max="2" width="9" style="76" customWidth="1"/>
    <col min="3" max="3" width="44.5" customWidth="1"/>
    <col min="4" max="4" width="9.5" style="27" customWidth="1"/>
    <col min="5" max="5" width="9.5" style="76" customWidth="1"/>
    <col min="6" max="6" width="65.125" style="76" customWidth="1"/>
    <col min="7" max="7" width="33.125" customWidth="1"/>
    <col min="8" max="8" width="14.75" customWidth="1"/>
  </cols>
  <sheetData>
    <row r="2" ht="20.1" customHeight="1" spans="1:8">
      <c r="A2" s="82" t="s">
        <v>99</v>
      </c>
      <c r="B2" s="82" t="s">
        <v>113</v>
      </c>
      <c r="C2" s="82" t="s">
        <v>101</v>
      </c>
      <c r="D2" s="254" t="s">
        <v>114</v>
      </c>
      <c r="E2" s="82" t="s">
        <v>115</v>
      </c>
      <c r="F2" s="82" t="s">
        <v>250</v>
      </c>
      <c r="G2" s="104"/>
      <c r="H2" s="104"/>
    </row>
    <row r="3" ht="20.1" customHeight="1" spans="1:8">
      <c r="A3" s="82">
        <v>1</v>
      </c>
      <c r="B3" s="82"/>
      <c r="C3" s="254" t="s">
        <v>948</v>
      </c>
      <c r="D3" s="257">
        <v>1378</v>
      </c>
      <c r="E3" s="247">
        <v>1</v>
      </c>
      <c r="F3" s="86" t="s">
        <v>949</v>
      </c>
      <c r="G3" s="104"/>
      <c r="H3" s="104"/>
    </row>
    <row r="4" ht="20.1" customHeight="1" spans="1:8">
      <c r="A4" s="82">
        <v>2</v>
      </c>
      <c r="B4" s="82"/>
      <c r="C4" s="254" t="s">
        <v>950</v>
      </c>
      <c r="D4" s="257">
        <v>1378</v>
      </c>
      <c r="E4" s="247">
        <v>2</v>
      </c>
      <c r="F4" s="86" t="s">
        <v>951</v>
      </c>
      <c r="G4" s="104"/>
      <c r="H4" s="104"/>
    </row>
    <row r="5" ht="20.1" customHeight="1" spans="1:8">
      <c r="A5" s="82">
        <v>3</v>
      </c>
      <c r="B5" s="82"/>
      <c r="C5" s="254" t="s">
        <v>952</v>
      </c>
      <c r="D5" s="257">
        <v>1824</v>
      </c>
      <c r="E5" s="247">
        <v>8</v>
      </c>
      <c r="F5" s="86" t="s">
        <v>953</v>
      </c>
      <c r="G5" s="104"/>
      <c r="H5" s="104"/>
    </row>
    <row r="6" ht="20.1" customHeight="1" spans="1:8">
      <c r="A6" s="82">
        <v>4</v>
      </c>
      <c r="B6" s="82"/>
      <c r="C6" s="254" t="s">
        <v>954</v>
      </c>
      <c r="D6" s="257">
        <v>1824</v>
      </c>
      <c r="E6" s="247">
        <v>4</v>
      </c>
      <c r="F6" s="86" t="s">
        <v>955</v>
      </c>
      <c r="G6" s="104"/>
      <c r="H6" s="104"/>
    </row>
    <row r="7" ht="20.1" customHeight="1" spans="1:8">
      <c r="A7" s="82">
        <v>5</v>
      </c>
      <c r="B7" s="82"/>
      <c r="C7" s="254" t="s">
        <v>956</v>
      </c>
      <c r="D7" s="257">
        <v>54786</v>
      </c>
      <c r="E7" s="247">
        <v>4</v>
      </c>
      <c r="F7" s="86" t="s">
        <v>957</v>
      </c>
      <c r="G7" s="104"/>
      <c r="H7" s="104"/>
    </row>
    <row r="8" ht="20.1" customHeight="1" spans="1:8">
      <c r="A8" s="82">
        <v>6</v>
      </c>
      <c r="B8" s="82"/>
      <c r="C8" s="254" t="s">
        <v>958</v>
      </c>
      <c r="D8" s="257">
        <v>5953</v>
      </c>
      <c r="E8" s="247">
        <v>1</v>
      </c>
      <c r="F8" s="86" t="s">
        <v>959</v>
      </c>
      <c r="G8" s="104"/>
      <c r="H8" s="104"/>
    </row>
    <row r="9" ht="20.1" customHeight="1" spans="1:8">
      <c r="A9" s="82">
        <v>7</v>
      </c>
      <c r="B9" s="82"/>
      <c r="C9" s="254" t="s">
        <v>960</v>
      </c>
      <c r="D9" s="257">
        <v>5953</v>
      </c>
      <c r="E9" s="247">
        <v>2</v>
      </c>
      <c r="F9" s="86" t="s">
        <v>961</v>
      </c>
      <c r="G9" s="104"/>
      <c r="H9" s="104"/>
    </row>
    <row r="10" ht="20.1" customHeight="1" spans="1:8">
      <c r="A10" s="82">
        <v>8</v>
      </c>
      <c r="B10" s="82"/>
      <c r="C10" s="254" t="s">
        <v>962</v>
      </c>
      <c r="D10" s="257">
        <v>5953</v>
      </c>
      <c r="E10" s="247">
        <v>8</v>
      </c>
      <c r="F10" s="86" t="s">
        <v>963</v>
      </c>
      <c r="G10" s="104"/>
      <c r="H10" s="104"/>
    </row>
    <row r="11" ht="20.1" customHeight="1" spans="1:8">
      <c r="A11" s="82">
        <v>9</v>
      </c>
      <c r="B11" s="82"/>
      <c r="C11" s="254" t="s">
        <v>964</v>
      </c>
      <c r="D11" s="257">
        <v>5954</v>
      </c>
      <c r="E11" s="247">
        <v>1</v>
      </c>
      <c r="F11" s="86" t="s">
        <v>965</v>
      </c>
      <c r="G11" s="104"/>
      <c r="H11" s="104"/>
    </row>
    <row r="12" ht="20.1" customHeight="1" spans="1:8">
      <c r="A12" s="82">
        <v>10</v>
      </c>
      <c r="B12" s="82"/>
      <c r="C12" s="254" t="s">
        <v>966</v>
      </c>
      <c r="D12" s="257">
        <v>5954</v>
      </c>
      <c r="E12" s="247">
        <v>2</v>
      </c>
      <c r="F12" s="86" t="s">
        <v>967</v>
      </c>
      <c r="G12" s="104"/>
      <c r="H12" s="104"/>
    </row>
    <row r="13" ht="20.1" customHeight="1" spans="1:8">
      <c r="A13" s="82">
        <v>11</v>
      </c>
      <c r="B13" s="82"/>
      <c r="C13" s="254" t="s">
        <v>968</v>
      </c>
      <c r="D13" s="257">
        <v>5954</v>
      </c>
      <c r="E13" s="247">
        <v>8</v>
      </c>
      <c r="F13" s="86" t="s">
        <v>969</v>
      </c>
      <c r="G13" s="104"/>
      <c r="H13" s="104"/>
    </row>
    <row r="14" ht="20.1" customHeight="1" spans="1:8">
      <c r="A14" s="82">
        <v>12</v>
      </c>
      <c r="B14" s="82"/>
      <c r="C14" s="254" t="s">
        <v>970</v>
      </c>
      <c r="D14" s="257">
        <v>5969</v>
      </c>
      <c r="E14" s="247">
        <v>8</v>
      </c>
      <c r="F14" s="86" t="s">
        <v>971</v>
      </c>
      <c r="G14" s="104"/>
      <c r="H14" s="104"/>
    </row>
    <row r="15" ht="20.1" customHeight="1" spans="1:8">
      <c r="A15" s="82">
        <v>13</v>
      </c>
      <c r="B15" s="82"/>
      <c r="C15" s="254" t="s">
        <v>972</v>
      </c>
      <c r="D15" s="257">
        <v>5971</v>
      </c>
      <c r="E15" s="247">
        <v>8</v>
      </c>
      <c r="F15" s="86" t="s">
        <v>973</v>
      </c>
      <c r="G15" s="104"/>
      <c r="H15" s="104"/>
    </row>
    <row r="16" ht="20.1" customHeight="1" spans="1:8">
      <c r="A16" s="82">
        <v>14</v>
      </c>
      <c r="B16" s="82"/>
      <c r="C16" s="254" t="s">
        <v>974</v>
      </c>
      <c r="D16" s="257">
        <v>6208</v>
      </c>
      <c r="E16" s="247">
        <v>8</v>
      </c>
      <c r="F16" s="86" t="s">
        <v>975</v>
      </c>
      <c r="G16" s="104"/>
      <c r="H16" s="104"/>
    </row>
    <row r="17" ht="20.1" customHeight="1" spans="1:8">
      <c r="A17" s="82">
        <v>15</v>
      </c>
      <c r="B17" s="82"/>
      <c r="C17" s="254" t="s">
        <v>976</v>
      </c>
      <c r="D17" s="257">
        <v>5990</v>
      </c>
      <c r="E17" s="247">
        <v>1</v>
      </c>
      <c r="F17" s="86" t="s">
        <v>977</v>
      </c>
      <c r="G17" s="104"/>
      <c r="H17" s="104"/>
    </row>
    <row r="18" ht="20.1" customHeight="1" spans="1:8">
      <c r="A18" s="82">
        <v>16</v>
      </c>
      <c r="B18" s="82"/>
      <c r="C18" s="254" t="s">
        <v>978</v>
      </c>
      <c r="D18" s="257">
        <v>5991</v>
      </c>
      <c r="E18" s="247">
        <v>1</v>
      </c>
      <c r="F18" s="86" t="s">
        <v>979</v>
      </c>
      <c r="G18" s="104"/>
      <c r="H18" s="104"/>
    </row>
    <row r="19" ht="20.1" customHeight="1" spans="1:8">
      <c r="A19" s="82">
        <v>17</v>
      </c>
      <c r="B19" s="82"/>
      <c r="C19" s="254" t="s">
        <v>980</v>
      </c>
      <c r="D19" s="257">
        <v>5992</v>
      </c>
      <c r="E19" s="247">
        <v>1</v>
      </c>
      <c r="F19" s="86" t="s">
        <v>981</v>
      </c>
      <c r="G19" s="104"/>
      <c r="H19" s="104"/>
    </row>
    <row r="20" ht="20.1" customHeight="1" spans="1:8">
      <c r="A20" s="82">
        <v>18</v>
      </c>
      <c r="B20" s="82"/>
      <c r="C20" s="143" t="s">
        <v>982</v>
      </c>
      <c r="D20" s="257">
        <v>5977</v>
      </c>
      <c r="E20" s="247">
        <v>1</v>
      </c>
      <c r="F20" s="86" t="s">
        <v>983</v>
      </c>
      <c r="G20" s="112" t="s">
        <v>385</v>
      </c>
      <c r="H20" s="104"/>
    </row>
    <row r="21" ht="20.1" customHeight="1" spans="1:8">
      <c r="A21" s="82">
        <v>19</v>
      </c>
      <c r="B21" s="82"/>
      <c r="C21" s="143" t="s">
        <v>112</v>
      </c>
      <c r="D21" s="257">
        <v>153</v>
      </c>
      <c r="E21" s="247">
        <v>0</v>
      </c>
      <c r="F21" s="86" t="s">
        <v>984</v>
      </c>
      <c r="G21" s="112" t="s">
        <v>385</v>
      </c>
      <c r="H21" s="104"/>
    </row>
    <row r="22" ht="16.5" spans="1:8">
      <c r="A22" s="82">
        <v>20</v>
      </c>
      <c r="B22" s="82"/>
      <c r="C22" s="254" t="s">
        <v>985</v>
      </c>
      <c r="D22" s="258">
        <v>7670</v>
      </c>
      <c r="E22" s="80">
        <v>4</v>
      </c>
      <c r="F22" s="86" t="s">
        <v>986</v>
      </c>
      <c r="G22" s="104"/>
      <c r="H22" s="104"/>
    </row>
    <row r="23" ht="16.5" spans="1:8">
      <c r="A23" s="82">
        <v>21</v>
      </c>
      <c r="B23" s="82"/>
      <c r="C23" s="254" t="s">
        <v>987</v>
      </c>
      <c r="D23" s="258">
        <v>7670</v>
      </c>
      <c r="E23" s="80">
        <v>5</v>
      </c>
      <c r="F23" s="86" t="s">
        <v>988</v>
      </c>
      <c r="G23" s="104"/>
      <c r="H23" s="104"/>
    </row>
    <row r="24" ht="16.5" spans="1:8">
      <c r="A24" s="117">
        <v>22</v>
      </c>
      <c r="B24" s="117"/>
      <c r="C24" s="259" t="s">
        <v>989</v>
      </c>
      <c r="D24" s="259">
        <v>520200</v>
      </c>
      <c r="E24" s="259">
        <v>7</v>
      </c>
      <c r="F24" s="259" t="s">
        <v>990</v>
      </c>
      <c r="G24" s="104"/>
      <c r="H24" s="104"/>
    </row>
    <row r="25" ht="16.5" spans="1:8">
      <c r="A25" s="117">
        <v>23</v>
      </c>
      <c r="B25" s="117"/>
      <c r="C25" s="259" t="s">
        <v>991</v>
      </c>
      <c r="D25" s="259">
        <v>520201</v>
      </c>
      <c r="E25" s="259">
        <v>7</v>
      </c>
      <c r="F25" s="259" t="s">
        <v>992</v>
      </c>
      <c r="G25" s="104"/>
      <c r="H25" s="104"/>
    </row>
    <row r="26" ht="16.5" spans="1:8">
      <c r="A26" s="117">
        <v>24</v>
      </c>
      <c r="B26" s="117"/>
      <c r="C26" s="259" t="s">
        <v>993</v>
      </c>
      <c r="D26" s="259">
        <v>520202</v>
      </c>
      <c r="E26" s="259">
        <v>7</v>
      </c>
      <c r="F26" s="259" t="s">
        <v>994</v>
      </c>
      <c r="G26" s="104"/>
      <c r="H26" s="104"/>
    </row>
    <row r="27" ht="16.5" spans="1:8">
      <c r="A27" s="117">
        <v>25</v>
      </c>
      <c r="B27" s="117"/>
      <c r="C27" s="259" t="s">
        <v>995</v>
      </c>
      <c r="D27" s="259">
        <v>520203</v>
      </c>
      <c r="E27" s="259">
        <v>7</v>
      </c>
      <c r="F27" s="259" t="s">
        <v>996</v>
      </c>
      <c r="G27" s="104"/>
      <c r="H27" s="104"/>
    </row>
    <row r="28" ht="16.5" spans="1:8">
      <c r="A28" s="117">
        <v>26</v>
      </c>
      <c r="B28" s="117"/>
      <c r="C28" s="259" t="s">
        <v>997</v>
      </c>
      <c r="D28" s="259">
        <v>520204</v>
      </c>
      <c r="E28" s="259">
        <v>7</v>
      </c>
      <c r="F28" s="259" t="s">
        <v>998</v>
      </c>
      <c r="G28" s="104"/>
      <c r="H28" s="104"/>
    </row>
    <row r="29" ht="16.5" spans="1:8">
      <c r="A29" s="117">
        <v>27</v>
      </c>
      <c r="B29" s="117"/>
      <c r="C29" s="259" t="s">
        <v>999</v>
      </c>
      <c r="D29" s="259">
        <v>520205</v>
      </c>
      <c r="E29" s="259">
        <v>7</v>
      </c>
      <c r="F29" s="259" t="s">
        <v>1000</v>
      </c>
      <c r="G29" s="104"/>
      <c r="H29" s="104"/>
    </row>
    <row r="30" ht="16.5" spans="1:8">
      <c r="A30" s="260">
        <v>28</v>
      </c>
      <c r="B30" s="129" t="s">
        <v>118</v>
      </c>
      <c r="C30" s="261" t="s">
        <v>1001</v>
      </c>
      <c r="D30" s="261">
        <v>520206</v>
      </c>
      <c r="E30" s="261">
        <v>7</v>
      </c>
      <c r="F30" s="261" t="s">
        <v>1002</v>
      </c>
      <c r="G30" s="104"/>
      <c r="H30" s="104"/>
    </row>
    <row r="31" ht="16.5" spans="1:8">
      <c r="A31" s="117">
        <v>29</v>
      </c>
      <c r="B31" s="117"/>
      <c r="C31" s="259" t="s">
        <v>1003</v>
      </c>
      <c r="D31" s="259">
        <v>520207</v>
      </c>
      <c r="E31" s="259">
        <v>7</v>
      </c>
      <c r="F31" s="259" t="s">
        <v>1004</v>
      </c>
      <c r="G31" s="104"/>
      <c r="H31" s="104"/>
    </row>
    <row r="32" ht="16.5" spans="1:8">
      <c r="A32" s="117">
        <v>30</v>
      </c>
      <c r="B32" s="117"/>
      <c r="C32" s="259" t="s">
        <v>1005</v>
      </c>
      <c r="D32" s="259">
        <v>520208</v>
      </c>
      <c r="E32" s="259">
        <v>7</v>
      </c>
      <c r="F32" s="259" t="s">
        <v>1006</v>
      </c>
      <c r="G32" s="104"/>
      <c r="H32" s="104"/>
    </row>
    <row r="33" ht="16.5" spans="1:8">
      <c r="A33" s="117">
        <v>31</v>
      </c>
      <c r="B33" s="117"/>
      <c r="C33" s="259" t="s">
        <v>1007</v>
      </c>
      <c r="D33" s="259">
        <v>520209</v>
      </c>
      <c r="E33" s="259">
        <v>7</v>
      </c>
      <c r="F33" s="259" t="s">
        <v>1008</v>
      </c>
      <c r="G33" s="104"/>
      <c r="H33" s="104"/>
    </row>
    <row r="34" ht="16.5" spans="1:8">
      <c r="A34" s="117">
        <v>32</v>
      </c>
      <c r="B34" s="117"/>
      <c r="C34" s="259" t="s">
        <v>1009</v>
      </c>
      <c r="D34" s="259">
        <v>520213</v>
      </c>
      <c r="E34" s="259">
        <v>7</v>
      </c>
      <c r="F34" s="259" t="s">
        <v>1010</v>
      </c>
      <c r="G34" s="104"/>
      <c r="H34" s="104"/>
    </row>
    <row r="35" ht="16.5" spans="1:8">
      <c r="A35" s="80">
        <v>33</v>
      </c>
      <c r="B35" s="80"/>
      <c r="C35" s="86" t="s">
        <v>1011</v>
      </c>
      <c r="D35" s="258">
        <v>7649</v>
      </c>
      <c r="E35" s="80">
        <v>1</v>
      </c>
      <c r="F35" s="136" t="s">
        <v>1012</v>
      </c>
      <c r="G35" s="262" t="s">
        <v>821</v>
      </c>
      <c r="H35" s="104"/>
    </row>
    <row r="36" ht="16.5" spans="1:8">
      <c r="A36" s="80">
        <v>34</v>
      </c>
      <c r="B36" s="80"/>
      <c r="C36" s="86" t="s">
        <v>1013</v>
      </c>
      <c r="D36" s="258">
        <v>7649</v>
      </c>
      <c r="E36" s="80">
        <v>2</v>
      </c>
      <c r="F36" s="136" t="s">
        <v>1014</v>
      </c>
      <c r="G36" s="262" t="s">
        <v>821</v>
      </c>
      <c r="H36" s="104"/>
    </row>
    <row r="37" ht="16.5" spans="1:8">
      <c r="A37" s="80">
        <v>35</v>
      </c>
      <c r="B37" s="80"/>
      <c r="C37" s="86" t="s">
        <v>1015</v>
      </c>
      <c r="D37" s="258">
        <v>1824</v>
      </c>
      <c r="E37" s="80">
        <v>1</v>
      </c>
      <c r="F37" s="136" t="s">
        <v>1016</v>
      </c>
      <c r="G37" s="262" t="s">
        <v>821</v>
      </c>
      <c r="H37" s="104"/>
    </row>
    <row r="38" ht="16.5" spans="1:8">
      <c r="A38" s="80">
        <v>36</v>
      </c>
      <c r="B38" s="80"/>
      <c r="C38" s="86" t="s">
        <v>1017</v>
      </c>
      <c r="D38" s="258">
        <v>1810</v>
      </c>
      <c r="E38" s="80">
        <v>2</v>
      </c>
      <c r="F38" s="136" t="s">
        <v>1018</v>
      </c>
      <c r="G38" s="262" t="s">
        <v>821</v>
      </c>
      <c r="H38" s="104"/>
    </row>
    <row r="39" ht="16.5" spans="1:8">
      <c r="A39" s="80">
        <v>37</v>
      </c>
      <c r="B39" s="80"/>
      <c r="C39" s="86" t="s">
        <v>1019</v>
      </c>
      <c r="D39" s="258">
        <v>1810</v>
      </c>
      <c r="E39" s="80">
        <v>11</v>
      </c>
      <c r="F39" s="136" t="s">
        <v>1020</v>
      </c>
      <c r="G39" s="262" t="s">
        <v>821</v>
      </c>
      <c r="H39" s="104"/>
    </row>
    <row r="40" ht="16.5" spans="1:8">
      <c r="A40" s="80">
        <v>38</v>
      </c>
      <c r="B40" s="80"/>
      <c r="C40" s="86" t="s">
        <v>1021</v>
      </c>
      <c r="D40" s="258">
        <v>518310</v>
      </c>
      <c r="E40" s="80">
        <v>12</v>
      </c>
      <c r="F40" s="136" t="s">
        <v>1022</v>
      </c>
      <c r="G40" s="262" t="s">
        <v>821</v>
      </c>
      <c r="H40" s="104"/>
    </row>
    <row r="41" ht="16.5" spans="1:8">
      <c r="A41" s="80">
        <v>39</v>
      </c>
      <c r="B41" s="80"/>
      <c r="C41" s="86" t="s">
        <v>1023</v>
      </c>
      <c r="D41" s="258">
        <v>5997</v>
      </c>
      <c r="E41" s="80">
        <v>12</v>
      </c>
      <c r="F41" s="136" t="s">
        <v>1024</v>
      </c>
      <c r="G41" s="262" t="s">
        <v>821</v>
      </c>
      <c r="H41" s="104"/>
    </row>
    <row r="42" ht="16.5" spans="1:8">
      <c r="A42" s="80">
        <v>40</v>
      </c>
      <c r="B42" s="80"/>
      <c r="C42" s="86" t="s">
        <v>1025</v>
      </c>
      <c r="D42" s="258">
        <v>5997</v>
      </c>
      <c r="E42" s="80">
        <v>13</v>
      </c>
      <c r="F42" s="136" t="s">
        <v>1026</v>
      </c>
      <c r="G42" s="262" t="s">
        <v>821</v>
      </c>
      <c r="H42" s="104"/>
    </row>
    <row r="43" ht="16.5" spans="1:8">
      <c r="A43" s="80">
        <v>41</v>
      </c>
      <c r="B43" s="80"/>
      <c r="C43" s="86" t="s">
        <v>1027</v>
      </c>
      <c r="D43" s="258">
        <v>7673</v>
      </c>
      <c r="E43" s="80">
        <v>7</v>
      </c>
      <c r="F43" s="136" t="s">
        <v>1028</v>
      </c>
      <c r="G43" s="262" t="s">
        <v>821</v>
      </c>
      <c r="H43" s="104"/>
    </row>
    <row r="44" ht="16.5" spans="1:8">
      <c r="A44" s="80">
        <v>42</v>
      </c>
      <c r="B44" s="80"/>
      <c r="C44" s="86" t="s">
        <v>1029</v>
      </c>
      <c r="D44" s="258">
        <v>7673</v>
      </c>
      <c r="E44" s="80">
        <v>15</v>
      </c>
      <c r="F44" s="136" t="s">
        <v>1030</v>
      </c>
      <c r="G44" s="262" t="s">
        <v>821</v>
      </c>
      <c r="H44" s="104"/>
    </row>
    <row r="45" ht="16.5" spans="1:8">
      <c r="A45" s="80">
        <v>43</v>
      </c>
      <c r="B45" s="80"/>
      <c r="C45" s="86" t="s">
        <v>1031</v>
      </c>
      <c r="D45" s="258">
        <v>7673</v>
      </c>
      <c r="E45" s="80">
        <v>16</v>
      </c>
      <c r="F45" s="136" t="s">
        <v>1032</v>
      </c>
      <c r="G45" s="262" t="s">
        <v>821</v>
      </c>
      <c r="H45" s="104"/>
    </row>
    <row r="46" ht="16.5" spans="1:8">
      <c r="A46" s="80">
        <v>44</v>
      </c>
      <c r="B46" s="80"/>
      <c r="C46" s="86" t="s">
        <v>1033</v>
      </c>
      <c r="D46" s="258">
        <v>520213</v>
      </c>
      <c r="E46" s="80">
        <v>5</v>
      </c>
      <c r="F46" s="136" t="s">
        <v>1034</v>
      </c>
      <c r="G46" s="262" t="s">
        <v>821</v>
      </c>
      <c r="H46" s="104"/>
    </row>
    <row r="47" ht="16.5" spans="1:8">
      <c r="A47" s="80">
        <v>45</v>
      </c>
      <c r="B47" s="80"/>
      <c r="C47" s="86" t="s">
        <v>1035</v>
      </c>
      <c r="D47" s="258">
        <v>520213</v>
      </c>
      <c r="E47" s="80">
        <v>6</v>
      </c>
      <c r="F47" s="136" t="s">
        <v>1036</v>
      </c>
      <c r="G47" s="262" t="s">
        <v>821</v>
      </c>
      <c r="H47" s="104"/>
    </row>
    <row r="48" ht="16.5" spans="1:8">
      <c r="A48" s="80">
        <v>46</v>
      </c>
      <c r="B48" s="80"/>
      <c r="C48" s="86" t="s">
        <v>1037</v>
      </c>
      <c r="D48" s="258">
        <v>520213</v>
      </c>
      <c r="E48" s="80">
        <v>8</v>
      </c>
      <c r="F48" s="136" t="s">
        <v>1038</v>
      </c>
      <c r="G48" s="262" t="s">
        <v>821</v>
      </c>
      <c r="H48" s="104"/>
    </row>
    <row r="49" ht="16.5" spans="1:8">
      <c r="A49" s="80">
        <v>47</v>
      </c>
      <c r="B49" s="80"/>
      <c r="C49" s="86" t="s">
        <v>1039</v>
      </c>
      <c r="D49" s="258">
        <v>520213</v>
      </c>
      <c r="E49" s="80">
        <v>9</v>
      </c>
      <c r="F49" s="136" t="s">
        <v>1040</v>
      </c>
      <c r="G49" s="262" t="s">
        <v>821</v>
      </c>
      <c r="H49" s="104"/>
    </row>
    <row r="50" ht="16.5" spans="1:8">
      <c r="A50" s="80">
        <v>48</v>
      </c>
      <c r="B50" s="80"/>
      <c r="C50" s="86" t="s">
        <v>1041</v>
      </c>
      <c r="D50" s="258">
        <v>520213</v>
      </c>
      <c r="E50" s="80">
        <v>10</v>
      </c>
      <c r="F50" s="136" t="s">
        <v>1042</v>
      </c>
      <c r="G50" s="262" t="s">
        <v>821</v>
      </c>
      <c r="H50" s="104"/>
    </row>
    <row r="51" ht="16.5" spans="1:8">
      <c r="A51" s="80">
        <v>49</v>
      </c>
      <c r="B51" s="80"/>
      <c r="C51" s="86" t="s">
        <v>1043</v>
      </c>
      <c r="D51" s="258">
        <v>520213</v>
      </c>
      <c r="E51" s="80">
        <v>16</v>
      </c>
      <c r="F51" s="136" t="s">
        <v>1044</v>
      </c>
      <c r="G51" s="262" t="s">
        <v>821</v>
      </c>
      <c r="H51" s="104"/>
    </row>
    <row r="52" ht="16.5" spans="1:8">
      <c r="A52" s="80">
        <v>50</v>
      </c>
      <c r="B52" s="80"/>
      <c r="C52" s="86" t="s">
        <v>1045</v>
      </c>
      <c r="D52" s="258">
        <v>520214</v>
      </c>
      <c r="E52" s="80">
        <v>7</v>
      </c>
      <c r="F52" s="136" t="s">
        <v>1046</v>
      </c>
      <c r="G52" s="262" t="s">
        <v>821</v>
      </c>
      <c r="H52" s="104"/>
    </row>
    <row r="53" ht="16.5" spans="1:8">
      <c r="A53" s="80">
        <v>51</v>
      </c>
      <c r="B53" s="80"/>
      <c r="C53" s="86" t="s">
        <v>1047</v>
      </c>
      <c r="D53" s="258">
        <v>177</v>
      </c>
      <c r="E53" s="80">
        <v>0</v>
      </c>
      <c r="F53" s="136" t="s">
        <v>1048</v>
      </c>
      <c r="G53" s="262" t="s">
        <v>821</v>
      </c>
      <c r="H53" s="104"/>
    </row>
    <row r="54" ht="16.5" spans="1:8">
      <c r="A54" s="80">
        <v>52</v>
      </c>
      <c r="B54" s="80"/>
      <c r="C54" s="86" t="s">
        <v>1049</v>
      </c>
      <c r="D54" s="258">
        <v>177</v>
      </c>
      <c r="E54" s="80">
        <v>16</v>
      </c>
      <c r="F54" s="136" t="s">
        <v>1050</v>
      </c>
      <c r="G54" s="262" t="s">
        <v>821</v>
      </c>
      <c r="H54" s="104"/>
    </row>
    <row r="55" ht="16.5" spans="1:8">
      <c r="A55" s="80">
        <v>53</v>
      </c>
      <c r="B55" s="80"/>
      <c r="C55" s="86" t="s">
        <v>1051</v>
      </c>
      <c r="D55" s="258">
        <v>6031</v>
      </c>
      <c r="E55" s="80">
        <v>4</v>
      </c>
      <c r="F55" s="136" t="s">
        <v>1052</v>
      </c>
      <c r="G55" s="262" t="s">
        <v>821</v>
      </c>
      <c r="H55" s="104"/>
    </row>
    <row r="56" ht="16.5" spans="1:8">
      <c r="A56" s="80">
        <v>54</v>
      </c>
      <c r="B56" s="80"/>
      <c r="C56" s="86" t="s">
        <v>1053</v>
      </c>
      <c r="D56" s="258">
        <v>6031</v>
      </c>
      <c r="E56" s="80">
        <v>3</v>
      </c>
      <c r="F56" s="136" t="s">
        <v>1054</v>
      </c>
      <c r="G56" s="262" t="s">
        <v>821</v>
      </c>
      <c r="H56" s="104"/>
    </row>
    <row r="57" ht="16.5" spans="1:8">
      <c r="A57" s="80">
        <v>55</v>
      </c>
      <c r="B57" s="80"/>
      <c r="C57" s="86" t="s">
        <v>1055</v>
      </c>
      <c r="D57" s="258">
        <v>518389</v>
      </c>
      <c r="E57" s="80">
        <v>7</v>
      </c>
      <c r="F57" s="136" t="s">
        <v>1056</v>
      </c>
      <c r="G57" s="262" t="s">
        <v>821</v>
      </c>
      <c r="H57" s="104"/>
    </row>
    <row r="58" ht="16.5" spans="1:8">
      <c r="A58" s="80">
        <v>56</v>
      </c>
      <c r="B58" s="80"/>
      <c r="C58" s="86" t="s">
        <v>1057</v>
      </c>
      <c r="D58" s="258">
        <v>518390</v>
      </c>
      <c r="E58" s="80">
        <v>7</v>
      </c>
      <c r="F58" s="136" t="s">
        <v>1058</v>
      </c>
      <c r="G58" s="262" t="s">
        <v>821</v>
      </c>
      <c r="H58" s="104"/>
    </row>
    <row r="59" ht="16.5" spans="1:8">
      <c r="A59" s="80">
        <v>57</v>
      </c>
      <c r="B59" s="80"/>
      <c r="C59" s="86" t="s">
        <v>1059</v>
      </c>
      <c r="D59" s="258">
        <v>518391</v>
      </c>
      <c r="E59" s="80">
        <v>7</v>
      </c>
      <c r="F59" s="136" t="s">
        <v>1060</v>
      </c>
      <c r="G59" s="262" t="s">
        <v>821</v>
      </c>
      <c r="H59" s="104"/>
    </row>
    <row r="60" ht="16.5" spans="1:8">
      <c r="A60" s="80">
        <v>58</v>
      </c>
      <c r="B60" s="80"/>
      <c r="C60" s="86" t="s">
        <v>1061</v>
      </c>
      <c r="D60" s="258">
        <v>518392</v>
      </c>
      <c r="E60" s="80">
        <v>7</v>
      </c>
      <c r="F60" s="136" t="s">
        <v>1062</v>
      </c>
      <c r="G60" s="262" t="s">
        <v>821</v>
      </c>
      <c r="H60" s="262" t="s">
        <v>1063</v>
      </c>
    </row>
    <row r="61" ht="16.5" spans="1:8">
      <c r="A61" s="80">
        <v>59</v>
      </c>
      <c r="B61" s="80"/>
      <c r="C61" s="86" t="s">
        <v>1064</v>
      </c>
      <c r="D61" s="258">
        <v>518393</v>
      </c>
      <c r="E61" s="80">
        <v>7</v>
      </c>
      <c r="F61" s="136" t="s">
        <v>1065</v>
      </c>
      <c r="G61" s="262" t="s">
        <v>821</v>
      </c>
      <c r="H61" s="262" t="s">
        <v>1063</v>
      </c>
    </row>
    <row r="62" ht="16.5" spans="1:8">
      <c r="A62" s="80">
        <v>60</v>
      </c>
      <c r="B62" s="80"/>
      <c r="C62" s="86" t="s">
        <v>1066</v>
      </c>
      <c r="D62" s="258">
        <v>518394</v>
      </c>
      <c r="E62" s="80">
        <v>7</v>
      </c>
      <c r="F62" s="136" t="s">
        <v>1067</v>
      </c>
      <c r="G62" s="262" t="s">
        <v>821</v>
      </c>
      <c r="H62" s="262" t="s">
        <v>1063</v>
      </c>
    </row>
    <row r="63" ht="16.5" spans="1:8">
      <c r="A63" s="80">
        <v>61</v>
      </c>
      <c r="B63" s="80"/>
      <c r="C63" s="86" t="s">
        <v>1068</v>
      </c>
      <c r="D63" s="258">
        <v>518395</v>
      </c>
      <c r="E63" s="80">
        <v>7</v>
      </c>
      <c r="F63" s="136" t="s">
        <v>1069</v>
      </c>
      <c r="G63" s="262" t="s">
        <v>821</v>
      </c>
      <c r="H63" s="104"/>
    </row>
    <row r="64" ht="16.5" spans="1:8">
      <c r="A64" s="80">
        <v>62</v>
      </c>
      <c r="B64" s="80"/>
      <c r="C64" s="86" t="s">
        <v>1070</v>
      </c>
      <c r="D64" s="258">
        <v>518332</v>
      </c>
      <c r="E64" s="80">
        <v>13</v>
      </c>
      <c r="F64" s="136" t="s">
        <v>1071</v>
      </c>
      <c r="G64" s="262" t="s">
        <v>821</v>
      </c>
      <c r="H64" s="104"/>
    </row>
    <row r="65" ht="16.5" spans="1:8">
      <c r="A65" s="80">
        <v>63</v>
      </c>
      <c r="B65" s="80"/>
      <c r="C65" s="86" t="s">
        <v>1072</v>
      </c>
      <c r="D65" s="258">
        <v>518332</v>
      </c>
      <c r="E65" s="80">
        <v>14</v>
      </c>
      <c r="F65" s="136" t="s">
        <v>1073</v>
      </c>
      <c r="G65" s="262" t="s">
        <v>821</v>
      </c>
      <c r="H65" s="104"/>
    </row>
    <row r="66" ht="16.5" spans="1:8">
      <c r="A66" s="80">
        <v>64</v>
      </c>
      <c r="B66" s="80"/>
      <c r="C66" s="86" t="s">
        <v>1074</v>
      </c>
      <c r="D66" s="258">
        <v>518333</v>
      </c>
      <c r="E66" s="80">
        <v>13</v>
      </c>
      <c r="F66" s="136" t="s">
        <v>1075</v>
      </c>
      <c r="G66" s="262" t="s">
        <v>821</v>
      </c>
      <c r="H66" s="104"/>
    </row>
    <row r="67" ht="16.5" spans="1:8">
      <c r="A67" s="80">
        <v>65</v>
      </c>
      <c r="B67" s="263"/>
      <c r="C67" s="264" t="s">
        <v>1076</v>
      </c>
      <c r="D67" s="265">
        <v>518333</v>
      </c>
      <c r="E67" s="263">
        <v>14</v>
      </c>
      <c r="F67" s="150" t="s">
        <v>1077</v>
      </c>
      <c r="G67" s="262" t="s">
        <v>821</v>
      </c>
      <c r="H67" s="104"/>
    </row>
    <row r="68" ht="16.5" spans="1:8">
      <c r="A68" s="151">
        <v>66</v>
      </c>
      <c r="B68" s="151"/>
      <c r="C68" s="256" t="s">
        <v>1015</v>
      </c>
      <c r="D68" s="157">
        <v>1824</v>
      </c>
      <c r="E68" s="266">
        <v>1</v>
      </c>
      <c r="F68" s="152" t="s">
        <v>1078</v>
      </c>
      <c r="G68" s="256" t="s">
        <v>1079</v>
      </c>
      <c r="H68" s="104"/>
    </row>
    <row r="69" ht="16.5" spans="1:8">
      <c r="A69" s="151">
        <v>67</v>
      </c>
      <c r="B69" s="151"/>
      <c r="C69" s="256" t="s">
        <v>1023</v>
      </c>
      <c r="D69" s="157">
        <v>1810</v>
      </c>
      <c r="E69" s="266">
        <v>12</v>
      </c>
      <c r="F69" s="152" t="s">
        <v>1080</v>
      </c>
      <c r="G69" s="256" t="s">
        <v>1079</v>
      </c>
      <c r="H69" s="104"/>
    </row>
    <row r="70" ht="16.5" spans="1:8">
      <c r="A70" s="151">
        <v>68</v>
      </c>
      <c r="B70" s="151"/>
      <c r="C70" s="256" t="s">
        <v>1025</v>
      </c>
      <c r="D70" s="157">
        <v>1810</v>
      </c>
      <c r="E70" s="266">
        <v>13</v>
      </c>
      <c r="F70" s="152" t="s">
        <v>1081</v>
      </c>
      <c r="G70" s="256" t="s">
        <v>1079</v>
      </c>
      <c r="H70" s="104"/>
    </row>
    <row r="71" ht="16.5" spans="1:8">
      <c r="A71" s="151">
        <v>69</v>
      </c>
      <c r="B71" s="151"/>
      <c r="C71" s="256" t="s">
        <v>1082</v>
      </c>
      <c r="D71" s="157">
        <v>1810</v>
      </c>
      <c r="E71" s="266">
        <v>14</v>
      </c>
      <c r="F71" s="152" t="s">
        <v>1083</v>
      </c>
      <c r="G71" s="256" t="s">
        <v>1079</v>
      </c>
      <c r="H71" s="104"/>
    </row>
    <row r="72" ht="16.5" spans="1:8">
      <c r="A72" s="151">
        <v>70</v>
      </c>
      <c r="B72" s="151"/>
      <c r="C72" s="256" t="s">
        <v>1084</v>
      </c>
      <c r="D72" s="157">
        <v>1810</v>
      </c>
      <c r="E72" s="266">
        <v>4</v>
      </c>
      <c r="F72" s="152" t="s">
        <v>1085</v>
      </c>
      <c r="G72" s="256" t="s">
        <v>1079</v>
      </c>
      <c r="H72" s="104"/>
    </row>
    <row r="73" ht="16.5" spans="1:8">
      <c r="A73" s="151">
        <v>71</v>
      </c>
      <c r="B73" s="151"/>
      <c r="C73" s="256" t="s">
        <v>1086</v>
      </c>
      <c r="D73" s="157">
        <v>518332</v>
      </c>
      <c r="E73" s="266">
        <v>11</v>
      </c>
      <c r="F73" s="152" t="s">
        <v>1087</v>
      </c>
      <c r="G73" s="256" t="s">
        <v>1079</v>
      </c>
      <c r="H73" s="104"/>
    </row>
    <row r="74" ht="16.5" spans="1:8">
      <c r="A74" s="151">
        <v>72</v>
      </c>
      <c r="B74" s="151"/>
      <c r="C74" s="256" t="s">
        <v>1088</v>
      </c>
      <c r="D74" s="157">
        <v>7670</v>
      </c>
      <c r="E74" s="266">
        <v>6</v>
      </c>
      <c r="F74" s="152" t="s">
        <v>1089</v>
      </c>
      <c r="G74" s="256" t="s">
        <v>1079</v>
      </c>
      <c r="H74" s="104"/>
    </row>
    <row r="75" ht="16.5" spans="1:8">
      <c r="A75" s="151">
        <v>73</v>
      </c>
      <c r="B75" s="151"/>
      <c r="C75" s="256" t="s">
        <v>1090</v>
      </c>
      <c r="D75" s="157">
        <v>7670</v>
      </c>
      <c r="E75" s="266">
        <v>7</v>
      </c>
      <c r="F75" s="152" t="s">
        <v>1091</v>
      </c>
      <c r="G75" s="256" t="s">
        <v>1079</v>
      </c>
      <c r="H75" s="104"/>
    </row>
    <row r="76" ht="16.5" spans="1:8">
      <c r="A76" s="151">
        <v>74</v>
      </c>
      <c r="B76" s="151"/>
      <c r="C76" s="256" t="s">
        <v>1092</v>
      </c>
      <c r="D76" s="157">
        <v>7670</v>
      </c>
      <c r="E76" s="266">
        <v>8</v>
      </c>
      <c r="F76" s="152" t="s">
        <v>1093</v>
      </c>
      <c r="G76" s="256" t="s">
        <v>1079</v>
      </c>
      <c r="H76" s="104"/>
    </row>
    <row r="77" spans="1:7">
      <c r="A77" s="267"/>
      <c r="B77" s="267"/>
      <c r="C77" s="5"/>
      <c r="D77" s="268"/>
      <c r="E77" s="267"/>
      <c r="F77" s="267"/>
      <c r="G77" s="5"/>
    </row>
    <row r="78" spans="1:7">
      <c r="A78" s="267"/>
      <c r="B78" s="267"/>
      <c r="C78" s="5"/>
      <c r="D78" s="268"/>
      <c r="E78" s="267"/>
      <c r="F78" s="267"/>
      <c r="G78" s="5"/>
    </row>
  </sheetData>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21"/>
  <sheetViews>
    <sheetView workbookViewId="0">
      <selection activeCell="F18" sqref="F18"/>
    </sheetView>
  </sheetViews>
  <sheetFormatPr defaultColWidth="9" defaultRowHeight="13.5" outlineLevelCol="6"/>
  <cols>
    <col min="1" max="1" width="5.25" style="76" customWidth="1"/>
    <col min="2" max="2" width="9" style="76" customWidth="1"/>
    <col min="3" max="3" width="19.375" style="27" customWidth="1"/>
    <col min="4" max="5" width="9.5" style="244" customWidth="1"/>
    <col min="6" max="6" width="35.875" style="27" customWidth="1"/>
    <col min="7" max="7" width="23.75" customWidth="1"/>
    <col min="12" max="12" width="43.875" customWidth="1"/>
  </cols>
  <sheetData>
    <row r="2" ht="20.1" customHeight="1" spans="1:7">
      <c r="A2" s="82" t="s">
        <v>99</v>
      </c>
      <c r="B2" s="82" t="s">
        <v>113</v>
      </c>
      <c r="C2" s="85" t="s">
        <v>101</v>
      </c>
      <c r="D2" s="85" t="s">
        <v>114</v>
      </c>
      <c r="E2" s="85" t="s">
        <v>115</v>
      </c>
      <c r="F2" s="254" t="s">
        <v>250</v>
      </c>
      <c r="G2" s="104"/>
    </row>
    <row r="3" ht="17.45" customHeight="1" spans="1:7">
      <c r="A3" s="82">
        <v>1</v>
      </c>
      <c r="B3" s="109" t="s">
        <v>128</v>
      </c>
      <c r="C3" s="255" t="s">
        <v>1094</v>
      </c>
      <c r="D3" s="85">
        <v>521500</v>
      </c>
      <c r="E3" s="85">
        <v>0</v>
      </c>
      <c r="F3" s="87" t="str">
        <f>"DCDC"&amp;":"&amp;C3&amp;"("&amp;D3&amp;","&amp;E3&amp;")"</f>
        <v>DCDC:输出严重过压 (521500,0)</v>
      </c>
      <c r="G3" s="104"/>
    </row>
    <row r="4" ht="17.45" customHeight="1" spans="1:7">
      <c r="A4" s="82">
        <v>2</v>
      </c>
      <c r="B4" s="109" t="s">
        <v>128</v>
      </c>
      <c r="C4" s="255" t="s">
        <v>1095</v>
      </c>
      <c r="D4" s="85">
        <v>521500</v>
      </c>
      <c r="E4" s="85">
        <v>16</v>
      </c>
      <c r="F4" s="87" t="s">
        <v>1096</v>
      </c>
      <c r="G4" s="104"/>
    </row>
    <row r="5" ht="17.45" customHeight="1" spans="1:7">
      <c r="A5" s="82">
        <v>3</v>
      </c>
      <c r="B5" s="109" t="s">
        <v>128</v>
      </c>
      <c r="C5" s="255" t="s">
        <v>1097</v>
      </c>
      <c r="D5" s="85">
        <v>521501</v>
      </c>
      <c r="E5" s="85">
        <v>0</v>
      </c>
      <c r="F5" s="87" t="s">
        <v>1098</v>
      </c>
      <c r="G5" s="104"/>
    </row>
    <row r="6" ht="17.45" customHeight="1" spans="1:7">
      <c r="A6" s="82">
        <v>4</v>
      </c>
      <c r="B6" s="109" t="s">
        <v>128</v>
      </c>
      <c r="C6" s="255" t="s">
        <v>1099</v>
      </c>
      <c r="D6" s="85">
        <v>521502</v>
      </c>
      <c r="E6" s="85">
        <v>7</v>
      </c>
      <c r="F6" s="87" t="s">
        <v>1100</v>
      </c>
      <c r="G6" s="104"/>
    </row>
    <row r="7" ht="17.45" customHeight="1" spans="1:7">
      <c r="A7" s="82">
        <v>5</v>
      </c>
      <c r="B7" s="109" t="s">
        <v>128</v>
      </c>
      <c r="C7" s="255" t="s">
        <v>1101</v>
      </c>
      <c r="D7" s="85">
        <v>521503</v>
      </c>
      <c r="E7" s="85">
        <v>0</v>
      </c>
      <c r="F7" s="87" t="s">
        <v>1102</v>
      </c>
      <c r="G7" s="104"/>
    </row>
    <row r="8" ht="17.45" customHeight="1" spans="1:7">
      <c r="A8" s="82">
        <v>6</v>
      </c>
      <c r="B8" s="109" t="s">
        <v>128</v>
      </c>
      <c r="C8" s="255" t="s">
        <v>1103</v>
      </c>
      <c r="D8" s="85">
        <v>521504</v>
      </c>
      <c r="E8" s="85">
        <v>4</v>
      </c>
      <c r="F8" s="87" t="s">
        <v>1104</v>
      </c>
      <c r="G8" s="104"/>
    </row>
    <row r="9" ht="17.45" customHeight="1" spans="1:7">
      <c r="A9" s="82">
        <v>7</v>
      </c>
      <c r="B9" s="109" t="s">
        <v>128</v>
      </c>
      <c r="C9" s="255" t="s">
        <v>1105</v>
      </c>
      <c r="D9" s="85">
        <v>521505</v>
      </c>
      <c r="E9" s="85">
        <v>3</v>
      </c>
      <c r="F9" s="87" t="s">
        <v>1106</v>
      </c>
      <c r="G9" s="104"/>
    </row>
    <row r="10" ht="17.45" customHeight="1" spans="1:7">
      <c r="A10" s="82">
        <v>8</v>
      </c>
      <c r="B10" s="109" t="s">
        <v>128</v>
      </c>
      <c r="C10" s="251" t="s">
        <v>1107</v>
      </c>
      <c r="D10" s="252">
        <v>521506</v>
      </c>
      <c r="E10" s="252">
        <v>1</v>
      </c>
      <c r="F10" s="256" t="s">
        <v>1108</v>
      </c>
      <c r="G10" s="112" t="s">
        <v>342</v>
      </c>
    </row>
    <row r="11" ht="17.45" customHeight="1" spans="1:7">
      <c r="A11" s="82">
        <v>9</v>
      </c>
      <c r="B11" s="109" t="s">
        <v>128</v>
      </c>
      <c r="C11" s="251" t="s">
        <v>946</v>
      </c>
      <c r="D11" s="252">
        <v>521507</v>
      </c>
      <c r="E11" s="252">
        <v>12</v>
      </c>
      <c r="F11" s="256" t="s">
        <v>1109</v>
      </c>
      <c r="G11" s="112" t="s">
        <v>342</v>
      </c>
    </row>
    <row r="12" ht="17.45" customHeight="1" spans="1:7">
      <c r="A12" s="82">
        <v>10</v>
      </c>
      <c r="B12" s="109" t="s">
        <v>128</v>
      </c>
      <c r="C12" s="251" t="s">
        <v>1110</v>
      </c>
      <c r="D12" s="252">
        <v>521508</v>
      </c>
      <c r="E12" s="252">
        <v>11</v>
      </c>
      <c r="F12" s="256" t="s">
        <v>1111</v>
      </c>
      <c r="G12" s="112" t="s">
        <v>342</v>
      </c>
    </row>
    <row r="13" ht="17.45" customHeight="1" spans="1:7">
      <c r="A13" s="82">
        <v>11</v>
      </c>
      <c r="B13" s="109" t="s">
        <v>128</v>
      </c>
      <c r="C13" s="251" t="s">
        <v>1110</v>
      </c>
      <c r="D13" s="252">
        <v>521508</v>
      </c>
      <c r="E13" s="252">
        <v>7</v>
      </c>
      <c r="F13" s="256" t="s">
        <v>1112</v>
      </c>
      <c r="G13" s="112" t="s">
        <v>342</v>
      </c>
    </row>
    <row r="14" ht="17.45" customHeight="1" spans="1:7">
      <c r="A14" s="82">
        <v>12</v>
      </c>
      <c r="B14" s="109" t="s">
        <v>128</v>
      </c>
      <c r="C14" s="251" t="s">
        <v>1113</v>
      </c>
      <c r="D14" s="252">
        <v>521509</v>
      </c>
      <c r="E14" s="252">
        <v>1</v>
      </c>
      <c r="F14" s="256" t="s">
        <v>1114</v>
      </c>
      <c r="G14" s="112" t="s">
        <v>342</v>
      </c>
    </row>
    <row r="15" ht="17.45" customHeight="1" spans="1:7">
      <c r="A15" s="82">
        <v>13</v>
      </c>
      <c r="B15" s="109" t="s">
        <v>128</v>
      </c>
      <c r="C15" s="251" t="s">
        <v>1115</v>
      </c>
      <c r="D15" s="252">
        <v>521509</v>
      </c>
      <c r="E15" s="252">
        <v>0</v>
      </c>
      <c r="F15" s="256" t="s">
        <v>1116</v>
      </c>
      <c r="G15" s="112" t="s">
        <v>342</v>
      </c>
    </row>
    <row r="16" ht="17.45" customHeight="1" spans="1:7">
      <c r="A16" s="82">
        <v>14</v>
      </c>
      <c r="B16" s="109" t="s">
        <v>128</v>
      </c>
      <c r="C16" s="251" t="s">
        <v>1117</v>
      </c>
      <c r="D16" s="252">
        <v>521510</v>
      </c>
      <c r="E16" s="252">
        <v>0</v>
      </c>
      <c r="F16" s="256" t="s">
        <v>1118</v>
      </c>
      <c r="G16" s="112" t="s">
        <v>342</v>
      </c>
    </row>
    <row r="17" ht="17.45" customHeight="1" spans="1:7">
      <c r="A17" s="82">
        <v>15</v>
      </c>
      <c r="B17" s="109" t="s">
        <v>128</v>
      </c>
      <c r="C17" s="251" t="s">
        <v>1119</v>
      </c>
      <c r="D17" s="252">
        <v>521511</v>
      </c>
      <c r="E17" s="252">
        <v>0</v>
      </c>
      <c r="F17" s="256" t="s">
        <v>1120</v>
      </c>
      <c r="G17" s="112" t="s">
        <v>342</v>
      </c>
    </row>
    <row r="18" ht="17.45" customHeight="1" spans="1:7">
      <c r="A18" s="82">
        <v>16</v>
      </c>
      <c r="B18" s="109" t="s">
        <v>128</v>
      </c>
      <c r="C18" s="251" t="s">
        <v>1121</v>
      </c>
      <c r="D18" s="252">
        <v>521512</v>
      </c>
      <c r="E18" s="252">
        <v>0</v>
      </c>
      <c r="F18" s="256" t="s">
        <v>1122</v>
      </c>
      <c r="G18" s="112" t="s">
        <v>342</v>
      </c>
    </row>
    <row r="19" ht="17.45" customHeight="1" spans="1:7">
      <c r="A19" s="82">
        <v>17</v>
      </c>
      <c r="B19" s="109" t="s">
        <v>128</v>
      </c>
      <c r="C19" s="251" t="s">
        <v>320</v>
      </c>
      <c r="D19" s="252">
        <v>521513</v>
      </c>
      <c r="E19" s="252">
        <v>12</v>
      </c>
      <c r="F19" s="256" t="s">
        <v>1123</v>
      </c>
      <c r="G19" s="112" t="s">
        <v>342</v>
      </c>
    </row>
    <row r="20" ht="17.45" customHeight="1" spans="1:7">
      <c r="A20" s="82">
        <v>18</v>
      </c>
      <c r="B20" s="109" t="s">
        <v>128</v>
      </c>
      <c r="C20" s="251" t="s">
        <v>1124</v>
      </c>
      <c r="D20" s="252">
        <v>521514</v>
      </c>
      <c r="E20" s="252">
        <v>16</v>
      </c>
      <c r="F20" s="256" t="s">
        <v>1125</v>
      </c>
      <c r="G20" s="112" t="s">
        <v>342</v>
      </c>
    </row>
    <row r="21" ht="17.45" customHeight="1" spans="1:7">
      <c r="A21" s="82">
        <v>19</v>
      </c>
      <c r="B21" s="109" t="s">
        <v>128</v>
      </c>
      <c r="C21" s="251" t="s">
        <v>1126</v>
      </c>
      <c r="D21" s="252">
        <v>521515</v>
      </c>
      <c r="E21" s="252">
        <v>7</v>
      </c>
      <c r="F21" s="256" t="s">
        <v>1127</v>
      </c>
      <c r="G21" s="112" t="s">
        <v>342</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workbookViewId="0">
      <selection activeCell="F18" sqref="F18"/>
    </sheetView>
  </sheetViews>
  <sheetFormatPr defaultColWidth="9" defaultRowHeight="13.5" outlineLevelCol="6"/>
  <cols>
    <col min="1" max="1" width="5.25" style="76" customWidth="1"/>
    <col min="2" max="2" width="9" style="76" customWidth="1"/>
    <col min="3" max="3" width="23.625" style="27" customWidth="1"/>
    <col min="4" max="5" width="9.5" style="244" customWidth="1"/>
    <col min="6" max="6" width="56.25" customWidth="1"/>
    <col min="7" max="7" width="37.75" customWidth="1"/>
  </cols>
  <sheetData>
    <row r="1" ht="20.1" customHeight="1" spans="1:5">
      <c r="A1" s="245"/>
      <c r="B1" s="245"/>
      <c r="C1" s="29"/>
      <c r="D1" s="246"/>
      <c r="E1" s="246"/>
    </row>
    <row r="2" ht="18.6" customHeight="1" spans="1:7">
      <c r="A2" s="124" t="s">
        <v>99</v>
      </c>
      <c r="B2" s="124" t="s">
        <v>113</v>
      </c>
      <c r="C2" s="85" t="s">
        <v>101</v>
      </c>
      <c r="D2" s="85" t="s">
        <v>114</v>
      </c>
      <c r="E2" s="85" t="s">
        <v>115</v>
      </c>
      <c r="F2" s="247" t="s">
        <v>250</v>
      </c>
      <c r="G2" s="104"/>
    </row>
    <row r="3" ht="18" customHeight="1" spans="1:7">
      <c r="A3" s="124">
        <v>1</v>
      </c>
      <c r="B3" s="135" t="s">
        <v>120</v>
      </c>
      <c r="C3" s="87" t="s">
        <v>1128</v>
      </c>
      <c r="D3" s="85">
        <v>521550</v>
      </c>
      <c r="E3" s="85">
        <v>3</v>
      </c>
      <c r="F3" s="86" t="str">
        <f>"PDU"&amp;":"&amp;C3&amp;"("&amp;D3&amp;","&amp;E3&amp;")"</f>
        <v>PDU:输出短路(521550,3)</v>
      </c>
      <c r="G3" s="104"/>
    </row>
    <row r="4" ht="18" customHeight="1" spans="1:7">
      <c r="A4" s="124">
        <v>2</v>
      </c>
      <c r="B4" s="135" t="s">
        <v>120</v>
      </c>
      <c r="C4" s="87" t="s">
        <v>1129</v>
      </c>
      <c r="D4" s="85">
        <v>521551</v>
      </c>
      <c r="E4" s="85">
        <v>15</v>
      </c>
      <c r="F4" s="86" t="str">
        <f t="shared" ref="F4:F31" si="0">"PDU"&amp;":"&amp;C4&amp;"("&amp;D4&amp;","&amp;E4&amp;")"</f>
        <v>PDU:负载电容过大(521551,15)</v>
      </c>
      <c r="G4" s="104"/>
    </row>
    <row r="5" ht="18" customHeight="1" spans="1:7">
      <c r="A5" s="124">
        <v>3</v>
      </c>
      <c r="B5" s="135" t="s">
        <v>120</v>
      </c>
      <c r="C5" s="87" t="s">
        <v>1130</v>
      </c>
      <c r="D5" s="85">
        <v>521552</v>
      </c>
      <c r="E5" s="85">
        <v>5</v>
      </c>
      <c r="F5" s="86" t="str">
        <f t="shared" si="0"/>
        <v>PDU:外部输入高压失电超过3S(521552,5)</v>
      </c>
      <c r="G5" s="104"/>
    </row>
    <row r="6" ht="18" customHeight="1" spans="1:7">
      <c r="A6" s="124">
        <v>4</v>
      </c>
      <c r="B6" s="135" t="s">
        <v>120</v>
      </c>
      <c r="C6" s="87" t="s">
        <v>1131</v>
      </c>
      <c r="D6" s="85">
        <v>521553</v>
      </c>
      <c r="E6" s="85">
        <v>15</v>
      </c>
      <c r="F6" s="86" t="str">
        <f t="shared" si="0"/>
        <v>PDU:预充高压压差过大(521553,15)</v>
      </c>
      <c r="G6" s="104"/>
    </row>
    <row r="7" ht="18" customHeight="1" spans="1:7">
      <c r="A7" s="124">
        <v>5</v>
      </c>
      <c r="B7" s="135" t="s">
        <v>120</v>
      </c>
      <c r="C7" s="248" t="s">
        <v>1132</v>
      </c>
      <c r="D7" s="249">
        <v>521554</v>
      </c>
      <c r="E7" s="249">
        <v>31</v>
      </c>
      <c r="F7" s="250" t="str">
        <f t="shared" si="0"/>
        <v>PDU:预充失败(521554,31)</v>
      </c>
      <c r="G7" s="112" t="s">
        <v>1133</v>
      </c>
    </row>
    <row r="8" ht="18" customHeight="1" spans="1:7">
      <c r="A8" s="124">
        <v>6</v>
      </c>
      <c r="B8" s="135" t="s">
        <v>120</v>
      </c>
      <c r="C8" s="251" t="s">
        <v>1134</v>
      </c>
      <c r="D8" s="252">
        <v>521554</v>
      </c>
      <c r="E8" s="252">
        <v>31</v>
      </c>
      <c r="F8" s="253" t="str">
        <f t="shared" si="0"/>
        <v>PDU:主驱接触器预充失败 (521554,31)</v>
      </c>
      <c r="G8" s="112" t="s">
        <v>342</v>
      </c>
    </row>
    <row r="9" ht="18" customHeight="1" spans="1:7">
      <c r="A9" s="124">
        <v>7</v>
      </c>
      <c r="B9" s="135" t="s">
        <v>120</v>
      </c>
      <c r="C9" s="251" t="s">
        <v>1135</v>
      </c>
      <c r="D9" s="252">
        <v>521554</v>
      </c>
      <c r="E9" s="252">
        <v>30</v>
      </c>
      <c r="F9" s="253" t="str">
        <f t="shared" si="0"/>
        <v>PDU:辅驱接触器预充失败(521554,30)</v>
      </c>
      <c r="G9" s="112" t="s">
        <v>342</v>
      </c>
    </row>
    <row r="10" ht="18" customHeight="1" spans="1:7">
      <c r="A10" s="124">
        <v>8</v>
      </c>
      <c r="B10" s="135" t="s">
        <v>120</v>
      </c>
      <c r="C10" s="251" t="s">
        <v>1136</v>
      </c>
      <c r="D10" s="252">
        <v>521554</v>
      </c>
      <c r="E10" s="252">
        <v>29</v>
      </c>
      <c r="F10" s="253" t="str">
        <f t="shared" si="0"/>
        <v>PDU:上装接触器预充失败(521554,29)</v>
      </c>
      <c r="G10" s="112" t="s">
        <v>342</v>
      </c>
    </row>
    <row r="11" ht="18" customHeight="1" spans="1:7">
      <c r="A11" s="124">
        <v>9</v>
      </c>
      <c r="B11" s="129" t="s">
        <v>118</v>
      </c>
      <c r="C11" s="87" t="s">
        <v>1137</v>
      </c>
      <c r="D11" s="85">
        <v>521555</v>
      </c>
      <c r="E11" s="85">
        <v>2</v>
      </c>
      <c r="F11" s="86" t="str">
        <f t="shared" si="0"/>
        <v>PDU:MCU欠压复位(521555,2)</v>
      </c>
      <c r="G11" s="104"/>
    </row>
    <row r="12" ht="18" customHeight="1" spans="1:7">
      <c r="A12" s="124">
        <v>10</v>
      </c>
      <c r="B12" s="135" t="s">
        <v>120</v>
      </c>
      <c r="C12" s="251" t="s">
        <v>354</v>
      </c>
      <c r="D12" s="252">
        <v>521555</v>
      </c>
      <c r="E12" s="252">
        <v>1</v>
      </c>
      <c r="F12" s="253" t="str">
        <f t="shared" si="0"/>
        <v>PDU:辅助电源欠压(521555,1)</v>
      </c>
      <c r="G12" s="112" t="s">
        <v>342</v>
      </c>
    </row>
    <row r="13" ht="18" customHeight="1" spans="1:7">
      <c r="A13" s="124">
        <v>11</v>
      </c>
      <c r="B13" s="135" t="s">
        <v>120</v>
      </c>
      <c r="C13" s="251" t="s">
        <v>355</v>
      </c>
      <c r="D13" s="252">
        <v>521555</v>
      </c>
      <c r="E13" s="252">
        <v>16</v>
      </c>
      <c r="F13" s="253" t="str">
        <f t="shared" si="0"/>
        <v>PDU:辅助电源过压(521555,16)</v>
      </c>
      <c r="G13" s="112" t="s">
        <v>342</v>
      </c>
    </row>
    <row r="14" ht="18" customHeight="1" spans="1:7">
      <c r="A14" s="124">
        <v>12</v>
      </c>
      <c r="B14" s="135" t="s">
        <v>120</v>
      </c>
      <c r="C14" s="87" t="s">
        <v>1138</v>
      </c>
      <c r="D14" s="85">
        <v>521555</v>
      </c>
      <c r="E14" s="85">
        <v>5</v>
      </c>
      <c r="F14" s="86" t="str">
        <f t="shared" si="0"/>
        <v>PDU:低压电控制失电(521555,5)</v>
      </c>
      <c r="G14" s="104"/>
    </row>
    <row r="15" ht="18" customHeight="1" spans="1:7">
      <c r="A15" s="124">
        <v>13</v>
      </c>
      <c r="B15" s="129" t="s">
        <v>118</v>
      </c>
      <c r="C15" s="87" t="s">
        <v>1139</v>
      </c>
      <c r="D15" s="85">
        <v>521556</v>
      </c>
      <c r="E15" s="85">
        <v>31</v>
      </c>
      <c r="F15" s="86" t="str">
        <f t="shared" si="0"/>
        <v>PDU:曾有禁止信号(521556,31)</v>
      </c>
      <c r="G15" s="104"/>
    </row>
    <row r="16" ht="18" customHeight="1" spans="1:7">
      <c r="A16" s="124">
        <v>14</v>
      </c>
      <c r="B16" s="135" t="s">
        <v>120</v>
      </c>
      <c r="C16" s="87" t="s">
        <v>1140</v>
      </c>
      <c r="D16" s="85">
        <v>521557</v>
      </c>
      <c r="E16" s="85">
        <v>1</v>
      </c>
      <c r="F16" s="86" t="str">
        <f t="shared" si="0"/>
        <v>PDU:高压输入异常(521557,1)</v>
      </c>
      <c r="G16" s="104"/>
    </row>
    <row r="17" ht="18" customHeight="1" spans="1:7">
      <c r="A17" s="124">
        <v>15</v>
      </c>
      <c r="B17" s="135" t="s">
        <v>120</v>
      </c>
      <c r="C17" s="87" t="s">
        <v>1141</v>
      </c>
      <c r="D17" s="85">
        <v>521558</v>
      </c>
      <c r="E17" s="85">
        <v>3</v>
      </c>
      <c r="F17" s="86" t="str">
        <f t="shared" si="0"/>
        <v>PDU:主接触器无法断开(521558,3)</v>
      </c>
      <c r="G17" s="104"/>
    </row>
    <row r="18" ht="18" customHeight="1" spans="1:7">
      <c r="A18" s="124">
        <v>16</v>
      </c>
      <c r="B18" s="135" t="s">
        <v>120</v>
      </c>
      <c r="C18" s="87" t="s">
        <v>1142</v>
      </c>
      <c r="D18" s="85">
        <v>521558</v>
      </c>
      <c r="E18" s="85">
        <v>5</v>
      </c>
      <c r="F18" s="86" t="str">
        <f t="shared" si="0"/>
        <v>PDU:主接触器无法闭合(521558,5)</v>
      </c>
      <c r="G18" s="104"/>
    </row>
    <row r="19" ht="18" customHeight="1" spans="1:7">
      <c r="A19" s="124">
        <v>17</v>
      </c>
      <c r="B19" s="135" t="s">
        <v>120</v>
      </c>
      <c r="C19" s="87" t="s">
        <v>1143</v>
      </c>
      <c r="D19" s="85">
        <v>521559</v>
      </c>
      <c r="E19" s="85">
        <v>3</v>
      </c>
      <c r="F19" s="86" t="str">
        <f t="shared" si="0"/>
        <v>PDU:辅驱接触器无法断开 (521559,3)</v>
      </c>
      <c r="G19" s="112" t="s">
        <v>1144</v>
      </c>
    </row>
    <row r="20" ht="18" customHeight="1" spans="1:7">
      <c r="A20" s="124">
        <v>18</v>
      </c>
      <c r="B20" s="135" t="s">
        <v>120</v>
      </c>
      <c r="C20" s="87" t="s">
        <v>1145</v>
      </c>
      <c r="D20" s="85">
        <v>521559</v>
      </c>
      <c r="E20" s="85">
        <v>5</v>
      </c>
      <c r="F20" s="86" t="str">
        <f t="shared" si="0"/>
        <v>PDU:辅驱接触器无法闭合(521559,5)</v>
      </c>
      <c r="G20" s="112" t="s">
        <v>1144</v>
      </c>
    </row>
    <row r="21" ht="18" customHeight="1" spans="1:7">
      <c r="A21" s="124">
        <v>19</v>
      </c>
      <c r="B21" s="135" t="s">
        <v>120</v>
      </c>
      <c r="C21" s="87" t="s">
        <v>317</v>
      </c>
      <c r="D21" s="85">
        <v>521560</v>
      </c>
      <c r="E21" s="85">
        <v>0</v>
      </c>
      <c r="F21" s="86" t="str">
        <f t="shared" si="0"/>
        <v>PDU:输入欠压(521560,0)</v>
      </c>
      <c r="G21" s="112" t="s">
        <v>1144</v>
      </c>
    </row>
    <row r="22" ht="18" customHeight="1" spans="1:7">
      <c r="A22" s="124">
        <v>20</v>
      </c>
      <c r="B22" s="135" t="s">
        <v>120</v>
      </c>
      <c r="C22" s="87" t="s">
        <v>319</v>
      </c>
      <c r="D22" s="85">
        <v>521561</v>
      </c>
      <c r="E22" s="85">
        <v>0</v>
      </c>
      <c r="F22" s="86" t="str">
        <f t="shared" si="0"/>
        <v>PDU:输入过压(521561,0)</v>
      </c>
      <c r="G22" s="112" t="s">
        <v>1144</v>
      </c>
    </row>
    <row r="23" ht="18" customHeight="1" spans="1:7">
      <c r="A23" s="124">
        <v>21</v>
      </c>
      <c r="B23" s="135" t="s">
        <v>120</v>
      </c>
      <c r="C23" s="87" t="s">
        <v>946</v>
      </c>
      <c r="D23" s="85">
        <v>521562</v>
      </c>
      <c r="E23" s="85">
        <v>23</v>
      </c>
      <c r="F23" s="86" t="str">
        <f t="shared" si="0"/>
        <v>PDU:通讯故障 (521562,23)</v>
      </c>
      <c r="G23" s="112" t="s">
        <v>1144</v>
      </c>
    </row>
    <row r="24" ht="18" customHeight="1" spans="1:7">
      <c r="A24" s="124">
        <v>22</v>
      </c>
      <c r="B24" s="135" t="s">
        <v>120</v>
      </c>
      <c r="C24" s="87" t="s">
        <v>1146</v>
      </c>
      <c r="D24" s="85">
        <v>521563</v>
      </c>
      <c r="E24" s="85">
        <v>3</v>
      </c>
      <c r="F24" s="86" t="str">
        <f t="shared" si="0"/>
        <v>PDU:其他接触器粘连 (521563,3)</v>
      </c>
      <c r="G24" s="112" t="s">
        <v>1144</v>
      </c>
    </row>
    <row r="25" ht="18" customHeight="1" spans="1:7">
      <c r="A25" s="124">
        <v>23</v>
      </c>
      <c r="B25" s="125" t="s">
        <v>128</v>
      </c>
      <c r="C25" s="87" t="s">
        <v>1147</v>
      </c>
      <c r="D25" s="85">
        <v>521564</v>
      </c>
      <c r="E25" s="85">
        <v>2</v>
      </c>
      <c r="F25" s="86" t="str">
        <f t="shared" si="0"/>
        <v>PDU:上装用电硬线请求丢失(521564,2)</v>
      </c>
      <c r="G25" s="112" t="s">
        <v>1144</v>
      </c>
    </row>
    <row r="26" ht="18" customHeight="1" spans="1:7">
      <c r="A26" s="124">
        <v>24</v>
      </c>
      <c r="B26" s="135" t="s">
        <v>120</v>
      </c>
      <c r="C26" s="251" t="s">
        <v>320</v>
      </c>
      <c r="D26" s="252">
        <v>521565</v>
      </c>
      <c r="E26" s="252">
        <v>12</v>
      </c>
      <c r="F26" s="253" t="str">
        <f t="shared" si="0"/>
        <v>PDU:EEPROM故障(521565,12)</v>
      </c>
      <c r="G26" s="112" t="s">
        <v>342</v>
      </c>
    </row>
    <row r="27" ht="18" customHeight="1" spans="1:7">
      <c r="A27" s="124">
        <v>25</v>
      </c>
      <c r="B27" s="135" t="s">
        <v>120</v>
      </c>
      <c r="C27" s="251" t="s">
        <v>1148</v>
      </c>
      <c r="D27" s="252">
        <v>521566</v>
      </c>
      <c r="E27" s="252">
        <v>0</v>
      </c>
      <c r="F27" s="253" t="str">
        <f t="shared" si="0"/>
        <v>PDU:初始化故障(521566,0)</v>
      </c>
      <c r="G27" s="112" t="s">
        <v>342</v>
      </c>
    </row>
    <row r="28" ht="18" customHeight="1" spans="1:7">
      <c r="A28" s="124">
        <v>26</v>
      </c>
      <c r="B28" s="135" t="s">
        <v>120</v>
      </c>
      <c r="C28" s="251" t="s">
        <v>1149</v>
      </c>
      <c r="D28" s="252">
        <v>521567</v>
      </c>
      <c r="E28" s="252">
        <v>0</v>
      </c>
      <c r="F28" s="253" t="str">
        <f t="shared" si="0"/>
        <v>PDU:主驱回路带转速上电故障(521567,0)</v>
      </c>
      <c r="G28" s="112" t="s">
        <v>342</v>
      </c>
    </row>
    <row r="29" ht="18" customHeight="1" spans="1:7">
      <c r="A29" s="124">
        <v>27</v>
      </c>
      <c r="B29" s="135" t="s">
        <v>120</v>
      </c>
      <c r="C29" s="251" t="s">
        <v>1150</v>
      </c>
      <c r="D29" s="252">
        <v>521568</v>
      </c>
      <c r="E29" s="252">
        <v>20</v>
      </c>
      <c r="F29" s="253" t="str">
        <f t="shared" si="0"/>
        <v>PDU:主驱回路上电反向压差大(521568,20)</v>
      </c>
      <c r="G29" s="112" t="s">
        <v>342</v>
      </c>
    </row>
    <row r="30" ht="18" customHeight="1" spans="1:7">
      <c r="A30" s="124">
        <v>28</v>
      </c>
      <c r="B30" s="135" t="s">
        <v>120</v>
      </c>
      <c r="C30" s="251" t="s">
        <v>1151</v>
      </c>
      <c r="D30" s="252">
        <v>521568</v>
      </c>
      <c r="E30" s="252">
        <v>21</v>
      </c>
      <c r="F30" s="253" t="str">
        <f t="shared" si="0"/>
        <v>PDU:辅驱回路上电反向压差大(521568,21)</v>
      </c>
      <c r="G30" s="112" t="s">
        <v>342</v>
      </c>
    </row>
    <row r="31" ht="18" customHeight="1" spans="1:7">
      <c r="A31" s="124">
        <v>29</v>
      </c>
      <c r="B31" s="135" t="s">
        <v>120</v>
      </c>
      <c r="C31" s="251" t="s">
        <v>1152</v>
      </c>
      <c r="D31" s="252">
        <v>521568</v>
      </c>
      <c r="E31" s="252">
        <v>22</v>
      </c>
      <c r="F31" s="253" t="str">
        <f t="shared" si="0"/>
        <v>PDU:上装回路上电反向压差大(521568,22)</v>
      </c>
      <c r="G31" s="112" t="s">
        <v>342</v>
      </c>
    </row>
    <row r="32" ht="18" customHeight="1"/>
  </sheetData>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6"/>
  <sheetViews>
    <sheetView zoomScale="115" zoomScaleNormal="115" workbookViewId="0">
      <pane xSplit="1" ySplit="1" topLeftCell="B2" activePane="bottomRight" state="frozen"/>
      <selection/>
      <selection pane="topRight"/>
      <selection pane="bottomLeft"/>
      <selection pane="bottomRight" activeCell="B8" sqref="B8"/>
    </sheetView>
  </sheetViews>
  <sheetFormatPr defaultColWidth="9" defaultRowHeight="13.5" outlineLevelCol="3"/>
  <cols>
    <col min="1" max="1" width="4.5" style="36" customWidth="1"/>
    <col min="2" max="2" width="63.25" style="37" customWidth="1"/>
    <col min="3" max="4" width="8.5" style="217" customWidth="1"/>
    <col min="5" max="5" width="37.875" style="36" customWidth="1"/>
    <col min="6" max="16384" width="9" style="36"/>
  </cols>
  <sheetData>
    <row r="1" ht="15" spans="1:4">
      <c r="A1" s="236" t="s">
        <v>99</v>
      </c>
      <c r="B1" s="236" t="s">
        <v>358</v>
      </c>
      <c r="C1" s="237" t="s">
        <v>102</v>
      </c>
      <c r="D1" s="237" t="s">
        <v>103</v>
      </c>
    </row>
    <row r="2" ht="16.5" spans="1:4">
      <c r="A2" s="238">
        <v>1</v>
      </c>
      <c r="B2" s="239" t="s">
        <v>1153</v>
      </c>
      <c r="C2" s="238">
        <v>168</v>
      </c>
      <c r="D2" s="238">
        <v>3</v>
      </c>
    </row>
    <row r="3" ht="16.5" spans="1:4">
      <c r="A3" s="238">
        <v>2</v>
      </c>
      <c r="B3" s="240" t="s">
        <v>1154</v>
      </c>
      <c r="C3" s="238">
        <v>168</v>
      </c>
      <c r="D3" s="238">
        <v>4</v>
      </c>
    </row>
    <row r="4" ht="16.5" spans="1:4">
      <c r="A4" s="238">
        <v>3</v>
      </c>
      <c r="B4" s="240" t="s">
        <v>1155</v>
      </c>
      <c r="C4" s="238">
        <v>564</v>
      </c>
      <c r="D4" s="238">
        <v>3</v>
      </c>
    </row>
    <row r="5" ht="16.5" spans="1:4">
      <c r="A5" s="238">
        <v>4</v>
      </c>
      <c r="B5" s="240" t="s">
        <v>1156</v>
      </c>
      <c r="C5" s="238">
        <v>564</v>
      </c>
      <c r="D5" s="238">
        <v>4</v>
      </c>
    </row>
    <row r="6" ht="16.5" spans="1:4">
      <c r="A6" s="238">
        <v>5</v>
      </c>
      <c r="B6" s="240" t="s">
        <v>1157</v>
      </c>
      <c r="C6" s="238">
        <v>564</v>
      </c>
      <c r="D6" s="238">
        <v>5</v>
      </c>
    </row>
    <row r="7" ht="16.5" spans="1:4">
      <c r="A7" s="238">
        <v>6</v>
      </c>
      <c r="B7" s="240" t="s">
        <v>1158</v>
      </c>
      <c r="C7" s="238">
        <v>575</v>
      </c>
      <c r="D7" s="238">
        <v>14</v>
      </c>
    </row>
    <row r="8" ht="16.5" spans="1:4">
      <c r="A8" s="238">
        <v>7</v>
      </c>
      <c r="B8" s="240" t="s">
        <v>1159</v>
      </c>
      <c r="C8" s="238">
        <v>576</v>
      </c>
      <c r="D8" s="238">
        <v>14</v>
      </c>
    </row>
    <row r="9" ht="16.5" spans="1:4">
      <c r="A9" s="238">
        <v>8</v>
      </c>
      <c r="B9" s="240" t="s">
        <v>1160</v>
      </c>
      <c r="C9" s="238">
        <v>609</v>
      </c>
      <c r="D9" s="238">
        <v>2</v>
      </c>
    </row>
    <row r="10" ht="16.5" spans="1:4">
      <c r="A10" s="238">
        <v>9</v>
      </c>
      <c r="B10" s="240" t="s">
        <v>1161</v>
      </c>
      <c r="C10" s="238">
        <v>609</v>
      </c>
      <c r="D10" s="238">
        <v>11</v>
      </c>
    </row>
    <row r="11" ht="16.5" spans="1:4">
      <c r="A11" s="238">
        <v>10</v>
      </c>
      <c r="B11" s="240" t="s">
        <v>1162</v>
      </c>
      <c r="C11" s="238">
        <v>609</v>
      </c>
      <c r="D11" s="238">
        <v>14</v>
      </c>
    </row>
    <row r="12" ht="16.5" spans="1:4">
      <c r="A12" s="238">
        <v>11</v>
      </c>
      <c r="B12" s="240" t="s">
        <v>1163</v>
      </c>
      <c r="C12" s="238">
        <v>612</v>
      </c>
      <c r="D12" s="238">
        <v>14</v>
      </c>
    </row>
    <row r="13" ht="16.5" spans="1:4">
      <c r="A13" s="238">
        <v>12</v>
      </c>
      <c r="B13" s="240" t="s">
        <v>1164</v>
      </c>
      <c r="C13" s="238">
        <v>629</v>
      </c>
      <c r="D13" s="238">
        <v>2</v>
      </c>
    </row>
    <row r="14" ht="16.5" spans="1:4">
      <c r="A14" s="238">
        <v>13</v>
      </c>
      <c r="B14" s="240" t="s">
        <v>1165</v>
      </c>
      <c r="C14" s="238">
        <v>629</v>
      </c>
      <c r="D14" s="238">
        <v>3</v>
      </c>
    </row>
    <row r="15" ht="16.5" spans="1:4">
      <c r="A15" s="238">
        <v>14</v>
      </c>
      <c r="B15" s="240" t="s">
        <v>1166</v>
      </c>
      <c r="C15" s="238">
        <v>629</v>
      </c>
      <c r="D15" s="238">
        <v>7</v>
      </c>
    </row>
    <row r="16" ht="16.5" spans="1:4">
      <c r="A16" s="238">
        <v>15</v>
      </c>
      <c r="B16" s="240" t="s">
        <v>1167</v>
      </c>
      <c r="C16" s="238">
        <v>629</v>
      </c>
      <c r="D16" s="238">
        <v>8</v>
      </c>
    </row>
    <row r="17" ht="16.5" spans="1:4">
      <c r="A17" s="238">
        <v>16</v>
      </c>
      <c r="B17" s="240" t="s">
        <v>1168</v>
      </c>
      <c r="C17" s="238">
        <v>629</v>
      </c>
      <c r="D17" s="238">
        <v>11</v>
      </c>
    </row>
    <row r="18" ht="16.5" spans="1:4">
      <c r="A18" s="238">
        <v>17</v>
      </c>
      <c r="B18" s="240" t="s">
        <v>1169</v>
      </c>
      <c r="C18" s="238">
        <v>629</v>
      </c>
      <c r="D18" s="238">
        <v>12</v>
      </c>
    </row>
    <row r="19" ht="16.5" spans="1:4">
      <c r="A19" s="238">
        <v>18</v>
      </c>
      <c r="B19" s="240" t="s">
        <v>1170</v>
      </c>
      <c r="C19" s="238">
        <v>629</v>
      </c>
      <c r="D19" s="238">
        <v>13</v>
      </c>
    </row>
    <row r="20" ht="16.5" spans="1:4">
      <c r="A20" s="238">
        <v>19</v>
      </c>
      <c r="B20" s="240" t="s">
        <v>1171</v>
      </c>
      <c r="C20" s="238">
        <v>629</v>
      </c>
      <c r="D20" s="238">
        <v>14</v>
      </c>
    </row>
    <row r="21" ht="16.5" spans="1:4">
      <c r="A21" s="238">
        <v>20</v>
      </c>
      <c r="B21" s="240" t="s">
        <v>1172</v>
      </c>
      <c r="C21" s="238">
        <v>630</v>
      </c>
      <c r="D21" s="238">
        <v>11</v>
      </c>
    </row>
    <row r="22" ht="16.5" spans="1:4">
      <c r="A22" s="238">
        <v>21</v>
      </c>
      <c r="B22" s="240" t="s">
        <v>1173</v>
      </c>
      <c r="C22" s="238">
        <v>630</v>
      </c>
      <c r="D22" s="238">
        <v>12</v>
      </c>
    </row>
    <row r="23" ht="16.5" spans="1:4">
      <c r="A23" s="238">
        <v>22</v>
      </c>
      <c r="B23" s="240" t="s">
        <v>1174</v>
      </c>
      <c r="C23" s="238">
        <v>630</v>
      </c>
      <c r="D23" s="238">
        <v>13</v>
      </c>
    </row>
    <row r="24" ht="16.5" spans="1:4">
      <c r="A24" s="238">
        <v>23</v>
      </c>
      <c r="B24" s="240" t="s">
        <v>1175</v>
      </c>
      <c r="C24" s="238">
        <v>630</v>
      </c>
      <c r="D24" s="238">
        <v>14</v>
      </c>
    </row>
    <row r="25" ht="16.5" spans="1:4">
      <c r="A25" s="238">
        <v>24</v>
      </c>
      <c r="B25" s="240" t="s">
        <v>1176</v>
      </c>
      <c r="C25" s="238">
        <v>639</v>
      </c>
      <c r="D25" s="238">
        <v>2</v>
      </c>
    </row>
    <row r="26" ht="16.5" spans="1:4">
      <c r="A26" s="238">
        <v>25</v>
      </c>
      <c r="B26" s="240" t="s">
        <v>1177</v>
      </c>
      <c r="C26" s="238">
        <v>639</v>
      </c>
      <c r="D26" s="238">
        <v>11</v>
      </c>
    </row>
    <row r="27" ht="16.5" spans="1:4">
      <c r="A27" s="238">
        <v>26</v>
      </c>
      <c r="B27" s="240" t="s">
        <v>1178</v>
      </c>
      <c r="C27" s="238">
        <v>639</v>
      </c>
      <c r="D27" s="238">
        <v>14</v>
      </c>
    </row>
    <row r="28" ht="16.5" spans="1:4">
      <c r="A28" s="238">
        <v>27</v>
      </c>
      <c r="B28" s="240" t="s">
        <v>1179</v>
      </c>
      <c r="C28" s="238">
        <v>789</v>
      </c>
      <c r="D28" s="238">
        <v>1</v>
      </c>
    </row>
    <row r="29" ht="16.5" spans="1:4">
      <c r="A29" s="238">
        <v>28</v>
      </c>
      <c r="B29" s="240" t="s">
        <v>1180</v>
      </c>
      <c r="C29" s="238">
        <v>789</v>
      </c>
      <c r="D29" s="238">
        <v>2</v>
      </c>
    </row>
    <row r="30" ht="16.5" spans="1:4">
      <c r="A30" s="238">
        <v>29</v>
      </c>
      <c r="B30" s="240" t="s">
        <v>1181</v>
      </c>
      <c r="C30" s="238">
        <v>789</v>
      </c>
      <c r="D30" s="238">
        <v>5</v>
      </c>
    </row>
    <row r="31" ht="16.5" spans="1:4">
      <c r="A31" s="238">
        <v>30</v>
      </c>
      <c r="B31" s="240" t="s">
        <v>1182</v>
      </c>
      <c r="C31" s="238">
        <v>789</v>
      </c>
      <c r="D31" s="238">
        <v>7</v>
      </c>
    </row>
    <row r="32" ht="16.5" spans="1:4">
      <c r="A32" s="238">
        <v>31</v>
      </c>
      <c r="B32" s="240" t="s">
        <v>1183</v>
      </c>
      <c r="C32" s="238">
        <v>789</v>
      </c>
      <c r="D32" s="238">
        <v>8</v>
      </c>
    </row>
    <row r="33" ht="16.5" spans="1:4">
      <c r="A33" s="238">
        <v>32</v>
      </c>
      <c r="B33" s="240" t="s">
        <v>1184</v>
      </c>
      <c r="C33" s="238">
        <v>789</v>
      </c>
      <c r="D33" s="238">
        <v>10</v>
      </c>
    </row>
    <row r="34" ht="16.5" spans="1:4">
      <c r="A34" s="238">
        <v>33</v>
      </c>
      <c r="B34" s="240" t="s">
        <v>1185</v>
      </c>
      <c r="C34" s="238">
        <v>789</v>
      </c>
      <c r="D34" s="238">
        <v>13</v>
      </c>
    </row>
    <row r="35" ht="16.5" spans="1:4">
      <c r="A35" s="238">
        <v>34</v>
      </c>
      <c r="B35" s="240" t="s">
        <v>1186</v>
      </c>
      <c r="C35" s="238">
        <v>790</v>
      </c>
      <c r="D35" s="238">
        <v>1</v>
      </c>
    </row>
    <row r="36" ht="16.5" spans="1:4">
      <c r="A36" s="238">
        <v>35</v>
      </c>
      <c r="B36" s="240" t="s">
        <v>1187</v>
      </c>
      <c r="C36" s="238">
        <v>790</v>
      </c>
      <c r="D36" s="238">
        <v>2</v>
      </c>
    </row>
    <row r="37" ht="16.5" spans="1:4">
      <c r="A37" s="238">
        <v>36</v>
      </c>
      <c r="B37" s="240" t="s">
        <v>1188</v>
      </c>
      <c r="C37" s="238">
        <v>790</v>
      </c>
      <c r="D37" s="238">
        <v>5</v>
      </c>
    </row>
    <row r="38" ht="16.5" spans="1:4">
      <c r="A38" s="238">
        <v>37</v>
      </c>
      <c r="B38" s="240" t="s">
        <v>1189</v>
      </c>
      <c r="C38" s="238">
        <v>790</v>
      </c>
      <c r="D38" s="238">
        <v>7</v>
      </c>
    </row>
    <row r="39" ht="16.5" spans="1:4">
      <c r="A39" s="238">
        <v>38</v>
      </c>
      <c r="B39" s="240" t="s">
        <v>1190</v>
      </c>
      <c r="C39" s="238">
        <v>790</v>
      </c>
      <c r="D39" s="238">
        <v>8</v>
      </c>
    </row>
    <row r="40" ht="16.5" spans="1:4">
      <c r="A40" s="238">
        <v>39</v>
      </c>
      <c r="B40" s="240" t="s">
        <v>1191</v>
      </c>
      <c r="C40" s="238">
        <v>790</v>
      </c>
      <c r="D40" s="238">
        <v>10</v>
      </c>
    </row>
    <row r="41" ht="16.5" spans="1:4">
      <c r="A41" s="238">
        <v>40</v>
      </c>
      <c r="B41" s="240" t="s">
        <v>1192</v>
      </c>
      <c r="C41" s="238">
        <v>790</v>
      </c>
      <c r="D41" s="238">
        <v>13</v>
      </c>
    </row>
    <row r="42" ht="16.5" spans="1:4">
      <c r="A42" s="238">
        <v>41</v>
      </c>
      <c r="B42" s="240" t="s">
        <v>1193</v>
      </c>
      <c r="C42" s="238">
        <v>791</v>
      </c>
      <c r="D42" s="238">
        <v>1</v>
      </c>
    </row>
    <row r="43" ht="16.5" spans="1:4">
      <c r="A43" s="238">
        <v>42</v>
      </c>
      <c r="B43" s="240" t="s">
        <v>1194</v>
      </c>
      <c r="C43" s="238">
        <v>791</v>
      </c>
      <c r="D43" s="238">
        <v>2</v>
      </c>
    </row>
    <row r="44" ht="16.5" spans="1:4">
      <c r="A44" s="238">
        <v>43</v>
      </c>
      <c r="B44" s="240" t="s">
        <v>1195</v>
      </c>
      <c r="C44" s="238">
        <v>791</v>
      </c>
      <c r="D44" s="238">
        <v>5</v>
      </c>
    </row>
    <row r="45" ht="16.5" spans="1:4">
      <c r="A45" s="238">
        <v>44</v>
      </c>
      <c r="B45" s="240" t="s">
        <v>1196</v>
      </c>
      <c r="C45" s="238">
        <v>791</v>
      </c>
      <c r="D45" s="238">
        <v>7</v>
      </c>
    </row>
    <row r="46" ht="16.5" spans="1:4">
      <c r="A46" s="238">
        <v>45</v>
      </c>
      <c r="B46" s="240" t="s">
        <v>1197</v>
      </c>
      <c r="C46" s="238">
        <v>791</v>
      </c>
      <c r="D46" s="238">
        <v>8</v>
      </c>
    </row>
    <row r="47" ht="16.5" spans="1:4">
      <c r="A47" s="238">
        <v>46</v>
      </c>
      <c r="B47" s="240" t="s">
        <v>1198</v>
      </c>
      <c r="C47" s="238">
        <v>791</v>
      </c>
      <c r="D47" s="238">
        <v>10</v>
      </c>
    </row>
    <row r="48" ht="16.5" spans="1:4">
      <c r="A48" s="238">
        <v>47</v>
      </c>
      <c r="B48" s="240" t="s">
        <v>1199</v>
      </c>
      <c r="C48" s="238">
        <v>791</v>
      </c>
      <c r="D48" s="238">
        <v>13</v>
      </c>
    </row>
    <row r="49" ht="16.5" spans="1:4">
      <c r="A49" s="238">
        <v>48</v>
      </c>
      <c r="B49" s="240" t="s">
        <v>1200</v>
      </c>
      <c r="C49" s="238">
        <v>792</v>
      </c>
      <c r="D49" s="238">
        <v>1</v>
      </c>
    </row>
    <row r="50" ht="16.5" spans="1:4">
      <c r="A50" s="238">
        <v>49</v>
      </c>
      <c r="B50" s="240" t="s">
        <v>1201</v>
      </c>
      <c r="C50" s="238">
        <v>792</v>
      </c>
      <c r="D50" s="238">
        <v>2</v>
      </c>
    </row>
    <row r="51" ht="16.5" spans="1:4">
      <c r="A51" s="238">
        <v>50</v>
      </c>
      <c r="B51" s="240" t="s">
        <v>1202</v>
      </c>
      <c r="C51" s="238">
        <v>792</v>
      </c>
      <c r="D51" s="238">
        <v>5</v>
      </c>
    </row>
    <row r="52" ht="16.5" spans="1:4">
      <c r="A52" s="238">
        <v>51</v>
      </c>
      <c r="B52" s="240" t="s">
        <v>1203</v>
      </c>
      <c r="C52" s="238">
        <v>792</v>
      </c>
      <c r="D52" s="238">
        <v>7</v>
      </c>
    </row>
    <row r="53" ht="16.5" spans="1:4">
      <c r="A53" s="238">
        <v>52</v>
      </c>
      <c r="B53" s="240" t="s">
        <v>1204</v>
      </c>
      <c r="C53" s="238">
        <v>792</v>
      </c>
      <c r="D53" s="238">
        <v>8</v>
      </c>
    </row>
    <row r="54" ht="16.5" spans="1:4">
      <c r="A54" s="238">
        <v>53</v>
      </c>
      <c r="B54" s="240" t="s">
        <v>1205</v>
      </c>
      <c r="C54" s="238">
        <v>792</v>
      </c>
      <c r="D54" s="238">
        <v>10</v>
      </c>
    </row>
    <row r="55" ht="16.5" spans="1:4">
      <c r="A55" s="238">
        <v>54</v>
      </c>
      <c r="B55" s="240" t="s">
        <v>1206</v>
      </c>
      <c r="C55" s="238">
        <v>792</v>
      </c>
      <c r="D55" s="238">
        <v>13</v>
      </c>
    </row>
    <row r="56" ht="16.5" spans="1:4">
      <c r="A56" s="238">
        <v>55</v>
      </c>
      <c r="B56" s="240" t="s">
        <v>1207</v>
      </c>
      <c r="C56" s="238">
        <v>793</v>
      </c>
      <c r="D56" s="238">
        <v>1</v>
      </c>
    </row>
    <row r="57" ht="16.5" spans="1:4">
      <c r="A57" s="238">
        <v>56</v>
      </c>
      <c r="B57" s="240" t="s">
        <v>1208</v>
      </c>
      <c r="C57" s="238">
        <v>793</v>
      </c>
      <c r="D57" s="238">
        <v>2</v>
      </c>
    </row>
    <row r="58" ht="16.5" spans="1:4">
      <c r="A58" s="238">
        <v>57</v>
      </c>
      <c r="B58" s="240" t="s">
        <v>1209</v>
      </c>
      <c r="C58" s="238">
        <v>793</v>
      </c>
      <c r="D58" s="238">
        <v>5</v>
      </c>
    </row>
    <row r="59" ht="16.5" spans="1:4">
      <c r="A59" s="238">
        <v>58</v>
      </c>
      <c r="B59" s="240" t="s">
        <v>1210</v>
      </c>
      <c r="C59" s="238">
        <v>793</v>
      </c>
      <c r="D59" s="238">
        <v>7</v>
      </c>
    </row>
    <row r="60" ht="16.5" spans="1:4">
      <c r="A60" s="238">
        <v>59</v>
      </c>
      <c r="B60" s="240" t="s">
        <v>1211</v>
      </c>
      <c r="C60" s="238">
        <v>793</v>
      </c>
      <c r="D60" s="238">
        <v>8</v>
      </c>
    </row>
    <row r="61" ht="16.5" spans="1:4">
      <c r="A61" s="238">
        <v>60</v>
      </c>
      <c r="B61" s="240" t="s">
        <v>1212</v>
      </c>
      <c r="C61" s="238">
        <v>793</v>
      </c>
      <c r="D61" s="238">
        <v>10</v>
      </c>
    </row>
    <row r="62" ht="16.5" spans="1:4">
      <c r="A62" s="238">
        <v>61</v>
      </c>
      <c r="B62" s="240" t="s">
        <v>1213</v>
      </c>
      <c r="C62" s="238">
        <v>793</v>
      </c>
      <c r="D62" s="238">
        <v>13</v>
      </c>
    </row>
    <row r="63" ht="16.5" spans="1:4">
      <c r="A63" s="238">
        <v>62</v>
      </c>
      <c r="B63" s="240" t="s">
        <v>1214</v>
      </c>
      <c r="C63" s="238">
        <v>794</v>
      </c>
      <c r="D63" s="238">
        <v>1</v>
      </c>
    </row>
    <row r="64" ht="16.5" spans="1:4">
      <c r="A64" s="238">
        <v>63</v>
      </c>
      <c r="B64" s="240" t="s">
        <v>1215</v>
      </c>
      <c r="C64" s="238">
        <v>794</v>
      </c>
      <c r="D64" s="238">
        <v>2</v>
      </c>
    </row>
    <row r="65" ht="16.5" spans="1:4">
      <c r="A65" s="238">
        <v>64</v>
      </c>
      <c r="B65" s="240" t="s">
        <v>1216</v>
      </c>
      <c r="C65" s="238">
        <v>794</v>
      </c>
      <c r="D65" s="238">
        <v>5</v>
      </c>
    </row>
    <row r="66" ht="16.5" spans="1:4">
      <c r="A66" s="238">
        <v>65</v>
      </c>
      <c r="B66" s="240" t="s">
        <v>1217</v>
      </c>
      <c r="C66" s="238">
        <v>794</v>
      </c>
      <c r="D66" s="238">
        <v>7</v>
      </c>
    </row>
    <row r="67" ht="16.5" spans="1:4">
      <c r="A67" s="238">
        <v>66</v>
      </c>
      <c r="B67" s="240" t="s">
        <v>1218</v>
      </c>
      <c r="C67" s="238">
        <v>794</v>
      </c>
      <c r="D67" s="238">
        <v>8</v>
      </c>
    </row>
    <row r="68" ht="16.5" spans="1:4">
      <c r="A68" s="238">
        <v>67</v>
      </c>
      <c r="B68" s="240" t="s">
        <v>1219</v>
      </c>
      <c r="C68" s="238">
        <v>794</v>
      </c>
      <c r="D68" s="238">
        <v>10</v>
      </c>
    </row>
    <row r="69" ht="16.5" spans="1:4">
      <c r="A69" s="238">
        <v>68</v>
      </c>
      <c r="B69" s="240" t="s">
        <v>1220</v>
      </c>
      <c r="C69" s="238">
        <v>794</v>
      </c>
      <c r="D69" s="238">
        <v>13</v>
      </c>
    </row>
    <row r="70" ht="16.5" spans="1:4">
      <c r="A70" s="238">
        <v>69</v>
      </c>
      <c r="B70" s="240" t="s">
        <v>1221</v>
      </c>
      <c r="C70" s="238">
        <v>795</v>
      </c>
      <c r="D70" s="238">
        <v>5</v>
      </c>
    </row>
    <row r="71" ht="16.5" spans="1:4">
      <c r="A71" s="238">
        <v>70</v>
      </c>
      <c r="B71" s="240" t="s">
        <v>1222</v>
      </c>
      <c r="C71" s="238">
        <v>795</v>
      </c>
      <c r="D71" s="238">
        <v>13</v>
      </c>
    </row>
    <row r="72" ht="16.5" spans="1:4">
      <c r="A72" s="238">
        <v>71</v>
      </c>
      <c r="B72" s="240" t="s">
        <v>1223</v>
      </c>
      <c r="C72" s="238">
        <v>795</v>
      </c>
      <c r="D72" s="238">
        <v>14</v>
      </c>
    </row>
    <row r="73" ht="16.5" spans="1:4">
      <c r="A73" s="238">
        <v>72</v>
      </c>
      <c r="B73" s="240" t="s">
        <v>1224</v>
      </c>
      <c r="C73" s="238">
        <v>796</v>
      </c>
      <c r="D73" s="238">
        <v>5</v>
      </c>
    </row>
    <row r="74" ht="16.5" spans="1:4">
      <c r="A74" s="238">
        <v>73</v>
      </c>
      <c r="B74" s="240" t="s">
        <v>1225</v>
      </c>
      <c r="C74" s="238">
        <v>796</v>
      </c>
      <c r="D74" s="238">
        <v>13</v>
      </c>
    </row>
    <row r="75" ht="16.5" spans="1:4">
      <c r="A75" s="238">
        <v>74</v>
      </c>
      <c r="B75" s="240" t="s">
        <v>1226</v>
      </c>
      <c r="C75" s="238">
        <v>796</v>
      </c>
      <c r="D75" s="238">
        <v>14</v>
      </c>
    </row>
    <row r="76" ht="16.5" spans="1:4">
      <c r="A76" s="238">
        <v>75</v>
      </c>
      <c r="B76" s="240" t="s">
        <v>1227</v>
      </c>
      <c r="C76" s="238">
        <v>797</v>
      </c>
      <c r="D76" s="238">
        <v>5</v>
      </c>
    </row>
    <row r="77" ht="16.5" spans="1:4">
      <c r="A77" s="238">
        <v>76</v>
      </c>
      <c r="B77" s="240" t="s">
        <v>1228</v>
      </c>
      <c r="C77" s="238">
        <v>797</v>
      </c>
      <c r="D77" s="238">
        <v>13</v>
      </c>
    </row>
    <row r="78" ht="16.5" spans="1:4">
      <c r="A78" s="238">
        <v>77</v>
      </c>
      <c r="B78" s="240" t="s">
        <v>1229</v>
      </c>
      <c r="C78" s="238">
        <v>797</v>
      </c>
      <c r="D78" s="238">
        <v>14</v>
      </c>
    </row>
    <row r="79" ht="16.5" spans="1:4">
      <c r="A79" s="238">
        <v>78</v>
      </c>
      <c r="B79" s="240" t="s">
        <v>1230</v>
      </c>
      <c r="C79" s="238">
        <v>798</v>
      </c>
      <c r="D79" s="238">
        <v>5</v>
      </c>
    </row>
    <row r="80" ht="16.5" spans="1:4">
      <c r="A80" s="238">
        <v>79</v>
      </c>
      <c r="B80" s="240" t="s">
        <v>1231</v>
      </c>
      <c r="C80" s="238">
        <v>798</v>
      </c>
      <c r="D80" s="238">
        <v>13</v>
      </c>
    </row>
    <row r="81" ht="16.5" spans="1:4">
      <c r="A81" s="238">
        <v>80</v>
      </c>
      <c r="B81" s="240" t="s">
        <v>1232</v>
      </c>
      <c r="C81" s="238">
        <v>798</v>
      </c>
      <c r="D81" s="238">
        <v>14</v>
      </c>
    </row>
    <row r="82" ht="16.5" spans="1:4">
      <c r="A82" s="238">
        <v>81</v>
      </c>
      <c r="B82" s="240" t="s">
        <v>1233</v>
      </c>
      <c r="C82" s="238">
        <v>799</v>
      </c>
      <c r="D82" s="238">
        <v>5</v>
      </c>
    </row>
    <row r="83" ht="16.5" spans="1:4">
      <c r="A83" s="238">
        <v>82</v>
      </c>
      <c r="B83" s="240" t="s">
        <v>1234</v>
      </c>
      <c r="C83" s="238">
        <v>799</v>
      </c>
      <c r="D83" s="238">
        <v>13</v>
      </c>
    </row>
    <row r="84" ht="16.5" spans="1:4">
      <c r="A84" s="238">
        <v>83</v>
      </c>
      <c r="B84" s="240" t="s">
        <v>1235</v>
      </c>
      <c r="C84" s="238">
        <v>799</v>
      </c>
      <c r="D84" s="238">
        <v>14</v>
      </c>
    </row>
    <row r="85" ht="16.5" spans="1:4">
      <c r="A85" s="238">
        <v>84</v>
      </c>
      <c r="B85" s="240" t="s">
        <v>1236</v>
      </c>
      <c r="C85" s="238">
        <v>800</v>
      </c>
      <c r="D85" s="238">
        <v>5</v>
      </c>
    </row>
    <row r="86" ht="16.5" spans="1:4">
      <c r="A86" s="238">
        <v>85</v>
      </c>
      <c r="B86" s="240" t="s">
        <v>1237</v>
      </c>
      <c r="C86" s="238">
        <v>800</v>
      </c>
      <c r="D86" s="238">
        <v>13</v>
      </c>
    </row>
    <row r="87" ht="16.5" spans="1:4">
      <c r="A87" s="238">
        <v>86</v>
      </c>
      <c r="B87" s="240" t="s">
        <v>1238</v>
      </c>
      <c r="C87" s="238">
        <v>800</v>
      </c>
      <c r="D87" s="238">
        <v>14</v>
      </c>
    </row>
    <row r="88" ht="16.5" spans="1:4">
      <c r="A88" s="238">
        <v>87</v>
      </c>
      <c r="B88" s="240" t="s">
        <v>1239</v>
      </c>
      <c r="C88" s="238">
        <v>801</v>
      </c>
      <c r="D88" s="238">
        <v>2</v>
      </c>
    </row>
    <row r="89" ht="16.5" spans="1:4">
      <c r="A89" s="238">
        <v>88</v>
      </c>
      <c r="B89" s="240" t="s">
        <v>1240</v>
      </c>
      <c r="C89" s="238">
        <v>801</v>
      </c>
      <c r="D89" s="238">
        <v>3</v>
      </c>
    </row>
    <row r="90" ht="16.5" spans="1:4">
      <c r="A90" s="238">
        <v>89</v>
      </c>
      <c r="B90" s="240" t="s">
        <v>1241</v>
      </c>
      <c r="C90" s="238">
        <v>802</v>
      </c>
      <c r="D90" s="238">
        <v>3</v>
      </c>
    </row>
    <row r="91" ht="16.5" spans="1:4">
      <c r="A91" s="238">
        <v>90</v>
      </c>
      <c r="B91" s="240" t="s">
        <v>1242</v>
      </c>
      <c r="C91" s="238">
        <v>802</v>
      </c>
      <c r="D91" s="238">
        <v>4</v>
      </c>
    </row>
    <row r="92" ht="16.5" spans="1:4">
      <c r="A92" s="238">
        <v>91</v>
      </c>
      <c r="B92" s="240" t="s">
        <v>1243</v>
      </c>
      <c r="C92" s="238">
        <v>806</v>
      </c>
      <c r="D92" s="238">
        <v>3</v>
      </c>
    </row>
    <row r="93" ht="16.5" spans="1:4">
      <c r="A93" s="238">
        <v>92</v>
      </c>
      <c r="B93" s="240" t="s">
        <v>1244</v>
      </c>
      <c r="C93" s="238">
        <v>806</v>
      </c>
      <c r="D93" s="238">
        <v>4</v>
      </c>
    </row>
    <row r="94" ht="16.5" spans="1:4">
      <c r="A94" s="238">
        <v>93</v>
      </c>
      <c r="B94" s="240" t="s">
        <v>1245</v>
      </c>
      <c r="C94" s="238">
        <v>806</v>
      </c>
      <c r="D94" s="238">
        <v>5</v>
      </c>
    </row>
    <row r="95" ht="16.5" spans="1:4">
      <c r="A95" s="238">
        <v>94</v>
      </c>
      <c r="B95" s="240" t="s">
        <v>1246</v>
      </c>
      <c r="C95" s="238">
        <v>806</v>
      </c>
      <c r="D95" s="238">
        <v>13</v>
      </c>
    </row>
    <row r="96" ht="16.5" spans="1:4">
      <c r="A96" s="238">
        <v>95</v>
      </c>
      <c r="B96" s="240" t="s">
        <v>1247</v>
      </c>
      <c r="C96" s="238">
        <v>806</v>
      </c>
      <c r="D96" s="238">
        <v>14</v>
      </c>
    </row>
    <row r="97" ht="16.5" spans="1:4">
      <c r="A97" s="238">
        <v>96</v>
      </c>
      <c r="B97" s="240" t="s">
        <v>1248</v>
      </c>
      <c r="C97" s="238">
        <v>807</v>
      </c>
      <c r="D97" s="238">
        <v>3</v>
      </c>
    </row>
    <row r="98" ht="16.5" spans="1:4">
      <c r="A98" s="238">
        <v>97</v>
      </c>
      <c r="B98" s="240" t="s">
        <v>1249</v>
      </c>
      <c r="C98" s="238">
        <v>807</v>
      </c>
      <c r="D98" s="238">
        <v>4</v>
      </c>
    </row>
    <row r="99" ht="16.5" spans="1:4">
      <c r="A99" s="238">
        <v>98</v>
      </c>
      <c r="B99" s="240" t="s">
        <v>1250</v>
      </c>
      <c r="C99" s="238">
        <v>807</v>
      </c>
      <c r="D99" s="238">
        <v>5</v>
      </c>
    </row>
    <row r="100" ht="16.5" spans="1:4">
      <c r="A100" s="238">
        <v>99</v>
      </c>
      <c r="B100" s="240" t="s">
        <v>1251</v>
      </c>
      <c r="C100" s="238">
        <v>807</v>
      </c>
      <c r="D100" s="238">
        <v>13</v>
      </c>
    </row>
    <row r="101" ht="16.5" spans="1:4">
      <c r="A101" s="238">
        <v>100</v>
      </c>
      <c r="B101" s="240" t="s">
        <v>1252</v>
      </c>
      <c r="C101" s="238">
        <v>807</v>
      </c>
      <c r="D101" s="238">
        <v>14</v>
      </c>
    </row>
    <row r="102" ht="16.5" spans="1:4">
      <c r="A102" s="238">
        <v>101</v>
      </c>
      <c r="B102" s="240" t="s">
        <v>1253</v>
      </c>
      <c r="C102" s="238">
        <v>810</v>
      </c>
      <c r="D102" s="238">
        <v>7</v>
      </c>
    </row>
    <row r="103" ht="16.5" spans="1:4">
      <c r="A103" s="238">
        <v>102</v>
      </c>
      <c r="B103" s="240" t="s">
        <v>1254</v>
      </c>
      <c r="C103" s="238">
        <v>811</v>
      </c>
      <c r="D103" s="238">
        <v>2</v>
      </c>
    </row>
    <row r="104" ht="16.5" spans="1:4">
      <c r="A104" s="238">
        <v>103</v>
      </c>
      <c r="B104" s="240" t="s">
        <v>1255</v>
      </c>
      <c r="C104" s="238">
        <v>815</v>
      </c>
      <c r="D104" s="238">
        <v>13</v>
      </c>
    </row>
    <row r="105" ht="16.5" spans="1:4">
      <c r="A105" s="238">
        <v>104</v>
      </c>
      <c r="B105" s="240" t="s">
        <v>1256</v>
      </c>
      <c r="C105" s="238">
        <v>925</v>
      </c>
      <c r="D105" s="238">
        <v>3</v>
      </c>
    </row>
    <row r="106" ht="16.5" spans="1:4">
      <c r="A106" s="238">
        <v>105</v>
      </c>
      <c r="B106" s="240" t="s">
        <v>1257</v>
      </c>
      <c r="C106" s="238">
        <v>926</v>
      </c>
      <c r="D106" s="238">
        <v>3</v>
      </c>
    </row>
    <row r="107" ht="16.5" spans="1:4">
      <c r="A107" s="238">
        <v>106</v>
      </c>
      <c r="B107" s="240" t="s">
        <v>1258</v>
      </c>
      <c r="C107" s="238">
        <v>926</v>
      </c>
      <c r="D107" s="238">
        <v>4</v>
      </c>
    </row>
    <row r="108" ht="16.5" spans="1:4">
      <c r="A108" s="238">
        <v>107</v>
      </c>
      <c r="B108" s="240" t="s">
        <v>1259</v>
      </c>
      <c r="C108" s="238">
        <v>926</v>
      </c>
      <c r="D108" s="238">
        <v>5</v>
      </c>
    </row>
    <row r="109" ht="16.5" spans="1:4">
      <c r="A109" s="238">
        <v>108</v>
      </c>
      <c r="B109" s="240" t="s">
        <v>1260</v>
      </c>
      <c r="C109" s="238">
        <v>932</v>
      </c>
      <c r="D109" s="238">
        <v>3</v>
      </c>
    </row>
    <row r="110" ht="16.5" spans="1:4">
      <c r="A110" s="238">
        <v>109</v>
      </c>
      <c r="B110" s="240" t="s">
        <v>1261</v>
      </c>
      <c r="C110" s="238">
        <v>932</v>
      </c>
      <c r="D110" s="238">
        <v>4</v>
      </c>
    </row>
    <row r="111" ht="16.5" spans="1:4">
      <c r="A111" s="238">
        <v>110</v>
      </c>
      <c r="B111" s="240" t="s">
        <v>1262</v>
      </c>
      <c r="C111" s="238">
        <v>932</v>
      </c>
      <c r="D111" s="238">
        <v>5</v>
      </c>
    </row>
    <row r="112" ht="16.5" spans="1:4">
      <c r="A112" s="238">
        <v>111</v>
      </c>
      <c r="B112" s="240" t="s">
        <v>1263</v>
      </c>
      <c r="C112" s="238">
        <v>933</v>
      </c>
      <c r="D112" s="238">
        <v>3</v>
      </c>
    </row>
    <row r="113" ht="16.5" spans="1:4">
      <c r="A113" s="238">
        <v>112</v>
      </c>
      <c r="B113" s="240" t="s">
        <v>1264</v>
      </c>
      <c r="C113" s="238">
        <v>933</v>
      </c>
      <c r="D113" s="238">
        <v>4</v>
      </c>
    </row>
    <row r="114" ht="16.5" spans="1:4">
      <c r="A114" s="238">
        <v>113</v>
      </c>
      <c r="B114" s="240" t="s">
        <v>1265</v>
      </c>
      <c r="C114" s="238">
        <v>933</v>
      </c>
      <c r="D114" s="238">
        <v>5</v>
      </c>
    </row>
    <row r="115" ht="16.5" spans="1:4">
      <c r="A115" s="238">
        <v>114</v>
      </c>
      <c r="B115" s="240" t="s">
        <v>1266</v>
      </c>
      <c r="C115" s="238">
        <v>934</v>
      </c>
      <c r="D115" s="238">
        <v>3</v>
      </c>
    </row>
    <row r="116" ht="16.5" spans="1:4">
      <c r="A116" s="238">
        <v>115</v>
      </c>
      <c r="B116" s="240" t="s">
        <v>1267</v>
      </c>
      <c r="C116" s="238">
        <v>934</v>
      </c>
      <c r="D116" s="238">
        <v>4</v>
      </c>
    </row>
    <row r="117" ht="16.5" spans="1:4">
      <c r="A117" s="238">
        <v>116</v>
      </c>
      <c r="B117" s="240" t="s">
        <v>1268</v>
      </c>
      <c r="C117" s="238">
        <v>934</v>
      </c>
      <c r="D117" s="238">
        <v>5</v>
      </c>
    </row>
    <row r="118" ht="16.5" spans="1:4">
      <c r="A118" s="238">
        <v>117</v>
      </c>
      <c r="B118" s="240" t="s">
        <v>1269</v>
      </c>
      <c r="C118" s="238">
        <v>935</v>
      </c>
      <c r="D118" s="238">
        <v>3</v>
      </c>
    </row>
    <row r="119" ht="16.5" spans="1:4">
      <c r="A119" s="238">
        <v>118</v>
      </c>
      <c r="B119" s="240" t="s">
        <v>1270</v>
      </c>
      <c r="C119" s="238">
        <v>935</v>
      </c>
      <c r="D119" s="238">
        <v>4</v>
      </c>
    </row>
    <row r="120" ht="16.5" spans="1:4">
      <c r="A120" s="238">
        <v>119</v>
      </c>
      <c r="B120" s="240" t="s">
        <v>1271</v>
      </c>
      <c r="C120" s="238">
        <v>935</v>
      </c>
      <c r="D120" s="238">
        <v>5</v>
      </c>
    </row>
    <row r="121" ht="16.5" spans="1:4">
      <c r="A121" s="238">
        <v>120</v>
      </c>
      <c r="B121" s="240" t="s">
        <v>1272</v>
      </c>
      <c r="C121" s="238">
        <v>936</v>
      </c>
      <c r="D121" s="238">
        <v>3</v>
      </c>
    </row>
    <row r="122" ht="16.5" spans="1:4">
      <c r="A122" s="238">
        <v>121</v>
      </c>
      <c r="B122" s="240" t="s">
        <v>1273</v>
      </c>
      <c r="C122" s="238">
        <v>936</v>
      </c>
      <c r="D122" s="238">
        <v>4</v>
      </c>
    </row>
    <row r="123" ht="16.5" spans="1:4">
      <c r="A123" s="238">
        <v>122</v>
      </c>
      <c r="B123" s="240" t="s">
        <v>1274</v>
      </c>
      <c r="C123" s="238">
        <v>936</v>
      </c>
      <c r="D123" s="238">
        <v>5</v>
      </c>
    </row>
    <row r="124" ht="16.5" spans="1:4">
      <c r="A124" s="238">
        <v>123</v>
      </c>
      <c r="B124" s="240" t="s">
        <v>1275</v>
      </c>
      <c r="C124" s="238">
        <v>937</v>
      </c>
      <c r="D124" s="238">
        <v>3</v>
      </c>
    </row>
    <row r="125" ht="16.5" spans="1:4">
      <c r="A125" s="238">
        <v>124</v>
      </c>
      <c r="B125" s="240" t="s">
        <v>1276</v>
      </c>
      <c r="C125" s="238">
        <v>937</v>
      </c>
      <c r="D125" s="238">
        <v>4</v>
      </c>
    </row>
    <row r="126" ht="16.5" spans="1:4">
      <c r="A126" s="238">
        <v>125</v>
      </c>
      <c r="B126" s="240" t="s">
        <v>1277</v>
      </c>
      <c r="C126" s="238">
        <v>937</v>
      </c>
      <c r="D126" s="238">
        <v>5</v>
      </c>
    </row>
    <row r="127" ht="16.5" spans="1:4">
      <c r="A127" s="238">
        <v>126</v>
      </c>
      <c r="B127" s="240" t="s">
        <v>1278</v>
      </c>
      <c r="C127" s="238">
        <v>938</v>
      </c>
      <c r="D127" s="238">
        <v>3</v>
      </c>
    </row>
    <row r="128" ht="16.5" spans="1:4">
      <c r="A128" s="238">
        <v>127</v>
      </c>
      <c r="B128" s="240" t="s">
        <v>1279</v>
      </c>
      <c r="C128" s="238">
        <v>938</v>
      </c>
      <c r="D128" s="238">
        <v>4</v>
      </c>
    </row>
    <row r="129" ht="16.5" spans="1:4">
      <c r="A129" s="238">
        <v>128</v>
      </c>
      <c r="B129" s="240" t="s">
        <v>1280</v>
      </c>
      <c r="C129" s="238">
        <v>938</v>
      </c>
      <c r="D129" s="238">
        <v>5</v>
      </c>
    </row>
    <row r="130" ht="16.5" spans="1:4">
      <c r="A130" s="238">
        <v>129</v>
      </c>
      <c r="B130" s="240" t="s">
        <v>1281</v>
      </c>
      <c r="C130" s="238">
        <v>939</v>
      </c>
      <c r="D130" s="238">
        <v>3</v>
      </c>
    </row>
    <row r="131" ht="16.5" spans="1:4">
      <c r="A131" s="238">
        <v>130</v>
      </c>
      <c r="B131" s="240" t="s">
        <v>1282</v>
      </c>
      <c r="C131" s="238">
        <v>939</v>
      </c>
      <c r="D131" s="238">
        <v>4</v>
      </c>
    </row>
    <row r="132" ht="16.5" spans="1:4">
      <c r="A132" s="238">
        <v>131</v>
      </c>
      <c r="B132" s="240" t="s">
        <v>1283</v>
      </c>
      <c r="C132" s="238">
        <v>939</v>
      </c>
      <c r="D132" s="238">
        <v>5</v>
      </c>
    </row>
    <row r="133" ht="16.5" spans="1:4">
      <c r="A133" s="238">
        <v>132</v>
      </c>
      <c r="B133" s="240" t="s">
        <v>1284</v>
      </c>
      <c r="C133" s="238">
        <v>940</v>
      </c>
      <c r="D133" s="238">
        <v>3</v>
      </c>
    </row>
    <row r="134" ht="16.5" spans="1:4">
      <c r="A134" s="238">
        <v>133</v>
      </c>
      <c r="B134" s="240" t="s">
        <v>1285</v>
      </c>
      <c r="C134" s="238">
        <v>940</v>
      </c>
      <c r="D134" s="238">
        <v>4</v>
      </c>
    </row>
    <row r="135" ht="16.5" spans="1:4">
      <c r="A135" s="238">
        <v>134</v>
      </c>
      <c r="B135" s="240" t="s">
        <v>1286</v>
      </c>
      <c r="C135" s="238">
        <v>940</v>
      </c>
      <c r="D135" s="238">
        <v>5</v>
      </c>
    </row>
    <row r="136" ht="16.5" spans="1:4">
      <c r="A136" s="238">
        <v>135</v>
      </c>
      <c r="B136" s="240" t="s">
        <v>1287</v>
      </c>
      <c r="C136" s="238">
        <v>941</v>
      </c>
      <c r="D136" s="238">
        <v>3</v>
      </c>
    </row>
    <row r="137" ht="16.5" spans="1:4">
      <c r="A137" s="238">
        <v>136</v>
      </c>
      <c r="B137" s="240" t="s">
        <v>1288</v>
      </c>
      <c r="C137" s="238">
        <v>941</v>
      </c>
      <c r="D137" s="238">
        <v>4</v>
      </c>
    </row>
    <row r="138" ht="16.5" spans="1:4">
      <c r="A138" s="238">
        <v>137</v>
      </c>
      <c r="B138" s="240" t="s">
        <v>1289</v>
      </c>
      <c r="C138" s="238">
        <v>941</v>
      </c>
      <c r="D138" s="238">
        <v>5</v>
      </c>
    </row>
    <row r="139" ht="16.5" spans="1:4">
      <c r="A139" s="238">
        <v>138</v>
      </c>
      <c r="B139" s="240" t="s">
        <v>1290</v>
      </c>
      <c r="C139" s="238">
        <v>942</v>
      </c>
      <c r="D139" s="238">
        <v>3</v>
      </c>
    </row>
    <row r="140" ht="16.5" spans="1:4">
      <c r="A140" s="238">
        <v>139</v>
      </c>
      <c r="B140" s="240" t="s">
        <v>1291</v>
      </c>
      <c r="C140" s="238">
        <v>942</v>
      </c>
      <c r="D140" s="238">
        <v>4</v>
      </c>
    </row>
    <row r="141" ht="16.5" spans="1:4">
      <c r="A141" s="238">
        <v>140</v>
      </c>
      <c r="B141" s="240" t="s">
        <v>1292</v>
      </c>
      <c r="C141" s="238">
        <v>942</v>
      </c>
      <c r="D141" s="238">
        <v>5</v>
      </c>
    </row>
    <row r="142" ht="16.5" spans="1:4">
      <c r="A142" s="238">
        <v>141</v>
      </c>
      <c r="B142" s="240" t="s">
        <v>1293</v>
      </c>
      <c r="C142" s="238">
        <v>943</v>
      </c>
      <c r="D142" s="238">
        <v>3</v>
      </c>
    </row>
    <row r="143" ht="16.5" spans="1:4">
      <c r="A143" s="238">
        <v>142</v>
      </c>
      <c r="B143" s="240" t="s">
        <v>1294</v>
      </c>
      <c r="C143" s="238">
        <v>943</v>
      </c>
      <c r="D143" s="238">
        <v>4</v>
      </c>
    </row>
    <row r="144" ht="16.5" spans="1:4">
      <c r="A144" s="238">
        <v>143</v>
      </c>
      <c r="B144" s="240" t="s">
        <v>1295</v>
      </c>
      <c r="C144" s="238">
        <v>943</v>
      </c>
      <c r="D144" s="238">
        <v>5</v>
      </c>
    </row>
    <row r="145" ht="16.5" spans="1:4">
      <c r="A145" s="238">
        <v>144</v>
      </c>
      <c r="B145" s="240" t="s">
        <v>1296</v>
      </c>
      <c r="C145" s="238">
        <v>1045</v>
      </c>
      <c r="D145" s="238">
        <v>2</v>
      </c>
    </row>
    <row r="146" ht="16.5" spans="1:4">
      <c r="A146" s="238">
        <v>145</v>
      </c>
      <c r="B146" s="240" t="s">
        <v>1297</v>
      </c>
      <c r="C146" s="238">
        <v>1045</v>
      </c>
      <c r="D146" s="238">
        <v>7</v>
      </c>
    </row>
    <row r="147" ht="16.5" spans="1:4">
      <c r="A147" s="238">
        <v>146</v>
      </c>
      <c r="B147" s="240" t="s">
        <v>1298</v>
      </c>
      <c r="C147" s="238">
        <v>1056</v>
      </c>
      <c r="D147" s="238">
        <v>3</v>
      </c>
    </row>
    <row r="148" ht="16.5" spans="1:4">
      <c r="A148" s="238">
        <v>147</v>
      </c>
      <c r="B148" s="240" t="s">
        <v>1299</v>
      </c>
      <c r="C148" s="238">
        <v>1056</v>
      </c>
      <c r="D148" s="238">
        <v>4</v>
      </c>
    </row>
    <row r="149" ht="16.5" spans="1:4">
      <c r="A149" s="238">
        <v>148</v>
      </c>
      <c r="B149" s="240" t="s">
        <v>1300</v>
      </c>
      <c r="C149" s="238">
        <v>1056</v>
      </c>
      <c r="D149" s="238">
        <v>5</v>
      </c>
    </row>
    <row r="150" ht="16.5" spans="1:4">
      <c r="A150" s="238">
        <v>149</v>
      </c>
      <c r="B150" s="240" t="s">
        <v>1301</v>
      </c>
      <c r="C150" s="238">
        <v>1056</v>
      </c>
      <c r="D150" s="238">
        <v>11</v>
      </c>
    </row>
    <row r="151" ht="16.5" spans="1:4">
      <c r="A151" s="238">
        <v>150</v>
      </c>
      <c r="B151" s="240" t="s">
        <v>1302</v>
      </c>
      <c r="C151" s="238">
        <v>1056</v>
      </c>
      <c r="D151" s="238">
        <v>13</v>
      </c>
    </row>
    <row r="152" ht="16.5" spans="1:4">
      <c r="A152" s="238">
        <v>151</v>
      </c>
      <c r="B152" s="240" t="s">
        <v>1303</v>
      </c>
      <c r="C152" s="238">
        <v>1056</v>
      </c>
      <c r="D152" s="238">
        <v>14</v>
      </c>
    </row>
    <row r="153" ht="16.5" spans="1:4">
      <c r="A153" s="238">
        <v>152</v>
      </c>
      <c r="B153" s="240" t="s">
        <v>1304</v>
      </c>
      <c r="C153" s="238">
        <v>1059</v>
      </c>
      <c r="D153" s="238">
        <v>2</v>
      </c>
    </row>
    <row r="154" ht="16.5" spans="1:4">
      <c r="A154" s="238">
        <v>153</v>
      </c>
      <c r="B154" s="240" t="s">
        <v>1305</v>
      </c>
      <c r="C154" s="238">
        <v>1066</v>
      </c>
      <c r="D154" s="238">
        <v>3</v>
      </c>
    </row>
    <row r="155" ht="16.5" spans="1:4">
      <c r="A155" s="238">
        <v>154</v>
      </c>
      <c r="B155" s="240" t="s">
        <v>1306</v>
      </c>
      <c r="C155" s="238">
        <v>1066</v>
      </c>
      <c r="D155" s="238">
        <v>4</v>
      </c>
    </row>
    <row r="156" ht="16.5" spans="1:4">
      <c r="A156" s="238">
        <v>155</v>
      </c>
      <c r="B156" s="240" t="s">
        <v>1307</v>
      </c>
      <c r="C156" s="238">
        <v>1066</v>
      </c>
      <c r="D156" s="238">
        <v>6</v>
      </c>
    </row>
    <row r="157" ht="16.5" spans="1:4">
      <c r="A157" s="238">
        <v>156</v>
      </c>
      <c r="B157" s="240" t="s">
        <v>1308</v>
      </c>
      <c r="C157" s="238">
        <v>1066</v>
      </c>
      <c r="D157" s="238">
        <v>11</v>
      </c>
    </row>
    <row r="158" ht="16.5" spans="1:4">
      <c r="A158" s="238">
        <v>157</v>
      </c>
      <c r="B158" s="240" t="s">
        <v>1309</v>
      </c>
      <c r="C158" s="238">
        <v>1066</v>
      </c>
      <c r="D158" s="238">
        <v>13</v>
      </c>
    </row>
    <row r="159" ht="16.5" spans="1:4">
      <c r="A159" s="238">
        <v>158</v>
      </c>
      <c r="B159" s="240" t="s">
        <v>1310</v>
      </c>
      <c r="C159" s="238">
        <v>1066</v>
      </c>
      <c r="D159" s="238">
        <v>14</v>
      </c>
    </row>
    <row r="160" ht="16.5" spans="1:4">
      <c r="A160" s="238">
        <v>159</v>
      </c>
      <c r="B160" s="240" t="s">
        <v>1311</v>
      </c>
      <c r="C160" s="238">
        <v>1067</v>
      </c>
      <c r="D160" s="238">
        <v>2</v>
      </c>
    </row>
    <row r="161" ht="16.5" spans="1:4">
      <c r="A161" s="238">
        <v>160</v>
      </c>
      <c r="B161" s="240" t="s">
        <v>1312</v>
      </c>
      <c r="C161" s="238">
        <v>1068</v>
      </c>
      <c r="D161" s="238">
        <v>2</v>
      </c>
    </row>
    <row r="162" ht="16.5" spans="1:4">
      <c r="A162" s="238">
        <v>161</v>
      </c>
      <c r="B162" s="240" t="s">
        <v>1313</v>
      </c>
      <c r="C162" s="238">
        <v>1671</v>
      </c>
      <c r="D162" s="238">
        <v>2</v>
      </c>
    </row>
    <row r="163" ht="16.5" spans="1:4">
      <c r="A163" s="238">
        <v>162</v>
      </c>
      <c r="B163" s="240" t="s">
        <v>1314</v>
      </c>
      <c r="C163" s="238">
        <v>1807</v>
      </c>
      <c r="D163" s="238">
        <v>0</v>
      </c>
    </row>
    <row r="164" ht="16.5" spans="1:4">
      <c r="A164" s="238">
        <v>163</v>
      </c>
      <c r="B164" s="240" t="s">
        <v>1315</v>
      </c>
      <c r="C164" s="238">
        <v>1807</v>
      </c>
      <c r="D164" s="238">
        <v>2</v>
      </c>
    </row>
    <row r="165" ht="16.5" spans="1:4">
      <c r="A165" s="238">
        <v>164</v>
      </c>
      <c r="B165" s="240" t="s">
        <v>1316</v>
      </c>
      <c r="C165" s="238">
        <v>1807</v>
      </c>
      <c r="D165" s="238">
        <v>7</v>
      </c>
    </row>
    <row r="166" ht="16.5" spans="1:4">
      <c r="A166" s="238">
        <v>165</v>
      </c>
      <c r="B166" s="240" t="s">
        <v>1317</v>
      </c>
      <c r="C166" s="238">
        <v>1807</v>
      </c>
      <c r="D166" s="238">
        <v>9</v>
      </c>
    </row>
    <row r="167" ht="16.5" spans="1:4">
      <c r="A167" s="238">
        <v>166</v>
      </c>
      <c r="B167" s="240" t="s">
        <v>1318</v>
      </c>
      <c r="C167" s="238">
        <v>1807</v>
      </c>
      <c r="D167" s="238">
        <v>10</v>
      </c>
    </row>
    <row r="168" ht="16.5" spans="1:4">
      <c r="A168" s="238">
        <v>167</v>
      </c>
      <c r="B168" s="240" t="s">
        <v>1319</v>
      </c>
      <c r="C168" s="238">
        <v>1807</v>
      </c>
      <c r="D168" s="238">
        <v>11</v>
      </c>
    </row>
    <row r="169" ht="16.5" spans="1:4">
      <c r="A169" s="238">
        <v>168</v>
      </c>
      <c r="B169" s="240" t="s">
        <v>1320</v>
      </c>
      <c r="C169" s="238">
        <v>1807</v>
      </c>
      <c r="D169" s="238">
        <v>12</v>
      </c>
    </row>
    <row r="170" ht="16.5" spans="1:4">
      <c r="A170" s="238">
        <v>169</v>
      </c>
      <c r="B170" s="240" t="s">
        <v>1321</v>
      </c>
      <c r="C170" s="238">
        <v>1807</v>
      </c>
      <c r="D170" s="238">
        <v>13</v>
      </c>
    </row>
    <row r="171" ht="16.5" spans="1:4">
      <c r="A171" s="238">
        <v>170</v>
      </c>
      <c r="B171" s="240" t="s">
        <v>1322</v>
      </c>
      <c r="C171" s="238">
        <v>1807</v>
      </c>
      <c r="D171" s="238">
        <v>14</v>
      </c>
    </row>
    <row r="172" ht="16.5" spans="1:4">
      <c r="A172" s="238">
        <v>171</v>
      </c>
      <c r="B172" s="240" t="s">
        <v>1323</v>
      </c>
      <c r="C172" s="238">
        <v>1808</v>
      </c>
      <c r="D172" s="238">
        <v>0</v>
      </c>
    </row>
    <row r="173" ht="16.5" spans="1:4">
      <c r="A173" s="238">
        <v>172</v>
      </c>
      <c r="B173" s="240" t="s">
        <v>1324</v>
      </c>
      <c r="C173" s="238">
        <v>1808</v>
      </c>
      <c r="D173" s="238">
        <v>2</v>
      </c>
    </row>
    <row r="174" ht="16.5" spans="1:4">
      <c r="A174" s="238">
        <v>173</v>
      </c>
      <c r="B174" s="240" t="s">
        <v>1325</v>
      </c>
      <c r="C174" s="238">
        <v>1808</v>
      </c>
      <c r="D174" s="238">
        <v>3</v>
      </c>
    </row>
    <row r="175" ht="16.5" spans="1:4">
      <c r="A175" s="238">
        <v>174</v>
      </c>
      <c r="B175" s="240" t="s">
        <v>1326</v>
      </c>
      <c r="C175" s="238">
        <v>1808</v>
      </c>
      <c r="D175" s="238">
        <v>7</v>
      </c>
    </row>
    <row r="176" ht="16.5" spans="1:4">
      <c r="A176" s="238">
        <v>175</v>
      </c>
      <c r="B176" s="240" t="s">
        <v>1327</v>
      </c>
      <c r="C176" s="238">
        <v>1808</v>
      </c>
      <c r="D176" s="238">
        <v>8</v>
      </c>
    </row>
    <row r="177" ht="16.5" spans="1:4">
      <c r="A177" s="238">
        <v>176</v>
      </c>
      <c r="B177" s="240" t="s">
        <v>1328</v>
      </c>
      <c r="C177" s="238">
        <v>1808</v>
      </c>
      <c r="D177" s="238">
        <v>9</v>
      </c>
    </row>
    <row r="178" ht="16.5" spans="1:4">
      <c r="A178" s="238">
        <v>177</v>
      </c>
      <c r="B178" s="240" t="s">
        <v>1329</v>
      </c>
      <c r="C178" s="238">
        <v>1808</v>
      </c>
      <c r="D178" s="238">
        <v>10</v>
      </c>
    </row>
    <row r="179" ht="16.5" spans="1:4">
      <c r="A179" s="238">
        <v>178</v>
      </c>
      <c r="B179" s="240" t="s">
        <v>1330</v>
      </c>
      <c r="C179" s="238">
        <v>1808</v>
      </c>
      <c r="D179" s="238">
        <v>11</v>
      </c>
    </row>
    <row r="180" ht="16.5" spans="1:4">
      <c r="A180" s="238">
        <v>179</v>
      </c>
      <c r="B180" s="240" t="s">
        <v>1331</v>
      </c>
      <c r="C180" s="238">
        <v>1808</v>
      </c>
      <c r="D180" s="238">
        <v>12</v>
      </c>
    </row>
    <row r="181" ht="16.5" spans="1:4">
      <c r="A181" s="238">
        <v>180</v>
      </c>
      <c r="B181" s="240" t="s">
        <v>1332</v>
      </c>
      <c r="C181" s="238">
        <v>1808</v>
      </c>
      <c r="D181" s="238">
        <v>13</v>
      </c>
    </row>
    <row r="182" ht="16.5" spans="1:4">
      <c r="A182" s="238">
        <v>181</v>
      </c>
      <c r="B182" s="240" t="s">
        <v>1333</v>
      </c>
      <c r="C182" s="238">
        <v>1808</v>
      </c>
      <c r="D182" s="238">
        <v>14</v>
      </c>
    </row>
    <row r="183" ht="16.5" spans="1:4">
      <c r="A183" s="238">
        <v>182</v>
      </c>
      <c r="B183" s="240" t="s">
        <v>1334</v>
      </c>
      <c r="C183" s="238">
        <v>1809</v>
      </c>
      <c r="D183" s="238">
        <v>0</v>
      </c>
    </row>
    <row r="184" ht="16.5" spans="1:4">
      <c r="A184" s="238">
        <v>183</v>
      </c>
      <c r="B184" s="240" t="s">
        <v>1335</v>
      </c>
      <c r="C184" s="238">
        <v>1809</v>
      </c>
      <c r="D184" s="238">
        <v>2</v>
      </c>
    </row>
    <row r="185" ht="16.5" spans="1:4">
      <c r="A185" s="238">
        <v>184</v>
      </c>
      <c r="B185" s="240" t="s">
        <v>1336</v>
      </c>
      <c r="C185" s="238">
        <v>1809</v>
      </c>
      <c r="D185" s="238">
        <v>11</v>
      </c>
    </row>
    <row r="186" ht="16.5" spans="1:4">
      <c r="A186" s="238">
        <v>185</v>
      </c>
      <c r="B186" s="240" t="s">
        <v>1337</v>
      </c>
      <c r="C186" s="238">
        <v>1809</v>
      </c>
      <c r="D186" s="238">
        <v>13</v>
      </c>
    </row>
    <row r="187" ht="16.5" spans="1:4">
      <c r="A187" s="238">
        <v>186</v>
      </c>
      <c r="B187" s="240" t="s">
        <v>1338</v>
      </c>
      <c r="C187" s="238">
        <v>1809</v>
      </c>
      <c r="D187" s="238">
        <v>14</v>
      </c>
    </row>
    <row r="188" ht="16.5" spans="1:4">
      <c r="A188" s="238">
        <v>187</v>
      </c>
      <c r="B188" s="240" t="s">
        <v>1339</v>
      </c>
      <c r="C188" s="238">
        <v>520250</v>
      </c>
      <c r="D188" s="238">
        <v>14</v>
      </c>
    </row>
    <row r="189" ht="16.5" spans="1:4">
      <c r="A189" s="238">
        <v>188</v>
      </c>
      <c r="B189" s="240" t="s">
        <v>1340</v>
      </c>
      <c r="C189" s="238">
        <v>520251</v>
      </c>
      <c r="D189" s="238">
        <v>14</v>
      </c>
    </row>
    <row r="190" ht="16.5" spans="1:4">
      <c r="A190" s="238">
        <v>189</v>
      </c>
      <c r="B190" s="240" t="s">
        <v>1341</v>
      </c>
      <c r="C190" s="241" t="s">
        <v>1342</v>
      </c>
      <c r="D190" s="238">
        <v>4</v>
      </c>
    </row>
    <row r="191" ht="16.5" spans="1:4">
      <c r="A191" s="238">
        <v>190</v>
      </c>
      <c r="B191" s="240" t="s">
        <v>1343</v>
      </c>
      <c r="C191" s="238">
        <v>521010</v>
      </c>
      <c r="D191" s="238">
        <v>2</v>
      </c>
    </row>
    <row r="192" ht="16.5" spans="1:4">
      <c r="A192" s="238">
        <v>191</v>
      </c>
      <c r="B192" s="240" t="s">
        <v>1344</v>
      </c>
      <c r="C192" s="238">
        <v>521011</v>
      </c>
      <c r="D192" s="238">
        <v>2</v>
      </c>
    </row>
    <row r="193" ht="16.5" spans="1:4">
      <c r="A193" s="238">
        <v>192</v>
      </c>
      <c r="B193" s="240" t="s">
        <v>1345</v>
      </c>
      <c r="C193" s="238">
        <v>521012</v>
      </c>
      <c r="D193" s="238">
        <v>2</v>
      </c>
    </row>
    <row r="194" ht="16.5" spans="1:4">
      <c r="A194" s="238">
        <v>193</v>
      </c>
      <c r="B194" s="240" t="s">
        <v>1346</v>
      </c>
      <c r="C194" s="238">
        <v>521014</v>
      </c>
      <c r="D194" s="238">
        <v>2</v>
      </c>
    </row>
    <row r="195" ht="16.5" spans="1:4">
      <c r="A195" s="238">
        <v>194</v>
      </c>
      <c r="B195" s="240" t="s">
        <v>1347</v>
      </c>
      <c r="C195" s="238">
        <v>521016</v>
      </c>
      <c r="D195" s="238">
        <v>2</v>
      </c>
    </row>
    <row r="196" ht="16.5" spans="1:4">
      <c r="A196" s="238">
        <v>195</v>
      </c>
      <c r="B196" s="240" t="s">
        <v>1348</v>
      </c>
      <c r="C196" s="238">
        <v>521017</v>
      </c>
      <c r="D196" s="238">
        <v>2</v>
      </c>
    </row>
    <row r="197" ht="16.5" spans="1:4">
      <c r="A197" s="238">
        <v>196</v>
      </c>
      <c r="B197" s="240" t="s">
        <v>1349</v>
      </c>
      <c r="C197" s="238">
        <v>521018</v>
      </c>
      <c r="D197" s="238">
        <v>2</v>
      </c>
    </row>
    <row r="198" ht="16.5" spans="1:4">
      <c r="A198" s="238">
        <v>197</v>
      </c>
      <c r="B198" s="240" t="s">
        <v>1350</v>
      </c>
      <c r="C198" s="238">
        <v>521019</v>
      </c>
      <c r="D198" s="238">
        <v>2</v>
      </c>
    </row>
    <row r="199" ht="16.5" spans="1:4">
      <c r="A199" s="238">
        <v>198</v>
      </c>
      <c r="B199" s="240" t="s">
        <v>1351</v>
      </c>
      <c r="C199" s="238">
        <v>521020</v>
      </c>
      <c r="D199" s="238">
        <v>2</v>
      </c>
    </row>
    <row r="200" ht="16.5" spans="1:4">
      <c r="A200" s="238">
        <v>199</v>
      </c>
      <c r="B200" s="240" t="s">
        <v>1352</v>
      </c>
      <c r="C200" s="238">
        <v>521021</v>
      </c>
      <c r="D200" s="238">
        <v>2</v>
      </c>
    </row>
    <row r="201" ht="16.5" spans="1:4">
      <c r="A201" s="238">
        <v>200</v>
      </c>
      <c r="B201" s="240" t="s">
        <v>1353</v>
      </c>
      <c r="C201" s="238">
        <v>521022</v>
      </c>
      <c r="D201" s="238">
        <v>2</v>
      </c>
    </row>
    <row r="202" ht="16.5" spans="1:4">
      <c r="A202" s="238">
        <v>201</v>
      </c>
      <c r="B202" s="240" t="s">
        <v>1354</v>
      </c>
      <c r="C202" s="238">
        <v>521023</v>
      </c>
      <c r="D202" s="238">
        <v>2</v>
      </c>
    </row>
    <row r="203" ht="16.5" spans="1:4">
      <c r="A203" s="238">
        <v>202</v>
      </c>
      <c r="B203" s="240" t="s">
        <v>1355</v>
      </c>
      <c r="C203" s="238">
        <v>521024</v>
      </c>
      <c r="D203" s="238">
        <v>2</v>
      </c>
    </row>
    <row r="204" ht="16.5" spans="1:4">
      <c r="A204" s="238">
        <v>203</v>
      </c>
      <c r="B204" s="240" t="s">
        <v>1356</v>
      </c>
      <c r="C204" s="238">
        <v>521025</v>
      </c>
      <c r="D204" s="238">
        <v>2</v>
      </c>
    </row>
    <row r="205" ht="16.5" spans="1:4">
      <c r="A205" s="238">
        <v>204</v>
      </c>
      <c r="B205" s="240" t="s">
        <v>1357</v>
      </c>
      <c r="C205" s="238">
        <v>521026</v>
      </c>
      <c r="D205" s="238">
        <v>2</v>
      </c>
    </row>
    <row r="206" ht="16.5" spans="1:4">
      <c r="A206" s="238">
        <v>205</v>
      </c>
      <c r="B206" s="240" t="s">
        <v>1358</v>
      </c>
      <c r="C206" s="238">
        <v>521027</v>
      </c>
      <c r="D206" s="238">
        <v>2</v>
      </c>
    </row>
    <row r="207" ht="16.5" spans="1:4">
      <c r="A207" s="238">
        <v>206</v>
      </c>
      <c r="B207" s="240" t="s">
        <v>1359</v>
      </c>
      <c r="C207" s="238">
        <v>521028</v>
      </c>
      <c r="D207" s="238">
        <v>2</v>
      </c>
    </row>
    <row r="208" ht="16.5" spans="1:4">
      <c r="A208" s="238">
        <v>207</v>
      </c>
      <c r="B208" s="240" t="s">
        <v>1360</v>
      </c>
      <c r="C208" s="238">
        <v>521029</v>
      </c>
      <c r="D208" s="238">
        <v>2</v>
      </c>
    </row>
    <row r="209" ht="16.5" spans="1:4">
      <c r="A209" s="238">
        <v>208</v>
      </c>
      <c r="B209" s="240" t="s">
        <v>1361</v>
      </c>
      <c r="C209" s="238">
        <v>521030</v>
      </c>
      <c r="D209" s="238">
        <v>2</v>
      </c>
    </row>
    <row r="210" ht="16.5" spans="1:4">
      <c r="A210" s="238">
        <v>209</v>
      </c>
      <c r="B210" s="240" t="s">
        <v>1362</v>
      </c>
      <c r="C210" s="238">
        <v>521031</v>
      </c>
      <c r="D210" s="238">
        <v>2</v>
      </c>
    </row>
    <row r="211" ht="16.5" spans="1:4">
      <c r="A211" s="238">
        <v>210</v>
      </c>
      <c r="B211" s="240" t="s">
        <v>1363</v>
      </c>
      <c r="C211" s="238">
        <v>521032</v>
      </c>
      <c r="D211" s="238">
        <v>2</v>
      </c>
    </row>
    <row r="212" ht="16.5" spans="1:4">
      <c r="A212" s="242">
        <v>211</v>
      </c>
      <c r="B212" s="243" t="s">
        <v>1364</v>
      </c>
      <c r="C212" s="242" t="s">
        <v>1365</v>
      </c>
      <c r="D212" s="242" t="s">
        <v>1366</v>
      </c>
    </row>
    <row r="213" ht="16.5" spans="1:4">
      <c r="A213" s="242">
        <v>212</v>
      </c>
      <c r="B213" s="243" t="s">
        <v>1367</v>
      </c>
      <c r="C213" s="242" t="s">
        <v>1368</v>
      </c>
      <c r="D213" s="242" t="s">
        <v>1369</v>
      </c>
    </row>
    <row r="214" ht="16.5" spans="1:4">
      <c r="A214" s="242">
        <v>213</v>
      </c>
      <c r="B214" s="243" t="s">
        <v>1370</v>
      </c>
      <c r="C214" s="242" t="s">
        <v>1371</v>
      </c>
      <c r="D214" s="242" t="s">
        <v>1372</v>
      </c>
    </row>
    <row r="215" ht="16.5" spans="1:4">
      <c r="A215" s="242">
        <v>214</v>
      </c>
      <c r="B215" s="243" t="s">
        <v>1373</v>
      </c>
      <c r="C215" s="242" t="s">
        <v>1374</v>
      </c>
      <c r="D215" s="242" t="s">
        <v>1375</v>
      </c>
    </row>
    <row r="216" ht="16.5" spans="1:4">
      <c r="A216" s="242">
        <v>215</v>
      </c>
      <c r="B216" s="243" t="s">
        <v>1376</v>
      </c>
      <c r="C216" s="242" t="s">
        <v>1377</v>
      </c>
      <c r="D216" s="242" t="s">
        <v>1375</v>
      </c>
    </row>
    <row r="217" ht="16.5" spans="1:4">
      <c r="A217" s="242">
        <v>216</v>
      </c>
      <c r="B217" s="243" t="s">
        <v>1378</v>
      </c>
      <c r="C217" s="242" t="s">
        <v>1379</v>
      </c>
      <c r="D217" s="242" t="s">
        <v>1375</v>
      </c>
    </row>
    <row r="218" ht="16.5" spans="1:4">
      <c r="A218" s="242">
        <v>217</v>
      </c>
      <c r="B218" s="243" t="s">
        <v>1380</v>
      </c>
      <c r="C218" s="242" t="s">
        <v>1379</v>
      </c>
      <c r="D218" s="242" t="s">
        <v>1381</v>
      </c>
    </row>
    <row r="219" ht="16.5" spans="1:4">
      <c r="A219" s="242">
        <v>218</v>
      </c>
      <c r="B219" s="243" t="s">
        <v>1382</v>
      </c>
      <c r="C219" s="242" t="s">
        <v>1379</v>
      </c>
      <c r="D219" s="242" t="s">
        <v>1366</v>
      </c>
    </row>
    <row r="220" ht="16.5" spans="1:4">
      <c r="A220" s="242">
        <v>219</v>
      </c>
      <c r="B220" s="243" t="s">
        <v>1383</v>
      </c>
      <c r="C220" s="242" t="s">
        <v>1384</v>
      </c>
      <c r="D220" s="242" t="s">
        <v>1385</v>
      </c>
    </row>
    <row r="221" ht="16.5" spans="1:4">
      <c r="A221" s="242">
        <v>220</v>
      </c>
      <c r="B221" s="243" t="s">
        <v>1386</v>
      </c>
      <c r="C221" s="242" t="s">
        <v>1387</v>
      </c>
      <c r="D221" s="242" t="s">
        <v>1372</v>
      </c>
    </row>
    <row r="222" ht="16.5" spans="1:4">
      <c r="A222" s="242">
        <v>221</v>
      </c>
      <c r="B222" s="243" t="s">
        <v>1388</v>
      </c>
      <c r="C222" s="242" t="s">
        <v>1389</v>
      </c>
      <c r="D222" s="242" t="s">
        <v>1372</v>
      </c>
    </row>
    <row r="223" ht="16.5" spans="1:4">
      <c r="A223" s="242">
        <v>222</v>
      </c>
      <c r="B223" s="243" t="s">
        <v>1390</v>
      </c>
      <c r="C223" s="242" t="s">
        <v>1391</v>
      </c>
      <c r="D223" s="242" t="s">
        <v>1372</v>
      </c>
    </row>
    <row r="224" ht="16.5" spans="1:4">
      <c r="A224" s="242">
        <v>223</v>
      </c>
      <c r="B224" s="243" t="s">
        <v>1392</v>
      </c>
      <c r="C224" s="242" t="s">
        <v>1393</v>
      </c>
      <c r="D224" s="242" t="s">
        <v>1372</v>
      </c>
    </row>
    <row r="225" ht="16.5" spans="1:4">
      <c r="A225" s="242">
        <v>224</v>
      </c>
      <c r="B225" s="243" t="s">
        <v>1394</v>
      </c>
      <c r="C225" s="242" t="s">
        <v>1395</v>
      </c>
      <c r="D225" s="242" t="s">
        <v>1372</v>
      </c>
    </row>
    <row r="226" ht="16.5" spans="1:4">
      <c r="A226" s="242">
        <v>225</v>
      </c>
      <c r="B226" s="243" t="s">
        <v>1396</v>
      </c>
      <c r="C226" s="242" t="s">
        <v>1397</v>
      </c>
      <c r="D226" s="242" t="s">
        <v>1372</v>
      </c>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AD793"/>
  <sheetViews>
    <sheetView view="pageBreakPreview" zoomScaleNormal="100" workbookViewId="0">
      <selection activeCell="N25" sqref="N25"/>
    </sheetView>
  </sheetViews>
  <sheetFormatPr defaultColWidth="0" defaultRowHeight="13.5"/>
  <cols>
    <col min="1" max="1" width="5.75" style="36" customWidth="1"/>
    <col min="2" max="3" width="9.875" style="36" hidden="1" customWidth="1"/>
    <col min="5" max="5" width="4.5" hidden="1"/>
    <col min="6" max="6" width="10.5" style="36" hidden="1" customWidth="1"/>
    <col min="7" max="7" width="5.5" style="36" hidden="1" customWidth="1"/>
    <col min="8" max="8" width="34.625" style="36" hidden="1" customWidth="1"/>
    <col min="9" max="9" width="255.75" style="36" hidden="1" customWidth="1"/>
    <col min="10" max="10" width="42.5" style="36" customWidth="1"/>
    <col min="11" max="11" width="64.375" style="36" hidden="1" customWidth="1"/>
    <col min="12" max="12" width="6.75" style="217" customWidth="1"/>
    <col min="13" max="13" width="4.5" style="217" customWidth="1"/>
    <col min="14" max="14" width="80" style="36" customWidth="1"/>
    <col min="15" max="15" width="13.875" style="36" hidden="1" customWidth="1"/>
    <col min="16" max="16" width="8.875" style="36" hidden="1" customWidth="1"/>
    <col min="17" max="17" width="17.75" style="36" hidden="1" customWidth="1"/>
    <col min="18" max="19" width="8.875" style="36" hidden="1" customWidth="1"/>
    <col min="20" max="20" width="24.375" style="36" hidden="1" customWidth="1"/>
    <col min="21" max="26" width="8.875" style="36" hidden="1" customWidth="1"/>
    <col min="27" max="27" width="25.5" style="36" hidden="1" customWidth="1"/>
    <col min="28" max="30" width="0" style="36" hidden="1" customWidth="1"/>
    <col min="31" max="16384" width="8.875" style="36" hidden="1"/>
  </cols>
  <sheetData>
    <row r="1" ht="16.5" spans="1:20">
      <c r="A1" s="218" t="s">
        <v>99</v>
      </c>
      <c r="B1" s="219" t="s">
        <v>1398</v>
      </c>
      <c r="C1" s="219" t="s">
        <v>1399</v>
      </c>
      <c r="F1" s="220"/>
      <c r="G1" s="221" t="s">
        <v>1400</v>
      </c>
      <c r="H1" s="221" t="s">
        <v>1401</v>
      </c>
      <c r="I1" s="220"/>
      <c r="J1" s="225" t="s">
        <v>1402</v>
      </c>
      <c r="K1" s="225" t="s">
        <v>1403</v>
      </c>
      <c r="L1" s="226" t="s">
        <v>102</v>
      </c>
      <c r="M1" s="226" t="s">
        <v>103</v>
      </c>
      <c r="N1" s="221" t="s">
        <v>1404</v>
      </c>
      <c r="O1" s="227"/>
      <c r="P1" s="227"/>
      <c r="Q1" s="227"/>
      <c r="R1" s="227"/>
      <c r="S1" s="227"/>
      <c r="T1" s="227"/>
    </row>
    <row r="2" ht="16.5" spans="1:30">
      <c r="A2" s="222">
        <v>1</v>
      </c>
      <c r="B2" s="35">
        <v>1</v>
      </c>
      <c r="C2" s="35">
        <v>4</v>
      </c>
      <c r="F2" s="223" t="s">
        <v>1405</v>
      </c>
      <c r="G2" s="224"/>
      <c r="H2" s="223" t="s">
        <v>1406</v>
      </c>
      <c r="I2" s="223" t="s">
        <v>1407</v>
      </c>
      <c r="J2" s="223" t="s">
        <v>1408</v>
      </c>
      <c r="K2" s="223" t="s">
        <v>1409</v>
      </c>
      <c r="L2" s="228">
        <v>260</v>
      </c>
      <c r="M2" s="228">
        <v>0</v>
      </c>
      <c r="N2" s="223" t="s">
        <v>1410</v>
      </c>
      <c r="O2" s="229" t="str">
        <f t="shared" ref="O2:O65" si="0">"EBS1_"&amp;L2&amp;"_"&amp;M2</f>
        <v>EBS1_260_0</v>
      </c>
      <c r="P2" s="229" t="s">
        <v>1411</v>
      </c>
      <c r="Q2" s="229" t="s">
        <v>1412</v>
      </c>
      <c r="R2" s="227">
        <v>1</v>
      </c>
      <c r="S2" s="229" t="s">
        <v>1413</v>
      </c>
      <c r="T2" s="229" t="str">
        <f>P2&amp;$Q$2&amp;R2&amp;$S$2</f>
        <v>26000:Var_ui_ErrNo:=1;</v>
      </c>
      <c r="AA2" s="36" t="s">
        <v>1414</v>
      </c>
      <c r="AB2" s="36" t="s">
        <v>1415</v>
      </c>
      <c r="AC2" s="36">
        <v>1</v>
      </c>
      <c r="AD2" s="36" t="s">
        <v>1413</v>
      </c>
    </row>
    <row r="3" ht="16.5" spans="1:20">
      <c r="A3" s="222">
        <v>2</v>
      </c>
      <c r="B3" s="35">
        <v>1</v>
      </c>
      <c r="C3" s="35">
        <v>5</v>
      </c>
      <c r="F3" s="223" t="s">
        <v>1405</v>
      </c>
      <c r="G3" s="224"/>
      <c r="H3" s="223" t="s">
        <v>1416</v>
      </c>
      <c r="I3" s="223" t="s">
        <v>1417</v>
      </c>
      <c r="J3" s="223" t="s">
        <v>1418</v>
      </c>
      <c r="K3" s="223" t="s">
        <v>1419</v>
      </c>
      <c r="L3" s="228">
        <v>261</v>
      </c>
      <c r="M3" s="228">
        <v>0</v>
      </c>
      <c r="N3" s="223" t="s">
        <v>1420</v>
      </c>
      <c r="O3" s="229" t="str">
        <f t="shared" si="0"/>
        <v>EBS1_261_0</v>
      </c>
      <c r="P3" s="229" t="s">
        <v>1421</v>
      </c>
      <c r="Q3" s="227"/>
      <c r="R3" s="227">
        <v>2</v>
      </c>
      <c r="S3" s="227"/>
      <c r="T3" s="229" t="str">
        <f t="shared" ref="T3:T66" si="1">P3&amp;$Q$2&amp;R3&amp;$S$2</f>
        <v>26100:Var_ui_ErrNo:=2;</v>
      </c>
    </row>
    <row r="4" ht="16.5" spans="1:20">
      <c r="A4" s="222">
        <v>3</v>
      </c>
      <c r="B4" s="35">
        <v>1</v>
      </c>
      <c r="C4" s="35">
        <v>6</v>
      </c>
      <c r="F4" s="223" t="s">
        <v>1405</v>
      </c>
      <c r="G4" s="224"/>
      <c r="H4" s="223" t="s">
        <v>1416</v>
      </c>
      <c r="I4" s="223" t="s">
        <v>1422</v>
      </c>
      <c r="J4" s="223" t="s">
        <v>1423</v>
      </c>
      <c r="K4" s="223" t="s">
        <v>1424</v>
      </c>
      <c r="L4" s="228">
        <v>262</v>
      </c>
      <c r="M4" s="228">
        <v>0</v>
      </c>
      <c r="N4" s="223" t="s">
        <v>1420</v>
      </c>
      <c r="O4" s="229" t="str">
        <f t="shared" si="0"/>
        <v>EBS1_262_0</v>
      </c>
      <c r="P4" s="229" t="s">
        <v>1425</v>
      </c>
      <c r="Q4" s="227"/>
      <c r="R4" s="227">
        <v>3</v>
      </c>
      <c r="S4" s="227"/>
      <c r="T4" s="229" t="str">
        <f t="shared" si="1"/>
        <v>26200:Var_ui_ErrNo:=3;</v>
      </c>
    </row>
    <row r="5" ht="16.5" spans="1:20">
      <c r="A5" s="222">
        <v>4</v>
      </c>
      <c r="B5" s="35">
        <v>1</v>
      </c>
      <c r="C5" s="35">
        <v>9</v>
      </c>
      <c r="F5" s="223" t="s">
        <v>1405</v>
      </c>
      <c r="G5" s="224"/>
      <c r="H5" s="223" t="s">
        <v>1426</v>
      </c>
      <c r="I5" s="223" t="s">
        <v>1427</v>
      </c>
      <c r="J5" s="223" t="s">
        <v>1428</v>
      </c>
      <c r="K5" s="223" t="s">
        <v>1429</v>
      </c>
      <c r="L5" s="228">
        <v>265</v>
      </c>
      <c r="M5" s="228">
        <v>0</v>
      </c>
      <c r="N5" s="223" t="s">
        <v>1430</v>
      </c>
      <c r="O5" s="229" t="str">
        <f t="shared" si="0"/>
        <v>EBS1_265_0</v>
      </c>
      <c r="P5" s="229" t="s">
        <v>1431</v>
      </c>
      <c r="Q5" s="227"/>
      <c r="R5" s="227">
        <v>4</v>
      </c>
      <c r="S5" s="227"/>
      <c r="T5" s="229" t="str">
        <f t="shared" si="1"/>
        <v>26500:Var_ui_ErrNo:=4;</v>
      </c>
    </row>
    <row r="6" ht="16.5" spans="1:20">
      <c r="A6" s="222">
        <v>5</v>
      </c>
      <c r="B6" s="35">
        <v>1</v>
      </c>
      <c r="C6" s="35">
        <v>17</v>
      </c>
      <c r="F6" s="223" t="s">
        <v>1405</v>
      </c>
      <c r="G6" s="224"/>
      <c r="H6" s="223" t="s">
        <v>1416</v>
      </c>
      <c r="I6" s="223" t="s">
        <v>1432</v>
      </c>
      <c r="J6" s="223" t="s">
        <v>1433</v>
      </c>
      <c r="K6" s="223" t="s">
        <v>1434</v>
      </c>
      <c r="L6" s="228">
        <v>273</v>
      </c>
      <c r="M6" s="228">
        <v>0</v>
      </c>
      <c r="N6" s="223" t="s">
        <v>1420</v>
      </c>
      <c r="O6" s="229" t="str">
        <f t="shared" si="0"/>
        <v>EBS1_273_0</v>
      </c>
      <c r="P6" s="229" t="s">
        <v>1435</v>
      </c>
      <c r="Q6" s="227"/>
      <c r="R6" s="227">
        <v>5</v>
      </c>
      <c r="S6" s="227"/>
      <c r="T6" s="229" t="str">
        <f t="shared" si="1"/>
        <v>27300:Var_ui_ErrNo:=5;</v>
      </c>
    </row>
    <row r="7" ht="16.5" spans="1:20">
      <c r="A7" s="222">
        <v>6</v>
      </c>
      <c r="B7" s="35">
        <v>1</v>
      </c>
      <c r="C7" s="35">
        <v>18</v>
      </c>
      <c r="F7" s="223" t="s">
        <v>1405</v>
      </c>
      <c r="G7" s="224"/>
      <c r="H7" s="223" t="s">
        <v>1416</v>
      </c>
      <c r="I7" s="223" t="s">
        <v>1436</v>
      </c>
      <c r="J7" s="223" t="s">
        <v>1437</v>
      </c>
      <c r="K7" s="223" t="s">
        <v>1438</v>
      </c>
      <c r="L7" s="228">
        <v>274</v>
      </c>
      <c r="M7" s="228">
        <v>0</v>
      </c>
      <c r="N7" s="223" t="s">
        <v>1420</v>
      </c>
      <c r="O7" s="229" t="str">
        <f t="shared" si="0"/>
        <v>EBS1_274_0</v>
      </c>
      <c r="P7" s="229" t="s">
        <v>1439</v>
      </c>
      <c r="Q7" s="227"/>
      <c r="R7" s="227">
        <v>6</v>
      </c>
      <c r="S7" s="227"/>
      <c r="T7" s="229" t="str">
        <f t="shared" si="1"/>
        <v>27400:Var_ui_ErrNo:=6;</v>
      </c>
    </row>
    <row r="8" ht="16.5" spans="1:20">
      <c r="A8" s="222">
        <v>7</v>
      </c>
      <c r="B8" s="35">
        <v>1</v>
      </c>
      <c r="C8" s="35">
        <v>40</v>
      </c>
      <c r="F8" s="223" t="s">
        <v>1440</v>
      </c>
      <c r="G8" s="224"/>
      <c r="H8" s="223" t="s">
        <v>1441</v>
      </c>
      <c r="I8" s="223" t="s">
        <v>1442</v>
      </c>
      <c r="J8" s="223" t="s">
        <v>1443</v>
      </c>
      <c r="K8" s="223" t="s">
        <v>1444</v>
      </c>
      <c r="L8" s="228">
        <v>296</v>
      </c>
      <c r="M8" s="228">
        <v>0</v>
      </c>
      <c r="N8" s="223" t="s">
        <v>1445</v>
      </c>
      <c r="O8" s="229" t="str">
        <f t="shared" si="0"/>
        <v>EBS1_296_0</v>
      </c>
      <c r="P8" s="229" t="s">
        <v>1446</v>
      </c>
      <c r="Q8" s="227"/>
      <c r="R8" s="227">
        <v>7</v>
      </c>
      <c r="S8" s="227"/>
      <c r="T8" s="229" t="str">
        <f t="shared" si="1"/>
        <v>29600:Var_ui_ErrNo:=7;</v>
      </c>
    </row>
    <row r="9" ht="16.5" spans="1:20">
      <c r="A9" s="222">
        <v>8</v>
      </c>
      <c r="B9" s="35">
        <v>1</v>
      </c>
      <c r="C9" s="35">
        <v>156</v>
      </c>
      <c r="F9" s="223" t="s">
        <v>1405</v>
      </c>
      <c r="G9" s="224"/>
      <c r="H9" s="223" t="s">
        <v>1447</v>
      </c>
      <c r="I9" s="223" t="s">
        <v>1448</v>
      </c>
      <c r="J9" s="223" t="s">
        <v>1449</v>
      </c>
      <c r="K9" s="223" t="s">
        <v>1450</v>
      </c>
      <c r="L9" s="228">
        <v>412</v>
      </c>
      <c r="M9" s="228">
        <v>0</v>
      </c>
      <c r="N9" s="223" t="s">
        <v>1451</v>
      </c>
      <c r="O9" s="229" t="str">
        <f t="shared" si="0"/>
        <v>EBS1_412_0</v>
      </c>
      <c r="P9" s="229" t="s">
        <v>1452</v>
      </c>
      <c r="Q9" s="227"/>
      <c r="R9" s="227">
        <v>8</v>
      </c>
      <c r="S9" s="227"/>
      <c r="T9" s="229" t="str">
        <f t="shared" si="1"/>
        <v>41200:Var_ui_ErrNo:=8;</v>
      </c>
    </row>
    <row r="10" ht="16.5" spans="1:20">
      <c r="A10" s="222">
        <v>9</v>
      </c>
      <c r="B10" s="35">
        <v>1</v>
      </c>
      <c r="C10" s="35">
        <v>159</v>
      </c>
      <c r="F10" s="223" t="s">
        <v>1405</v>
      </c>
      <c r="G10" s="224"/>
      <c r="H10" s="223" t="s">
        <v>1416</v>
      </c>
      <c r="I10" s="223" t="s">
        <v>1453</v>
      </c>
      <c r="J10" s="223" t="s">
        <v>1454</v>
      </c>
      <c r="K10" s="223" t="s">
        <v>1455</v>
      </c>
      <c r="L10" s="228">
        <v>415</v>
      </c>
      <c r="M10" s="228">
        <v>0</v>
      </c>
      <c r="N10" s="223" t="s">
        <v>1420</v>
      </c>
      <c r="O10" s="229" t="str">
        <f t="shared" si="0"/>
        <v>EBS1_415_0</v>
      </c>
      <c r="P10" s="229" t="s">
        <v>1456</v>
      </c>
      <c r="Q10" s="227"/>
      <c r="R10" s="227">
        <v>9</v>
      </c>
      <c r="S10" s="227"/>
      <c r="T10" s="229" t="str">
        <f t="shared" si="1"/>
        <v>41500:Var_ui_ErrNo:=9;</v>
      </c>
    </row>
    <row r="11" ht="16.5" spans="1:20">
      <c r="A11" s="222">
        <v>10</v>
      </c>
      <c r="B11" s="35">
        <v>1</v>
      </c>
      <c r="C11" s="35">
        <v>164</v>
      </c>
      <c r="F11" s="223" t="s">
        <v>1405</v>
      </c>
      <c r="G11" s="224"/>
      <c r="H11" s="223" t="s">
        <v>1416</v>
      </c>
      <c r="I11" s="223" t="s">
        <v>1457</v>
      </c>
      <c r="J11" s="223" t="s">
        <v>1458</v>
      </c>
      <c r="K11" s="223" t="s">
        <v>1459</v>
      </c>
      <c r="L11" s="228">
        <v>420</v>
      </c>
      <c r="M11" s="228">
        <v>0</v>
      </c>
      <c r="N11" s="223" t="s">
        <v>1420</v>
      </c>
      <c r="O11" s="229" t="str">
        <f t="shared" si="0"/>
        <v>EBS1_420_0</v>
      </c>
      <c r="P11" s="229" t="s">
        <v>1460</v>
      </c>
      <c r="Q11" s="227"/>
      <c r="R11" s="227">
        <v>10</v>
      </c>
      <c r="S11" s="227"/>
      <c r="T11" s="229" t="str">
        <f t="shared" si="1"/>
        <v>42000:Var_ui_ErrNo:=10;</v>
      </c>
    </row>
    <row r="12" ht="16.5" spans="1:20">
      <c r="A12" s="222">
        <v>11</v>
      </c>
      <c r="B12" s="35">
        <v>1</v>
      </c>
      <c r="C12" s="35">
        <v>167</v>
      </c>
      <c r="F12" s="223" t="s">
        <v>1405</v>
      </c>
      <c r="G12" s="224"/>
      <c r="H12" s="223" t="s">
        <v>1416</v>
      </c>
      <c r="I12" s="223" t="s">
        <v>1461</v>
      </c>
      <c r="J12" s="223" t="s">
        <v>1462</v>
      </c>
      <c r="K12" s="223" t="s">
        <v>1463</v>
      </c>
      <c r="L12" s="228">
        <v>423</v>
      </c>
      <c r="M12" s="228">
        <v>0</v>
      </c>
      <c r="N12" s="223" t="s">
        <v>1420</v>
      </c>
      <c r="O12" s="229" t="str">
        <f t="shared" si="0"/>
        <v>EBS1_423_0</v>
      </c>
      <c r="P12" s="229" t="s">
        <v>1464</v>
      </c>
      <c r="Q12" s="227"/>
      <c r="R12" s="227">
        <v>11</v>
      </c>
      <c r="S12" s="227"/>
      <c r="T12" s="229" t="str">
        <f t="shared" si="1"/>
        <v>42300:Var_ui_ErrNo:=11;</v>
      </c>
    </row>
    <row r="13" ht="16.5" spans="1:20">
      <c r="A13" s="222">
        <v>12</v>
      </c>
      <c r="B13" s="35">
        <v>1</v>
      </c>
      <c r="C13" s="35">
        <v>168</v>
      </c>
      <c r="F13" s="223" t="s">
        <v>1405</v>
      </c>
      <c r="G13" s="224"/>
      <c r="H13" s="223" t="s">
        <v>1416</v>
      </c>
      <c r="I13" s="223" t="s">
        <v>1453</v>
      </c>
      <c r="J13" s="223" t="s">
        <v>1465</v>
      </c>
      <c r="K13" s="223" t="s">
        <v>1466</v>
      </c>
      <c r="L13" s="228">
        <v>424</v>
      </c>
      <c r="M13" s="228">
        <v>0</v>
      </c>
      <c r="N13" s="223" t="s">
        <v>1420</v>
      </c>
      <c r="O13" s="229" t="str">
        <f t="shared" si="0"/>
        <v>EBS1_424_0</v>
      </c>
      <c r="P13" s="229" t="s">
        <v>1467</v>
      </c>
      <c r="Q13" s="227"/>
      <c r="R13" s="227">
        <v>12</v>
      </c>
      <c r="S13" s="227"/>
      <c r="T13" s="229" t="str">
        <f t="shared" si="1"/>
        <v>42400:Var_ui_ErrNo:=12;</v>
      </c>
    </row>
    <row r="14" ht="16.5" spans="1:20">
      <c r="A14" s="222">
        <v>13</v>
      </c>
      <c r="B14" s="35">
        <v>1</v>
      </c>
      <c r="C14" s="35">
        <v>169</v>
      </c>
      <c r="F14" s="223" t="s">
        <v>1405</v>
      </c>
      <c r="G14" s="224"/>
      <c r="H14" s="223" t="s">
        <v>1416</v>
      </c>
      <c r="I14" s="223" t="s">
        <v>1436</v>
      </c>
      <c r="J14" s="223" t="s">
        <v>1468</v>
      </c>
      <c r="K14" s="223" t="s">
        <v>1469</v>
      </c>
      <c r="L14" s="228">
        <v>425</v>
      </c>
      <c r="M14" s="228">
        <v>0</v>
      </c>
      <c r="N14" s="223" t="s">
        <v>1420</v>
      </c>
      <c r="O14" s="229" t="str">
        <f t="shared" si="0"/>
        <v>EBS1_425_0</v>
      </c>
      <c r="P14" s="229" t="s">
        <v>1470</v>
      </c>
      <c r="Q14" s="227"/>
      <c r="R14" s="227">
        <v>13</v>
      </c>
      <c r="S14" s="227"/>
      <c r="T14" s="229" t="str">
        <f t="shared" si="1"/>
        <v>42500:Var_ui_ErrNo:=13;</v>
      </c>
    </row>
    <row r="15" ht="16.5" spans="1:20">
      <c r="A15" s="222">
        <v>14</v>
      </c>
      <c r="B15" s="35">
        <v>2</v>
      </c>
      <c r="C15" s="35">
        <v>5</v>
      </c>
      <c r="F15" s="224"/>
      <c r="G15" s="224"/>
      <c r="H15" s="223" t="s">
        <v>1416</v>
      </c>
      <c r="I15" s="223" t="s">
        <v>1436</v>
      </c>
      <c r="J15" s="223" t="s">
        <v>1471</v>
      </c>
      <c r="K15" s="223" t="s">
        <v>1472</v>
      </c>
      <c r="L15" s="228">
        <v>517</v>
      </c>
      <c r="M15" s="228">
        <v>0</v>
      </c>
      <c r="N15" s="223" t="s">
        <v>1420</v>
      </c>
      <c r="O15" s="229" t="str">
        <f t="shared" si="0"/>
        <v>EBS1_517_0</v>
      </c>
      <c r="P15" s="229" t="s">
        <v>1473</v>
      </c>
      <c r="Q15" s="227"/>
      <c r="R15" s="227">
        <v>14</v>
      </c>
      <c r="S15" s="227"/>
      <c r="T15" s="229" t="str">
        <f t="shared" si="1"/>
        <v>51700:Var_ui_ErrNo:=14;</v>
      </c>
    </row>
    <row r="16" ht="16.5" spans="1:20">
      <c r="A16" s="222">
        <v>15</v>
      </c>
      <c r="B16" s="35">
        <v>2</v>
      </c>
      <c r="C16" s="35">
        <v>6</v>
      </c>
      <c r="F16" s="224"/>
      <c r="G16" s="224"/>
      <c r="H16" s="223" t="s">
        <v>1416</v>
      </c>
      <c r="I16" s="223" t="s">
        <v>1474</v>
      </c>
      <c r="J16" s="223" t="s">
        <v>1475</v>
      </c>
      <c r="K16" s="223" t="s">
        <v>1476</v>
      </c>
      <c r="L16" s="228">
        <v>518</v>
      </c>
      <c r="M16" s="228">
        <v>0</v>
      </c>
      <c r="N16" s="223" t="s">
        <v>1420</v>
      </c>
      <c r="O16" s="229" t="str">
        <f t="shared" si="0"/>
        <v>EBS1_518_0</v>
      </c>
      <c r="P16" s="229" t="s">
        <v>1477</v>
      </c>
      <c r="Q16" s="227"/>
      <c r="R16" s="227">
        <v>15</v>
      </c>
      <c r="S16" s="227"/>
      <c r="T16" s="229" t="str">
        <f t="shared" si="1"/>
        <v>51800:Var_ui_ErrNo:=15;</v>
      </c>
    </row>
    <row r="17" ht="16.5" spans="1:20">
      <c r="A17" s="222">
        <v>16</v>
      </c>
      <c r="B17" s="35">
        <v>2</v>
      </c>
      <c r="C17" s="35">
        <v>9</v>
      </c>
      <c r="F17" s="224"/>
      <c r="G17" s="224"/>
      <c r="H17" s="223" t="s">
        <v>1426</v>
      </c>
      <c r="I17" s="223" t="s">
        <v>1478</v>
      </c>
      <c r="J17" s="223" t="s">
        <v>1479</v>
      </c>
      <c r="K17" s="223" t="s">
        <v>1480</v>
      </c>
      <c r="L17" s="228">
        <v>521</v>
      </c>
      <c r="M17" s="228">
        <v>0</v>
      </c>
      <c r="N17" s="223" t="s">
        <v>1430</v>
      </c>
      <c r="O17" s="229" t="str">
        <f t="shared" si="0"/>
        <v>EBS1_521_0</v>
      </c>
      <c r="P17" s="229" t="s">
        <v>1481</v>
      </c>
      <c r="Q17" s="227"/>
      <c r="R17" s="227">
        <v>16</v>
      </c>
      <c r="S17" s="227"/>
      <c r="T17" s="229" t="str">
        <f t="shared" si="1"/>
        <v>52100:Var_ui_ErrNo:=16;</v>
      </c>
    </row>
    <row r="18" ht="16.5" spans="1:20">
      <c r="A18" s="222">
        <v>17</v>
      </c>
      <c r="B18" s="35">
        <v>2</v>
      </c>
      <c r="C18" s="35">
        <v>18</v>
      </c>
      <c r="F18" s="224"/>
      <c r="G18" s="224"/>
      <c r="H18" s="223" t="s">
        <v>1416</v>
      </c>
      <c r="I18" s="223" t="s">
        <v>1482</v>
      </c>
      <c r="J18" s="223" t="s">
        <v>1483</v>
      </c>
      <c r="K18" s="223" t="s">
        <v>1484</v>
      </c>
      <c r="L18" s="228">
        <v>530</v>
      </c>
      <c r="M18" s="228">
        <v>0</v>
      </c>
      <c r="N18" s="223" t="s">
        <v>1420</v>
      </c>
      <c r="O18" s="229" t="str">
        <f t="shared" si="0"/>
        <v>EBS1_530_0</v>
      </c>
      <c r="P18" s="229" t="s">
        <v>1485</v>
      </c>
      <c r="Q18" s="227"/>
      <c r="R18" s="227">
        <v>17</v>
      </c>
      <c r="S18" s="227"/>
      <c r="T18" s="229" t="str">
        <f t="shared" si="1"/>
        <v>53000:Var_ui_ErrNo:=17;</v>
      </c>
    </row>
    <row r="19" ht="16.5" spans="1:20">
      <c r="A19" s="222">
        <v>18</v>
      </c>
      <c r="B19" s="35">
        <v>2</v>
      </c>
      <c r="C19" s="35">
        <v>40</v>
      </c>
      <c r="F19" s="224"/>
      <c r="G19" s="224"/>
      <c r="H19" s="223" t="s">
        <v>1416</v>
      </c>
      <c r="I19" s="223" t="s">
        <v>1486</v>
      </c>
      <c r="J19" s="223" t="s">
        <v>1487</v>
      </c>
      <c r="K19" s="223" t="s">
        <v>1488</v>
      </c>
      <c r="L19" s="228">
        <v>552</v>
      </c>
      <c r="M19" s="228">
        <v>0</v>
      </c>
      <c r="N19" s="223" t="s">
        <v>1420</v>
      </c>
      <c r="O19" s="229" t="str">
        <f t="shared" si="0"/>
        <v>EBS1_552_0</v>
      </c>
      <c r="P19" s="229" t="s">
        <v>1489</v>
      </c>
      <c r="Q19" s="227"/>
      <c r="R19" s="227">
        <v>18</v>
      </c>
      <c r="S19" s="227"/>
      <c r="T19" s="229" t="str">
        <f t="shared" si="1"/>
        <v>55200:Var_ui_ErrNo:=18;</v>
      </c>
    </row>
    <row r="20" ht="16.5" spans="1:20">
      <c r="A20" s="222">
        <v>19</v>
      </c>
      <c r="B20" s="35">
        <v>2</v>
      </c>
      <c r="C20" s="35">
        <v>55</v>
      </c>
      <c r="F20" s="224"/>
      <c r="G20" s="224"/>
      <c r="H20" s="223" t="s">
        <v>1490</v>
      </c>
      <c r="I20" s="223" t="s">
        <v>1491</v>
      </c>
      <c r="J20" s="223" t="s">
        <v>1492</v>
      </c>
      <c r="K20" s="223" t="s">
        <v>1493</v>
      </c>
      <c r="L20" s="228">
        <v>567</v>
      </c>
      <c r="M20" s="228">
        <v>0</v>
      </c>
      <c r="N20" s="223" t="s">
        <v>1494</v>
      </c>
      <c r="O20" s="229" t="str">
        <f t="shared" si="0"/>
        <v>EBS1_567_0</v>
      </c>
      <c r="P20" s="229" t="s">
        <v>1495</v>
      </c>
      <c r="Q20" s="227"/>
      <c r="R20" s="227">
        <v>19</v>
      </c>
      <c r="S20" s="227"/>
      <c r="T20" s="229" t="str">
        <f t="shared" si="1"/>
        <v>56700:Var_ui_ErrNo:=19;</v>
      </c>
    </row>
    <row r="21" ht="16.5" spans="1:20">
      <c r="A21" s="222">
        <v>20</v>
      </c>
      <c r="B21" s="35">
        <v>2</v>
      </c>
      <c r="C21" s="35">
        <v>156</v>
      </c>
      <c r="F21" s="224"/>
      <c r="G21" s="224"/>
      <c r="H21" s="223" t="s">
        <v>1447</v>
      </c>
      <c r="I21" s="223" t="s">
        <v>1496</v>
      </c>
      <c r="J21" s="223" t="s">
        <v>1497</v>
      </c>
      <c r="K21" s="223" t="s">
        <v>1498</v>
      </c>
      <c r="L21" s="228">
        <v>668</v>
      </c>
      <c r="M21" s="228">
        <v>0</v>
      </c>
      <c r="N21" s="223" t="s">
        <v>1451</v>
      </c>
      <c r="O21" s="229" t="str">
        <f t="shared" si="0"/>
        <v>EBS1_668_0</v>
      </c>
      <c r="P21" s="229" t="s">
        <v>1499</v>
      </c>
      <c r="Q21" s="227"/>
      <c r="R21" s="227">
        <v>20</v>
      </c>
      <c r="S21" s="227"/>
      <c r="T21" s="229" t="str">
        <f t="shared" si="1"/>
        <v>66800:Var_ui_ErrNo:=20;</v>
      </c>
    </row>
    <row r="22" ht="16.5" spans="1:20">
      <c r="A22" s="222">
        <v>21</v>
      </c>
      <c r="B22" s="35">
        <v>2</v>
      </c>
      <c r="C22" s="35">
        <v>159</v>
      </c>
      <c r="F22" s="224"/>
      <c r="G22" s="224"/>
      <c r="H22" s="223" t="s">
        <v>1416</v>
      </c>
      <c r="I22" s="223" t="s">
        <v>1453</v>
      </c>
      <c r="J22" s="223" t="s">
        <v>1500</v>
      </c>
      <c r="K22" s="223" t="s">
        <v>1501</v>
      </c>
      <c r="L22" s="228">
        <v>671</v>
      </c>
      <c r="M22" s="228">
        <v>0</v>
      </c>
      <c r="N22" s="223" t="s">
        <v>1420</v>
      </c>
      <c r="O22" s="229" t="str">
        <f t="shared" si="0"/>
        <v>EBS1_671_0</v>
      </c>
      <c r="P22" s="229" t="s">
        <v>1502</v>
      </c>
      <c r="Q22" s="227"/>
      <c r="R22" s="227">
        <v>21</v>
      </c>
      <c r="S22" s="227"/>
      <c r="T22" s="229" t="str">
        <f t="shared" si="1"/>
        <v>67100:Var_ui_ErrNo:=21;</v>
      </c>
    </row>
    <row r="23" ht="16.5" spans="1:20">
      <c r="A23" s="222">
        <v>22</v>
      </c>
      <c r="B23" s="35">
        <v>2</v>
      </c>
      <c r="C23" s="35">
        <v>162</v>
      </c>
      <c r="F23" s="224"/>
      <c r="G23" s="224"/>
      <c r="H23" s="223" t="s">
        <v>1503</v>
      </c>
      <c r="I23" s="223" t="s">
        <v>1453</v>
      </c>
      <c r="J23" s="223" t="s">
        <v>1504</v>
      </c>
      <c r="K23" s="223" t="s">
        <v>1505</v>
      </c>
      <c r="L23" s="228">
        <v>674</v>
      </c>
      <c r="M23" s="228">
        <v>0</v>
      </c>
      <c r="N23" s="223" t="s">
        <v>1506</v>
      </c>
      <c r="O23" s="229" t="str">
        <f t="shared" si="0"/>
        <v>EBS1_674_0</v>
      </c>
      <c r="P23" s="229" t="s">
        <v>1507</v>
      </c>
      <c r="Q23" s="227"/>
      <c r="R23" s="227">
        <v>22</v>
      </c>
      <c r="S23" s="227"/>
      <c r="T23" s="229" t="str">
        <f t="shared" si="1"/>
        <v>67400:Var_ui_ErrNo:=22;</v>
      </c>
    </row>
    <row r="24" ht="16.5" spans="1:20">
      <c r="A24" s="222">
        <v>23</v>
      </c>
      <c r="B24" s="35">
        <v>2</v>
      </c>
      <c r="C24" s="35">
        <v>163</v>
      </c>
      <c r="F24" s="224"/>
      <c r="G24" s="224"/>
      <c r="H24" s="223" t="s">
        <v>1416</v>
      </c>
      <c r="I24" s="223" t="s">
        <v>1508</v>
      </c>
      <c r="J24" s="223" t="s">
        <v>1509</v>
      </c>
      <c r="K24" s="223" t="s">
        <v>1510</v>
      </c>
      <c r="L24" s="228">
        <v>675</v>
      </c>
      <c r="M24" s="228">
        <v>0</v>
      </c>
      <c r="N24" s="223" t="s">
        <v>1420</v>
      </c>
      <c r="O24" s="229" t="str">
        <f t="shared" si="0"/>
        <v>EBS1_675_0</v>
      </c>
      <c r="P24" s="229" t="s">
        <v>1511</v>
      </c>
      <c r="Q24" s="227"/>
      <c r="R24" s="227">
        <v>23</v>
      </c>
      <c r="S24" s="227"/>
      <c r="T24" s="229" t="str">
        <f t="shared" si="1"/>
        <v>67500:Var_ui_ErrNo:=23;</v>
      </c>
    </row>
    <row r="25" ht="16.5" spans="1:20">
      <c r="A25" s="222">
        <v>24</v>
      </c>
      <c r="B25" s="35">
        <v>2</v>
      </c>
      <c r="C25" s="35">
        <v>180</v>
      </c>
      <c r="F25" s="224"/>
      <c r="G25" s="224"/>
      <c r="H25" s="223" t="s">
        <v>1416</v>
      </c>
      <c r="I25" s="223" t="s">
        <v>1453</v>
      </c>
      <c r="J25" s="223" t="s">
        <v>1512</v>
      </c>
      <c r="K25" s="223" t="s">
        <v>1513</v>
      </c>
      <c r="L25" s="228">
        <v>692</v>
      </c>
      <c r="M25" s="228">
        <v>0</v>
      </c>
      <c r="N25" s="223" t="s">
        <v>1420</v>
      </c>
      <c r="O25" s="229" t="str">
        <f t="shared" si="0"/>
        <v>EBS1_692_0</v>
      </c>
      <c r="P25" s="229" t="s">
        <v>1514</v>
      </c>
      <c r="Q25" s="227"/>
      <c r="R25" s="227">
        <v>24</v>
      </c>
      <c r="S25" s="227"/>
      <c r="T25" s="229" t="str">
        <f t="shared" si="1"/>
        <v>69200:Var_ui_ErrNo:=24;</v>
      </c>
    </row>
    <row r="26" ht="16.5" spans="1:20">
      <c r="A26" s="222">
        <v>25</v>
      </c>
      <c r="B26" s="35">
        <v>2</v>
      </c>
      <c r="C26" s="35">
        <v>181</v>
      </c>
      <c r="F26" s="224"/>
      <c r="G26" s="224"/>
      <c r="H26" s="223" t="s">
        <v>1416</v>
      </c>
      <c r="I26" s="223" t="s">
        <v>1453</v>
      </c>
      <c r="J26" s="223" t="s">
        <v>1515</v>
      </c>
      <c r="K26" s="223" t="s">
        <v>1516</v>
      </c>
      <c r="L26" s="228">
        <v>693</v>
      </c>
      <c r="M26" s="228">
        <v>0</v>
      </c>
      <c r="N26" s="223" t="s">
        <v>1420</v>
      </c>
      <c r="O26" s="229" t="str">
        <f t="shared" si="0"/>
        <v>EBS1_693_0</v>
      </c>
      <c r="P26" s="229" t="s">
        <v>1517</v>
      </c>
      <c r="Q26" s="227"/>
      <c r="R26" s="227">
        <v>25</v>
      </c>
      <c r="S26" s="227"/>
      <c r="T26" s="229" t="str">
        <f t="shared" si="1"/>
        <v>69300:Var_ui_ErrNo:=25;</v>
      </c>
    </row>
    <row r="27" ht="16.5" spans="1:20">
      <c r="A27" s="222">
        <v>26</v>
      </c>
      <c r="B27" s="35">
        <v>2</v>
      </c>
      <c r="C27" s="35">
        <v>182</v>
      </c>
      <c r="F27" s="224"/>
      <c r="G27" s="224"/>
      <c r="H27" s="223" t="s">
        <v>1416</v>
      </c>
      <c r="I27" s="223" t="s">
        <v>1453</v>
      </c>
      <c r="J27" s="223" t="s">
        <v>1518</v>
      </c>
      <c r="K27" s="223" t="s">
        <v>1519</v>
      </c>
      <c r="L27" s="228">
        <v>694</v>
      </c>
      <c r="M27" s="228">
        <v>0</v>
      </c>
      <c r="N27" s="223" t="s">
        <v>1420</v>
      </c>
      <c r="O27" s="229" t="str">
        <f t="shared" si="0"/>
        <v>EBS1_694_0</v>
      </c>
      <c r="P27" s="229" t="s">
        <v>1520</v>
      </c>
      <c r="Q27" s="227"/>
      <c r="R27" s="227">
        <v>26</v>
      </c>
      <c r="S27" s="227"/>
      <c r="T27" s="229" t="str">
        <f t="shared" si="1"/>
        <v>69400:Var_ui_ErrNo:=26;</v>
      </c>
    </row>
    <row r="28" ht="16.5" spans="1:20">
      <c r="A28" s="222">
        <v>27</v>
      </c>
      <c r="B28" s="35">
        <v>2</v>
      </c>
      <c r="C28" s="35">
        <v>183</v>
      </c>
      <c r="F28" s="224"/>
      <c r="G28" s="224"/>
      <c r="H28" s="223" t="s">
        <v>1416</v>
      </c>
      <c r="I28" s="223" t="s">
        <v>1453</v>
      </c>
      <c r="J28" s="223" t="s">
        <v>1521</v>
      </c>
      <c r="K28" s="223" t="s">
        <v>1522</v>
      </c>
      <c r="L28" s="228">
        <v>695</v>
      </c>
      <c r="M28" s="228">
        <v>0</v>
      </c>
      <c r="N28" s="223" t="s">
        <v>1420</v>
      </c>
      <c r="O28" s="229" t="str">
        <f t="shared" si="0"/>
        <v>EBS1_695_0</v>
      </c>
      <c r="P28" s="229" t="s">
        <v>1523</v>
      </c>
      <c r="Q28" s="227"/>
      <c r="R28" s="227">
        <v>27</v>
      </c>
      <c r="S28" s="227"/>
      <c r="T28" s="229" t="str">
        <f t="shared" si="1"/>
        <v>69500:Var_ui_ErrNo:=27;</v>
      </c>
    </row>
    <row r="29" ht="16.5" spans="1:20">
      <c r="A29" s="222">
        <v>28</v>
      </c>
      <c r="B29" s="35">
        <v>2</v>
      </c>
      <c r="C29" s="35">
        <v>185</v>
      </c>
      <c r="F29" s="224"/>
      <c r="G29" s="224"/>
      <c r="H29" s="223" t="s">
        <v>1416</v>
      </c>
      <c r="I29" s="223" t="s">
        <v>1453</v>
      </c>
      <c r="J29" s="223" t="s">
        <v>1524</v>
      </c>
      <c r="K29" s="223" t="s">
        <v>1525</v>
      </c>
      <c r="L29" s="228">
        <v>697</v>
      </c>
      <c r="M29" s="228">
        <v>0</v>
      </c>
      <c r="N29" s="223" t="s">
        <v>1420</v>
      </c>
      <c r="O29" s="229" t="str">
        <f t="shared" si="0"/>
        <v>EBS1_697_0</v>
      </c>
      <c r="P29" s="229" t="s">
        <v>1526</v>
      </c>
      <c r="Q29" s="227"/>
      <c r="R29" s="227">
        <v>28</v>
      </c>
      <c r="S29" s="227"/>
      <c r="T29" s="229" t="str">
        <f t="shared" si="1"/>
        <v>69700:Var_ui_ErrNo:=28;</v>
      </c>
    </row>
    <row r="30" ht="16.5" spans="1:20">
      <c r="A30" s="222">
        <v>29</v>
      </c>
      <c r="B30" s="35">
        <v>2</v>
      </c>
      <c r="C30" s="35">
        <v>186</v>
      </c>
      <c r="F30" s="224"/>
      <c r="G30" s="224"/>
      <c r="H30" s="223" t="s">
        <v>1416</v>
      </c>
      <c r="I30" s="223" t="s">
        <v>1453</v>
      </c>
      <c r="J30" s="223" t="s">
        <v>1527</v>
      </c>
      <c r="K30" s="223" t="s">
        <v>1528</v>
      </c>
      <c r="L30" s="228">
        <v>698</v>
      </c>
      <c r="M30" s="228">
        <v>0</v>
      </c>
      <c r="N30" s="223" t="s">
        <v>1420</v>
      </c>
      <c r="O30" s="229" t="str">
        <f t="shared" si="0"/>
        <v>EBS1_698_0</v>
      </c>
      <c r="P30" s="229" t="s">
        <v>1529</v>
      </c>
      <c r="Q30" s="227"/>
      <c r="R30" s="227">
        <v>29</v>
      </c>
      <c r="S30" s="227"/>
      <c r="T30" s="229" t="str">
        <f t="shared" si="1"/>
        <v>69800:Var_ui_ErrNo:=29;</v>
      </c>
    </row>
    <row r="31" ht="16.5" spans="1:20">
      <c r="A31" s="222">
        <v>30</v>
      </c>
      <c r="B31" s="35">
        <v>2</v>
      </c>
      <c r="C31" s="35">
        <v>187</v>
      </c>
      <c r="F31" s="224"/>
      <c r="G31" s="224"/>
      <c r="H31" s="223" t="s">
        <v>1416</v>
      </c>
      <c r="I31" s="223" t="s">
        <v>1453</v>
      </c>
      <c r="J31" s="223" t="s">
        <v>1530</v>
      </c>
      <c r="K31" s="223" t="s">
        <v>1531</v>
      </c>
      <c r="L31" s="228">
        <v>699</v>
      </c>
      <c r="M31" s="228">
        <v>0</v>
      </c>
      <c r="N31" s="223" t="s">
        <v>1420</v>
      </c>
      <c r="O31" s="229" t="str">
        <f t="shared" si="0"/>
        <v>EBS1_699_0</v>
      </c>
      <c r="P31" s="229" t="s">
        <v>1532</v>
      </c>
      <c r="Q31" s="227"/>
      <c r="R31" s="227">
        <v>30</v>
      </c>
      <c r="S31" s="227"/>
      <c r="T31" s="229" t="str">
        <f t="shared" si="1"/>
        <v>69900:Var_ui_ErrNo:=30;</v>
      </c>
    </row>
    <row r="32" ht="16.5" spans="1:20">
      <c r="A32" s="222">
        <v>31</v>
      </c>
      <c r="B32" s="35">
        <v>2</v>
      </c>
      <c r="C32" s="35">
        <v>188</v>
      </c>
      <c r="F32" s="224"/>
      <c r="G32" s="224"/>
      <c r="H32" s="223" t="s">
        <v>1416</v>
      </c>
      <c r="I32" s="223" t="s">
        <v>1453</v>
      </c>
      <c r="J32" s="223" t="s">
        <v>1533</v>
      </c>
      <c r="K32" s="223" t="s">
        <v>1534</v>
      </c>
      <c r="L32" s="228">
        <v>700</v>
      </c>
      <c r="M32" s="228">
        <v>0</v>
      </c>
      <c r="N32" s="223" t="s">
        <v>1420</v>
      </c>
      <c r="O32" s="229" t="str">
        <f t="shared" si="0"/>
        <v>EBS1_700_0</v>
      </c>
      <c r="P32" s="229" t="s">
        <v>1535</v>
      </c>
      <c r="Q32" s="227"/>
      <c r="R32" s="227">
        <v>31</v>
      </c>
      <c r="S32" s="227"/>
      <c r="T32" s="229" t="str">
        <f t="shared" si="1"/>
        <v>70000:Var_ui_ErrNo:=31;</v>
      </c>
    </row>
    <row r="33" ht="16.5" spans="1:20">
      <c r="A33" s="222">
        <v>32</v>
      </c>
      <c r="B33" s="35">
        <v>3</v>
      </c>
      <c r="C33" s="35">
        <v>6</v>
      </c>
      <c r="F33" s="224"/>
      <c r="G33" s="224"/>
      <c r="H33" s="223" t="s">
        <v>1416</v>
      </c>
      <c r="I33" s="223" t="s">
        <v>1536</v>
      </c>
      <c r="J33" s="223" t="s">
        <v>1537</v>
      </c>
      <c r="K33" s="223" t="s">
        <v>1538</v>
      </c>
      <c r="L33" s="228">
        <v>774</v>
      </c>
      <c r="M33" s="228">
        <v>0</v>
      </c>
      <c r="N33" s="223" t="s">
        <v>1420</v>
      </c>
      <c r="O33" s="229" t="str">
        <f t="shared" si="0"/>
        <v>EBS1_774_0</v>
      </c>
      <c r="P33" s="229" t="s">
        <v>1539</v>
      </c>
      <c r="Q33" s="227"/>
      <c r="R33" s="227">
        <v>32</v>
      </c>
      <c r="S33" s="227"/>
      <c r="T33" s="229" t="str">
        <f t="shared" si="1"/>
        <v>77400:Var_ui_ErrNo:=32;</v>
      </c>
    </row>
    <row r="34" ht="16.5" spans="1:20">
      <c r="A34" s="222">
        <v>33</v>
      </c>
      <c r="B34" s="35">
        <v>3</v>
      </c>
      <c r="C34" s="35">
        <v>159</v>
      </c>
      <c r="F34" s="224"/>
      <c r="G34" s="224"/>
      <c r="H34" s="223" t="s">
        <v>1416</v>
      </c>
      <c r="I34" s="223" t="s">
        <v>1453</v>
      </c>
      <c r="J34" s="223" t="s">
        <v>1540</v>
      </c>
      <c r="K34" s="223" t="s">
        <v>1541</v>
      </c>
      <c r="L34" s="228">
        <v>927</v>
      </c>
      <c r="M34" s="228">
        <v>0</v>
      </c>
      <c r="N34" s="223" t="s">
        <v>1420</v>
      </c>
      <c r="O34" s="229" t="str">
        <f t="shared" si="0"/>
        <v>EBS1_927_0</v>
      </c>
      <c r="P34" s="229" t="s">
        <v>1542</v>
      </c>
      <c r="Q34" s="227"/>
      <c r="R34" s="227">
        <v>33</v>
      </c>
      <c r="S34" s="227"/>
      <c r="T34" s="229" t="str">
        <f t="shared" si="1"/>
        <v>92700:Var_ui_ErrNo:=33;</v>
      </c>
    </row>
    <row r="35" ht="16.5" spans="1:20">
      <c r="A35" s="222">
        <v>34</v>
      </c>
      <c r="B35" s="35">
        <v>3</v>
      </c>
      <c r="C35" s="35">
        <v>160</v>
      </c>
      <c r="F35" s="224"/>
      <c r="G35" s="224"/>
      <c r="H35" s="223" t="s">
        <v>1543</v>
      </c>
      <c r="I35" s="223" t="s">
        <v>1544</v>
      </c>
      <c r="J35" s="223" t="s">
        <v>1545</v>
      </c>
      <c r="K35" s="223" t="s">
        <v>1546</v>
      </c>
      <c r="L35" s="228">
        <v>928</v>
      </c>
      <c r="M35" s="228">
        <v>0</v>
      </c>
      <c r="N35" s="223" t="s">
        <v>1547</v>
      </c>
      <c r="O35" s="229" t="str">
        <f t="shared" si="0"/>
        <v>EBS1_928_0</v>
      </c>
      <c r="P35" s="229" t="s">
        <v>1548</v>
      </c>
      <c r="Q35" s="227"/>
      <c r="R35" s="227">
        <v>34</v>
      </c>
      <c r="S35" s="227"/>
      <c r="T35" s="229" t="str">
        <f t="shared" si="1"/>
        <v>92800:Var_ui_ErrNo:=34;</v>
      </c>
    </row>
    <row r="36" ht="16.5" spans="1:20">
      <c r="A36" s="222">
        <v>35</v>
      </c>
      <c r="B36" s="35">
        <v>3</v>
      </c>
      <c r="C36" s="35">
        <v>161</v>
      </c>
      <c r="F36" s="224"/>
      <c r="G36" s="224"/>
      <c r="H36" s="223" t="s">
        <v>1416</v>
      </c>
      <c r="I36" s="223" t="s">
        <v>1482</v>
      </c>
      <c r="J36" s="223" t="s">
        <v>1549</v>
      </c>
      <c r="K36" s="223" t="s">
        <v>1550</v>
      </c>
      <c r="L36" s="228">
        <v>929</v>
      </c>
      <c r="M36" s="228">
        <v>0</v>
      </c>
      <c r="N36" s="223" t="s">
        <v>1420</v>
      </c>
      <c r="O36" s="229" t="str">
        <f t="shared" si="0"/>
        <v>EBS1_929_0</v>
      </c>
      <c r="P36" s="229" t="s">
        <v>1551</v>
      </c>
      <c r="Q36" s="227"/>
      <c r="R36" s="227">
        <v>35</v>
      </c>
      <c r="S36" s="227"/>
      <c r="T36" s="229" t="str">
        <f t="shared" si="1"/>
        <v>92900:Var_ui_ErrNo:=35;</v>
      </c>
    </row>
    <row r="37" ht="16.5" spans="1:20">
      <c r="A37" s="222">
        <v>36</v>
      </c>
      <c r="B37" s="35">
        <v>3</v>
      </c>
      <c r="C37" s="35">
        <v>162</v>
      </c>
      <c r="F37" s="224"/>
      <c r="G37" s="224"/>
      <c r="H37" s="223" t="s">
        <v>1503</v>
      </c>
      <c r="I37" s="223" t="s">
        <v>1482</v>
      </c>
      <c r="J37" s="223" t="s">
        <v>1552</v>
      </c>
      <c r="K37" s="223" t="s">
        <v>1553</v>
      </c>
      <c r="L37" s="228">
        <v>930</v>
      </c>
      <c r="M37" s="228">
        <v>0</v>
      </c>
      <c r="N37" s="223" t="s">
        <v>1506</v>
      </c>
      <c r="O37" s="229" t="str">
        <f t="shared" si="0"/>
        <v>EBS1_930_0</v>
      </c>
      <c r="P37" s="229" t="s">
        <v>1554</v>
      </c>
      <c r="Q37" s="227"/>
      <c r="R37" s="227">
        <v>36</v>
      </c>
      <c r="S37" s="227"/>
      <c r="T37" s="229" t="str">
        <f t="shared" si="1"/>
        <v>93000:Var_ui_ErrNo:=36;</v>
      </c>
    </row>
    <row r="38" ht="16.5" spans="1:20">
      <c r="A38" s="222">
        <v>37</v>
      </c>
      <c r="B38" s="35">
        <v>3</v>
      </c>
      <c r="C38" s="35">
        <v>165</v>
      </c>
      <c r="F38" s="224"/>
      <c r="G38" s="224"/>
      <c r="H38" s="223" t="s">
        <v>1416</v>
      </c>
      <c r="I38" s="223" t="s">
        <v>1536</v>
      </c>
      <c r="J38" s="223" t="s">
        <v>1555</v>
      </c>
      <c r="K38" s="223" t="s">
        <v>1556</v>
      </c>
      <c r="L38" s="228">
        <v>933</v>
      </c>
      <c r="M38" s="228">
        <v>0</v>
      </c>
      <c r="N38" s="223" t="s">
        <v>1420</v>
      </c>
      <c r="O38" s="229" t="str">
        <f t="shared" si="0"/>
        <v>EBS1_933_0</v>
      </c>
      <c r="P38" s="229" t="s">
        <v>1557</v>
      </c>
      <c r="Q38" s="227"/>
      <c r="R38" s="227">
        <v>37</v>
      </c>
      <c r="S38" s="227"/>
      <c r="T38" s="229" t="str">
        <f t="shared" si="1"/>
        <v>93300:Var_ui_ErrNo:=37;</v>
      </c>
    </row>
    <row r="39" ht="16.5" spans="1:20">
      <c r="A39" s="222">
        <v>38</v>
      </c>
      <c r="B39" s="35">
        <v>3</v>
      </c>
      <c r="C39" s="35">
        <v>189</v>
      </c>
      <c r="F39" s="224"/>
      <c r="G39" s="224"/>
      <c r="H39" s="223" t="s">
        <v>1416</v>
      </c>
      <c r="I39" s="223" t="s">
        <v>1544</v>
      </c>
      <c r="J39" s="223" t="s">
        <v>1558</v>
      </c>
      <c r="K39" s="223" t="s">
        <v>1559</v>
      </c>
      <c r="L39" s="228">
        <v>957</v>
      </c>
      <c r="M39" s="228">
        <v>0</v>
      </c>
      <c r="N39" s="223" t="s">
        <v>1420</v>
      </c>
      <c r="O39" s="229" t="str">
        <f t="shared" si="0"/>
        <v>EBS1_957_0</v>
      </c>
      <c r="P39" s="229" t="s">
        <v>1560</v>
      </c>
      <c r="Q39" s="227"/>
      <c r="R39" s="227">
        <v>38</v>
      </c>
      <c r="S39" s="227"/>
      <c r="T39" s="229" t="str">
        <f t="shared" si="1"/>
        <v>95700:Var_ui_ErrNo:=38;</v>
      </c>
    </row>
    <row r="40" ht="16.5" spans="1:20">
      <c r="A40" s="222">
        <v>39</v>
      </c>
      <c r="B40" s="35">
        <v>3</v>
      </c>
      <c r="C40" s="35">
        <v>190</v>
      </c>
      <c r="F40" s="224"/>
      <c r="G40" s="224"/>
      <c r="H40" s="223" t="s">
        <v>1416</v>
      </c>
      <c r="I40" s="223" t="s">
        <v>1544</v>
      </c>
      <c r="J40" s="223" t="s">
        <v>1561</v>
      </c>
      <c r="K40" s="223" t="s">
        <v>1562</v>
      </c>
      <c r="L40" s="228">
        <v>958</v>
      </c>
      <c r="M40" s="228">
        <v>0</v>
      </c>
      <c r="N40" s="223" t="s">
        <v>1420</v>
      </c>
      <c r="O40" s="229" t="str">
        <f t="shared" si="0"/>
        <v>EBS1_958_0</v>
      </c>
      <c r="P40" s="229" t="s">
        <v>1563</v>
      </c>
      <c r="Q40" s="227"/>
      <c r="R40" s="227">
        <v>39</v>
      </c>
      <c r="S40" s="227"/>
      <c r="T40" s="229" t="str">
        <f t="shared" si="1"/>
        <v>95800:Var_ui_ErrNo:=39;</v>
      </c>
    </row>
    <row r="41" ht="16.5" spans="1:20">
      <c r="A41" s="222">
        <v>40</v>
      </c>
      <c r="B41" s="35">
        <v>3</v>
      </c>
      <c r="C41" s="35">
        <v>191</v>
      </c>
      <c r="F41" s="224"/>
      <c r="G41" s="224"/>
      <c r="H41" s="223" t="s">
        <v>1416</v>
      </c>
      <c r="I41" s="223" t="s">
        <v>1544</v>
      </c>
      <c r="J41" s="223" t="s">
        <v>1564</v>
      </c>
      <c r="K41" s="223" t="s">
        <v>1565</v>
      </c>
      <c r="L41" s="228">
        <v>959</v>
      </c>
      <c r="M41" s="228">
        <v>0</v>
      </c>
      <c r="N41" s="223" t="s">
        <v>1420</v>
      </c>
      <c r="O41" s="229" t="str">
        <f t="shared" si="0"/>
        <v>EBS1_959_0</v>
      </c>
      <c r="P41" s="229" t="s">
        <v>1566</v>
      </c>
      <c r="Q41" s="227"/>
      <c r="R41" s="227">
        <v>40</v>
      </c>
      <c r="S41" s="227"/>
      <c r="T41" s="229" t="str">
        <f t="shared" si="1"/>
        <v>95900:Var_ui_ErrNo:=40;</v>
      </c>
    </row>
    <row r="42" ht="16.5" spans="1:20">
      <c r="A42" s="222">
        <v>41</v>
      </c>
      <c r="B42" s="35">
        <v>3</v>
      </c>
      <c r="C42" s="35">
        <v>192</v>
      </c>
      <c r="F42" s="224"/>
      <c r="G42" s="224"/>
      <c r="H42" s="223" t="s">
        <v>1416</v>
      </c>
      <c r="I42" s="223" t="s">
        <v>1453</v>
      </c>
      <c r="J42" s="223" t="s">
        <v>1567</v>
      </c>
      <c r="K42" s="223" t="s">
        <v>1568</v>
      </c>
      <c r="L42" s="228">
        <v>960</v>
      </c>
      <c r="M42" s="228">
        <v>0</v>
      </c>
      <c r="N42" s="223" t="s">
        <v>1420</v>
      </c>
      <c r="O42" s="229" t="str">
        <f t="shared" si="0"/>
        <v>EBS1_960_0</v>
      </c>
      <c r="P42" s="229" t="s">
        <v>1569</v>
      </c>
      <c r="Q42" s="227"/>
      <c r="R42" s="227">
        <v>41</v>
      </c>
      <c r="S42" s="227"/>
      <c r="T42" s="229" t="str">
        <f t="shared" si="1"/>
        <v>96000:Var_ui_ErrNo:=41;</v>
      </c>
    </row>
    <row r="43" ht="16.5" spans="1:20">
      <c r="A43" s="222">
        <v>42</v>
      </c>
      <c r="B43" s="35">
        <v>3</v>
      </c>
      <c r="C43" s="35">
        <v>193</v>
      </c>
      <c r="F43" s="224"/>
      <c r="G43" s="224"/>
      <c r="H43" s="223" t="s">
        <v>1416</v>
      </c>
      <c r="I43" s="223" t="s">
        <v>1453</v>
      </c>
      <c r="J43" s="223" t="s">
        <v>1570</v>
      </c>
      <c r="K43" s="223" t="s">
        <v>1571</v>
      </c>
      <c r="L43" s="228">
        <v>961</v>
      </c>
      <c r="M43" s="228">
        <v>0</v>
      </c>
      <c r="N43" s="223" t="s">
        <v>1420</v>
      </c>
      <c r="O43" s="229" t="str">
        <f t="shared" si="0"/>
        <v>EBS1_961_0</v>
      </c>
      <c r="P43" s="229" t="s">
        <v>1572</v>
      </c>
      <c r="Q43" s="227"/>
      <c r="R43" s="227">
        <v>42</v>
      </c>
      <c r="S43" s="227"/>
      <c r="T43" s="229" t="str">
        <f t="shared" si="1"/>
        <v>96100:Var_ui_ErrNo:=42;</v>
      </c>
    </row>
    <row r="44" ht="16.5" spans="1:20">
      <c r="A44" s="222">
        <v>43</v>
      </c>
      <c r="B44" s="35">
        <v>3</v>
      </c>
      <c r="C44" s="35">
        <v>194</v>
      </c>
      <c r="F44" s="224"/>
      <c r="G44" s="224"/>
      <c r="H44" s="223" t="s">
        <v>1416</v>
      </c>
      <c r="I44" s="223" t="s">
        <v>1453</v>
      </c>
      <c r="J44" s="223" t="s">
        <v>1573</v>
      </c>
      <c r="K44" s="223" t="s">
        <v>1574</v>
      </c>
      <c r="L44" s="228">
        <v>962</v>
      </c>
      <c r="M44" s="228">
        <v>0</v>
      </c>
      <c r="N44" s="223" t="s">
        <v>1420</v>
      </c>
      <c r="O44" s="229" t="str">
        <f t="shared" si="0"/>
        <v>EBS1_962_0</v>
      </c>
      <c r="P44" s="229" t="s">
        <v>1575</v>
      </c>
      <c r="Q44" s="227"/>
      <c r="R44" s="227">
        <v>43</v>
      </c>
      <c r="S44" s="227"/>
      <c r="T44" s="229" t="str">
        <f t="shared" si="1"/>
        <v>96200:Var_ui_ErrNo:=43;</v>
      </c>
    </row>
    <row r="45" ht="16.5" spans="1:20">
      <c r="A45" s="222">
        <v>44</v>
      </c>
      <c r="B45" s="35">
        <v>4</v>
      </c>
      <c r="C45" s="35">
        <v>14</v>
      </c>
      <c r="F45" s="224"/>
      <c r="G45" s="224"/>
      <c r="H45" s="223" t="s">
        <v>1416</v>
      </c>
      <c r="I45" s="223" t="s">
        <v>1576</v>
      </c>
      <c r="J45" s="223" t="s">
        <v>1577</v>
      </c>
      <c r="K45" s="223" t="s">
        <v>1578</v>
      </c>
      <c r="L45" s="228">
        <v>1038</v>
      </c>
      <c r="M45" s="228">
        <v>0</v>
      </c>
      <c r="N45" s="223" t="s">
        <v>1420</v>
      </c>
      <c r="O45" s="229" t="str">
        <f t="shared" si="0"/>
        <v>EBS1_1038_0</v>
      </c>
      <c r="P45" s="229" t="s">
        <v>1579</v>
      </c>
      <c r="Q45" s="227"/>
      <c r="R45" s="227">
        <v>44</v>
      </c>
      <c r="S45" s="227"/>
      <c r="T45" s="229" t="str">
        <f t="shared" si="1"/>
        <v>103800:Var_ui_ErrNo:=44;</v>
      </c>
    </row>
    <row r="46" ht="16.5" spans="1:20">
      <c r="A46" s="222">
        <v>45</v>
      </c>
      <c r="B46" s="35">
        <v>4</v>
      </c>
      <c r="C46" s="35">
        <v>17</v>
      </c>
      <c r="F46" s="224"/>
      <c r="G46" s="224"/>
      <c r="H46" s="223" t="s">
        <v>1416</v>
      </c>
      <c r="I46" s="223" t="s">
        <v>1576</v>
      </c>
      <c r="J46" s="223" t="s">
        <v>1580</v>
      </c>
      <c r="K46" s="223" t="s">
        <v>1581</v>
      </c>
      <c r="L46" s="228">
        <v>1041</v>
      </c>
      <c r="M46" s="228">
        <v>0</v>
      </c>
      <c r="N46" s="223" t="s">
        <v>1420</v>
      </c>
      <c r="O46" s="229" t="str">
        <f t="shared" si="0"/>
        <v>EBS1_1041_0</v>
      </c>
      <c r="P46" s="229" t="s">
        <v>1582</v>
      </c>
      <c r="Q46" s="227"/>
      <c r="R46" s="227">
        <v>45</v>
      </c>
      <c r="S46" s="227"/>
      <c r="T46" s="229" t="str">
        <f t="shared" si="1"/>
        <v>104100:Var_ui_ErrNo:=45;</v>
      </c>
    </row>
    <row r="47" ht="16.5" spans="1:20">
      <c r="A47" s="222">
        <v>46</v>
      </c>
      <c r="B47" s="35">
        <v>4</v>
      </c>
      <c r="C47" s="35">
        <v>18</v>
      </c>
      <c r="F47" s="224"/>
      <c r="G47" s="224"/>
      <c r="H47" s="223" t="s">
        <v>1416</v>
      </c>
      <c r="I47" s="223" t="s">
        <v>1576</v>
      </c>
      <c r="J47" s="223" t="s">
        <v>1583</v>
      </c>
      <c r="K47" s="223" t="s">
        <v>1584</v>
      </c>
      <c r="L47" s="228">
        <v>1042</v>
      </c>
      <c r="M47" s="228">
        <v>0</v>
      </c>
      <c r="N47" s="223" t="s">
        <v>1420</v>
      </c>
      <c r="O47" s="229" t="str">
        <f t="shared" si="0"/>
        <v>EBS1_1042_0</v>
      </c>
      <c r="P47" s="229" t="s">
        <v>1585</v>
      </c>
      <c r="Q47" s="227"/>
      <c r="R47" s="227">
        <v>46</v>
      </c>
      <c r="S47" s="227"/>
      <c r="T47" s="229" t="str">
        <f t="shared" si="1"/>
        <v>104200:Var_ui_ErrNo:=46;</v>
      </c>
    </row>
    <row r="48" ht="16.5" spans="1:20">
      <c r="A48" s="222">
        <v>47</v>
      </c>
      <c r="B48" s="35">
        <v>5</v>
      </c>
      <c r="C48" s="35">
        <v>14</v>
      </c>
      <c r="F48" s="224"/>
      <c r="G48" s="224"/>
      <c r="H48" s="223" t="s">
        <v>1416</v>
      </c>
      <c r="I48" s="223" t="s">
        <v>1576</v>
      </c>
      <c r="J48" s="223" t="s">
        <v>1586</v>
      </c>
      <c r="K48" s="223" t="s">
        <v>1587</v>
      </c>
      <c r="L48" s="228">
        <v>1294</v>
      </c>
      <c r="M48" s="228">
        <v>0</v>
      </c>
      <c r="N48" s="223" t="s">
        <v>1420</v>
      </c>
      <c r="O48" s="229" t="str">
        <f t="shared" si="0"/>
        <v>EBS1_1294_0</v>
      </c>
      <c r="P48" s="229" t="s">
        <v>1588</v>
      </c>
      <c r="Q48" s="227"/>
      <c r="R48" s="227">
        <v>47</v>
      </c>
      <c r="S48" s="227"/>
      <c r="T48" s="229" t="str">
        <f t="shared" si="1"/>
        <v>129400:Var_ui_ErrNo:=47;</v>
      </c>
    </row>
    <row r="49" ht="16.5" spans="1:20">
      <c r="A49" s="222">
        <v>48</v>
      </c>
      <c r="B49" s="35">
        <v>5</v>
      </c>
      <c r="C49" s="35">
        <v>17</v>
      </c>
      <c r="F49" s="224"/>
      <c r="G49" s="224"/>
      <c r="H49" s="223" t="s">
        <v>1416</v>
      </c>
      <c r="I49" s="223" t="s">
        <v>1576</v>
      </c>
      <c r="J49" s="223" t="s">
        <v>1589</v>
      </c>
      <c r="K49" s="223" t="s">
        <v>1590</v>
      </c>
      <c r="L49" s="228">
        <v>1297</v>
      </c>
      <c r="M49" s="228">
        <v>0</v>
      </c>
      <c r="N49" s="223" t="s">
        <v>1420</v>
      </c>
      <c r="O49" s="229" t="str">
        <f t="shared" si="0"/>
        <v>EBS1_1297_0</v>
      </c>
      <c r="P49" s="229" t="s">
        <v>1591</v>
      </c>
      <c r="Q49" s="227"/>
      <c r="R49" s="227">
        <v>48</v>
      </c>
      <c r="S49" s="227"/>
      <c r="T49" s="229" t="str">
        <f t="shared" si="1"/>
        <v>129700:Var_ui_ErrNo:=48;</v>
      </c>
    </row>
    <row r="50" ht="16.5" spans="1:20">
      <c r="A50" s="222">
        <v>49</v>
      </c>
      <c r="B50" s="35">
        <v>5</v>
      </c>
      <c r="C50" s="35">
        <v>18</v>
      </c>
      <c r="F50" s="224"/>
      <c r="G50" s="224"/>
      <c r="H50" s="223" t="s">
        <v>1416</v>
      </c>
      <c r="I50" s="223" t="s">
        <v>1576</v>
      </c>
      <c r="J50" s="223" t="s">
        <v>1592</v>
      </c>
      <c r="K50" s="223" t="s">
        <v>1593</v>
      </c>
      <c r="L50" s="228">
        <v>1298</v>
      </c>
      <c r="M50" s="228">
        <v>0</v>
      </c>
      <c r="N50" s="223" t="s">
        <v>1420</v>
      </c>
      <c r="O50" s="229" t="str">
        <f t="shared" si="0"/>
        <v>EBS1_1298_0</v>
      </c>
      <c r="P50" s="229" t="s">
        <v>1594</v>
      </c>
      <c r="Q50" s="227"/>
      <c r="R50" s="227">
        <v>49</v>
      </c>
      <c r="S50" s="227"/>
      <c r="T50" s="229" t="str">
        <f t="shared" si="1"/>
        <v>129800:Var_ui_ErrNo:=49;</v>
      </c>
    </row>
    <row r="51" ht="16.5" spans="1:20">
      <c r="A51" s="222">
        <v>50</v>
      </c>
      <c r="B51" s="35">
        <v>6</v>
      </c>
      <c r="C51" s="35">
        <v>1</v>
      </c>
      <c r="F51" s="224"/>
      <c r="G51" s="224"/>
      <c r="H51" s="223" t="s">
        <v>1595</v>
      </c>
      <c r="I51" s="223" t="s">
        <v>1596</v>
      </c>
      <c r="J51" s="223" t="s">
        <v>1597</v>
      </c>
      <c r="K51" s="223" t="s">
        <v>1598</v>
      </c>
      <c r="L51" s="228">
        <v>1537</v>
      </c>
      <c r="M51" s="228">
        <v>0</v>
      </c>
      <c r="N51" s="223" t="s">
        <v>1599</v>
      </c>
      <c r="O51" s="229" t="str">
        <f t="shared" si="0"/>
        <v>EBS1_1537_0</v>
      </c>
      <c r="P51" s="229" t="s">
        <v>1600</v>
      </c>
      <c r="Q51" s="227"/>
      <c r="R51" s="227">
        <v>50</v>
      </c>
      <c r="S51" s="227"/>
      <c r="T51" s="229" t="str">
        <f t="shared" si="1"/>
        <v>153700:Var_ui_ErrNo:=50;</v>
      </c>
    </row>
    <row r="52" ht="16.5" spans="1:20">
      <c r="A52" s="222">
        <v>51</v>
      </c>
      <c r="B52" s="35">
        <v>6</v>
      </c>
      <c r="C52" s="35">
        <v>90</v>
      </c>
      <c r="F52" s="224"/>
      <c r="G52" s="224"/>
      <c r="H52" s="223" t="s">
        <v>1416</v>
      </c>
      <c r="I52" s="223" t="s">
        <v>1601</v>
      </c>
      <c r="J52" s="223" t="s">
        <v>1602</v>
      </c>
      <c r="K52" s="223" t="s">
        <v>1603</v>
      </c>
      <c r="L52" s="228">
        <v>1626</v>
      </c>
      <c r="M52" s="228">
        <v>0</v>
      </c>
      <c r="N52" s="223" t="s">
        <v>1420</v>
      </c>
      <c r="O52" s="229" t="str">
        <f t="shared" si="0"/>
        <v>EBS1_1626_0</v>
      </c>
      <c r="P52" s="229" t="s">
        <v>1604</v>
      </c>
      <c r="Q52" s="227"/>
      <c r="R52" s="227">
        <v>51</v>
      </c>
      <c r="S52" s="227"/>
      <c r="T52" s="229" t="str">
        <f t="shared" si="1"/>
        <v>162600:Var_ui_ErrNo:=51;</v>
      </c>
    </row>
    <row r="53" ht="16.5" spans="1:20">
      <c r="A53" s="222">
        <v>52</v>
      </c>
      <c r="B53" s="35">
        <v>6</v>
      </c>
      <c r="C53" s="35">
        <v>91</v>
      </c>
      <c r="F53" s="224"/>
      <c r="G53" s="224"/>
      <c r="H53" s="223" t="s">
        <v>1416</v>
      </c>
      <c r="I53" s="223" t="s">
        <v>1605</v>
      </c>
      <c r="J53" s="223" t="s">
        <v>1606</v>
      </c>
      <c r="K53" s="223" t="s">
        <v>1607</v>
      </c>
      <c r="L53" s="228">
        <v>1627</v>
      </c>
      <c r="M53" s="228">
        <v>0</v>
      </c>
      <c r="N53" s="223" t="s">
        <v>1420</v>
      </c>
      <c r="O53" s="229" t="str">
        <f t="shared" si="0"/>
        <v>EBS1_1627_0</v>
      </c>
      <c r="P53" s="229" t="s">
        <v>1608</v>
      </c>
      <c r="Q53" s="227"/>
      <c r="R53" s="227">
        <v>52</v>
      </c>
      <c r="S53" s="227"/>
      <c r="T53" s="229" t="str">
        <f t="shared" si="1"/>
        <v>162700:Var_ui_ErrNo:=52;</v>
      </c>
    </row>
    <row r="54" ht="16.5" spans="1:20">
      <c r="A54" s="222">
        <v>53</v>
      </c>
      <c r="B54" s="35">
        <v>6</v>
      </c>
      <c r="C54" s="35">
        <v>92</v>
      </c>
      <c r="F54" s="224"/>
      <c r="G54" s="224"/>
      <c r="H54" s="223" t="s">
        <v>1416</v>
      </c>
      <c r="I54" s="223" t="s">
        <v>1601</v>
      </c>
      <c r="J54" s="223" t="s">
        <v>1609</v>
      </c>
      <c r="K54" s="223" t="s">
        <v>1610</v>
      </c>
      <c r="L54" s="228">
        <v>1628</v>
      </c>
      <c r="M54" s="228">
        <v>0</v>
      </c>
      <c r="N54" s="223" t="s">
        <v>1420</v>
      </c>
      <c r="O54" s="229" t="str">
        <f t="shared" si="0"/>
        <v>EBS1_1628_0</v>
      </c>
      <c r="P54" s="229" t="s">
        <v>1611</v>
      </c>
      <c r="Q54" s="227"/>
      <c r="R54" s="227">
        <v>53</v>
      </c>
      <c r="S54" s="227"/>
      <c r="T54" s="229" t="str">
        <f t="shared" si="1"/>
        <v>162800:Var_ui_ErrNo:=53;</v>
      </c>
    </row>
    <row r="55" ht="16.5" spans="1:20">
      <c r="A55" s="222">
        <v>54</v>
      </c>
      <c r="B55" s="35">
        <v>6</v>
      </c>
      <c r="C55" s="35">
        <v>94</v>
      </c>
      <c r="F55" s="224"/>
      <c r="G55" s="224"/>
      <c r="H55" s="223" t="s">
        <v>1416</v>
      </c>
      <c r="I55" s="223" t="s">
        <v>1601</v>
      </c>
      <c r="J55" s="223" t="s">
        <v>1612</v>
      </c>
      <c r="K55" s="223" t="s">
        <v>1613</v>
      </c>
      <c r="L55" s="228">
        <v>1630</v>
      </c>
      <c r="M55" s="228">
        <v>0</v>
      </c>
      <c r="N55" s="223" t="s">
        <v>1420</v>
      </c>
      <c r="O55" s="229" t="str">
        <f t="shared" si="0"/>
        <v>EBS1_1630_0</v>
      </c>
      <c r="P55" s="229" t="s">
        <v>1614</v>
      </c>
      <c r="Q55" s="227"/>
      <c r="R55" s="227">
        <v>54</v>
      </c>
      <c r="S55" s="227"/>
      <c r="T55" s="229" t="str">
        <f t="shared" si="1"/>
        <v>163000:Var_ui_ErrNo:=54;</v>
      </c>
    </row>
    <row r="56" ht="16.5" spans="1:20">
      <c r="A56" s="222">
        <v>55</v>
      </c>
      <c r="B56" s="35">
        <v>6</v>
      </c>
      <c r="C56" s="35">
        <v>95</v>
      </c>
      <c r="F56" s="224"/>
      <c r="G56" s="224"/>
      <c r="H56" s="223" t="s">
        <v>1416</v>
      </c>
      <c r="I56" s="223" t="s">
        <v>1605</v>
      </c>
      <c r="J56" s="223" t="s">
        <v>1615</v>
      </c>
      <c r="K56" s="223" t="s">
        <v>1616</v>
      </c>
      <c r="L56" s="228">
        <v>1631</v>
      </c>
      <c r="M56" s="228">
        <v>0</v>
      </c>
      <c r="N56" s="223" t="s">
        <v>1420</v>
      </c>
      <c r="O56" s="229" t="str">
        <f t="shared" si="0"/>
        <v>EBS1_1631_0</v>
      </c>
      <c r="P56" s="229" t="s">
        <v>1617</v>
      </c>
      <c r="Q56" s="227"/>
      <c r="R56" s="227">
        <v>55</v>
      </c>
      <c r="S56" s="227"/>
      <c r="T56" s="229" t="str">
        <f t="shared" si="1"/>
        <v>163100:Var_ui_ErrNo:=55;</v>
      </c>
    </row>
    <row r="57" ht="16.5" spans="1:20">
      <c r="A57" s="222">
        <v>56</v>
      </c>
      <c r="B57" s="35">
        <v>6</v>
      </c>
      <c r="C57" s="35">
        <v>96</v>
      </c>
      <c r="F57" s="224"/>
      <c r="G57" s="224"/>
      <c r="H57" s="223" t="s">
        <v>1416</v>
      </c>
      <c r="I57" s="223" t="s">
        <v>1601</v>
      </c>
      <c r="J57" s="223" t="s">
        <v>1618</v>
      </c>
      <c r="K57" s="223" t="s">
        <v>1619</v>
      </c>
      <c r="L57" s="228">
        <v>1632</v>
      </c>
      <c r="M57" s="228">
        <v>0</v>
      </c>
      <c r="N57" s="223" t="s">
        <v>1420</v>
      </c>
      <c r="O57" s="229" t="str">
        <f t="shared" si="0"/>
        <v>EBS1_1632_0</v>
      </c>
      <c r="P57" s="229" t="s">
        <v>1620</v>
      </c>
      <c r="Q57" s="227"/>
      <c r="R57" s="227">
        <v>56</v>
      </c>
      <c r="S57" s="227"/>
      <c r="T57" s="229" t="str">
        <f t="shared" si="1"/>
        <v>163200:Var_ui_ErrNo:=56;</v>
      </c>
    </row>
    <row r="58" ht="16.5" spans="1:20">
      <c r="A58" s="222">
        <v>57</v>
      </c>
      <c r="B58" s="35">
        <v>6</v>
      </c>
      <c r="C58" s="35">
        <v>98</v>
      </c>
      <c r="F58" s="224"/>
      <c r="G58" s="224"/>
      <c r="H58" s="223" t="s">
        <v>1416</v>
      </c>
      <c r="I58" s="223" t="s">
        <v>1601</v>
      </c>
      <c r="J58" s="223" t="s">
        <v>1621</v>
      </c>
      <c r="K58" s="223" t="s">
        <v>1622</v>
      </c>
      <c r="L58" s="228">
        <v>1634</v>
      </c>
      <c r="M58" s="228">
        <v>0</v>
      </c>
      <c r="N58" s="223" t="s">
        <v>1420</v>
      </c>
      <c r="O58" s="229" t="str">
        <f t="shared" si="0"/>
        <v>EBS1_1634_0</v>
      </c>
      <c r="P58" s="229" t="s">
        <v>1623</v>
      </c>
      <c r="Q58" s="227"/>
      <c r="R58" s="227">
        <v>57</v>
      </c>
      <c r="S58" s="227"/>
      <c r="T58" s="229" t="str">
        <f t="shared" si="1"/>
        <v>163400:Var_ui_ErrNo:=57;</v>
      </c>
    </row>
    <row r="59" ht="16.5" spans="1:20">
      <c r="A59" s="222">
        <v>58</v>
      </c>
      <c r="B59" s="35">
        <v>6</v>
      </c>
      <c r="C59" s="35">
        <v>100</v>
      </c>
      <c r="F59" s="224"/>
      <c r="G59" s="224"/>
      <c r="H59" s="223" t="s">
        <v>1416</v>
      </c>
      <c r="I59" s="223" t="s">
        <v>1624</v>
      </c>
      <c r="J59" s="223" t="s">
        <v>1625</v>
      </c>
      <c r="K59" s="223" t="s">
        <v>1626</v>
      </c>
      <c r="L59" s="228">
        <v>1636</v>
      </c>
      <c r="M59" s="228">
        <v>0</v>
      </c>
      <c r="N59" s="223" t="s">
        <v>1420</v>
      </c>
      <c r="O59" s="229" t="str">
        <f t="shared" si="0"/>
        <v>EBS1_1636_0</v>
      </c>
      <c r="P59" s="229" t="s">
        <v>1627</v>
      </c>
      <c r="Q59" s="227"/>
      <c r="R59" s="227">
        <v>58</v>
      </c>
      <c r="S59" s="227"/>
      <c r="T59" s="229" t="str">
        <f t="shared" si="1"/>
        <v>163600:Var_ui_ErrNo:=58;</v>
      </c>
    </row>
    <row r="60" ht="16.5" spans="1:20">
      <c r="A60" s="222">
        <v>59</v>
      </c>
      <c r="B60" s="35">
        <v>6</v>
      </c>
      <c r="C60" s="35">
        <v>101</v>
      </c>
      <c r="F60" s="224"/>
      <c r="G60" s="224"/>
      <c r="H60" s="223" t="s">
        <v>1416</v>
      </c>
      <c r="I60" s="223" t="s">
        <v>1605</v>
      </c>
      <c r="J60" s="223" t="s">
        <v>1628</v>
      </c>
      <c r="K60" s="223" t="s">
        <v>1629</v>
      </c>
      <c r="L60" s="228">
        <v>1637</v>
      </c>
      <c r="M60" s="228">
        <v>0</v>
      </c>
      <c r="N60" s="223" t="s">
        <v>1420</v>
      </c>
      <c r="O60" s="229" t="str">
        <f t="shared" si="0"/>
        <v>EBS1_1637_0</v>
      </c>
      <c r="P60" s="229" t="s">
        <v>1630</v>
      </c>
      <c r="Q60" s="227"/>
      <c r="R60" s="227">
        <v>59</v>
      </c>
      <c r="S60" s="227"/>
      <c r="T60" s="229" t="str">
        <f t="shared" si="1"/>
        <v>163700:Var_ui_ErrNo:=59;</v>
      </c>
    </row>
    <row r="61" ht="16.5" spans="1:20">
      <c r="A61" s="222">
        <v>60</v>
      </c>
      <c r="B61" s="35">
        <v>6</v>
      </c>
      <c r="C61" s="35">
        <v>102</v>
      </c>
      <c r="F61" s="224"/>
      <c r="G61" s="224"/>
      <c r="H61" s="223" t="s">
        <v>1416</v>
      </c>
      <c r="I61" s="223" t="s">
        <v>1605</v>
      </c>
      <c r="J61" s="223" t="s">
        <v>1631</v>
      </c>
      <c r="K61" s="223" t="s">
        <v>1632</v>
      </c>
      <c r="L61" s="228">
        <v>1638</v>
      </c>
      <c r="M61" s="228">
        <v>0</v>
      </c>
      <c r="N61" s="223" t="s">
        <v>1420</v>
      </c>
      <c r="O61" s="229" t="str">
        <f t="shared" si="0"/>
        <v>EBS1_1638_0</v>
      </c>
      <c r="P61" s="229" t="s">
        <v>1633</v>
      </c>
      <c r="Q61" s="227"/>
      <c r="R61" s="227">
        <v>60</v>
      </c>
      <c r="S61" s="227"/>
      <c r="T61" s="229" t="str">
        <f t="shared" si="1"/>
        <v>163800:Var_ui_ErrNo:=60;</v>
      </c>
    </row>
    <row r="62" ht="16.5" spans="1:20">
      <c r="A62" s="222">
        <v>61</v>
      </c>
      <c r="B62" s="35">
        <v>6</v>
      </c>
      <c r="C62" s="35">
        <v>103</v>
      </c>
      <c r="F62" s="224"/>
      <c r="G62" s="224"/>
      <c r="H62" s="223" t="s">
        <v>1416</v>
      </c>
      <c r="I62" s="223" t="s">
        <v>1605</v>
      </c>
      <c r="J62" s="223" t="s">
        <v>1634</v>
      </c>
      <c r="K62" s="223" t="s">
        <v>1635</v>
      </c>
      <c r="L62" s="228">
        <v>1639</v>
      </c>
      <c r="M62" s="228">
        <v>0</v>
      </c>
      <c r="N62" s="223" t="s">
        <v>1420</v>
      </c>
      <c r="O62" s="229" t="str">
        <f t="shared" si="0"/>
        <v>EBS1_1639_0</v>
      </c>
      <c r="P62" s="229" t="s">
        <v>1636</v>
      </c>
      <c r="Q62" s="227"/>
      <c r="R62" s="227">
        <v>61</v>
      </c>
      <c r="S62" s="227"/>
      <c r="T62" s="229" t="str">
        <f t="shared" si="1"/>
        <v>163900:Var_ui_ErrNo:=61;</v>
      </c>
    </row>
    <row r="63" ht="16.5" spans="1:20">
      <c r="A63" s="222">
        <v>62</v>
      </c>
      <c r="B63" s="35">
        <v>6</v>
      </c>
      <c r="C63" s="35">
        <v>105</v>
      </c>
      <c r="F63" s="224"/>
      <c r="G63" s="224"/>
      <c r="H63" s="223" t="s">
        <v>1416</v>
      </c>
      <c r="I63" s="223" t="s">
        <v>1605</v>
      </c>
      <c r="J63" s="223" t="s">
        <v>1637</v>
      </c>
      <c r="K63" s="223" t="s">
        <v>1638</v>
      </c>
      <c r="L63" s="228">
        <v>1641</v>
      </c>
      <c r="M63" s="228">
        <v>0</v>
      </c>
      <c r="N63" s="223" t="s">
        <v>1420</v>
      </c>
      <c r="O63" s="229" t="str">
        <f t="shared" si="0"/>
        <v>EBS1_1641_0</v>
      </c>
      <c r="P63" s="229" t="s">
        <v>1639</v>
      </c>
      <c r="Q63" s="227"/>
      <c r="R63" s="227">
        <v>62</v>
      </c>
      <c r="S63" s="227"/>
      <c r="T63" s="229" t="str">
        <f t="shared" si="1"/>
        <v>164100:Var_ui_ErrNo:=62;</v>
      </c>
    </row>
    <row r="64" ht="16.5" spans="1:20">
      <c r="A64" s="222">
        <v>63</v>
      </c>
      <c r="B64" s="35">
        <v>6</v>
      </c>
      <c r="C64" s="35">
        <v>106</v>
      </c>
      <c r="F64" s="224"/>
      <c r="G64" s="224"/>
      <c r="H64" s="223" t="s">
        <v>1416</v>
      </c>
      <c r="I64" s="223" t="s">
        <v>1601</v>
      </c>
      <c r="J64" s="223" t="s">
        <v>1640</v>
      </c>
      <c r="K64" s="223" t="s">
        <v>1641</v>
      </c>
      <c r="L64" s="228">
        <v>1642</v>
      </c>
      <c r="M64" s="228">
        <v>0</v>
      </c>
      <c r="N64" s="223" t="s">
        <v>1420</v>
      </c>
      <c r="O64" s="229" t="str">
        <f t="shared" si="0"/>
        <v>EBS1_1642_0</v>
      </c>
      <c r="P64" s="229" t="s">
        <v>1642</v>
      </c>
      <c r="Q64" s="227"/>
      <c r="R64" s="227">
        <v>63</v>
      </c>
      <c r="S64" s="227"/>
      <c r="T64" s="229" t="str">
        <f t="shared" si="1"/>
        <v>164200:Var_ui_ErrNo:=63;</v>
      </c>
    </row>
    <row r="65" ht="16.5" spans="1:20">
      <c r="A65" s="222">
        <v>64</v>
      </c>
      <c r="B65" s="35">
        <v>6</v>
      </c>
      <c r="C65" s="35">
        <v>107</v>
      </c>
      <c r="F65" s="224"/>
      <c r="G65" s="224"/>
      <c r="H65" s="223" t="s">
        <v>1416</v>
      </c>
      <c r="I65" s="223" t="s">
        <v>1605</v>
      </c>
      <c r="J65" s="223" t="s">
        <v>1643</v>
      </c>
      <c r="K65" s="223" t="s">
        <v>1644</v>
      </c>
      <c r="L65" s="228">
        <v>1643</v>
      </c>
      <c r="M65" s="228">
        <v>0</v>
      </c>
      <c r="N65" s="223" t="s">
        <v>1420</v>
      </c>
      <c r="O65" s="229" t="str">
        <f t="shared" si="0"/>
        <v>EBS1_1643_0</v>
      </c>
      <c r="P65" s="229" t="s">
        <v>1645</v>
      </c>
      <c r="Q65" s="227"/>
      <c r="R65" s="227">
        <v>64</v>
      </c>
      <c r="S65" s="227"/>
      <c r="T65" s="229" t="str">
        <f t="shared" si="1"/>
        <v>164300:Var_ui_ErrNo:=64;</v>
      </c>
    </row>
    <row r="66" ht="16.5" spans="1:20">
      <c r="A66" s="222">
        <v>65</v>
      </c>
      <c r="B66" s="35">
        <v>6</v>
      </c>
      <c r="C66" s="35">
        <v>109</v>
      </c>
      <c r="F66" s="224"/>
      <c r="G66" s="224"/>
      <c r="H66" s="223" t="s">
        <v>1416</v>
      </c>
      <c r="I66" s="223" t="s">
        <v>1605</v>
      </c>
      <c r="J66" s="223" t="s">
        <v>1646</v>
      </c>
      <c r="K66" s="223" t="s">
        <v>1647</v>
      </c>
      <c r="L66" s="228">
        <v>1645</v>
      </c>
      <c r="M66" s="228">
        <v>0</v>
      </c>
      <c r="N66" s="223" t="s">
        <v>1420</v>
      </c>
      <c r="O66" s="229" t="str">
        <f t="shared" ref="O66:O129" si="2">"EBS1_"&amp;L66&amp;"_"&amp;M66</f>
        <v>EBS1_1645_0</v>
      </c>
      <c r="P66" s="229" t="s">
        <v>1648</v>
      </c>
      <c r="Q66" s="227"/>
      <c r="R66" s="227">
        <v>65</v>
      </c>
      <c r="S66" s="227"/>
      <c r="T66" s="229" t="str">
        <f t="shared" si="1"/>
        <v>164500:Var_ui_ErrNo:=65;</v>
      </c>
    </row>
    <row r="67" ht="16.5" spans="1:20">
      <c r="A67" s="222">
        <v>66</v>
      </c>
      <c r="B67" s="35">
        <v>6</v>
      </c>
      <c r="C67" s="35">
        <v>110</v>
      </c>
      <c r="F67" s="224"/>
      <c r="G67" s="224"/>
      <c r="H67" s="223" t="s">
        <v>1416</v>
      </c>
      <c r="I67" s="223" t="s">
        <v>1649</v>
      </c>
      <c r="J67" s="223" t="s">
        <v>1650</v>
      </c>
      <c r="K67" s="223" t="s">
        <v>1651</v>
      </c>
      <c r="L67" s="228">
        <v>1646</v>
      </c>
      <c r="M67" s="228">
        <v>0</v>
      </c>
      <c r="N67" s="223" t="s">
        <v>1420</v>
      </c>
      <c r="O67" s="229" t="str">
        <f t="shared" si="2"/>
        <v>EBS1_1646_0</v>
      </c>
      <c r="P67" s="229" t="s">
        <v>1652</v>
      </c>
      <c r="Q67" s="227"/>
      <c r="R67" s="227">
        <v>66</v>
      </c>
      <c r="S67" s="227"/>
      <c r="T67" s="229" t="str">
        <f t="shared" ref="T67:T130" si="3">P67&amp;$Q$2&amp;R67&amp;$S$2</f>
        <v>164600:Var_ui_ErrNo:=66;</v>
      </c>
    </row>
    <row r="68" ht="16.5" spans="1:20">
      <c r="A68" s="222">
        <v>67</v>
      </c>
      <c r="B68" s="35">
        <v>6</v>
      </c>
      <c r="C68" s="35">
        <v>111</v>
      </c>
      <c r="F68" s="224"/>
      <c r="G68" s="224"/>
      <c r="H68" s="223" t="s">
        <v>1416</v>
      </c>
      <c r="I68" s="223" t="s">
        <v>1605</v>
      </c>
      <c r="J68" s="223" t="s">
        <v>1653</v>
      </c>
      <c r="K68" s="223" t="s">
        <v>1654</v>
      </c>
      <c r="L68" s="228">
        <v>1647</v>
      </c>
      <c r="M68" s="228">
        <v>0</v>
      </c>
      <c r="N68" s="223" t="s">
        <v>1420</v>
      </c>
      <c r="O68" s="229" t="str">
        <f t="shared" si="2"/>
        <v>EBS1_1647_0</v>
      </c>
      <c r="P68" s="229" t="s">
        <v>1655</v>
      </c>
      <c r="Q68" s="227"/>
      <c r="R68" s="227">
        <v>67</v>
      </c>
      <c r="S68" s="227"/>
      <c r="T68" s="229" t="str">
        <f t="shared" si="3"/>
        <v>164700:Var_ui_ErrNo:=67;</v>
      </c>
    </row>
    <row r="69" ht="16.5" spans="1:20">
      <c r="A69" s="222">
        <v>68</v>
      </c>
      <c r="B69" s="35">
        <v>6</v>
      </c>
      <c r="C69" s="35">
        <v>112</v>
      </c>
      <c r="F69" s="224"/>
      <c r="G69" s="224"/>
      <c r="H69" s="223" t="s">
        <v>1416</v>
      </c>
      <c r="I69" s="223" t="s">
        <v>1656</v>
      </c>
      <c r="J69" s="223" t="s">
        <v>1657</v>
      </c>
      <c r="K69" s="223" t="s">
        <v>1658</v>
      </c>
      <c r="L69" s="228">
        <v>1648</v>
      </c>
      <c r="M69" s="228">
        <v>0</v>
      </c>
      <c r="N69" s="223" t="s">
        <v>1420</v>
      </c>
      <c r="O69" s="229" t="str">
        <f t="shared" si="2"/>
        <v>EBS1_1648_0</v>
      </c>
      <c r="P69" s="229" t="s">
        <v>1659</v>
      </c>
      <c r="Q69" s="227"/>
      <c r="R69" s="227">
        <v>68</v>
      </c>
      <c r="S69" s="227"/>
      <c r="T69" s="229" t="str">
        <f t="shared" si="3"/>
        <v>164800:Var_ui_ErrNo:=68;</v>
      </c>
    </row>
    <row r="70" ht="16.5" spans="1:20">
      <c r="A70" s="222">
        <v>69</v>
      </c>
      <c r="B70" s="35">
        <v>6</v>
      </c>
      <c r="C70" s="35">
        <v>120</v>
      </c>
      <c r="F70" s="224"/>
      <c r="G70" s="224"/>
      <c r="H70" s="223" t="s">
        <v>1416</v>
      </c>
      <c r="I70" s="223" t="s">
        <v>1601</v>
      </c>
      <c r="J70" s="223" t="s">
        <v>1660</v>
      </c>
      <c r="K70" s="223" t="s">
        <v>1661</v>
      </c>
      <c r="L70" s="228">
        <v>1656</v>
      </c>
      <c r="M70" s="228">
        <v>0</v>
      </c>
      <c r="N70" s="223" t="s">
        <v>1420</v>
      </c>
      <c r="O70" s="229" t="str">
        <f t="shared" si="2"/>
        <v>EBS1_1656_0</v>
      </c>
      <c r="P70" s="229" t="s">
        <v>1662</v>
      </c>
      <c r="Q70" s="227"/>
      <c r="R70" s="227">
        <v>69</v>
      </c>
      <c r="S70" s="227"/>
      <c r="T70" s="229" t="str">
        <f t="shared" si="3"/>
        <v>165600:Var_ui_ErrNo:=69;</v>
      </c>
    </row>
    <row r="71" ht="16.5" spans="1:20">
      <c r="A71" s="222">
        <v>70</v>
      </c>
      <c r="B71" s="35">
        <v>6</v>
      </c>
      <c r="C71" s="35">
        <v>121</v>
      </c>
      <c r="F71" s="224"/>
      <c r="G71" s="224"/>
      <c r="H71" s="223" t="s">
        <v>1416</v>
      </c>
      <c r="I71" s="223" t="s">
        <v>1605</v>
      </c>
      <c r="J71" s="223" t="s">
        <v>1663</v>
      </c>
      <c r="K71" s="223" t="s">
        <v>1664</v>
      </c>
      <c r="L71" s="228">
        <v>1657</v>
      </c>
      <c r="M71" s="228">
        <v>0</v>
      </c>
      <c r="N71" s="223" t="s">
        <v>1420</v>
      </c>
      <c r="O71" s="229" t="str">
        <f t="shared" si="2"/>
        <v>EBS1_1657_0</v>
      </c>
      <c r="P71" s="229" t="s">
        <v>1665</v>
      </c>
      <c r="Q71" s="227"/>
      <c r="R71" s="227">
        <v>70</v>
      </c>
      <c r="S71" s="227"/>
      <c r="T71" s="229" t="str">
        <f t="shared" si="3"/>
        <v>165700:Var_ui_ErrNo:=70;</v>
      </c>
    </row>
    <row r="72" ht="16.5" spans="1:20">
      <c r="A72" s="222">
        <v>71</v>
      </c>
      <c r="B72" s="35">
        <v>6</v>
      </c>
      <c r="C72" s="35">
        <v>122</v>
      </c>
      <c r="F72" s="224"/>
      <c r="G72" s="224"/>
      <c r="H72" s="223" t="s">
        <v>1416</v>
      </c>
      <c r="I72" s="223" t="s">
        <v>1601</v>
      </c>
      <c r="J72" s="223" t="s">
        <v>1666</v>
      </c>
      <c r="K72" s="223" t="s">
        <v>1667</v>
      </c>
      <c r="L72" s="228">
        <v>1658</v>
      </c>
      <c r="M72" s="228">
        <v>0</v>
      </c>
      <c r="N72" s="223" t="s">
        <v>1420</v>
      </c>
      <c r="O72" s="229" t="str">
        <f t="shared" si="2"/>
        <v>EBS1_1658_0</v>
      </c>
      <c r="P72" s="229" t="s">
        <v>1668</v>
      </c>
      <c r="Q72" s="227"/>
      <c r="R72" s="227">
        <v>71</v>
      </c>
      <c r="S72" s="227"/>
      <c r="T72" s="229" t="str">
        <f t="shared" si="3"/>
        <v>165800:Var_ui_ErrNo:=71;</v>
      </c>
    </row>
    <row r="73" ht="16.5" spans="1:20">
      <c r="A73" s="222">
        <v>72</v>
      </c>
      <c r="B73" s="35">
        <v>6</v>
      </c>
      <c r="C73" s="35">
        <v>124</v>
      </c>
      <c r="F73" s="224"/>
      <c r="G73" s="224"/>
      <c r="H73" s="223" t="s">
        <v>1416</v>
      </c>
      <c r="I73" s="223" t="s">
        <v>1601</v>
      </c>
      <c r="J73" s="223" t="s">
        <v>1669</v>
      </c>
      <c r="K73" s="223" t="s">
        <v>1670</v>
      </c>
      <c r="L73" s="228">
        <v>1660</v>
      </c>
      <c r="M73" s="228">
        <v>0</v>
      </c>
      <c r="N73" s="223" t="s">
        <v>1420</v>
      </c>
      <c r="O73" s="229" t="str">
        <f t="shared" si="2"/>
        <v>EBS1_1660_0</v>
      </c>
      <c r="P73" s="229" t="s">
        <v>1671</v>
      </c>
      <c r="Q73" s="227"/>
      <c r="R73" s="227">
        <v>72</v>
      </c>
      <c r="S73" s="227"/>
      <c r="T73" s="229" t="str">
        <f t="shared" si="3"/>
        <v>166000:Var_ui_ErrNo:=72;</v>
      </c>
    </row>
    <row r="74" ht="16.5" spans="1:20">
      <c r="A74" s="222">
        <v>73</v>
      </c>
      <c r="B74" s="35">
        <v>6</v>
      </c>
      <c r="C74" s="35">
        <v>125</v>
      </c>
      <c r="F74" s="224"/>
      <c r="G74" s="224"/>
      <c r="H74" s="223" t="s">
        <v>1416</v>
      </c>
      <c r="I74" s="223" t="s">
        <v>1605</v>
      </c>
      <c r="J74" s="223" t="s">
        <v>1672</v>
      </c>
      <c r="K74" s="223" t="s">
        <v>1673</v>
      </c>
      <c r="L74" s="228">
        <v>1661</v>
      </c>
      <c r="M74" s="228">
        <v>0</v>
      </c>
      <c r="N74" s="223" t="s">
        <v>1420</v>
      </c>
      <c r="O74" s="229" t="str">
        <f t="shared" si="2"/>
        <v>EBS1_1661_0</v>
      </c>
      <c r="P74" s="229" t="s">
        <v>1674</v>
      </c>
      <c r="Q74" s="227"/>
      <c r="R74" s="227">
        <v>73</v>
      </c>
      <c r="S74" s="227"/>
      <c r="T74" s="229" t="str">
        <f t="shared" si="3"/>
        <v>166100:Var_ui_ErrNo:=73;</v>
      </c>
    </row>
    <row r="75" ht="16.5" spans="1:20">
      <c r="A75" s="222">
        <v>74</v>
      </c>
      <c r="B75" s="35">
        <v>6</v>
      </c>
      <c r="C75" s="35">
        <v>126</v>
      </c>
      <c r="F75" s="224"/>
      <c r="G75" s="224"/>
      <c r="H75" s="223" t="s">
        <v>1416</v>
      </c>
      <c r="I75" s="223" t="s">
        <v>1601</v>
      </c>
      <c r="J75" s="223" t="s">
        <v>1675</v>
      </c>
      <c r="K75" s="223" t="s">
        <v>1676</v>
      </c>
      <c r="L75" s="228">
        <v>1662</v>
      </c>
      <c r="M75" s="228">
        <v>0</v>
      </c>
      <c r="N75" s="223" t="s">
        <v>1420</v>
      </c>
      <c r="O75" s="229" t="str">
        <f t="shared" si="2"/>
        <v>EBS1_1662_0</v>
      </c>
      <c r="P75" s="229" t="s">
        <v>1677</v>
      </c>
      <c r="Q75" s="227"/>
      <c r="R75" s="227">
        <v>74</v>
      </c>
      <c r="S75" s="227"/>
      <c r="T75" s="229" t="str">
        <f t="shared" si="3"/>
        <v>166200:Var_ui_ErrNo:=74;</v>
      </c>
    </row>
    <row r="76" ht="16.5" spans="1:20">
      <c r="A76" s="222">
        <v>75</v>
      </c>
      <c r="B76" s="35">
        <v>6</v>
      </c>
      <c r="C76" s="35">
        <v>128</v>
      </c>
      <c r="F76" s="224"/>
      <c r="G76" s="224"/>
      <c r="H76" s="223" t="s">
        <v>1416</v>
      </c>
      <c r="I76" s="223" t="s">
        <v>1601</v>
      </c>
      <c r="J76" s="223" t="s">
        <v>1678</v>
      </c>
      <c r="K76" s="223" t="s">
        <v>1679</v>
      </c>
      <c r="L76" s="228">
        <v>1664</v>
      </c>
      <c r="M76" s="228">
        <v>0</v>
      </c>
      <c r="N76" s="223" t="s">
        <v>1420</v>
      </c>
      <c r="O76" s="229" t="str">
        <f t="shared" si="2"/>
        <v>EBS1_1664_0</v>
      </c>
      <c r="P76" s="229" t="s">
        <v>1680</v>
      </c>
      <c r="Q76" s="227"/>
      <c r="R76" s="227">
        <v>75</v>
      </c>
      <c r="S76" s="227"/>
      <c r="T76" s="229" t="str">
        <f t="shared" si="3"/>
        <v>166400:Var_ui_ErrNo:=75;</v>
      </c>
    </row>
    <row r="77" ht="16.5" spans="1:20">
      <c r="A77" s="222">
        <v>76</v>
      </c>
      <c r="B77" s="35">
        <v>6</v>
      </c>
      <c r="C77" s="35">
        <v>130</v>
      </c>
      <c r="F77" s="224"/>
      <c r="G77" s="224"/>
      <c r="H77" s="223" t="s">
        <v>1416</v>
      </c>
      <c r="I77" s="223" t="s">
        <v>1601</v>
      </c>
      <c r="J77" s="223" t="s">
        <v>1681</v>
      </c>
      <c r="K77" s="223" t="s">
        <v>1682</v>
      </c>
      <c r="L77" s="228">
        <v>1666</v>
      </c>
      <c r="M77" s="228">
        <v>0</v>
      </c>
      <c r="N77" s="223" t="s">
        <v>1420</v>
      </c>
      <c r="O77" s="229" t="str">
        <f t="shared" si="2"/>
        <v>EBS1_1666_0</v>
      </c>
      <c r="P77" s="229" t="s">
        <v>1683</v>
      </c>
      <c r="Q77" s="227"/>
      <c r="R77" s="227">
        <v>76</v>
      </c>
      <c r="S77" s="227"/>
      <c r="T77" s="229" t="str">
        <f t="shared" si="3"/>
        <v>166600:Var_ui_ErrNo:=76;</v>
      </c>
    </row>
    <row r="78" ht="16.5" spans="1:20">
      <c r="A78" s="222">
        <v>77</v>
      </c>
      <c r="B78" s="35">
        <v>6</v>
      </c>
      <c r="C78" s="35">
        <v>131</v>
      </c>
      <c r="F78" s="224"/>
      <c r="G78" s="224"/>
      <c r="H78" s="223" t="s">
        <v>1416</v>
      </c>
      <c r="I78" s="223" t="s">
        <v>1605</v>
      </c>
      <c r="J78" s="223" t="s">
        <v>1684</v>
      </c>
      <c r="K78" s="223" t="s">
        <v>1685</v>
      </c>
      <c r="L78" s="228">
        <v>1667</v>
      </c>
      <c r="M78" s="228">
        <v>0</v>
      </c>
      <c r="N78" s="223" t="s">
        <v>1420</v>
      </c>
      <c r="O78" s="229" t="str">
        <f t="shared" si="2"/>
        <v>EBS1_1667_0</v>
      </c>
      <c r="P78" s="229" t="s">
        <v>1686</v>
      </c>
      <c r="Q78" s="227"/>
      <c r="R78" s="227">
        <v>77</v>
      </c>
      <c r="S78" s="227"/>
      <c r="T78" s="229" t="str">
        <f t="shared" si="3"/>
        <v>166700:Var_ui_ErrNo:=77;</v>
      </c>
    </row>
    <row r="79" ht="16.5" spans="1:20">
      <c r="A79" s="222">
        <v>78</v>
      </c>
      <c r="B79" s="35">
        <v>6</v>
      </c>
      <c r="C79" s="35">
        <v>132</v>
      </c>
      <c r="F79" s="224"/>
      <c r="G79" s="224"/>
      <c r="H79" s="223" t="s">
        <v>1416</v>
      </c>
      <c r="I79" s="223" t="s">
        <v>1605</v>
      </c>
      <c r="J79" s="223" t="s">
        <v>1687</v>
      </c>
      <c r="K79" s="223" t="s">
        <v>1688</v>
      </c>
      <c r="L79" s="228">
        <v>1668</v>
      </c>
      <c r="M79" s="228">
        <v>0</v>
      </c>
      <c r="N79" s="223" t="s">
        <v>1420</v>
      </c>
      <c r="O79" s="229" t="str">
        <f t="shared" si="2"/>
        <v>EBS1_1668_0</v>
      </c>
      <c r="P79" s="229" t="s">
        <v>1689</v>
      </c>
      <c r="Q79" s="227"/>
      <c r="R79" s="227">
        <v>78</v>
      </c>
      <c r="S79" s="227"/>
      <c r="T79" s="229" t="str">
        <f t="shared" si="3"/>
        <v>166800:Var_ui_ErrNo:=78;</v>
      </c>
    </row>
    <row r="80" ht="16.5" spans="1:20">
      <c r="A80" s="222">
        <v>79</v>
      </c>
      <c r="B80" s="35">
        <v>6</v>
      </c>
      <c r="C80" s="35">
        <v>133</v>
      </c>
      <c r="F80" s="224"/>
      <c r="G80" s="224"/>
      <c r="H80" s="223" t="s">
        <v>1416</v>
      </c>
      <c r="I80" s="223" t="s">
        <v>1605</v>
      </c>
      <c r="J80" s="223" t="s">
        <v>1690</v>
      </c>
      <c r="K80" s="223" t="s">
        <v>1691</v>
      </c>
      <c r="L80" s="228">
        <v>1669</v>
      </c>
      <c r="M80" s="228">
        <v>0</v>
      </c>
      <c r="N80" s="223" t="s">
        <v>1420</v>
      </c>
      <c r="O80" s="229" t="str">
        <f t="shared" si="2"/>
        <v>EBS1_1669_0</v>
      </c>
      <c r="P80" s="229" t="s">
        <v>1692</v>
      </c>
      <c r="Q80" s="227"/>
      <c r="R80" s="227">
        <v>79</v>
      </c>
      <c r="S80" s="227"/>
      <c r="T80" s="229" t="str">
        <f t="shared" si="3"/>
        <v>166900:Var_ui_ErrNo:=79;</v>
      </c>
    </row>
    <row r="81" ht="16.5" spans="1:20">
      <c r="A81" s="222">
        <v>80</v>
      </c>
      <c r="B81" s="35">
        <v>6</v>
      </c>
      <c r="C81" s="35">
        <v>135</v>
      </c>
      <c r="F81" s="224"/>
      <c r="G81" s="224"/>
      <c r="H81" s="223" t="s">
        <v>1416</v>
      </c>
      <c r="I81" s="223" t="s">
        <v>1605</v>
      </c>
      <c r="J81" s="223" t="s">
        <v>1693</v>
      </c>
      <c r="K81" s="223" t="s">
        <v>1694</v>
      </c>
      <c r="L81" s="228">
        <v>1671</v>
      </c>
      <c r="M81" s="228">
        <v>0</v>
      </c>
      <c r="N81" s="223" t="s">
        <v>1420</v>
      </c>
      <c r="O81" s="229" t="str">
        <f t="shared" si="2"/>
        <v>EBS1_1671_0</v>
      </c>
      <c r="P81" s="229" t="s">
        <v>1695</v>
      </c>
      <c r="Q81" s="227"/>
      <c r="R81" s="227">
        <v>80</v>
      </c>
      <c r="S81" s="227"/>
      <c r="T81" s="229" t="str">
        <f t="shared" si="3"/>
        <v>167100:Var_ui_ErrNo:=80;</v>
      </c>
    </row>
    <row r="82" ht="16.5" spans="1:20">
      <c r="A82" s="222">
        <v>81</v>
      </c>
      <c r="B82" s="35">
        <v>6</v>
      </c>
      <c r="C82" s="35">
        <v>136</v>
      </c>
      <c r="F82" s="224"/>
      <c r="G82" s="224"/>
      <c r="H82" s="223" t="s">
        <v>1416</v>
      </c>
      <c r="I82" s="223" t="s">
        <v>1601</v>
      </c>
      <c r="J82" s="223" t="s">
        <v>1696</v>
      </c>
      <c r="K82" s="223" t="s">
        <v>1697</v>
      </c>
      <c r="L82" s="228">
        <v>1672</v>
      </c>
      <c r="M82" s="228">
        <v>0</v>
      </c>
      <c r="N82" s="223" t="s">
        <v>1420</v>
      </c>
      <c r="O82" s="229" t="str">
        <f t="shared" si="2"/>
        <v>EBS1_1672_0</v>
      </c>
      <c r="P82" s="229" t="s">
        <v>1698</v>
      </c>
      <c r="Q82" s="227"/>
      <c r="R82" s="227">
        <v>81</v>
      </c>
      <c r="S82" s="227"/>
      <c r="T82" s="229" t="str">
        <f t="shared" si="3"/>
        <v>167200:Var_ui_ErrNo:=81;</v>
      </c>
    </row>
    <row r="83" ht="16.5" spans="1:20">
      <c r="A83" s="222">
        <v>82</v>
      </c>
      <c r="B83" s="35">
        <v>6</v>
      </c>
      <c r="C83" s="35">
        <v>137</v>
      </c>
      <c r="F83" s="224"/>
      <c r="G83" s="224"/>
      <c r="H83" s="223" t="s">
        <v>1416</v>
      </c>
      <c r="I83" s="223" t="s">
        <v>1605</v>
      </c>
      <c r="J83" s="223" t="s">
        <v>1699</v>
      </c>
      <c r="K83" s="223" t="s">
        <v>1700</v>
      </c>
      <c r="L83" s="228">
        <v>1673</v>
      </c>
      <c r="M83" s="228">
        <v>0</v>
      </c>
      <c r="N83" s="223" t="s">
        <v>1420</v>
      </c>
      <c r="O83" s="229" t="str">
        <f t="shared" si="2"/>
        <v>EBS1_1673_0</v>
      </c>
      <c r="P83" s="229" t="s">
        <v>1701</v>
      </c>
      <c r="Q83" s="227"/>
      <c r="R83" s="227">
        <v>82</v>
      </c>
      <c r="S83" s="227"/>
      <c r="T83" s="229" t="str">
        <f t="shared" si="3"/>
        <v>167300:Var_ui_ErrNo:=82;</v>
      </c>
    </row>
    <row r="84" ht="16.5" spans="1:20">
      <c r="A84" s="222">
        <v>83</v>
      </c>
      <c r="B84" s="35">
        <v>6</v>
      </c>
      <c r="C84" s="35">
        <v>139</v>
      </c>
      <c r="F84" s="224"/>
      <c r="G84" s="224"/>
      <c r="H84" s="223" t="s">
        <v>1416</v>
      </c>
      <c r="I84" s="223" t="s">
        <v>1605</v>
      </c>
      <c r="J84" s="223" t="s">
        <v>1702</v>
      </c>
      <c r="K84" s="223" t="s">
        <v>1703</v>
      </c>
      <c r="L84" s="228">
        <v>1675</v>
      </c>
      <c r="M84" s="228">
        <v>0</v>
      </c>
      <c r="N84" s="223" t="s">
        <v>1420</v>
      </c>
      <c r="O84" s="229" t="str">
        <f t="shared" si="2"/>
        <v>EBS1_1675_0</v>
      </c>
      <c r="P84" s="229" t="s">
        <v>1704</v>
      </c>
      <c r="Q84" s="227"/>
      <c r="R84" s="227">
        <v>83</v>
      </c>
      <c r="S84" s="227"/>
      <c r="T84" s="229" t="str">
        <f t="shared" si="3"/>
        <v>167500:Var_ui_ErrNo:=83;</v>
      </c>
    </row>
    <row r="85" ht="16.5" spans="1:20">
      <c r="A85" s="222">
        <v>84</v>
      </c>
      <c r="B85" s="35">
        <v>6</v>
      </c>
      <c r="C85" s="35">
        <v>140</v>
      </c>
      <c r="F85" s="224"/>
      <c r="G85" s="224"/>
      <c r="H85" s="223" t="s">
        <v>1416</v>
      </c>
      <c r="I85" s="223" t="s">
        <v>1705</v>
      </c>
      <c r="J85" s="223" t="s">
        <v>1706</v>
      </c>
      <c r="K85" s="223" t="s">
        <v>1707</v>
      </c>
      <c r="L85" s="228">
        <v>1676</v>
      </c>
      <c r="M85" s="228">
        <v>0</v>
      </c>
      <c r="N85" s="223" t="s">
        <v>1420</v>
      </c>
      <c r="O85" s="229" t="str">
        <f t="shared" si="2"/>
        <v>EBS1_1676_0</v>
      </c>
      <c r="P85" s="229" t="s">
        <v>1708</v>
      </c>
      <c r="Q85" s="227"/>
      <c r="R85" s="227">
        <v>84</v>
      </c>
      <c r="S85" s="227"/>
      <c r="T85" s="229" t="str">
        <f t="shared" si="3"/>
        <v>167600:Var_ui_ErrNo:=84;</v>
      </c>
    </row>
    <row r="86" ht="16.5" spans="1:20">
      <c r="A86" s="222">
        <v>85</v>
      </c>
      <c r="B86" s="35">
        <v>6</v>
      </c>
      <c r="C86" s="35">
        <v>142</v>
      </c>
      <c r="F86" s="224"/>
      <c r="G86" s="224"/>
      <c r="H86" s="223" t="s">
        <v>1416</v>
      </c>
      <c r="I86" s="223" t="s">
        <v>1705</v>
      </c>
      <c r="J86" s="223" t="s">
        <v>1709</v>
      </c>
      <c r="K86" s="223" t="s">
        <v>1710</v>
      </c>
      <c r="L86" s="228">
        <v>1678</v>
      </c>
      <c r="M86" s="228">
        <v>0</v>
      </c>
      <c r="N86" s="223" t="s">
        <v>1420</v>
      </c>
      <c r="O86" s="229" t="str">
        <f t="shared" si="2"/>
        <v>EBS1_1678_0</v>
      </c>
      <c r="P86" s="229" t="s">
        <v>1711</v>
      </c>
      <c r="Q86" s="227"/>
      <c r="R86" s="227">
        <v>85</v>
      </c>
      <c r="S86" s="227"/>
      <c r="T86" s="229" t="str">
        <f t="shared" si="3"/>
        <v>167800:Var_ui_ErrNo:=85;</v>
      </c>
    </row>
    <row r="87" ht="16.5" spans="1:20">
      <c r="A87" s="222">
        <v>86</v>
      </c>
      <c r="B87" s="35">
        <v>6</v>
      </c>
      <c r="C87" s="35">
        <v>143</v>
      </c>
      <c r="F87" s="224"/>
      <c r="G87" s="224"/>
      <c r="H87" s="223" t="s">
        <v>1416</v>
      </c>
      <c r="I87" s="223" t="s">
        <v>1705</v>
      </c>
      <c r="J87" s="223" t="s">
        <v>1712</v>
      </c>
      <c r="K87" s="223" t="s">
        <v>1713</v>
      </c>
      <c r="L87" s="228">
        <v>1679</v>
      </c>
      <c r="M87" s="228">
        <v>0</v>
      </c>
      <c r="N87" s="223" t="s">
        <v>1420</v>
      </c>
      <c r="O87" s="229" t="str">
        <f t="shared" si="2"/>
        <v>EBS1_1679_0</v>
      </c>
      <c r="P87" s="229" t="s">
        <v>1714</v>
      </c>
      <c r="Q87" s="227"/>
      <c r="R87" s="227">
        <v>86</v>
      </c>
      <c r="S87" s="227"/>
      <c r="T87" s="229" t="str">
        <f t="shared" si="3"/>
        <v>167900:Var_ui_ErrNo:=86;</v>
      </c>
    </row>
    <row r="88" ht="16.5" spans="1:20">
      <c r="A88" s="222">
        <v>87</v>
      </c>
      <c r="B88" s="35">
        <v>6</v>
      </c>
      <c r="C88" s="35">
        <v>144</v>
      </c>
      <c r="F88" s="224"/>
      <c r="G88" s="224"/>
      <c r="H88" s="223" t="s">
        <v>1416</v>
      </c>
      <c r="I88" s="223" t="s">
        <v>1605</v>
      </c>
      <c r="J88" s="223" t="s">
        <v>1715</v>
      </c>
      <c r="K88" s="223" t="s">
        <v>1716</v>
      </c>
      <c r="L88" s="228">
        <v>1680</v>
      </c>
      <c r="M88" s="228">
        <v>0</v>
      </c>
      <c r="N88" s="223" t="s">
        <v>1420</v>
      </c>
      <c r="O88" s="229" t="str">
        <f t="shared" si="2"/>
        <v>EBS1_1680_0</v>
      </c>
      <c r="P88" s="229" t="s">
        <v>1717</v>
      </c>
      <c r="Q88" s="227"/>
      <c r="R88" s="227">
        <v>87</v>
      </c>
      <c r="S88" s="227"/>
      <c r="T88" s="229" t="str">
        <f t="shared" si="3"/>
        <v>168000:Var_ui_ErrNo:=87;</v>
      </c>
    </row>
    <row r="89" ht="16.5" spans="1:20">
      <c r="A89" s="222">
        <v>88</v>
      </c>
      <c r="B89" s="35">
        <v>7</v>
      </c>
      <c r="C89" s="35">
        <v>14</v>
      </c>
      <c r="F89" s="224"/>
      <c r="G89" s="224"/>
      <c r="H89" s="223" t="s">
        <v>1718</v>
      </c>
      <c r="I89" s="223" t="s">
        <v>1461</v>
      </c>
      <c r="J89" s="223" t="s">
        <v>1719</v>
      </c>
      <c r="K89" s="223" t="s">
        <v>1720</v>
      </c>
      <c r="L89" s="228">
        <v>1806</v>
      </c>
      <c r="M89" s="228">
        <v>0</v>
      </c>
      <c r="N89" s="223" t="s">
        <v>1721</v>
      </c>
      <c r="O89" s="229" t="str">
        <f t="shared" si="2"/>
        <v>EBS1_1806_0</v>
      </c>
      <c r="P89" s="229" t="s">
        <v>1722</v>
      </c>
      <c r="Q89" s="227"/>
      <c r="R89" s="227">
        <v>88</v>
      </c>
      <c r="S89" s="227"/>
      <c r="T89" s="229" t="str">
        <f t="shared" si="3"/>
        <v>180600:Var_ui_ErrNo:=88;</v>
      </c>
    </row>
    <row r="90" ht="16.5" spans="1:20">
      <c r="A90" s="222">
        <v>89</v>
      </c>
      <c r="B90" s="35">
        <v>7</v>
      </c>
      <c r="C90" s="35">
        <v>19</v>
      </c>
      <c r="F90" s="224"/>
      <c r="G90" s="224"/>
      <c r="H90" s="223" t="s">
        <v>1723</v>
      </c>
      <c r="I90" s="223" t="s">
        <v>1724</v>
      </c>
      <c r="J90" s="223" t="s">
        <v>1725</v>
      </c>
      <c r="K90" s="223" t="s">
        <v>1726</v>
      </c>
      <c r="L90" s="228">
        <v>1811</v>
      </c>
      <c r="M90" s="228">
        <v>0</v>
      </c>
      <c r="N90" s="223" t="s">
        <v>1727</v>
      </c>
      <c r="O90" s="229" t="str">
        <f t="shared" si="2"/>
        <v>EBS1_1811_0</v>
      </c>
      <c r="P90" s="229" t="s">
        <v>1728</v>
      </c>
      <c r="Q90" s="227"/>
      <c r="R90" s="227">
        <v>89</v>
      </c>
      <c r="S90" s="227"/>
      <c r="T90" s="229" t="str">
        <f t="shared" si="3"/>
        <v>181100:Var_ui_ErrNo:=89;</v>
      </c>
    </row>
    <row r="91" ht="16.5" spans="1:20">
      <c r="A91" s="222">
        <v>90</v>
      </c>
      <c r="B91" s="35">
        <v>7</v>
      </c>
      <c r="C91" s="35">
        <v>45</v>
      </c>
      <c r="F91" s="224"/>
      <c r="G91" s="224"/>
      <c r="H91" s="223" t="s">
        <v>1729</v>
      </c>
      <c r="I91" s="223" t="s">
        <v>1724</v>
      </c>
      <c r="J91" s="223" t="s">
        <v>1730</v>
      </c>
      <c r="K91" s="223" t="s">
        <v>1731</v>
      </c>
      <c r="L91" s="228">
        <v>1837</v>
      </c>
      <c r="M91" s="228">
        <v>0</v>
      </c>
      <c r="N91" s="223" t="s">
        <v>1732</v>
      </c>
      <c r="O91" s="229" t="str">
        <f t="shared" si="2"/>
        <v>EBS1_1837_0</v>
      </c>
      <c r="P91" s="229" t="s">
        <v>1733</v>
      </c>
      <c r="Q91" s="227"/>
      <c r="R91" s="227">
        <v>90</v>
      </c>
      <c r="S91" s="227"/>
      <c r="T91" s="229" t="str">
        <f t="shared" si="3"/>
        <v>183700:Var_ui_ErrNo:=90;</v>
      </c>
    </row>
    <row r="92" ht="16.5" spans="1:20">
      <c r="A92" s="222">
        <v>91</v>
      </c>
      <c r="B92" s="35">
        <v>7</v>
      </c>
      <c r="C92" s="35">
        <v>59</v>
      </c>
      <c r="F92" s="224"/>
      <c r="G92" s="224"/>
      <c r="H92" s="223" t="s">
        <v>1734</v>
      </c>
      <c r="I92" s="223" t="s">
        <v>1735</v>
      </c>
      <c r="J92" s="223" t="s">
        <v>1736</v>
      </c>
      <c r="K92" s="223" t="s">
        <v>1737</v>
      </c>
      <c r="L92" s="228">
        <v>1851</v>
      </c>
      <c r="M92" s="228">
        <v>0</v>
      </c>
      <c r="N92" s="223" t="s">
        <v>1738</v>
      </c>
      <c r="O92" s="229" t="str">
        <f t="shared" si="2"/>
        <v>EBS1_1851_0</v>
      </c>
      <c r="P92" s="229" t="s">
        <v>1739</v>
      </c>
      <c r="Q92" s="227"/>
      <c r="R92" s="227">
        <v>91</v>
      </c>
      <c r="S92" s="227"/>
      <c r="T92" s="229" t="str">
        <f t="shared" si="3"/>
        <v>185100:Var_ui_ErrNo:=91;</v>
      </c>
    </row>
    <row r="93" ht="16.5" spans="1:20">
      <c r="A93" s="222">
        <v>92</v>
      </c>
      <c r="B93" s="35">
        <v>10</v>
      </c>
      <c r="C93" s="35">
        <v>10</v>
      </c>
      <c r="F93" s="224"/>
      <c r="G93" s="224"/>
      <c r="H93" s="223" t="s">
        <v>1740</v>
      </c>
      <c r="I93" s="223" t="s">
        <v>1741</v>
      </c>
      <c r="J93" s="223" t="s">
        <v>1742</v>
      </c>
      <c r="K93" s="223" t="s">
        <v>1743</v>
      </c>
      <c r="L93" s="228">
        <v>2570</v>
      </c>
      <c r="M93" s="228">
        <v>0</v>
      </c>
      <c r="N93" s="223" t="s">
        <v>1744</v>
      </c>
      <c r="O93" s="229" t="str">
        <f t="shared" si="2"/>
        <v>EBS1_2570_0</v>
      </c>
      <c r="P93" s="229" t="s">
        <v>1745</v>
      </c>
      <c r="Q93" s="227"/>
      <c r="R93" s="227">
        <v>92</v>
      </c>
      <c r="S93" s="227"/>
      <c r="T93" s="229" t="str">
        <f t="shared" si="3"/>
        <v>257000:Var_ui_ErrNo:=92;</v>
      </c>
    </row>
    <row r="94" ht="16.5" spans="1:20">
      <c r="A94" s="222">
        <v>93</v>
      </c>
      <c r="B94" s="35">
        <v>10</v>
      </c>
      <c r="C94" s="35">
        <v>13</v>
      </c>
      <c r="F94" s="224"/>
      <c r="G94" s="224"/>
      <c r="H94" s="223" t="s">
        <v>1740</v>
      </c>
      <c r="I94" s="223" t="s">
        <v>1453</v>
      </c>
      <c r="J94" s="223" t="s">
        <v>1746</v>
      </c>
      <c r="K94" s="223" t="s">
        <v>1747</v>
      </c>
      <c r="L94" s="228">
        <v>2573</v>
      </c>
      <c r="M94" s="228">
        <v>0</v>
      </c>
      <c r="N94" s="223" t="s">
        <v>1744</v>
      </c>
      <c r="O94" s="229" t="str">
        <f t="shared" si="2"/>
        <v>EBS1_2573_0</v>
      </c>
      <c r="P94" s="229" t="s">
        <v>1748</v>
      </c>
      <c r="Q94" s="227"/>
      <c r="R94" s="227">
        <v>93</v>
      </c>
      <c r="S94" s="227"/>
      <c r="T94" s="229" t="str">
        <f t="shared" si="3"/>
        <v>257300:Var_ui_ErrNo:=93;</v>
      </c>
    </row>
    <row r="95" ht="16.5" spans="1:20">
      <c r="A95" s="222">
        <v>94</v>
      </c>
      <c r="B95" s="35">
        <v>10</v>
      </c>
      <c r="C95" s="35">
        <v>202</v>
      </c>
      <c r="F95" s="224"/>
      <c r="G95" s="224"/>
      <c r="H95" s="223" t="s">
        <v>1749</v>
      </c>
      <c r="I95" s="223" t="s">
        <v>1750</v>
      </c>
      <c r="J95" s="223" t="s">
        <v>1751</v>
      </c>
      <c r="K95" s="223" t="s">
        <v>1752</v>
      </c>
      <c r="L95" s="228">
        <v>2762</v>
      </c>
      <c r="M95" s="228">
        <v>0</v>
      </c>
      <c r="N95" s="223" t="s">
        <v>1753</v>
      </c>
      <c r="O95" s="229" t="str">
        <f t="shared" si="2"/>
        <v>EBS1_2762_0</v>
      </c>
      <c r="P95" s="229" t="s">
        <v>1754</v>
      </c>
      <c r="Q95" s="227"/>
      <c r="R95" s="227">
        <v>94</v>
      </c>
      <c r="S95" s="227"/>
      <c r="T95" s="229" t="str">
        <f t="shared" si="3"/>
        <v>276200:Var_ui_ErrNo:=94;</v>
      </c>
    </row>
    <row r="96" ht="16.5" spans="1:20">
      <c r="A96" s="222">
        <v>95</v>
      </c>
      <c r="B96" s="35">
        <v>10</v>
      </c>
      <c r="C96" s="35">
        <v>203</v>
      </c>
      <c r="F96" s="224"/>
      <c r="G96" s="224"/>
      <c r="H96" s="223" t="s">
        <v>1755</v>
      </c>
      <c r="I96" s="223" t="s">
        <v>1756</v>
      </c>
      <c r="J96" s="223" t="s">
        <v>1757</v>
      </c>
      <c r="K96" s="223" t="s">
        <v>1758</v>
      </c>
      <c r="L96" s="228">
        <v>2763</v>
      </c>
      <c r="M96" s="228">
        <v>0</v>
      </c>
      <c r="N96" s="223" t="s">
        <v>1759</v>
      </c>
      <c r="O96" s="229" t="str">
        <f t="shared" si="2"/>
        <v>EBS1_2763_0</v>
      </c>
      <c r="P96" s="229" t="s">
        <v>1760</v>
      </c>
      <c r="Q96" s="227"/>
      <c r="R96" s="227">
        <v>95</v>
      </c>
      <c r="S96" s="227"/>
      <c r="T96" s="229" t="str">
        <f t="shared" si="3"/>
        <v>276300:Var_ui_ErrNo:=95;</v>
      </c>
    </row>
    <row r="97" ht="16.5" spans="1:20">
      <c r="A97" s="222">
        <v>96</v>
      </c>
      <c r="B97" s="35">
        <v>10</v>
      </c>
      <c r="C97" s="35">
        <v>228</v>
      </c>
      <c r="F97" s="224"/>
      <c r="G97" s="224"/>
      <c r="H97" s="223" t="s">
        <v>1761</v>
      </c>
      <c r="I97" s="223" t="s">
        <v>1762</v>
      </c>
      <c r="J97" s="223" t="s">
        <v>1763</v>
      </c>
      <c r="K97" s="223" t="s">
        <v>1764</v>
      </c>
      <c r="L97" s="228">
        <v>2788</v>
      </c>
      <c r="M97" s="228">
        <v>0</v>
      </c>
      <c r="N97" s="223" t="s">
        <v>1765</v>
      </c>
      <c r="O97" s="229" t="str">
        <f t="shared" si="2"/>
        <v>EBS1_2788_0</v>
      </c>
      <c r="P97" s="229" t="s">
        <v>1766</v>
      </c>
      <c r="Q97" s="227"/>
      <c r="R97" s="227">
        <v>96</v>
      </c>
      <c r="S97" s="227"/>
      <c r="T97" s="229" t="str">
        <f t="shared" si="3"/>
        <v>278800:Var_ui_ErrNo:=96;</v>
      </c>
    </row>
    <row r="98" ht="16.5" spans="1:20">
      <c r="A98" s="222">
        <v>97</v>
      </c>
      <c r="B98" s="35">
        <v>10</v>
      </c>
      <c r="C98" s="35">
        <v>229</v>
      </c>
      <c r="F98" s="224"/>
      <c r="G98" s="224"/>
      <c r="H98" s="223" t="s">
        <v>1767</v>
      </c>
      <c r="I98" s="223" t="s">
        <v>1768</v>
      </c>
      <c r="J98" s="223" t="s">
        <v>1769</v>
      </c>
      <c r="K98" s="223" t="s">
        <v>1770</v>
      </c>
      <c r="L98" s="228">
        <v>2789</v>
      </c>
      <c r="M98" s="228">
        <v>0</v>
      </c>
      <c r="N98" s="223" t="s">
        <v>1771</v>
      </c>
      <c r="O98" s="229" t="str">
        <f t="shared" si="2"/>
        <v>EBS1_2789_0</v>
      </c>
      <c r="P98" s="229" t="s">
        <v>1772</v>
      </c>
      <c r="Q98" s="227"/>
      <c r="R98" s="227">
        <v>97</v>
      </c>
      <c r="S98" s="227"/>
      <c r="T98" s="229" t="str">
        <f t="shared" si="3"/>
        <v>278900:Var_ui_ErrNo:=97;</v>
      </c>
    </row>
    <row r="99" ht="16.5" spans="1:20">
      <c r="A99" s="222">
        <v>98</v>
      </c>
      <c r="B99" s="35">
        <v>10</v>
      </c>
      <c r="C99" s="35">
        <v>230</v>
      </c>
      <c r="F99" s="224"/>
      <c r="G99" s="224"/>
      <c r="H99" s="223" t="s">
        <v>1773</v>
      </c>
      <c r="I99" s="223" t="s">
        <v>1774</v>
      </c>
      <c r="J99" s="223" t="s">
        <v>1775</v>
      </c>
      <c r="K99" s="223" t="s">
        <v>1776</v>
      </c>
      <c r="L99" s="228">
        <v>2790</v>
      </c>
      <c r="M99" s="228">
        <v>0</v>
      </c>
      <c r="N99" s="223" t="s">
        <v>1777</v>
      </c>
      <c r="O99" s="229" t="str">
        <f t="shared" si="2"/>
        <v>EBS1_2790_0</v>
      </c>
      <c r="P99" s="229" t="s">
        <v>1778</v>
      </c>
      <c r="Q99" s="227"/>
      <c r="R99" s="227">
        <v>98</v>
      </c>
      <c r="S99" s="227"/>
      <c r="T99" s="229" t="str">
        <f t="shared" si="3"/>
        <v>279000:Var_ui_ErrNo:=98;</v>
      </c>
    </row>
    <row r="100" ht="16.5" spans="1:20">
      <c r="A100" s="222">
        <v>99</v>
      </c>
      <c r="B100" s="35">
        <v>10</v>
      </c>
      <c r="C100" s="35">
        <v>231</v>
      </c>
      <c r="F100" s="224"/>
      <c r="G100" s="224"/>
      <c r="H100" s="223" t="s">
        <v>1779</v>
      </c>
      <c r="I100" s="223" t="s">
        <v>1780</v>
      </c>
      <c r="J100" s="223" t="s">
        <v>1781</v>
      </c>
      <c r="K100" s="223" t="s">
        <v>1782</v>
      </c>
      <c r="L100" s="228">
        <v>2791</v>
      </c>
      <c r="M100" s="228">
        <v>0</v>
      </c>
      <c r="N100" s="223" t="s">
        <v>1783</v>
      </c>
      <c r="O100" s="229" t="str">
        <f t="shared" si="2"/>
        <v>EBS1_2791_0</v>
      </c>
      <c r="P100" s="229" t="s">
        <v>1784</v>
      </c>
      <c r="Q100" s="227"/>
      <c r="R100" s="227">
        <v>99</v>
      </c>
      <c r="S100" s="227"/>
      <c r="T100" s="229" t="str">
        <f t="shared" si="3"/>
        <v>279100:Var_ui_ErrNo:=99;</v>
      </c>
    </row>
    <row r="101" ht="16.5" spans="1:20">
      <c r="A101" s="222">
        <v>100</v>
      </c>
      <c r="B101" s="35">
        <v>10</v>
      </c>
      <c r="C101" s="35">
        <v>232</v>
      </c>
      <c r="F101" s="224"/>
      <c r="G101" s="224"/>
      <c r="H101" s="223" t="s">
        <v>1785</v>
      </c>
      <c r="I101" s="223" t="s">
        <v>1786</v>
      </c>
      <c r="J101" s="223" t="s">
        <v>1787</v>
      </c>
      <c r="K101" s="223" t="s">
        <v>1788</v>
      </c>
      <c r="L101" s="228">
        <v>2792</v>
      </c>
      <c r="M101" s="228">
        <v>0</v>
      </c>
      <c r="N101" s="223" t="s">
        <v>1789</v>
      </c>
      <c r="O101" s="229" t="str">
        <f t="shared" si="2"/>
        <v>EBS1_2792_0</v>
      </c>
      <c r="P101" s="229" t="s">
        <v>1790</v>
      </c>
      <c r="Q101" s="227"/>
      <c r="R101" s="227">
        <v>100</v>
      </c>
      <c r="S101" s="227"/>
      <c r="T101" s="229" t="str">
        <f t="shared" si="3"/>
        <v>279200:Var_ui_ErrNo:=100;</v>
      </c>
    </row>
    <row r="102" ht="16.5" spans="1:20">
      <c r="A102" s="222">
        <v>101</v>
      </c>
      <c r="B102" s="35">
        <v>10</v>
      </c>
      <c r="C102" s="35">
        <v>233</v>
      </c>
      <c r="F102" s="224"/>
      <c r="G102" s="224"/>
      <c r="H102" s="223" t="s">
        <v>1791</v>
      </c>
      <c r="I102" s="223" t="s">
        <v>1792</v>
      </c>
      <c r="J102" s="223" t="s">
        <v>1793</v>
      </c>
      <c r="K102" s="223" t="s">
        <v>1794</v>
      </c>
      <c r="L102" s="228">
        <v>2793</v>
      </c>
      <c r="M102" s="228">
        <v>0</v>
      </c>
      <c r="N102" s="223" t="s">
        <v>1795</v>
      </c>
      <c r="O102" s="229" t="str">
        <f t="shared" si="2"/>
        <v>EBS1_2793_0</v>
      </c>
      <c r="P102" s="229" t="s">
        <v>1796</v>
      </c>
      <c r="Q102" s="227"/>
      <c r="R102" s="227">
        <v>101</v>
      </c>
      <c r="S102" s="227"/>
      <c r="T102" s="229" t="str">
        <f t="shared" si="3"/>
        <v>279300:Var_ui_ErrNo:=101;</v>
      </c>
    </row>
    <row r="103" ht="16.5" spans="1:20">
      <c r="A103" s="222">
        <v>102</v>
      </c>
      <c r="B103" s="35">
        <v>10</v>
      </c>
      <c r="C103" s="35">
        <v>234</v>
      </c>
      <c r="F103" s="224"/>
      <c r="G103" s="224"/>
      <c r="H103" s="223" t="s">
        <v>1797</v>
      </c>
      <c r="I103" s="223" t="s">
        <v>1798</v>
      </c>
      <c r="J103" s="223" t="s">
        <v>1799</v>
      </c>
      <c r="K103" s="223" t="s">
        <v>1800</v>
      </c>
      <c r="L103" s="228">
        <v>2794</v>
      </c>
      <c r="M103" s="228">
        <v>0</v>
      </c>
      <c r="N103" s="223" t="s">
        <v>1801</v>
      </c>
      <c r="O103" s="229" t="str">
        <f t="shared" si="2"/>
        <v>EBS1_2794_0</v>
      </c>
      <c r="P103" s="229" t="s">
        <v>1802</v>
      </c>
      <c r="Q103" s="227"/>
      <c r="R103" s="227">
        <v>102</v>
      </c>
      <c r="S103" s="227"/>
      <c r="T103" s="229" t="str">
        <f t="shared" si="3"/>
        <v>279400:Var_ui_ErrNo:=102;</v>
      </c>
    </row>
    <row r="104" ht="16.5" spans="1:20">
      <c r="A104" s="222">
        <v>103</v>
      </c>
      <c r="B104" s="35">
        <v>10</v>
      </c>
      <c r="C104" s="35">
        <v>235</v>
      </c>
      <c r="F104" s="224"/>
      <c r="G104" s="224"/>
      <c r="H104" s="223" t="s">
        <v>1803</v>
      </c>
      <c r="I104" s="223" t="s">
        <v>1804</v>
      </c>
      <c r="J104" s="223" t="s">
        <v>1805</v>
      </c>
      <c r="K104" s="223" t="s">
        <v>1806</v>
      </c>
      <c r="L104" s="228">
        <v>2795</v>
      </c>
      <c r="M104" s="228">
        <v>0</v>
      </c>
      <c r="N104" s="223" t="s">
        <v>1807</v>
      </c>
      <c r="O104" s="229" t="str">
        <f t="shared" si="2"/>
        <v>EBS1_2795_0</v>
      </c>
      <c r="P104" s="229" t="s">
        <v>1808</v>
      </c>
      <c r="Q104" s="227"/>
      <c r="R104" s="227">
        <v>103</v>
      </c>
      <c r="S104" s="227"/>
      <c r="T104" s="229" t="str">
        <f t="shared" si="3"/>
        <v>279500:Var_ui_ErrNo:=103;</v>
      </c>
    </row>
    <row r="105" ht="16.5" spans="1:20">
      <c r="A105" s="222">
        <v>104</v>
      </c>
      <c r="B105" s="35">
        <v>10</v>
      </c>
      <c r="C105" s="35">
        <v>236</v>
      </c>
      <c r="F105" s="224"/>
      <c r="G105" s="224"/>
      <c r="H105" s="223" t="s">
        <v>1809</v>
      </c>
      <c r="I105" s="223" t="s">
        <v>1810</v>
      </c>
      <c r="J105" s="223" t="s">
        <v>1811</v>
      </c>
      <c r="K105" s="223" t="s">
        <v>1812</v>
      </c>
      <c r="L105" s="228">
        <v>2796</v>
      </c>
      <c r="M105" s="228">
        <v>0</v>
      </c>
      <c r="N105" s="223" t="s">
        <v>1813</v>
      </c>
      <c r="O105" s="229" t="str">
        <f t="shared" si="2"/>
        <v>EBS1_2796_0</v>
      </c>
      <c r="P105" s="229" t="s">
        <v>1814</v>
      </c>
      <c r="Q105" s="227"/>
      <c r="R105" s="227">
        <v>104</v>
      </c>
      <c r="S105" s="227"/>
      <c r="T105" s="229" t="str">
        <f t="shared" si="3"/>
        <v>279600:Var_ui_ErrNo:=104;</v>
      </c>
    </row>
    <row r="106" ht="16.5" spans="1:20">
      <c r="A106" s="222">
        <v>105</v>
      </c>
      <c r="B106" s="35">
        <v>10</v>
      </c>
      <c r="C106" s="35">
        <v>237</v>
      </c>
      <c r="F106" s="224"/>
      <c r="G106" s="224"/>
      <c r="H106" s="223" t="s">
        <v>1815</v>
      </c>
      <c r="I106" s="223" t="s">
        <v>1816</v>
      </c>
      <c r="J106" s="223" t="s">
        <v>1817</v>
      </c>
      <c r="K106" s="223" t="s">
        <v>1818</v>
      </c>
      <c r="L106" s="228">
        <v>2797</v>
      </c>
      <c r="M106" s="228">
        <v>0</v>
      </c>
      <c r="N106" s="223" t="s">
        <v>1819</v>
      </c>
      <c r="O106" s="229" t="str">
        <f t="shared" si="2"/>
        <v>EBS1_2797_0</v>
      </c>
      <c r="P106" s="229" t="s">
        <v>1820</v>
      </c>
      <c r="Q106" s="227"/>
      <c r="R106" s="227">
        <v>105</v>
      </c>
      <c r="S106" s="227"/>
      <c r="T106" s="229" t="str">
        <f t="shared" si="3"/>
        <v>279700:Var_ui_ErrNo:=105;</v>
      </c>
    </row>
    <row r="107" ht="16.5" spans="1:20">
      <c r="A107" s="222">
        <v>106</v>
      </c>
      <c r="B107" s="35">
        <v>10</v>
      </c>
      <c r="C107" s="35">
        <v>239</v>
      </c>
      <c r="F107" s="224"/>
      <c r="G107" s="224"/>
      <c r="H107" s="223" t="s">
        <v>1821</v>
      </c>
      <c r="I107" s="223" t="s">
        <v>1822</v>
      </c>
      <c r="J107" s="223" t="s">
        <v>1823</v>
      </c>
      <c r="K107" s="223" t="s">
        <v>1824</v>
      </c>
      <c r="L107" s="228">
        <v>2799</v>
      </c>
      <c r="M107" s="228">
        <v>0</v>
      </c>
      <c r="N107" s="223" t="s">
        <v>1825</v>
      </c>
      <c r="O107" s="229" t="str">
        <f t="shared" si="2"/>
        <v>EBS1_2799_0</v>
      </c>
      <c r="P107" s="229" t="s">
        <v>1826</v>
      </c>
      <c r="Q107" s="227"/>
      <c r="R107" s="227">
        <v>106</v>
      </c>
      <c r="S107" s="227"/>
      <c r="T107" s="229" t="str">
        <f t="shared" si="3"/>
        <v>279900:Var_ui_ErrNo:=106;</v>
      </c>
    </row>
    <row r="108" ht="16.5" spans="1:20">
      <c r="A108" s="222">
        <v>107</v>
      </c>
      <c r="B108" s="35">
        <v>10</v>
      </c>
      <c r="C108" s="35">
        <v>241</v>
      </c>
      <c r="F108" s="224"/>
      <c r="G108" s="224"/>
      <c r="H108" s="223" t="s">
        <v>1827</v>
      </c>
      <c r="I108" s="223" t="s">
        <v>1828</v>
      </c>
      <c r="J108" s="223" t="s">
        <v>1829</v>
      </c>
      <c r="K108" s="223" t="s">
        <v>1830</v>
      </c>
      <c r="L108" s="228">
        <v>2801</v>
      </c>
      <c r="M108" s="228">
        <v>0</v>
      </c>
      <c r="N108" s="223" t="s">
        <v>1831</v>
      </c>
      <c r="O108" s="229" t="str">
        <f t="shared" si="2"/>
        <v>EBS1_2801_0</v>
      </c>
      <c r="P108" s="229" t="s">
        <v>1832</v>
      </c>
      <c r="Q108" s="227"/>
      <c r="R108" s="227">
        <v>107</v>
      </c>
      <c r="S108" s="227"/>
      <c r="T108" s="229" t="str">
        <f t="shared" si="3"/>
        <v>280100:Var_ui_ErrNo:=107;</v>
      </c>
    </row>
    <row r="109" ht="16.5" spans="1:20">
      <c r="A109" s="222">
        <v>108</v>
      </c>
      <c r="B109" s="35">
        <v>10</v>
      </c>
      <c r="C109" s="35">
        <v>244</v>
      </c>
      <c r="F109" s="224"/>
      <c r="G109" s="224"/>
      <c r="H109" s="223" t="s">
        <v>1833</v>
      </c>
      <c r="I109" s="223" t="s">
        <v>1834</v>
      </c>
      <c r="J109" s="223" t="s">
        <v>1835</v>
      </c>
      <c r="K109" s="223" t="s">
        <v>1836</v>
      </c>
      <c r="L109" s="228">
        <v>2804</v>
      </c>
      <c r="M109" s="228">
        <v>0</v>
      </c>
      <c r="N109" s="223" t="s">
        <v>1837</v>
      </c>
      <c r="O109" s="229" t="str">
        <f t="shared" si="2"/>
        <v>EBS1_2804_0</v>
      </c>
      <c r="P109" s="229" t="s">
        <v>1838</v>
      </c>
      <c r="Q109" s="227"/>
      <c r="R109" s="227">
        <v>108</v>
      </c>
      <c r="S109" s="227"/>
      <c r="T109" s="229" t="str">
        <f t="shared" si="3"/>
        <v>280400:Var_ui_ErrNo:=108;</v>
      </c>
    </row>
    <row r="110" ht="16.5" spans="1:20">
      <c r="A110" s="222">
        <v>109</v>
      </c>
      <c r="B110" s="35">
        <v>10</v>
      </c>
      <c r="C110" s="35">
        <v>252</v>
      </c>
      <c r="F110" s="224"/>
      <c r="G110" s="224"/>
      <c r="H110" s="223" t="s">
        <v>1839</v>
      </c>
      <c r="I110" s="223" t="s">
        <v>1840</v>
      </c>
      <c r="J110" s="223" t="s">
        <v>1841</v>
      </c>
      <c r="K110" s="223" t="s">
        <v>1842</v>
      </c>
      <c r="L110" s="228">
        <v>2812</v>
      </c>
      <c r="M110" s="228">
        <v>0</v>
      </c>
      <c r="N110" s="223" t="s">
        <v>1843</v>
      </c>
      <c r="O110" s="229" t="str">
        <f t="shared" si="2"/>
        <v>EBS1_2812_0</v>
      </c>
      <c r="P110" s="229" t="s">
        <v>1844</v>
      </c>
      <c r="Q110" s="227"/>
      <c r="R110" s="227">
        <v>109</v>
      </c>
      <c r="S110" s="227"/>
      <c r="T110" s="229" t="str">
        <f t="shared" si="3"/>
        <v>281200:Var_ui_ErrNo:=109;</v>
      </c>
    </row>
    <row r="111" ht="16.5" spans="1:20">
      <c r="A111" s="222">
        <v>110</v>
      </c>
      <c r="B111" s="35">
        <v>10</v>
      </c>
      <c r="C111" s="35">
        <v>253</v>
      </c>
      <c r="F111" s="224"/>
      <c r="G111" s="224"/>
      <c r="H111" s="223" t="s">
        <v>1845</v>
      </c>
      <c r="I111" s="223" t="s">
        <v>1840</v>
      </c>
      <c r="J111" s="223" t="s">
        <v>1846</v>
      </c>
      <c r="K111" s="223" t="s">
        <v>1847</v>
      </c>
      <c r="L111" s="228">
        <v>2813</v>
      </c>
      <c r="M111" s="228">
        <v>0</v>
      </c>
      <c r="N111" s="223" t="s">
        <v>1848</v>
      </c>
      <c r="O111" s="229" t="str">
        <f t="shared" si="2"/>
        <v>EBS1_2813_0</v>
      </c>
      <c r="P111" s="229" t="s">
        <v>1849</v>
      </c>
      <c r="Q111" s="227"/>
      <c r="R111" s="227">
        <v>110</v>
      </c>
      <c r="S111" s="227"/>
      <c r="T111" s="229" t="str">
        <f t="shared" si="3"/>
        <v>281300:Var_ui_ErrNo:=110;</v>
      </c>
    </row>
    <row r="112" ht="16.5" spans="1:20">
      <c r="A112" s="222">
        <v>111</v>
      </c>
      <c r="B112" s="35">
        <v>10</v>
      </c>
      <c r="C112" s="35">
        <v>254</v>
      </c>
      <c r="F112" s="224"/>
      <c r="G112" s="224"/>
      <c r="H112" s="223" t="s">
        <v>1845</v>
      </c>
      <c r="I112" s="223" t="s">
        <v>1840</v>
      </c>
      <c r="J112" s="223" t="s">
        <v>1850</v>
      </c>
      <c r="K112" s="223" t="s">
        <v>1851</v>
      </c>
      <c r="L112" s="228">
        <v>2814</v>
      </c>
      <c r="M112" s="228">
        <v>0</v>
      </c>
      <c r="N112" s="223" t="s">
        <v>1848</v>
      </c>
      <c r="O112" s="229" t="str">
        <f t="shared" si="2"/>
        <v>EBS1_2814_0</v>
      </c>
      <c r="P112" s="229" t="s">
        <v>1852</v>
      </c>
      <c r="Q112" s="227"/>
      <c r="R112" s="227">
        <v>111</v>
      </c>
      <c r="S112" s="227"/>
      <c r="T112" s="229" t="str">
        <f t="shared" si="3"/>
        <v>281400:Var_ui_ErrNo:=111;</v>
      </c>
    </row>
    <row r="113" ht="16.5" spans="1:20">
      <c r="A113" s="222">
        <v>112</v>
      </c>
      <c r="B113" s="35">
        <v>10</v>
      </c>
      <c r="C113" s="35">
        <v>255</v>
      </c>
      <c r="F113" s="224"/>
      <c r="G113" s="224"/>
      <c r="H113" s="223" t="s">
        <v>1853</v>
      </c>
      <c r="I113" s="223" t="s">
        <v>1854</v>
      </c>
      <c r="J113" s="223" t="s">
        <v>1855</v>
      </c>
      <c r="K113" s="223" t="s">
        <v>1856</v>
      </c>
      <c r="L113" s="228">
        <v>2815</v>
      </c>
      <c r="M113" s="228">
        <v>0</v>
      </c>
      <c r="N113" s="223" t="s">
        <v>1857</v>
      </c>
      <c r="O113" s="229" t="str">
        <f t="shared" si="2"/>
        <v>EBS1_2815_0</v>
      </c>
      <c r="P113" s="229" t="s">
        <v>1858</v>
      </c>
      <c r="Q113" s="227"/>
      <c r="R113" s="227">
        <v>112</v>
      </c>
      <c r="S113" s="227"/>
      <c r="T113" s="229" t="str">
        <f t="shared" si="3"/>
        <v>281500:Var_ui_ErrNo:=112;</v>
      </c>
    </row>
    <row r="114" ht="16.5" spans="1:20">
      <c r="A114" s="222">
        <v>113</v>
      </c>
      <c r="B114" s="35">
        <v>12</v>
      </c>
      <c r="C114" s="35">
        <v>10</v>
      </c>
      <c r="F114" s="224"/>
      <c r="G114" s="224"/>
      <c r="H114" s="223" t="s">
        <v>1859</v>
      </c>
      <c r="I114" s="223" t="s">
        <v>1860</v>
      </c>
      <c r="J114" s="223" t="s">
        <v>1861</v>
      </c>
      <c r="K114" s="223" t="s">
        <v>1862</v>
      </c>
      <c r="L114" s="228">
        <v>3082</v>
      </c>
      <c r="M114" s="228">
        <v>0</v>
      </c>
      <c r="N114" s="223" t="s">
        <v>1863</v>
      </c>
      <c r="O114" s="229" t="str">
        <f t="shared" si="2"/>
        <v>EBS1_3082_0</v>
      </c>
      <c r="P114" s="229" t="s">
        <v>1864</v>
      </c>
      <c r="Q114" s="227"/>
      <c r="R114" s="227">
        <v>113</v>
      </c>
      <c r="S114" s="227"/>
      <c r="T114" s="229" t="str">
        <f t="shared" si="3"/>
        <v>308200:Var_ui_ErrNo:=113;</v>
      </c>
    </row>
    <row r="115" ht="16.5" spans="1:20">
      <c r="A115" s="222">
        <v>114</v>
      </c>
      <c r="B115" s="35">
        <v>12</v>
      </c>
      <c r="C115" s="35">
        <v>15</v>
      </c>
      <c r="F115" s="224"/>
      <c r="G115" s="224"/>
      <c r="H115" s="223" t="s">
        <v>1865</v>
      </c>
      <c r="I115" s="223" t="s">
        <v>1866</v>
      </c>
      <c r="J115" s="223" t="s">
        <v>1867</v>
      </c>
      <c r="K115" s="223" t="s">
        <v>1868</v>
      </c>
      <c r="L115" s="228">
        <v>3087</v>
      </c>
      <c r="M115" s="228">
        <v>0</v>
      </c>
      <c r="N115" s="223" t="s">
        <v>1863</v>
      </c>
      <c r="O115" s="229" t="str">
        <f t="shared" si="2"/>
        <v>EBS1_3087_0</v>
      </c>
      <c r="P115" s="229" t="s">
        <v>1869</v>
      </c>
      <c r="Q115" s="227"/>
      <c r="R115" s="227">
        <v>114</v>
      </c>
      <c r="S115" s="227"/>
      <c r="T115" s="229" t="str">
        <f t="shared" si="3"/>
        <v>308700:Var_ui_ErrNo:=114;</v>
      </c>
    </row>
    <row r="116" ht="16.5" spans="1:20">
      <c r="A116" s="222">
        <v>115</v>
      </c>
      <c r="B116" s="35">
        <v>12</v>
      </c>
      <c r="C116" s="35">
        <v>16</v>
      </c>
      <c r="F116" s="224"/>
      <c r="G116" s="224"/>
      <c r="H116" s="223" t="s">
        <v>1870</v>
      </c>
      <c r="I116" s="223" t="s">
        <v>1866</v>
      </c>
      <c r="J116" s="223" t="s">
        <v>1871</v>
      </c>
      <c r="K116" s="223" t="s">
        <v>1872</v>
      </c>
      <c r="L116" s="228">
        <v>3088</v>
      </c>
      <c r="M116" s="228">
        <v>0</v>
      </c>
      <c r="N116" s="223" t="s">
        <v>1863</v>
      </c>
      <c r="O116" s="229" t="str">
        <f t="shared" si="2"/>
        <v>EBS1_3088_0</v>
      </c>
      <c r="P116" s="229" t="s">
        <v>1873</v>
      </c>
      <c r="Q116" s="227"/>
      <c r="R116" s="227">
        <v>115</v>
      </c>
      <c r="S116" s="227"/>
      <c r="T116" s="229" t="str">
        <f t="shared" si="3"/>
        <v>308800:Var_ui_ErrNo:=115;</v>
      </c>
    </row>
    <row r="117" ht="16.5" spans="1:20">
      <c r="A117" s="222">
        <v>116</v>
      </c>
      <c r="B117" s="35">
        <v>12</v>
      </c>
      <c r="C117" s="35">
        <v>89</v>
      </c>
      <c r="F117" s="224"/>
      <c r="G117" s="224"/>
      <c r="H117" s="223" t="s">
        <v>1874</v>
      </c>
      <c r="I117" s="223" t="s">
        <v>1875</v>
      </c>
      <c r="J117" s="223" t="s">
        <v>1876</v>
      </c>
      <c r="K117" s="223" t="s">
        <v>1877</v>
      </c>
      <c r="L117" s="228">
        <v>3161</v>
      </c>
      <c r="M117" s="228">
        <v>0</v>
      </c>
      <c r="N117" s="223" t="s">
        <v>1878</v>
      </c>
      <c r="O117" s="229" t="str">
        <f t="shared" si="2"/>
        <v>EBS1_3161_0</v>
      </c>
      <c r="P117" s="229" t="s">
        <v>1879</v>
      </c>
      <c r="Q117" s="227"/>
      <c r="R117" s="227">
        <v>116</v>
      </c>
      <c r="S117" s="227"/>
      <c r="T117" s="229" t="str">
        <f t="shared" si="3"/>
        <v>316100:Var_ui_ErrNo:=116;</v>
      </c>
    </row>
    <row r="118" ht="16.5" spans="1:20">
      <c r="A118" s="222">
        <v>117</v>
      </c>
      <c r="B118" s="35">
        <v>12</v>
      </c>
      <c r="C118" s="35">
        <v>247</v>
      </c>
      <c r="F118" s="224"/>
      <c r="G118" s="224"/>
      <c r="H118" s="223" t="s">
        <v>1880</v>
      </c>
      <c r="I118" s="223" t="s">
        <v>1881</v>
      </c>
      <c r="J118" s="223" t="s">
        <v>1882</v>
      </c>
      <c r="K118" s="223" t="s">
        <v>1883</v>
      </c>
      <c r="L118" s="228">
        <v>3319</v>
      </c>
      <c r="M118" s="228">
        <v>0</v>
      </c>
      <c r="N118" s="223" t="s">
        <v>1884</v>
      </c>
      <c r="O118" s="229" t="str">
        <f t="shared" si="2"/>
        <v>EBS1_3319_0</v>
      </c>
      <c r="P118" s="229" t="s">
        <v>1885</v>
      </c>
      <c r="Q118" s="227"/>
      <c r="R118" s="227">
        <v>117</v>
      </c>
      <c r="S118" s="227"/>
      <c r="T118" s="229" t="str">
        <f t="shared" si="3"/>
        <v>331900:Var_ui_ErrNo:=117;</v>
      </c>
    </row>
    <row r="119" ht="16.5" spans="1:20">
      <c r="A119" s="222">
        <v>118</v>
      </c>
      <c r="B119" s="35">
        <v>12</v>
      </c>
      <c r="C119" s="35">
        <v>248</v>
      </c>
      <c r="F119" s="224"/>
      <c r="G119" s="224"/>
      <c r="H119" s="223" t="s">
        <v>1886</v>
      </c>
      <c r="I119" s="223" t="s">
        <v>1887</v>
      </c>
      <c r="J119" s="223" t="s">
        <v>1888</v>
      </c>
      <c r="K119" s="223" t="s">
        <v>1889</v>
      </c>
      <c r="L119" s="228">
        <v>3320</v>
      </c>
      <c r="M119" s="228">
        <v>0</v>
      </c>
      <c r="N119" s="223" t="s">
        <v>1890</v>
      </c>
      <c r="O119" s="229" t="str">
        <f t="shared" si="2"/>
        <v>EBS1_3320_0</v>
      </c>
      <c r="P119" s="229" t="s">
        <v>1891</v>
      </c>
      <c r="Q119" s="227"/>
      <c r="R119" s="227">
        <v>118</v>
      </c>
      <c r="S119" s="227"/>
      <c r="T119" s="229" t="str">
        <f t="shared" si="3"/>
        <v>332000:Var_ui_ErrNo:=118;</v>
      </c>
    </row>
    <row r="120" ht="16.5" spans="1:20">
      <c r="A120" s="222">
        <v>119</v>
      </c>
      <c r="B120" s="35">
        <v>12</v>
      </c>
      <c r="C120" s="35">
        <v>249</v>
      </c>
      <c r="F120" s="224"/>
      <c r="G120" s="224"/>
      <c r="H120" s="223" t="s">
        <v>1892</v>
      </c>
      <c r="I120" s="223" t="s">
        <v>1893</v>
      </c>
      <c r="J120" s="223" t="s">
        <v>1894</v>
      </c>
      <c r="K120" s="223" t="s">
        <v>1895</v>
      </c>
      <c r="L120" s="228">
        <v>3321</v>
      </c>
      <c r="M120" s="228">
        <v>0</v>
      </c>
      <c r="N120" s="223" t="s">
        <v>1896</v>
      </c>
      <c r="O120" s="229" t="str">
        <f t="shared" si="2"/>
        <v>EBS1_3321_0</v>
      </c>
      <c r="P120" s="229" t="s">
        <v>1897</v>
      </c>
      <c r="Q120" s="227"/>
      <c r="R120" s="227">
        <v>119</v>
      </c>
      <c r="S120" s="227"/>
      <c r="T120" s="229" t="str">
        <f t="shared" si="3"/>
        <v>332100:Var_ui_ErrNo:=119;</v>
      </c>
    </row>
    <row r="121" ht="16.5" spans="1:20">
      <c r="A121" s="222">
        <v>120</v>
      </c>
      <c r="B121" s="35">
        <v>12</v>
      </c>
      <c r="C121" s="35">
        <v>250</v>
      </c>
      <c r="F121" s="224"/>
      <c r="G121" s="224"/>
      <c r="H121" s="223" t="s">
        <v>1898</v>
      </c>
      <c r="I121" s="223" t="s">
        <v>1899</v>
      </c>
      <c r="J121" s="223" t="s">
        <v>1900</v>
      </c>
      <c r="K121" s="223" t="s">
        <v>1901</v>
      </c>
      <c r="L121" s="228">
        <v>3322</v>
      </c>
      <c r="M121" s="228">
        <v>0</v>
      </c>
      <c r="N121" s="223" t="s">
        <v>1902</v>
      </c>
      <c r="O121" s="229" t="str">
        <f t="shared" si="2"/>
        <v>EBS1_3322_0</v>
      </c>
      <c r="P121" s="229" t="s">
        <v>1903</v>
      </c>
      <c r="Q121" s="227"/>
      <c r="R121" s="227">
        <v>120</v>
      </c>
      <c r="S121" s="227"/>
      <c r="T121" s="229" t="str">
        <f t="shared" si="3"/>
        <v>332200:Var_ui_ErrNo:=120;</v>
      </c>
    </row>
    <row r="122" ht="16.5" spans="1:20">
      <c r="A122" s="222">
        <v>121</v>
      </c>
      <c r="B122" s="35">
        <v>12</v>
      </c>
      <c r="C122" s="35">
        <v>251</v>
      </c>
      <c r="F122" s="224"/>
      <c r="G122" s="224"/>
      <c r="H122" s="223" t="s">
        <v>1904</v>
      </c>
      <c r="I122" s="223" t="s">
        <v>1905</v>
      </c>
      <c r="J122" s="223" t="s">
        <v>1906</v>
      </c>
      <c r="K122" s="223" t="s">
        <v>1907</v>
      </c>
      <c r="L122" s="228">
        <v>3323</v>
      </c>
      <c r="M122" s="228">
        <v>0</v>
      </c>
      <c r="N122" s="223" t="s">
        <v>1908</v>
      </c>
      <c r="O122" s="229" t="str">
        <f t="shared" si="2"/>
        <v>EBS1_3323_0</v>
      </c>
      <c r="P122" s="229" t="s">
        <v>1909</v>
      </c>
      <c r="Q122" s="227"/>
      <c r="R122" s="227">
        <v>121</v>
      </c>
      <c r="S122" s="227"/>
      <c r="T122" s="229" t="str">
        <f t="shared" si="3"/>
        <v>332300:Var_ui_ErrNo:=121;</v>
      </c>
    </row>
    <row r="123" ht="16.5" spans="1:20">
      <c r="A123" s="222">
        <v>122</v>
      </c>
      <c r="B123" s="35">
        <v>14</v>
      </c>
      <c r="C123" s="35">
        <v>2</v>
      </c>
      <c r="F123" s="224"/>
      <c r="G123" s="224"/>
      <c r="H123" s="223" t="s">
        <v>1910</v>
      </c>
      <c r="I123" s="223" t="s">
        <v>1911</v>
      </c>
      <c r="J123" s="223" t="s">
        <v>1912</v>
      </c>
      <c r="K123" s="223" t="s">
        <v>1913</v>
      </c>
      <c r="L123" s="228">
        <v>3586</v>
      </c>
      <c r="M123" s="228">
        <v>0</v>
      </c>
      <c r="N123" s="223" t="s">
        <v>1914</v>
      </c>
      <c r="O123" s="229" t="str">
        <f t="shared" si="2"/>
        <v>EBS1_3586_0</v>
      </c>
      <c r="P123" s="229" t="s">
        <v>1915</v>
      </c>
      <c r="Q123" s="227"/>
      <c r="R123" s="227">
        <v>122</v>
      </c>
      <c r="S123" s="227"/>
      <c r="T123" s="229" t="str">
        <f t="shared" si="3"/>
        <v>358600:Var_ui_ErrNo:=122;</v>
      </c>
    </row>
    <row r="124" ht="16.5" spans="1:20">
      <c r="A124" s="222">
        <v>123</v>
      </c>
      <c r="B124" s="35">
        <v>14</v>
      </c>
      <c r="C124" s="35">
        <v>10</v>
      </c>
      <c r="F124" s="224"/>
      <c r="G124" s="224"/>
      <c r="H124" s="223" t="s">
        <v>1916</v>
      </c>
      <c r="I124" s="223" t="s">
        <v>1917</v>
      </c>
      <c r="J124" s="223" t="s">
        <v>1918</v>
      </c>
      <c r="K124" s="223" t="s">
        <v>1919</v>
      </c>
      <c r="L124" s="228">
        <v>3594</v>
      </c>
      <c r="M124" s="228">
        <v>0</v>
      </c>
      <c r="N124" s="223" t="s">
        <v>1920</v>
      </c>
      <c r="O124" s="229" t="str">
        <f t="shared" si="2"/>
        <v>EBS1_3594_0</v>
      </c>
      <c r="P124" s="229" t="s">
        <v>1921</v>
      </c>
      <c r="Q124" s="227"/>
      <c r="R124" s="227">
        <v>123</v>
      </c>
      <c r="S124" s="227"/>
      <c r="T124" s="229" t="str">
        <f t="shared" si="3"/>
        <v>359400:Var_ui_ErrNo:=123;</v>
      </c>
    </row>
    <row r="125" ht="16.5" spans="1:20">
      <c r="A125" s="222">
        <v>124</v>
      </c>
      <c r="B125" s="35">
        <v>14</v>
      </c>
      <c r="C125" s="35">
        <v>13</v>
      </c>
      <c r="F125" s="224"/>
      <c r="G125" s="224"/>
      <c r="H125" s="223" t="s">
        <v>1916</v>
      </c>
      <c r="I125" s="223" t="s">
        <v>1453</v>
      </c>
      <c r="J125" s="223" t="s">
        <v>1922</v>
      </c>
      <c r="K125" s="223" t="s">
        <v>1923</v>
      </c>
      <c r="L125" s="228">
        <v>3597</v>
      </c>
      <c r="M125" s="228">
        <v>0</v>
      </c>
      <c r="N125" s="223" t="s">
        <v>1920</v>
      </c>
      <c r="O125" s="229" t="str">
        <f t="shared" si="2"/>
        <v>EBS1_3597_0</v>
      </c>
      <c r="P125" s="229" t="s">
        <v>1924</v>
      </c>
      <c r="Q125" s="227"/>
      <c r="R125" s="227">
        <v>124</v>
      </c>
      <c r="S125" s="227"/>
      <c r="T125" s="229" t="str">
        <f t="shared" si="3"/>
        <v>359700:Var_ui_ErrNo:=124;</v>
      </c>
    </row>
    <row r="126" ht="16.5" spans="1:20">
      <c r="A126" s="222">
        <v>125</v>
      </c>
      <c r="B126" s="35">
        <v>14</v>
      </c>
      <c r="C126" s="35">
        <v>14</v>
      </c>
      <c r="F126" s="224"/>
      <c r="G126" s="224"/>
      <c r="H126" s="223" t="s">
        <v>1916</v>
      </c>
      <c r="I126" s="223" t="s">
        <v>1917</v>
      </c>
      <c r="J126" s="223" t="s">
        <v>1925</v>
      </c>
      <c r="K126" s="223" t="s">
        <v>1926</v>
      </c>
      <c r="L126" s="228">
        <v>3598</v>
      </c>
      <c r="M126" s="228">
        <v>0</v>
      </c>
      <c r="N126" s="223" t="s">
        <v>1920</v>
      </c>
      <c r="O126" s="229" t="str">
        <f t="shared" si="2"/>
        <v>EBS1_3598_0</v>
      </c>
      <c r="P126" s="229" t="s">
        <v>1927</v>
      </c>
      <c r="Q126" s="227"/>
      <c r="R126" s="227">
        <v>125</v>
      </c>
      <c r="S126" s="227"/>
      <c r="T126" s="229" t="str">
        <f t="shared" si="3"/>
        <v>359800:Var_ui_ErrNo:=125;</v>
      </c>
    </row>
    <row r="127" ht="16.5" spans="1:20">
      <c r="A127" s="222">
        <v>126</v>
      </c>
      <c r="B127" s="35">
        <v>15</v>
      </c>
      <c r="C127" s="35">
        <v>10</v>
      </c>
      <c r="F127" s="224"/>
      <c r="G127" s="224"/>
      <c r="H127" s="223" t="s">
        <v>1928</v>
      </c>
      <c r="I127" s="223" t="s">
        <v>1929</v>
      </c>
      <c r="J127" s="223" t="s">
        <v>1930</v>
      </c>
      <c r="K127" s="223" t="s">
        <v>1931</v>
      </c>
      <c r="L127" s="228">
        <v>3850</v>
      </c>
      <c r="M127" s="228">
        <v>0</v>
      </c>
      <c r="N127" s="223" t="s">
        <v>1920</v>
      </c>
      <c r="O127" s="229" t="str">
        <f t="shared" si="2"/>
        <v>EBS1_3850_0</v>
      </c>
      <c r="P127" s="229" t="s">
        <v>1932</v>
      </c>
      <c r="Q127" s="227"/>
      <c r="R127" s="227">
        <v>126</v>
      </c>
      <c r="S127" s="227"/>
      <c r="T127" s="229" t="str">
        <f t="shared" si="3"/>
        <v>385000:Var_ui_ErrNo:=126;</v>
      </c>
    </row>
    <row r="128" ht="16.5" spans="1:20">
      <c r="A128" s="222">
        <v>127</v>
      </c>
      <c r="B128" s="35">
        <v>15</v>
      </c>
      <c r="C128" s="35">
        <v>13</v>
      </c>
      <c r="F128" s="224"/>
      <c r="G128" s="224"/>
      <c r="H128" s="223" t="s">
        <v>1928</v>
      </c>
      <c r="I128" s="223" t="s">
        <v>1453</v>
      </c>
      <c r="J128" s="223" t="s">
        <v>1933</v>
      </c>
      <c r="K128" s="223" t="s">
        <v>1934</v>
      </c>
      <c r="L128" s="228">
        <v>3853</v>
      </c>
      <c r="M128" s="228">
        <v>0</v>
      </c>
      <c r="N128" s="223" t="s">
        <v>1920</v>
      </c>
      <c r="O128" s="229" t="str">
        <f t="shared" si="2"/>
        <v>EBS1_3853_0</v>
      </c>
      <c r="P128" s="229" t="s">
        <v>1935</v>
      </c>
      <c r="Q128" s="227"/>
      <c r="R128" s="227">
        <v>127</v>
      </c>
      <c r="S128" s="227"/>
      <c r="T128" s="229" t="str">
        <f t="shared" si="3"/>
        <v>385300:Var_ui_ErrNo:=127;</v>
      </c>
    </row>
    <row r="129" ht="16.5" spans="1:20">
      <c r="A129" s="222">
        <v>128</v>
      </c>
      <c r="B129" s="35">
        <v>21</v>
      </c>
      <c r="C129" s="35">
        <v>50</v>
      </c>
      <c r="F129" s="224"/>
      <c r="G129" s="224"/>
      <c r="H129" s="223" t="s">
        <v>1936</v>
      </c>
      <c r="I129" s="223" t="s">
        <v>1937</v>
      </c>
      <c r="J129" s="223" t="s">
        <v>1938</v>
      </c>
      <c r="K129" s="223" t="s">
        <v>1939</v>
      </c>
      <c r="L129" s="228">
        <v>5426</v>
      </c>
      <c r="M129" s="228">
        <v>0</v>
      </c>
      <c r="N129" s="223" t="s">
        <v>1940</v>
      </c>
      <c r="O129" s="229" t="str">
        <f t="shared" si="2"/>
        <v>EBS1_5426_0</v>
      </c>
      <c r="P129" s="229" t="s">
        <v>1941</v>
      </c>
      <c r="Q129" s="227"/>
      <c r="R129" s="227">
        <v>128</v>
      </c>
      <c r="S129" s="227"/>
      <c r="T129" s="229" t="str">
        <f t="shared" si="3"/>
        <v>542600:Var_ui_ErrNo:=128;</v>
      </c>
    </row>
    <row r="130" ht="16.5" spans="1:20">
      <c r="A130" s="222">
        <v>129</v>
      </c>
      <c r="B130" s="35">
        <v>24</v>
      </c>
      <c r="C130" s="35">
        <v>19</v>
      </c>
      <c r="F130" s="224"/>
      <c r="G130" s="224"/>
      <c r="H130" s="223" t="s">
        <v>1942</v>
      </c>
      <c r="I130" s="223" t="s">
        <v>1943</v>
      </c>
      <c r="J130" s="223" t="s">
        <v>1944</v>
      </c>
      <c r="K130" s="223" t="s">
        <v>1945</v>
      </c>
      <c r="L130" s="228">
        <v>6163</v>
      </c>
      <c r="M130" s="228">
        <v>0</v>
      </c>
      <c r="N130" s="223" t="s">
        <v>1946</v>
      </c>
      <c r="O130" s="229" t="str">
        <f t="shared" ref="O130:O193" si="4">"EBS1_"&amp;L130&amp;"_"&amp;M130</f>
        <v>EBS1_6163_0</v>
      </c>
      <c r="P130" s="229" t="s">
        <v>1947</v>
      </c>
      <c r="Q130" s="227"/>
      <c r="R130" s="227">
        <v>129</v>
      </c>
      <c r="S130" s="227"/>
      <c r="T130" s="229" t="str">
        <f t="shared" si="3"/>
        <v>616300:Var_ui_ErrNo:=129;</v>
      </c>
    </row>
    <row r="131" ht="16.5" spans="1:20">
      <c r="A131" s="222">
        <v>130</v>
      </c>
      <c r="B131" s="35">
        <v>24</v>
      </c>
      <c r="C131" s="35">
        <v>45</v>
      </c>
      <c r="F131" s="224"/>
      <c r="G131" s="224"/>
      <c r="H131" s="223" t="s">
        <v>1948</v>
      </c>
      <c r="I131" s="223" t="s">
        <v>1461</v>
      </c>
      <c r="J131" s="223" t="s">
        <v>1949</v>
      </c>
      <c r="K131" s="223" t="s">
        <v>1950</v>
      </c>
      <c r="L131" s="228">
        <v>6189</v>
      </c>
      <c r="M131" s="228">
        <v>0</v>
      </c>
      <c r="N131" s="223" t="s">
        <v>1951</v>
      </c>
      <c r="O131" s="229" t="str">
        <f t="shared" si="4"/>
        <v>EBS1_6189_0</v>
      </c>
      <c r="P131" s="229" t="s">
        <v>1952</v>
      </c>
      <c r="Q131" s="227"/>
      <c r="R131" s="227">
        <v>130</v>
      </c>
      <c r="S131" s="227"/>
      <c r="T131" s="229" t="str">
        <f t="shared" ref="T131:T194" si="5">P131&amp;$Q$2&amp;R131&amp;$S$2</f>
        <v>618900:Var_ui_ErrNo:=130;</v>
      </c>
    </row>
    <row r="132" ht="16.5" spans="1:20">
      <c r="A132" s="222">
        <v>131</v>
      </c>
      <c r="B132" s="35">
        <v>25</v>
      </c>
      <c r="C132" s="35">
        <v>45</v>
      </c>
      <c r="F132" s="224"/>
      <c r="G132" s="224"/>
      <c r="H132" s="223" t="s">
        <v>1416</v>
      </c>
      <c r="I132" s="223" t="s">
        <v>1461</v>
      </c>
      <c r="J132" s="223" t="s">
        <v>1953</v>
      </c>
      <c r="K132" s="223" t="s">
        <v>1954</v>
      </c>
      <c r="L132" s="228">
        <v>6445</v>
      </c>
      <c r="M132" s="228">
        <v>0</v>
      </c>
      <c r="N132" s="223" t="s">
        <v>1420</v>
      </c>
      <c r="O132" s="229" t="str">
        <f t="shared" si="4"/>
        <v>EBS1_6445_0</v>
      </c>
      <c r="P132" s="229" t="s">
        <v>1955</v>
      </c>
      <c r="Q132" s="227"/>
      <c r="R132" s="227">
        <v>131</v>
      </c>
      <c r="S132" s="227"/>
      <c r="T132" s="229" t="str">
        <f t="shared" si="5"/>
        <v>644500:Var_ui_ErrNo:=131;</v>
      </c>
    </row>
    <row r="133" ht="16.5" spans="1:20">
      <c r="A133" s="222">
        <v>132</v>
      </c>
      <c r="B133" s="35">
        <v>31</v>
      </c>
      <c r="C133" s="35">
        <v>30</v>
      </c>
      <c r="F133" s="224"/>
      <c r="G133" s="224"/>
      <c r="H133" s="223" t="s">
        <v>1956</v>
      </c>
      <c r="I133" s="223" t="s">
        <v>1957</v>
      </c>
      <c r="J133" s="223" t="s">
        <v>1958</v>
      </c>
      <c r="K133" s="223" t="s">
        <v>1959</v>
      </c>
      <c r="L133" s="228">
        <v>7966</v>
      </c>
      <c r="M133" s="228">
        <v>0</v>
      </c>
      <c r="N133" s="223" t="s">
        <v>1960</v>
      </c>
      <c r="O133" s="229" t="str">
        <f t="shared" si="4"/>
        <v>EBS1_7966_0</v>
      </c>
      <c r="P133" s="229" t="s">
        <v>1961</v>
      </c>
      <c r="Q133" s="227"/>
      <c r="R133" s="227">
        <v>132</v>
      </c>
      <c r="S133" s="227"/>
      <c r="T133" s="229" t="str">
        <f t="shared" si="5"/>
        <v>796600:Var_ui_ErrNo:=132;</v>
      </c>
    </row>
    <row r="134" ht="16.5" spans="1:20">
      <c r="A134" s="222">
        <v>133</v>
      </c>
      <c r="B134" s="35">
        <v>31</v>
      </c>
      <c r="C134" s="35">
        <v>31</v>
      </c>
      <c r="F134" s="224"/>
      <c r="G134" s="224"/>
      <c r="H134" s="223" t="s">
        <v>1962</v>
      </c>
      <c r="I134" s="223" t="s">
        <v>1963</v>
      </c>
      <c r="J134" s="223" t="s">
        <v>1964</v>
      </c>
      <c r="K134" s="223" t="s">
        <v>1965</v>
      </c>
      <c r="L134" s="228">
        <v>7967</v>
      </c>
      <c r="M134" s="228">
        <v>0</v>
      </c>
      <c r="N134" s="223" t="s">
        <v>1966</v>
      </c>
      <c r="O134" s="229" t="str">
        <f t="shared" si="4"/>
        <v>EBS1_7967_0</v>
      </c>
      <c r="P134" s="229" t="s">
        <v>1967</v>
      </c>
      <c r="Q134" s="227"/>
      <c r="R134" s="227">
        <v>133</v>
      </c>
      <c r="S134" s="227"/>
      <c r="T134" s="229" t="str">
        <f t="shared" si="5"/>
        <v>796700:Var_ui_ErrNo:=133;</v>
      </c>
    </row>
    <row r="135" ht="16.5" spans="1:20">
      <c r="A135" s="222">
        <v>134</v>
      </c>
      <c r="B135" s="35">
        <v>31</v>
      </c>
      <c r="C135" s="35">
        <v>32</v>
      </c>
      <c r="F135" s="224"/>
      <c r="G135" s="224"/>
      <c r="H135" s="223" t="s">
        <v>1968</v>
      </c>
      <c r="I135" s="223" t="s">
        <v>1957</v>
      </c>
      <c r="J135" s="223" t="s">
        <v>1969</v>
      </c>
      <c r="K135" s="223" t="s">
        <v>1970</v>
      </c>
      <c r="L135" s="228">
        <v>7968</v>
      </c>
      <c r="M135" s="228">
        <v>0</v>
      </c>
      <c r="N135" s="223" t="s">
        <v>1971</v>
      </c>
      <c r="O135" s="229" t="str">
        <f t="shared" si="4"/>
        <v>EBS1_7968_0</v>
      </c>
      <c r="P135" s="229" t="s">
        <v>1972</v>
      </c>
      <c r="Q135" s="227"/>
      <c r="R135" s="227">
        <v>134</v>
      </c>
      <c r="S135" s="227"/>
      <c r="T135" s="229" t="str">
        <f t="shared" si="5"/>
        <v>796800:Var_ui_ErrNo:=134;</v>
      </c>
    </row>
    <row r="136" ht="16.5" spans="1:20">
      <c r="A136" s="222">
        <v>135</v>
      </c>
      <c r="B136" s="35">
        <v>31</v>
      </c>
      <c r="C136" s="35">
        <v>33</v>
      </c>
      <c r="F136" s="224"/>
      <c r="G136" s="224"/>
      <c r="H136" s="223" t="s">
        <v>1973</v>
      </c>
      <c r="I136" s="223" t="s">
        <v>1957</v>
      </c>
      <c r="J136" s="223" t="s">
        <v>1974</v>
      </c>
      <c r="K136" s="223" t="s">
        <v>1975</v>
      </c>
      <c r="L136" s="228">
        <v>7969</v>
      </c>
      <c r="M136" s="228">
        <v>0</v>
      </c>
      <c r="N136" s="223" t="s">
        <v>1976</v>
      </c>
      <c r="O136" s="229" t="str">
        <f t="shared" si="4"/>
        <v>EBS1_7969_0</v>
      </c>
      <c r="P136" s="229" t="s">
        <v>1977</v>
      </c>
      <c r="Q136" s="227"/>
      <c r="R136" s="227">
        <v>135</v>
      </c>
      <c r="S136" s="227"/>
      <c r="T136" s="229" t="str">
        <f t="shared" si="5"/>
        <v>796900:Var_ui_ErrNo:=135;</v>
      </c>
    </row>
    <row r="137" ht="16.5" spans="1:20">
      <c r="A137" s="222">
        <v>136</v>
      </c>
      <c r="B137" s="35">
        <v>31</v>
      </c>
      <c r="C137" s="35">
        <v>35</v>
      </c>
      <c r="F137" s="224"/>
      <c r="G137" s="224"/>
      <c r="H137" s="223" t="s">
        <v>1978</v>
      </c>
      <c r="I137" s="223" t="s">
        <v>1963</v>
      </c>
      <c r="J137" s="223" t="s">
        <v>1979</v>
      </c>
      <c r="K137" s="223" t="s">
        <v>1980</v>
      </c>
      <c r="L137" s="228">
        <v>7971</v>
      </c>
      <c r="M137" s="228">
        <v>0</v>
      </c>
      <c r="N137" s="223" t="s">
        <v>1981</v>
      </c>
      <c r="O137" s="229" t="str">
        <f t="shared" si="4"/>
        <v>EBS1_7971_0</v>
      </c>
      <c r="P137" s="229" t="s">
        <v>1982</v>
      </c>
      <c r="Q137" s="227"/>
      <c r="R137" s="227">
        <v>136</v>
      </c>
      <c r="S137" s="227"/>
      <c r="T137" s="229" t="str">
        <f t="shared" si="5"/>
        <v>797100:Var_ui_ErrNo:=136;</v>
      </c>
    </row>
    <row r="138" ht="16.5" spans="1:20">
      <c r="A138" s="222">
        <v>137</v>
      </c>
      <c r="B138" s="35">
        <v>32</v>
      </c>
      <c r="C138" s="35">
        <v>30</v>
      </c>
      <c r="F138" s="224"/>
      <c r="G138" s="224"/>
      <c r="H138" s="223" t="s">
        <v>1983</v>
      </c>
      <c r="I138" s="223" t="s">
        <v>1957</v>
      </c>
      <c r="J138" s="223" t="s">
        <v>1984</v>
      </c>
      <c r="K138" s="223" t="s">
        <v>1985</v>
      </c>
      <c r="L138" s="228">
        <v>8222</v>
      </c>
      <c r="M138" s="228">
        <v>0</v>
      </c>
      <c r="N138" s="223" t="s">
        <v>1986</v>
      </c>
      <c r="O138" s="229" t="str">
        <f t="shared" si="4"/>
        <v>EBS1_8222_0</v>
      </c>
      <c r="P138" s="229" t="s">
        <v>1987</v>
      </c>
      <c r="Q138" s="227"/>
      <c r="R138" s="227">
        <v>137</v>
      </c>
      <c r="S138" s="227"/>
      <c r="T138" s="229" t="str">
        <f t="shared" si="5"/>
        <v>822200:Var_ui_ErrNo:=137;</v>
      </c>
    </row>
    <row r="139" ht="16.5" spans="1:20">
      <c r="A139" s="222">
        <v>138</v>
      </c>
      <c r="B139" s="35">
        <v>32</v>
      </c>
      <c r="C139" s="35">
        <v>31</v>
      </c>
      <c r="F139" s="224"/>
      <c r="G139" s="224"/>
      <c r="H139" s="223" t="s">
        <v>1988</v>
      </c>
      <c r="I139" s="223" t="s">
        <v>1957</v>
      </c>
      <c r="J139" s="223" t="s">
        <v>1989</v>
      </c>
      <c r="K139" s="223" t="s">
        <v>1990</v>
      </c>
      <c r="L139" s="228">
        <v>8223</v>
      </c>
      <c r="M139" s="228">
        <v>0</v>
      </c>
      <c r="N139" s="223" t="s">
        <v>1991</v>
      </c>
      <c r="O139" s="229" t="str">
        <f t="shared" si="4"/>
        <v>EBS1_8223_0</v>
      </c>
      <c r="P139" s="229" t="s">
        <v>1992</v>
      </c>
      <c r="Q139" s="227"/>
      <c r="R139" s="227">
        <v>138</v>
      </c>
      <c r="S139" s="227"/>
      <c r="T139" s="229" t="str">
        <f t="shared" si="5"/>
        <v>822300:Var_ui_ErrNo:=138;</v>
      </c>
    </row>
    <row r="140" ht="16.5" spans="1:20">
      <c r="A140" s="222">
        <v>139</v>
      </c>
      <c r="B140" s="35">
        <v>32</v>
      </c>
      <c r="C140" s="35">
        <v>32</v>
      </c>
      <c r="F140" s="224"/>
      <c r="G140" s="224"/>
      <c r="H140" s="223" t="s">
        <v>1993</v>
      </c>
      <c r="I140" s="223" t="s">
        <v>1963</v>
      </c>
      <c r="J140" s="223" t="s">
        <v>1994</v>
      </c>
      <c r="K140" s="223" t="s">
        <v>1995</v>
      </c>
      <c r="L140" s="228">
        <v>8224</v>
      </c>
      <c r="M140" s="228">
        <v>0</v>
      </c>
      <c r="N140" s="223" t="s">
        <v>1996</v>
      </c>
      <c r="O140" s="229" t="str">
        <f t="shared" si="4"/>
        <v>EBS1_8224_0</v>
      </c>
      <c r="P140" s="229" t="s">
        <v>1997</v>
      </c>
      <c r="Q140" s="227"/>
      <c r="R140" s="227">
        <v>139</v>
      </c>
      <c r="S140" s="227"/>
      <c r="T140" s="229" t="str">
        <f t="shared" si="5"/>
        <v>822400:Var_ui_ErrNo:=139;</v>
      </c>
    </row>
    <row r="141" ht="16.5" spans="1:20">
      <c r="A141" s="222">
        <v>140</v>
      </c>
      <c r="B141" s="35">
        <v>32</v>
      </c>
      <c r="C141" s="35">
        <v>33</v>
      </c>
      <c r="F141" s="224"/>
      <c r="G141" s="224"/>
      <c r="H141" s="223" t="s">
        <v>1998</v>
      </c>
      <c r="I141" s="223" t="s">
        <v>1963</v>
      </c>
      <c r="J141" s="223" t="s">
        <v>1999</v>
      </c>
      <c r="K141" s="223" t="s">
        <v>2000</v>
      </c>
      <c r="L141" s="228">
        <v>8225</v>
      </c>
      <c r="M141" s="228">
        <v>0</v>
      </c>
      <c r="N141" s="223" t="s">
        <v>2001</v>
      </c>
      <c r="O141" s="229" t="str">
        <f t="shared" si="4"/>
        <v>EBS1_8225_0</v>
      </c>
      <c r="P141" s="229" t="s">
        <v>2002</v>
      </c>
      <c r="Q141" s="227"/>
      <c r="R141" s="227">
        <v>140</v>
      </c>
      <c r="S141" s="227"/>
      <c r="T141" s="229" t="str">
        <f t="shared" si="5"/>
        <v>822500:Var_ui_ErrNo:=140;</v>
      </c>
    </row>
    <row r="142" ht="16.5" spans="1:20">
      <c r="A142" s="222">
        <v>141</v>
      </c>
      <c r="B142" s="35">
        <v>32</v>
      </c>
      <c r="C142" s="35">
        <v>35</v>
      </c>
      <c r="F142" s="224"/>
      <c r="G142" s="224"/>
      <c r="H142" s="223" t="s">
        <v>2003</v>
      </c>
      <c r="I142" s="223" t="s">
        <v>1957</v>
      </c>
      <c r="J142" s="223" t="s">
        <v>2004</v>
      </c>
      <c r="K142" s="223" t="s">
        <v>2005</v>
      </c>
      <c r="L142" s="228">
        <v>8227</v>
      </c>
      <c r="M142" s="228">
        <v>0</v>
      </c>
      <c r="N142" s="223" t="s">
        <v>2006</v>
      </c>
      <c r="O142" s="229" t="str">
        <f t="shared" si="4"/>
        <v>EBS1_8227_0</v>
      </c>
      <c r="P142" s="229" t="s">
        <v>2007</v>
      </c>
      <c r="Q142" s="227"/>
      <c r="R142" s="227">
        <v>141</v>
      </c>
      <c r="S142" s="227"/>
      <c r="T142" s="229" t="str">
        <f t="shared" si="5"/>
        <v>822700:Var_ui_ErrNo:=141;</v>
      </c>
    </row>
    <row r="143" ht="16.5" spans="1:20">
      <c r="A143" s="222">
        <v>142</v>
      </c>
      <c r="B143" s="35">
        <v>33</v>
      </c>
      <c r="C143" s="35">
        <v>30</v>
      </c>
      <c r="F143" s="224"/>
      <c r="G143" s="224"/>
      <c r="H143" s="223" t="s">
        <v>2008</v>
      </c>
      <c r="I143" s="223" t="s">
        <v>1957</v>
      </c>
      <c r="J143" s="223" t="s">
        <v>2009</v>
      </c>
      <c r="K143" s="223" t="s">
        <v>2010</v>
      </c>
      <c r="L143" s="228">
        <v>8478</v>
      </c>
      <c r="M143" s="228">
        <v>0</v>
      </c>
      <c r="N143" s="223" t="s">
        <v>2011</v>
      </c>
      <c r="O143" s="229" t="str">
        <f t="shared" si="4"/>
        <v>EBS1_8478_0</v>
      </c>
      <c r="P143" s="229" t="s">
        <v>2012</v>
      </c>
      <c r="Q143" s="227"/>
      <c r="R143" s="227">
        <v>142</v>
      </c>
      <c r="S143" s="227"/>
      <c r="T143" s="229" t="str">
        <f t="shared" si="5"/>
        <v>847800:Var_ui_ErrNo:=142;</v>
      </c>
    </row>
    <row r="144" ht="16.5" spans="1:20">
      <c r="A144" s="222">
        <v>143</v>
      </c>
      <c r="B144" s="35">
        <v>33</v>
      </c>
      <c r="C144" s="35">
        <v>31</v>
      </c>
      <c r="F144" s="224"/>
      <c r="G144" s="224"/>
      <c r="H144" s="223" t="s">
        <v>2013</v>
      </c>
      <c r="I144" s="223" t="s">
        <v>1963</v>
      </c>
      <c r="J144" s="223" t="s">
        <v>2014</v>
      </c>
      <c r="K144" s="223" t="s">
        <v>2015</v>
      </c>
      <c r="L144" s="228">
        <v>8479</v>
      </c>
      <c r="M144" s="228">
        <v>0</v>
      </c>
      <c r="N144" s="223" t="s">
        <v>2016</v>
      </c>
      <c r="O144" s="229" t="str">
        <f t="shared" si="4"/>
        <v>EBS1_8479_0</v>
      </c>
      <c r="P144" s="229" t="s">
        <v>2017</v>
      </c>
      <c r="Q144" s="227"/>
      <c r="R144" s="227">
        <v>143</v>
      </c>
      <c r="S144" s="227"/>
      <c r="T144" s="229" t="str">
        <f t="shared" si="5"/>
        <v>847900:Var_ui_ErrNo:=143;</v>
      </c>
    </row>
    <row r="145" ht="16.5" spans="1:20">
      <c r="A145" s="222">
        <v>144</v>
      </c>
      <c r="B145" s="35">
        <v>33</v>
      </c>
      <c r="C145" s="35">
        <v>32</v>
      </c>
      <c r="F145" s="224"/>
      <c r="G145" s="224"/>
      <c r="H145" s="223" t="s">
        <v>2018</v>
      </c>
      <c r="I145" s="223" t="s">
        <v>1957</v>
      </c>
      <c r="J145" s="223" t="s">
        <v>2019</v>
      </c>
      <c r="K145" s="223" t="s">
        <v>2020</v>
      </c>
      <c r="L145" s="228">
        <v>8480</v>
      </c>
      <c r="M145" s="228">
        <v>0</v>
      </c>
      <c r="N145" s="223" t="s">
        <v>2021</v>
      </c>
      <c r="O145" s="229" t="str">
        <f t="shared" si="4"/>
        <v>EBS1_8480_0</v>
      </c>
      <c r="P145" s="229" t="s">
        <v>2022</v>
      </c>
      <c r="Q145" s="227"/>
      <c r="R145" s="227">
        <v>144</v>
      </c>
      <c r="S145" s="227"/>
      <c r="T145" s="229" t="str">
        <f t="shared" si="5"/>
        <v>848000:Var_ui_ErrNo:=144;</v>
      </c>
    </row>
    <row r="146" ht="16.5" spans="1:20">
      <c r="A146" s="222">
        <v>145</v>
      </c>
      <c r="B146" s="35">
        <v>33</v>
      </c>
      <c r="C146" s="35">
        <v>33</v>
      </c>
      <c r="F146" s="224"/>
      <c r="G146" s="224"/>
      <c r="H146" s="223" t="s">
        <v>2023</v>
      </c>
      <c r="I146" s="223" t="s">
        <v>1957</v>
      </c>
      <c r="J146" s="223" t="s">
        <v>2024</v>
      </c>
      <c r="K146" s="223" t="s">
        <v>2025</v>
      </c>
      <c r="L146" s="228">
        <v>8481</v>
      </c>
      <c r="M146" s="228">
        <v>0</v>
      </c>
      <c r="N146" s="223" t="s">
        <v>2026</v>
      </c>
      <c r="O146" s="229" t="str">
        <f t="shared" si="4"/>
        <v>EBS1_8481_0</v>
      </c>
      <c r="P146" s="229" t="s">
        <v>2027</v>
      </c>
      <c r="Q146" s="227"/>
      <c r="R146" s="227">
        <v>145</v>
      </c>
      <c r="S146" s="227"/>
      <c r="T146" s="229" t="str">
        <f t="shared" si="5"/>
        <v>848100:Var_ui_ErrNo:=145;</v>
      </c>
    </row>
    <row r="147" ht="16.5" spans="1:20">
      <c r="A147" s="222">
        <v>146</v>
      </c>
      <c r="B147" s="35">
        <v>33</v>
      </c>
      <c r="C147" s="35">
        <v>35</v>
      </c>
      <c r="F147" s="224"/>
      <c r="G147" s="224"/>
      <c r="H147" s="223" t="s">
        <v>2028</v>
      </c>
      <c r="I147" s="223" t="s">
        <v>1963</v>
      </c>
      <c r="J147" s="223" t="s">
        <v>2029</v>
      </c>
      <c r="K147" s="223" t="s">
        <v>2030</v>
      </c>
      <c r="L147" s="228">
        <v>8483</v>
      </c>
      <c r="M147" s="228">
        <v>0</v>
      </c>
      <c r="N147" s="223" t="s">
        <v>2031</v>
      </c>
      <c r="O147" s="229" t="str">
        <f t="shared" si="4"/>
        <v>EBS1_8483_0</v>
      </c>
      <c r="P147" s="229" t="s">
        <v>2032</v>
      </c>
      <c r="Q147" s="227"/>
      <c r="R147" s="227">
        <v>146</v>
      </c>
      <c r="S147" s="227"/>
      <c r="T147" s="229" t="str">
        <f t="shared" si="5"/>
        <v>848300:Var_ui_ErrNo:=146;</v>
      </c>
    </row>
    <row r="148" ht="16.5" spans="1:20">
      <c r="A148" s="222">
        <v>147</v>
      </c>
      <c r="B148" s="35">
        <v>34</v>
      </c>
      <c r="C148" s="35">
        <v>30</v>
      </c>
      <c r="F148" s="224"/>
      <c r="G148" s="224"/>
      <c r="H148" s="223" t="s">
        <v>2033</v>
      </c>
      <c r="I148" s="223" t="s">
        <v>1957</v>
      </c>
      <c r="J148" s="223" t="s">
        <v>2034</v>
      </c>
      <c r="K148" s="223" t="s">
        <v>2035</v>
      </c>
      <c r="L148" s="228">
        <v>8734</v>
      </c>
      <c r="M148" s="228">
        <v>0</v>
      </c>
      <c r="N148" s="223" t="s">
        <v>2036</v>
      </c>
      <c r="O148" s="229" t="str">
        <f t="shared" si="4"/>
        <v>EBS1_8734_0</v>
      </c>
      <c r="P148" s="229" t="s">
        <v>2037</v>
      </c>
      <c r="Q148" s="227"/>
      <c r="R148" s="227">
        <v>147</v>
      </c>
      <c r="S148" s="227"/>
      <c r="T148" s="229" t="str">
        <f t="shared" si="5"/>
        <v>873400:Var_ui_ErrNo:=147;</v>
      </c>
    </row>
    <row r="149" ht="16.5" spans="1:20">
      <c r="A149" s="222">
        <v>148</v>
      </c>
      <c r="B149" s="35">
        <v>34</v>
      </c>
      <c r="C149" s="35">
        <v>31</v>
      </c>
      <c r="F149" s="224"/>
      <c r="G149" s="224"/>
      <c r="H149" s="223" t="s">
        <v>2038</v>
      </c>
      <c r="I149" s="223" t="s">
        <v>1957</v>
      </c>
      <c r="J149" s="223" t="s">
        <v>2039</v>
      </c>
      <c r="K149" s="223" t="s">
        <v>2040</v>
      </c>
      <c r="L149" s="228">
        <v>8735</v>
      </c>
      <c r="M149" s="228">
        <v>0</v>
      </c>
      <c r="N149" s="223" t="s">
        <v>2041</v>
      </c>
      <c r="O149" s="229" t="str">
        <f t="shared" si="4"/>
        <v>EBS1_8735_0</v>
      </c>
      <c r="P149" s="229" t="s">
        <v>2042</v>
      </c>
      <c r="Q149" s="227"/>
      <c r="R149" s="227">
        <v>148</v>
      </c>
      <c r="S149" s="227"/>
      <c r="T149" s="229" t="str">
        <f t="shared" si="5"/>
        <v>873500:Var_ui_ErrNo:=148;</v>
      </c>
    </row>
    <row r="150" ht="16.5" spans="1:20">
      <c r="A150" s="222">
        <v>149</v>
      </c>
      <c r="B150" s="35">
        <v>34</v>
      </c>
      <c r="C150" s="35">
        <v>32</v>
      </c>
      <c r="F150" s="224"/>
      <c r="G150" s="224"/>
      <c r="H150" s="223" t="s">
        <v>2043</v>
      </c>
      <c r="I150" s="223" t="s">
        <v>1963</v>
      </c>
      <c r="J150" s="223" t="s">
        <v>2044</v>
      </c>
      <c r="K150" s="223" t="s">
        <v>2045</v>
      </c>
      <c r="L150" s="228">
        <v>8736</v>
      </c>
      <c r="M150" s="228">
        <v>0</v>
      </c>
      <c r="N150" s="223" t="s">
        <v>2046</v>
      </c>
      <c r="O150" s="229" t="str">
        <f t="shared" si="4"/>
        <v>EBS1_8736_0</v>
      </c>
      <c r="P150" s="229" t="s">
        <v>2047</v>
      </c>
      <c r="Q150" s="227"/>
      <c r="R150" s="227">
        <v>149</v>
      </c>
      <c r="S150" s="227"/>
      <c r="T150" s="229" t="str">
        <f t="shared" si="5"/>
        <v>873600:Var_ui_ErrNo:=149;</v>
      </c>
    </row>
    <row r="151" ht="16.5" spans="1:20">
      <c r="A151" s="222">
        <v>150</v>
      </c>
      <c r="B151" s="35">
        <v>34</v>
      </c>
      <c r="C151" s="35">
        <v>33</v>
      </c>
      <c r="F151" s="224"/>
      <c r="G151" s="224"/>
      <c r="H151" s="223" t="s">
        <v>2048</v>
      </c>
      <c r="I151" s="223" t="s">
        <v>1957</v>
      </c>
      <c r="J151" s="223" t="s">
        <v>2049</v>
      </c>
      <c r="K151" s="223" t="s">
        <v>2050</v>
      </c>
      <c r="L151" s="228">
        <v>8737</v>
      </c>
      <c r="M151" s="228">
        <v>0</v>
      </c>
      <c r="N151" s="223" t="s">
        <v>2051</v>
      </c>
      <c r="O151" s="229" t="str">
        <f t="shared" si="4"/>
        <v>EBS1_8737_0</v>
      </c>
      <c r="P151" s="229" t="s">
        <v>2052</v>
      </c>
      <c r="Q151" s="227"/>
      <c r="R151" s="227">
        <v>150</v>
      </c>
      <c r="S151" s="227"/>
      <c r="T151" s="229" t="str">
        <f t="shared" si="5"/>
        <v>873700:Var_ui_ErrNo:=150;</v>
      </c>
    </row>
    <row r="152" ht="16.5" spans="1:20">
      <c r="A152" s="222">
        <v>151</v>
      </c>
      <c r="B152" s="35">
        <v>34</v>
      </c>
      <c r="C152" s="35">
        <v>35</v>
      </c>
      <c r="F152" s="224"/>
      <c r="G152" s="224"/>
      <c r="H152" s="223" t="s">
        <v>2053</v>
      </c>
      <c r="I152" s="223" t="s">
        <v>1957</v>
      </c>
      <c r="J152" s="223" t="s">
        <v>2054</v>
      </c>
      <c r="K152" s="223" t="s">
        <v>2055</v>
      </c>
      <c r="L152" s="228">
        <v>8739</v>
      </c>
      <c r="M152" s="228">
        <v>0</v>
      </c>
      <c r="N152" s="223" t="s">
        <v>2056</v>
      </c>
      <c r="O152" s="229" t="str">
        <f t="shared" si="4"/>
        <v>EBS1_8739_0</v>
      </c>
      <c r="P152" s="229" t="s">
        <v>2057</v>
      </c>
      <c r="Q152" s="227"/>
      <c r="R152" s="227">
        <v>151</v>
      </c>
      <c r="S152" s="227"/>
      <c r="T152" s="229" t="str">
        <f t="shared" si="5"/>
        <v>873900:Var_ui_ErrNo:=151;</v>
      </c>
    </row>
    <row r="153" ht="16.5" spans="1:20">
      <c r="A153" s="222">
        <v>152</v>
      </c>
      <c r="B153" s="35">
        <v>37</v>
      </c>
      <c r="C153" s="35">
        <v>51</v>
      </c>
      <c r="F153" s="224"/>
      <c r="G153" s="224"/>
      <c r="H153" s="223" t="s">
        <v>2058</v>
      </c>
      <c r="I153" s="223" t="s">
        <v>2059</v>
      </c>
      <c r="J153" s="223" t="s">
        <v>2060</v>
      </c>
      <c r="K153" s="223" t="s">
        <v>2061</v>
      </c>
      <c r="L153" s="228">
        <v>9523</v>
      </c>
      <c r="M153" s="228">
        <v>0</v>
      </c>
      <c r="N153" s="223" t="s">
        <v>2062</v>
      </c>
      <c r="O153" s="229" t="str">
        <f t="shared" si="4"/>
        <v>EBS1_9523_0</v>
      </c>
      <c r="P153" s="229" t="s">
        <v>2063</v>
      </c>
      <c r="Q153" s="227"/>
      <c r="R153" s="227">
        <v>152</v>
      </c>
      <c r="S153" s="227"/>
      <c r="T153" s="229" t="str">
        <f t="shared" si="5"/>
        <v>952300:Var_ui_ErrNo:=152;</v>
      </c>
    </row>
    <row r="154" ht="16.5" spans="1:20">
      <c r="A154" s="222">
        <v>153</v>
      </c>
      <c r="B154" s="35">
        <v>38</v>
      </c>
      <c r="C154" s="35">
        <v>51</v>
      </c>
      <c r="F154" s="224"/>
      <c r="G154" s="224"/>
      <c r="H154" s="223" t="s">
        <v>2064</v>
      </c>
      <c r="I154" s="223" t="s">
        <v>2065</v>
      </c>
      <c r="J154" s="223" t="s">
        <v>2066</v>
      </c>
      <c r="K154" s="223" t="s">
        <v>2067</v>
      </c>
      <c r="L154" s="228">
        <v>9779</v>
      </c>
      <c r="M154" s="228">
        <v>0</v>
      </c>
      <c r="N154" s="223" t="s">
        <v>2068</v>
      </c>
      <c r="O154" s="229" t="str">
        <f t="shared" si="4"/>
        <v>EBS1_9779_0</v>
      </c>
      <c r="P154" s="229" t="s">
        <v>2069</v>
      </c>
      <c r="Q154" s="227"/>
      <c r="R154" s="227">
        <v>153</v>
      </c>
      <c r="S154" s="227"/>
      <c r="T154" s="229" t="str">
        <f t="shared" si="5"/>
        <v>977900:Var_ui_ErrNo:=153;</v>
      </c>
    </row>
    <row r="155" ht="16.5" spans="1:20">
      <c r="A155" s="222">
        <v>154</v>
      </c>
      <c r="B155" s="35">
        <v>44</v>
      </c>
      <c r="C155" s="35">
        <v>50</v>
      </c>
      <c r="F155" s="224"/>
      <c r="G155" s="224"/>
      <c r="H155" s="223" t="s">
        <v>2070</v>
      </c>
      <c r="I155" s="223" t="s">
        <v>2071</v>
      </c>
      <c r="J155" s="223" t="s">
        <v>2072</v>
      </c>
      <c r="K155" s="223" t="s">
        <v>2073</v>
      </c>
      <c r="L155" s="228">
        <v>11314</v>
      </c>
      <c r="M155" s="228">
        <v>0</v>
      </c>
      <c r="N155" s="223" t="s">
        <v>2074</v>
      </c>
      <c r="O155" s="229" t="str">
        <f t="shared" si="4"/>
        <v>EBS1_11314_0</v>
      </c>
      <c r="P155" s="229" t="s">
        <v>2075</v>
      </c>
      <c r="Q155" s="227"/>
      <c r="R155" s="227">
        <v>154</v>
      </c>
      <c r="S155" s="227"/>
      <c r="T155" s="229" t="str">
        <f t="shared" si="5"/>
        <v>1131400:Var_ui_ErrNo:=154;</v>
      </c>
    </row>
    <row r="156" ht="16.5" spans="1:20">
      <c r="A156" s="222">
        <v>155</v>
      </c>
      <c r="B156" s="35">
        <v>45</v>
      </c>
      <c r="C156" s="35">
        <v>10</v>
      </c>
      <c r="F156" s="224"/>
      <c r="G156" s="224"/>
      <c r="H156" s="223" t="s">
        <v>2076</v>
      </c>
      <c r="I156" s="223" t="s">
        <v>2077</v>
      </c>
      <c r="J156" s="223" t="s">
        <v>2078</v>
      </c>
      <c r="K156" s="223" t="s">
        <v>2079</v>
      </c>
      <c r="L156" s="228">
        <v>11530</v>
      </c>
      <c r="M156" s="228">
        <v>0</v>
      </c>
      <c r="N156" s="223" t="s">
        <v>2080</v>
      </c>
      <c r="O156" s="229" t="str">
        <f t="shared" si="4"/>
        <v>EBS1_11530_0</v>
      </c>
      <c r="P156" s="229" t="s">
        <v>2081</v>
      </c>
      <c r="Q156" s="227"/>
      <c r="R156" s="227">
        <v>155</v>
      </c>
      <c r="S156" s="227"/>
      <c r="T156" s="229" t="str">
        <f t="shared" si="5"/>
        <v>1153000:Var_ui_ErrNo:=155;</v>
      </c>
    </row>
    <row r="157" ht="16.5" spans="1:20">
      <c r="A157" s="222">
        <v>156</v>
      </c>
      <c r="B157" s="35">
        <v>50</v>
      </c>
      <c r="C157" s="35">
        <v>14</v>
      </c>
      <c r="F157" s="224"/>
      <c r="G157" s="224"/>
      <c r="H157" s="223" t="s">
        <v>2082</v>
      </c>
      <c r="I157" s="223" t="s">
        <v>2083</v>
      </c>
      <c r="J157" s="223" t="s">
        <v>2084</v>
      </c>
      <c r="K157" s="223" t="s">
        <v>2085</v>
      </c>
      <c r="L157" s="228">
        <v>12814</v>
      </c>
      <c r="M157" s="228">
        <v>0</v>
      </c>
      <c r="N157" s="223" t="s">
        <v>2086</v>
      </c>
      <c r="O157" s="229" t="str">
        <f t="shared" si="4"/>
        <v>EBS1_12814_0</v>
      </c>
      <c r="P157" s="229" t="s">
        <v>2087</v>
      </c>
      <c r="Q157" s="227"/>
      <c r="R157" s="227">
        <v>156</v>
      </c>
      <c r="S157" s="227"/>
      <c r="T157" s="229" t="str">
        <f t="shared" si="5"/>
        <v>1281400:Var_ui_ErrNo:=156;</v>
      </c>
    </row>
    <row r="158" ht="16.5" spans="1:20">
      <c r="A158" s="222">
        <v>157</v>
      </c>
      <c r="B158" s="35">
        <v>50</v>
      </c>
      <c r="C158" s="35">
        <v>204</v>
      </c>
      <c r="F158" s="224"/>
      <c r="G158" s="224"/>
      <c r="H158" s="223" t="s">
        <v>2088</v>
      </c>
      <c r="I158" s="223" t="s">
        <v>2089</v>
      </c>
      <c r="J158" s="223" t="s">
        <v>2090</v>
      </c>
      <c r="K158" s="223" t="s">
        <v>2091</v>
      </c>
      <c r="L158" s="228">
        <v>13004</v>
      </c>
      <c r="M158" s="228">
        <v>0</v>
      </c>
      <c r="N158" s="223" t="s">
        <v>2092</v>
      </c>
      <c r="O158" s="229" t="str">
        <f t="shared" si="4"/>
        <v>EBS1_13004_0</v>
      </c>
      <c r="P158" s="229" t="s">
        <v>2093</v>
      </c>
      <c r="Q158" s="227"/>
      <c r="R158" s="227">
        <v>157</v>
      </c>
      <c r="S158" s="227"/>
      <c r="T158" s="229" t="str">
        <f t="shared" si="5"/>
        <v>1300400:Var_ui_ErrNo:=157;</v>
      </c>
    </row>
    <row r="159" ht="16.5" spans="1:20">
      <c r="A159" s="222">
        <v>158</v>
      </c>
      <c r="B159" s="35">
        <v>50</v>
      </c>
      <c r="C159" s="35">
        <v>212</v>
      </c>
      <c r="F159" s="224"/>
      <c r="G159" s="224"/>
      <c r="H159" s="223" t="s">
        <v>2094</v>
      </c>
      <c r="I159" s="223" t="s">
        <v>2095</v>
      </c>
      <c r="J159" s="223" t="s">
        <v>2096</v>
      </c>
      <c r="K159" s="223" t="s">
        <v>2097</v>
      </c>
      <c r="L159" s="228">
        <v>13012</v>
      </c>
      <c r="M159" s="228">
        <v>0</v>
      </c>
      <c r="N159" s="223" t="s">
        <v>2098</v>
      </c>
      <c r="O159" s="229" t="str">
        <f t="shared" si="4"/>
        <v>EBS1_13012_0</v>
      </c>
      <c r="P159" s="229" t="s">
        <v>2099</v>
      </c>
      <c r="Q159" s="227"/>
      <c r="R159" s="227">
        <v>158</v>
      </c>
      <c r="S159" s="227"/>
      <c r="T159" s="229" t="str">
        <f t="shared" si="5"/>
        <v>1301200:Var_ui_ErrNo:=158;</v>
      </c>
    </row>
    <row r="160" ht="16.5" spans="1:20">
      <c r="A160" s="222">
        <v>159</v>
      </c>
      <c r="B160" s="35">
        <v>51</v>
      </c>
      <c r="C160" s="35">
        <v>0</v>
      </c>
      <c r="F160" s="224"/>
      <c r="G160" s="224"/>
      <c r="H160" s="223" t="s">
        <v>2100</v>
      </c>
      <c r="I160" s="223" t="s">
        <v>2101</v>
      </c>
      <c r="J160" s="223" t="s">
        <v>2102</v>
      </c>
      <c r="K160" s="223" t="s">
        <v>2103</v>
      </c>
      <c r="L160" s="228">
        <v>13056</v>
      </c>
      <c r="M160" s="228">
        <v>0</v>
      </c>
      <c r="N160" s="223" t="s">
        <v>2104</v>
      </c>
      <c r="O160" s="229" t="str">
        <f t="shared" si="4"/>
        <v>EBS1_13056_0</v>
      </c>
      <c r="P160" s="229" t="s">
        <v>2105</v>
      </c>
      <c r="Q160" s="227"/>
      <c r="R160" s="227">
        <v>159</v>
      </c>
      <c r="S160" s="227"/>
      <c r="T160" s="229" t="str">
        <f t="shared" si="5"/>
        <v>1305600:Var_ui_ErrNo:=159;</v>
      </c>
    </row>
    <row r="161" ht="16.5" spans="1:20">
      <c r="A161" s="222">
        <v>160</v>
      </c>
      <c r="B161" s="35">
        <v>51</v>
      </c>
      <c r="C161" s="35">
        <v>12</v>
      </c>
      <c r="F161" s="224"/>
      <c r="G161" s="224"/>
      <c r="H161" s="223" t="s">
        <v>2106</v>
      </c>
      <c r="I161" s="223" t="s">
        <v>2107</v>
      </c>
      <c r="J161" s="223" t="s">
        <v>2108</v>
      </c>
      <c r="K161" s="223" t="s">
        <v>2109</v>
      </c>
      <c r="L161" s="228">
        <v>13068</v>
      </c>
      <c r="M161" s="228">
        <v>0</v>
      </c>
      <c r="N161" s="223" t="s">
        <v>2110</v>
      </c>
      <c r="O161" s="229" t="str">
        <f t="shared" si="4"/>
        <v>EBS1_13068_0</v>
      </c>
      <c r="P161" s="229" t="s">
        <v>2111</v>
      </c>
      <c r="Q161" s="227"/>
      <c r="R161" s="227">
        <v>160</v>
      </c>
      <c r="S161" s="227"/>
      <c r="T161" s="229" t="str">
        <f t="shared" si="5"/>
        <v>1306800:Var_ui_ErrNo:=160;</v>
      </c>
    </row>
    <row r="162" ht="16.5" spans="1:20">
      <c r="A162" s="222">
        <v>161</v>
      </c>
      <c r="B162" s="35">
        <v>51</v>
      </c>
      <c r="C162" s="35">
        <v>14</v>
      </c>
      <c r="F162" s="224"/>
      <c r="G162" s="224"/>
      <c r="H162" s="223" t="s">
        <v>2082</v>
      </c>
      <c r="I162" s="223" t="s">
        <v>2083</v>
      </c>
      <c r="J162" s="223" t="s">
        <v>2112</v>
      </c>
      <c r="K162" s="223" t="s">
        <v>2113</v>
      </c>
      <c r="L162" s="228">
        <v>13070</v>
      </c>
      <c r="M162" s="228">
        <v>0</v>
      </c>
      <c r="N162" s="223" t="s">
        <v>2086</v>
      </c>
      <c r="O162" s="229" t="str">
        <f t="shared" si="4"/>
        <v>EBS1_13070_0</v>
      </c>
      <c r="P162" s="229" t="s">
        <v>2114</v>
      </c>
      <c r="Q162" s="227"/>
      <c r="R162" s="227">
        <v>161</v>
      </c>
      <c r="S162" s="227"/>
      <c r="T162" s="229" t="str">
        <f t="shared" si="5"/>
        <v>1307000:Var_ui_ErrNo:=161;</v>
      </c>
    </row>
    <row r="163" ht="16.5" spans="1:20">
      <c r="A163" s="222">
        <v>162</v>
      </c>
      <c r="B163" s="35">
        <v>51</v>
      </c>
      <c r="C163" s="35">
        <v>210</v>
      </c>
      <c r="F163" s="224"/>
      <c r="G163" s="224"/>
      <c r="H163" s="223" t="s">
        <v>2115</v>
      </c>
      <c r="I163" s="223" t="s">
        <v>2089</v>
      </c>
      <c r="J163" s="223" t="s">
        <v>2116</v>
      </c>
      <c r="K163" s="223" t="s">
        <v>2117</v>
      </c>
      <c r="L163" s="228">
        <v>13266</v>
      </c>
      <c r="M163" s="228">
        <v>0</v>
      </c>
      <c r="N163" s="223" t="s">
        <v>2118</v>
      </c>
      <c r="O163" s="229" t="str">
        <f t="shared" si="4"/>
        <v>EBS1_13266_0</v>
      </c>
      <c r="P163" s="229" t="s">
        <v>2119</v>
      </c>
      <c r="Q163" s="227"/>
      <c r="R163" s="227">
        <v>162</v>
      </c>
      <c r="S163" s="227"/>
      <c r="T163" s="229" t="str">
        <f t="shared" si="5"/>
        <v>1326600:Var_ui_ErrNo:=162;</v>
      </c>
    </row>
    <row r="164" ht="16.5" spans="1:20">
      <c r="A164" s="222">
        <v>163</v>
      </c>
      <c r="B164" s="35">
        <v>51</v>
      </c>
      <c r="C164" s="35">
        <v>211</v>
      </c>
      <c r="F164" s="224"/>
      <c r="G164" s="224"/>
      <c r="H164" s="223" t="s">
        <v>2120</v>
      </c>
      <c r="I164" s="223" t="s">
        <v>2121</v>
      </c>
      <c r="J164" s="223" t="s">
        <v>2122</v>
      </c>
      <c r="K164" s="223" t="s">
        <v>2123</v>
      </c>
      <c r="L164" s="228">
        <v>13267</v>
      </c>
      <c r="M164" s="228">
        <v>0</v>
      </c>
      <c r="N164" s="223" t="s">
        <v>2124</v>
      </c>
      <c r="O164" s="229" t="str">
        <f t="shared" si="4"/>
        <v>EBS1_13267_0</v>
      </c>
      <c r="P164" s="229" t="s">
        <v>2125</v>
      </c>
      <c r="Q164" s="227"/>
      <c r="R164" s="227">
        <v>163</v>
      </c>
      <c r="S164" s="227"/>
      <c r="T164" s="229" t="str">
        <f t="shared" si="5"/>
        <v>1326700:Var_ui_ErrNo:=163;</v>
      </c>
    </row>
    <row r="165" ht="16.5" spans="1:20">
      <c r="A165" s="222">
        <v>164</v>
      </c>
      <c r="B165" s="35">
        <v>51</v>
      </c>
      <c r="C165" s="35">
        <v>212</v>
      </c>
      <c r="F165" s="224"/>
      <c r="G165" s="224"/>
      <c r="H165" s="223" t="s">
        <v>2094</v>
      </c>
      <c r="I165" s="223" t="s">
        <v>2095</v>
      </c>
      <c r="J165" s="223" t="s">
        <v>2126</v>
      </c>
      <c r="K165" s="223" t="s">
        <v>2127</v>
      </c>
      <c r="L165" s="228">
        <v>13268</v>
      </c>
      <c r="M165" s="228">
        <v>0</v>
      </c>
      <c r="N165" s="223" t="s">
        <v>2098</v>
      </c>
      <c r="O165" s="229" t="str">
        <f t="shared" si="4"/>
        <v>EBS1_13268_0</v>
      </c>
      <c r="P165" s="229" t="s">
        <v>2128</v>
      </c>
      <c r="Q165" s="227"/>
      <c r="R165" s="227">
        <v>164</v>
      </c>
      <c r="S165" s="227"/>
      <c r="T165" s="229" t="str">
        <f t="shared" si="5"/>
        <v>1326800:Var_ui_ErrNo:=164;</v>
      </c>
    </row>
    <row r="166" ht="16.5" spans="1:20">
      <c r="A166" s="222">
        <v>165</v>
      </c>
      <c r="B166" s="35">
        <v>51</v>
      </c>
      <c r="C166" s="35">
        <v>214</v>
      </c>
      <c r="F166" s="224"/>
      <c r="G166" s="224"/>
      <c r="H166" s="223" t="s">
        <v>2129</v>
      </c>
      <c r="I166" s="223" t="s">
        <v>2130</v>
      </c>
      <c r="J166" s="223" t="s">
        <v>2131</v>
      </c>
      <c r="K166" s="223" t="s">
        <v>2132</v>
      </c>
      <c r="L166" s="228">
        <v>13270</v>
      </c>
      <c r="M166" s="228">
        <v>0</v>
      </c>
      <c r="N166" s="223" t="s">
        <v>2133</v>
      </c>
      <c r="O166" s="229" t="str">
        <f t="shared" si="4"/>
        <v>EBS1_13270_0</v>
      </c>
      <c r="P166" s="229" t="s">
        <v>2134</v>
      </c>
      <c r="Q166" s="227"/>
      <c r="R166" s="227">
        <v>165</v>
      </c>
      <c r="S166" s="227"/>
      <c r="T166" s="229" t="str">
        <f t="shared" si="5"/>
        <v>1327000:Var_ui_ErrNo:=165;</v>
      </c>
    </row>
    <row r="167" ht="16.5" spans="1:20">
      <c r="A167" s="222">
        <v>166</v>
      </c>
      <c r="B167" s="35">
        <v>51</v>
      </c>
      <c r="C167" s="35">
        <v>220</v>
      </c>
      <c r="F167" s="224"/>
      <c r="G167" s="224"/>
      <c r="H167" s="223" t="s">
        <v>2135</v>
      </c>
      <c r="I167" s="223" t="s">
        <v>2130</v>
      </c>
      <c r="J167" s="223" t="s">
        <v>2136</v>
      </c>
      <c r="K167" s="223" t="s">
        <v>2137</v>
      </c>
      <c r="L167" s="228">
        <v>13276</v>
      </c>
      <c r="M167" s="228">
        <v>0</v>
      </c>
      <c r="N167" s="223" t="s">
        <v>2138</v>
      </c>
      <c r="O167" s="229" t="str">
        <f t="shared" si="4"/>
        <v>EBS1_13276_0</v>
      </c>
      <c r="P167" s="229" t="s">
        <v>2139</v>
      </c>
      <c r="Q167" s="227"/>
      <c r="R167" s="227">
        <v>166</v>
      </c>
      <c r="S167" s="227"/>
      <c r="T167" s="229" t="str">
        <f t="shared" si="5"/>
        <v>1327600:Var_ui_ErrNo:=166;</v>
      </c>
    </row>
    <row r="168" ht="16.5" spans="1:20">
      <c r="A168" s="222">
        <v>167</v>
      </c>
      <c r="B168" s="35">
        <v>51</v>
      </c>
      <c r="C168" s="35">
        <v>221</v>
      </c>
      <c r="F168" s="224"/>
      <c r="G168" s="224"/>
      <c r="H168" s="223" t="s">
        <v>2140</v>
      </c>
      <c r="I168" s="223" t="s">
        <v>2089</v>
      </c>
      <c r="J168" s="223" t="s">
        <v>2141</v>
      </c>
      <c r="K168" s="223" t="s">
        <v>2142</v>
      </c>
      <c r="L168" s="228">
        <v>13277</v>
      </c>
      <c r="M168" s="228">
        <v>0</v>
      </c>
      <c r="N168" s="223" t="s">
        <v>2143</v>
      </c>
      <c r="O168" s="229" t="str">
        <f t="shared" si="4"/>
        <v>EBS1_13277_0</v>
      </c>
      <c r="P168" s="229" t="s">
        <v>2144</v>
      </c>
      <c r="Q168" s="227"/>
      <c r="R168" s="227">
        <v>167</v>
      </c>
      <c r="S168" s="227"/>
      <c r="T168" s="229" t="str">
        <f t="shared" si="5"/>
        <v>1327700:Var_ui_ErrNo:=167;</v>
      </c>
    </row>
    <row r="169" ht="16.5" spans="1:20">
      <c r="A169" s="222">
        <v>168</v>
      </c>
      <c r="B169" s="35">
        <v>51</v>
      </c>
      <c r="C169" s="35">
        <v>222</v>
      </c>
      <c r="F169" s="224"/>
      <c r="G169" s="224"/>
      <c r="H169" s="223" t="s">
        <v>2140</v>
      </c>
      <c r="I169" s="223" t="s">
        <v>2089</v>
      </c>
      <c r="J169" s="223" t="s">
        <v>2145</v>
      </c>
      <c r="K169" s="223" t="s">
        <v>2146</v>
      </c>
      <c r="L169" s="228">
        <v>13278</v>
      </c>
      <c r="M169" s="228">
        <v>0</v>
      </c>
      <c r="N169" s="223" t="s">
        <v>2143</v>
      </c>
      <c r="O169" s="229" t="str">
        <f t="shared" si="4"/>
        <v>EBS1_13278_0</v>
      </c>
      <c r="P169" s="229" t="s">
        <v>2147</v>
      </c>
      <c r="Q169" s="227"/>
      <c r="R169" s="227">
        <v>168</v>
      </c>
      <c r="S169" s="227"/>
      <c r="T169" s="229" t="str">
        <f t="shared" si="5"/>
        <v>1327800:Var_ui_ErrNo:=168;</v>
      </c>
    </row>
    <row r="170" ht="16.5" spans="1:20">
      <c r="A170" s="222">
        <v>169</v>
      </c>
      <c r="B170" s="35">
        <v>51</v>
      </c>
      <c r="C170" s="35">
        <v>225</v>
      </c>
      <c r="F170" s="224"/>
      <c r="G170" s="224"/>
      <c r="H170" s="223" t="s">
        <v>2148</v>
      </c>
      <c r="I170" s="223" t="s">
        <v>2149</v>
      </c>
      <c r="J170" s="223" t="s">
        <v>2150</v>
      </c>
      <c r="K170" s="223" t="s">
        <v>2151</v>
      </c>
      <c r="L170" s="228">
        <v>13281</v>
      </c>
      <c r="M170" s="228">
        <v>0</v>
      </c>
      <c r="N170" s="223" t="s">
        <v>2098</v>
      </c>
      <c r="O170" s="229" t="str">
        <f t="shared" si="4"/>
        <v>EBS1_13281_0</v>
      </c>
      <c r="P170" s="229" t="s">
        <v>2152</v>
      </c>
      <c r="Q170" s="227"/>
      <c r="R170" s="227">
        <v>169</v>
      </c>
      <c r="S170" s="227"/>
      <c r="T170" s="229" t="str">
        <f t="shared" si="5"/>
        <v>1328100:Var_ui_ErrNo:=169;</v>
      </c>
    </row>
    <row r="171" ht="16.5" spans="1:20">
      <c r="A171" s="222">
        <v>170</v>
      </c>
      <c r="B171" s="35">
        <v>51</v>
      </c>
      <c r="C171" s="35">
        <v>226</v>
      </c>
      <c r="F171" s="224"/>
      <c r="G171" s="224"/>
      <c r="H171" s="223" t="s">
        <v>2153</v>
      </c>
      <c r="I171" s="223" t="s">
        <v>2154</v>
      </c>
      <c r="J171" s="223" t="s">
        <v>2155</v>
      </c>
      <c r="K171" s="223" t="s">
        <v>2156</v>
      </c>
      <c r="L171" s="228">
        <v>13282</v>
      </c>
      <c r="M171" s="228">
        <v>0</v>
      </c>
      <c r="N171" s="223" t="s">
        <v>2157</v>
      </c>
      <c r="O171" s="229" t="str">
        <f t="shared" si="4"/>
        <v>EBS1_13282_0</v>
      </c>
      <c r="P171" s="229" t="s">
        <v>2158</v>
      </c>
      <c r="Q171" s="227"/>
      <c r="R171" s="227">
        <v>170</v>
      </c>
      <c r="S171" s="227"/>
      <c r="T171" s="229" t="str">
        <f t="shared" si="5"/>
        <v>1328200:Var_ui_ErrNo:=170;</v>
      </c>
    </row>
    <row r="172" ht="16.5" spans="1:20">
      <c r="A172" s="222">
        <v>171</v>
      </c>
      <c r="B172" s="35">
        <v>52</v>
      </c>
      <c r="C172" s="35">
        <v>0</v>
      </c>
      <c r="F172" s="224"/>
      <c r="G172" s="224"/>
      <c r="H172" s="223" t="s">
        <v>2159</v>
      </c>
      <c r="I172" s="223" t="s">
        <v>2160</v>
      </c>
      <c r="J172" s="223" t="s">
        <v>2161</v>
      </c>
      <c r="K172" s="223" t="s">
        <v>2162</v>
      </c>
      <c r="L172" s="228">
        <v>13312</v>
      </c>
      <c r="M172" s="228">
        <v>0</v>
      </c>
      <c r="N172" s="223" t="s">
        <v>2163</v>
      </c>
      <c r="O172" s="229" t="str">
        <f t="shared" si="4"/>
        <v>EBS1_13312_0</v>
      </c>
      <c r="P172" s="229" t="s">
        <v>2164</v>
      </c>
      <c r="Q172" s="227"/>
      <c r="R172" s="227">
        <v>171</v>
      </c>
      <c r="S172" s="227"/>
      <c r="T172" s="229" t="str">
        <f t="shared" si="5"/>
        <v>1331200:Var_ui_ErrNo:=171;</v>
      </c>
    </row>
    <row r="173" ht="16.5" spans="1:20">
      <c r="A173" s="222">
        <v>172</v>
      </c>
      <c r="B173" s="35">
        <v>52</v>
      </c>
      <c r="C173" s="35">
        <v>12</v>
      </c>
      <c r="F173" s="224"/>
      <c r="G173" s="224"/>
      <c r="H173" s="223" t="s">
        <v>2165</v>
      </c>
      <c r="I173" s="223" t="s">
        <v>2166</v>
      </c>
      <c r="J173" s="223" t="s">
        <v>2167</v>
      </c>
      <c r="K173" s="223" t="s">
        <v>2168</v>
      </c>
      <c r="L173" s="228">
        <v>13324</v>
      </c>
      <c r="M173" s="228">
        <v>0</v>
      </c>
      <c r="N173" s="223" t="s">
        <v>2169</v>
      </c>
      <c r="O173" s="229" t="str">
        <f t="shared" si="4"/>
        <v>EBS1_13324_0</v>
      </c>
      <c r="P173" s="229" t="s">
        <v>2170</v>
      </c>
      <c r="Q173" s="227"/>
      <c r="R173" s="227">
        <v>172</v>
      </c>
      <c r="S173" s="227"/>
      <c r="T173" s="229" t="str">
        <f t="shared" si="5"/>
        <v>1332400:Var_ui_ErrNo:=172;</v>
      </c>
    </row>
    <row r="174" ht="16.5" spans="1:20">
      <c r="A174" s="222">
        <v>173</v>
      </c>
      <c r="B174" s="35">
        <v>52</v>
      </c>
      <c r="C174" s="35">
        <v>14</v>
      </c>
      <c r="F174" s="224"/>
      <c r="G174" s="224"/>
      <c r="H174" s="223" t="s">
        <v>2171</v>
      </c>
      <c r="I174" s="223" t="s">
        <v>2166</v>
      </c>
      <c r="J174" s="223" t="s">
        <v>2172</v>
      </c>
      <c r="K174" s="223" t="s">
        <v>2173</v>
      </c>
      <c r="L174" s="228">
        <v>13326</v>
      </c>
      <c r="M174" s="228">
        <v>0</v>
      </c>
      <c r="N174" s="223" t="s">
        <v>2174</v>
      </c>
      <c r="O174" s="229" t="str">
        <f t="shared" si="4"/>
        <v>EBS1_13326_0</v>
      </c>
      <c r="P174" s="229" t="s">
        <v>2175</v>
      </c>
      <c r="Q174" s="227"/>
      <c r="R174" s="227">
        <v>173</v>
      </c>
      <c r="S174" s="227"/>
      <c r="T174" s="229" t="str">
        <f t="shared" si="5"/>
        <v>1332600:Var_ui_ErrNo:=173;</v>
      </c>
    </row>
    <row r="175" ht="16.5" spans="1:20">
      <c r="A175" s="222">
        <v>174</v>
      </c>
      <c r="B175" s="35">
        <v>52</v>
      </c>
      <c r="C175" s="35">
        <v>24</v>
      </c>
      <c r="F175" s="224"/>
      <c r="G175" s="224"/>
      <c r="H175" s="223" t="s">
        <v>2176</v>
      </c>
      <c r="I175" s="223" t="s">
        <v>2177</v>
      </c>
      <c r="J175" s="223" t="s">
        <v>2178</v>
      </c>
      <c r="K175" s="223" t="s">
        <v>2179</v>
      </c>
      <c r="L175" s="228">
        <v>13336</v>
      </c>
      <c r="M175" s="228">
        <v>0</v>
      </c>
      <c r="N175" s="223" t="s">
        <v>2180</v>
      </c>
      <c r="O175" s="229" t="str">
        <f t="shared" si="4"/>
        <v>EBS1_13336_0</v>
      </c>
      <c r="P175" s="229" t="s">
        <v>2181</v>
      </c>
      <c r="Q175" s="227"/>
      <c r="R175" s="227">
        <v>174</v>
      </c>
      <c r="S175" s="227"/>
      <c r="T175" s="229" t="str">
        <f t="shared" si="5"/>
        <v>1333600:Var_ui_ErrNo:=174;</v>
      </c>
    </row>
    <row r="176" ht="16.5" spans="1:20">
      <c r="A176" s="222">
        <v>175</v>
      </c>
      <c r="B176" s="35">
        <v>52</v>
      </c>
      <c r="C176" s="35">
        <v>209</v>
      </c>
      <c r="F176" s="224"/>
      <c r="G176" s="224"/>
      <c r="H176" s="223" t="s">
        <v>2182</v>
      </c>
      <c r="I176" s="223" t="s">
        <v>2183</v>
      </c>
      <c r="J176" s="223" t="s">
        <v>2184</v>
      </c>
      <c r="K176" s="223" t="s">
        <v>2185</v>
      </c>
      <c r="L176" s="228">
        <v>13521</v>
      </c>
      <c r="M176" s="228">
        <v>0</v>
      </c>
      <c r="N176" s="223" t="s">
        <v>2186</v>
      </c>
      <c r="O176" s="229" t="str">
        <f t="shared" si="4"/>
        <v>EBS1_13521_0</v>
      </c>
      <c r="P176" s="229" t="s">
        <v>2187</v>
      </c>
      <c r="Q176" s="227"/>
      <c r="R176" s="227">
        <v>175</v>
      </c>
      <c r="S176" s="227"/>
      <c r="T176" s="229" t="str">
        <f t="shared" si="5"/>
        <v>1352100:Var_ui_ErrNo:=175;</v>
      </c>
    </row>
    <row r="177" ht="16.5" spans="1:20">
      <c r="A177" s="222">
        <v>176</v>
      </c>
      <c r="B177" s="35">
        <v>52</v>
      </c>
      <c r="C177" s="35">
        <v>210</v>
      </c>
      <c r="F177" s="224"/>
      <c r="G177" s="224"/>
      <c r="H177" s="223" t="s">
        <v>2188</v>
      </c>
      <c r="I177" s="223" t="s">
        <v>2189</v>
      </c>
      <c r="J177" s="223" t="s">
        <v>2190</v>
      </c>
      <c r="K177" s="223" t="s">
        <v>2191</v>
      </c>
      <c r="L177" s="228">
        <v>13522</v>
      </c>
      <c r="M177" s="228">
        <v>0</v>
      </c>
      <c r="N177" s="223" t="s">
        <v>2192</v>
      </c>
      <c r="O177" s="229" t="str">
        <f t="shared" si="4"/>
        <v>EBS1_13522_0</v>
      </c>
      <c r="P177" s="229" t="s">
        <v>2193</v>
      </c>
      <c r="Q177" s="227"/>
      <c r="R177" s="227">
        <v>176</v>
      </c>
      <c r="S177" s="227"/>
      <c r="T177" s="229" t="str">
        <f t="shared" si="5"/>
        <v>1352200:Var_ui_ErrNo:=176;</v>
      </c>
    </row>
    <row r="178" ht="16.5" spans="1:20">
      <c r="A178" s="222">
        <v>177</v>
      </c>
      <c r="B178" s="35">
        <v>52</v>
      </c>
      <c r="C178" s="35">
        <v>213</v>
      </c>
      <c r="F178" s="224"/>
      <c r="G178" s="224"/>
      <c r="H178" s="223" t="s">
        <v>2194</v>
      </c>
      <c r="I178" s="223" t="s">
        <v>2189</v>
      </c>
      <c r="J178" s="223" t="s">
        <v>2195</v>
      </c>
      <c r="K178" s="223" t="s">
        <v>2196</v>
      </c>
      <c r="L178" s="228">
        <v>13525</v>
      </c>
      <c r="M178" s="228">
        <v>0</v>
      </c>
      <c r="N178" s="223" t="s">
        <v>2197</v>
      </c>
      <c r="O178" s="229" t="str">
        <f t="shared" si="4"/>
        <v>EBS1_13525_0</v>
      </c>
      <c r="P178" s="229" t="s">
        <v>2198</v>
      </c>
      <c r="Q178" s="227"/>
      <c r="R178" s="227">
        <v>177</v>
      </c>
      <c r="S178" s="227"/>
      <c r="T178" s="229" t="str">
        <f t="shared" si="5"/>
        <v>1352500:Var_ui_ErrNo:=177;</v>
      </c>
    </row>
    <row r="179" ht="16.5" spans="1:20">
      <c r="A179" s="222">
        <v>178</v>
      </c>
      <c r="B179" s="35">
        <v>52</v>
      </c>
      <c r="C179" s="35">
        <v>215</v>
      </c>
      <c r="F179" s="224"/>
      <c r="G179" s="224"/>
      <c r="H179" s="223" t="s">
        <v>2199</v>
      </c>
      <c r="I179" s="223" t="s">
        <v>2200</v>
      </c>
      <c r="J179" s="223" t="s">
        <v>2201</v>
      </c>
      <c r="K179" s="223" t="s">
        <v>2202</v>
      </c>
      <c r="L179" s="228">
        <v>13527</v>
      </c>
      <c r="M179" s="228">
        <v>0</v>
      </c>
      <c r="N179" s="223" t="s">
        <v>2203</v>
      </c>
      <c r="O179" s="229" t="str">
        <f t="shared" si="4"/>
        <v>EBS1_13527_0</v>
      </c>
      <c r="P179" s="229" t="s">
        <v>2204</v>
      </c>
      <c r="Q179" s="227"/>
      <c r="R179" s="227">
        <v>178</v>
      </c>
      <c r="S179" s="227"/>
      <c r="T179" s="229" t="str">
        <f t="shared" si="5"/>
        <v>1352700:Var_ui_ErrNo:=178;</v>
      </c>
    </row>
    <row r="180" ht="16.5" spans="1:20">
      <c r="A180" s="222">
        <v>179</v>
      </c>
      <c r="B180" s="35">
        <v>52</v>
      </c>
      <c r="C180" s="35">
        <v>216</v>
      </c>
      <c r="F180" s="224"/>
      <c r="G180" s="224"/>
      <c r="H180" s="223" t="s">
        <v>2205</v>
      </c>
      <c r="I180" s="223" t="s">
        <v>2200</v>
      </c>
      <c r="J180" s="223" t="s">
        <v>2206</v>
      </c>
      <c r="K180" s="223" t="s">
        <v>2207</v>
      </c>
      <c r="L180" s="228">
        <v>13528</v>
      </c>
      <c r="M180" s="228">
        <v>0</v>
      </c>
      <c r="N180" s="223" t="s">
        <v>2208</v>
      </c>
      <c r="O180" s="229" t="str">
        <f t="shared" si="4"/>
        <v>EBS1_13528_0</v>
      </c>
      <c r="P180" s="229" t="s">
        <v>2209</v>
      </c>
      <c r="Q180" s="227"/>
      <c r="R180" s="227">
        <v>179</v>
      </c>
      <c r="S180" s="227"/>
      <c r="T180" s="229" t="str">
        <f t="shared" si="5"/>
        <v>1352800:Var_ui_ErrNo:=179;</v>
      </c>
    </row>
    <row r="181" ht="16.5" spans="1:20">
      <c r="A181" s="222">
        <v>180</v>
      </c>
      <c r="B181" s="35">
        <v>52</v>
      </c>
      <c r="C181" s="35">
        <v>217</v>
      </c>
      <c r="F181" s="224"/>
      <c r="G181" s="224"/>
      <c r="H181" s="223" t="s">
        <v>2210</v>
      </c>
      <c r="I181" s="223" t="s">
        <v>2211</v>
      </c>
      <c r="J181" s="223" t="s">
        <v>2212</v>
      </c>
      <c r="K181" s="223" t="s">
        <v>2213</v>
      </c>
      <c r="L181" s="228">
        <v>13529</v>
      </c>
      <c r="M181" s="228">
        <v>0</v>
      </c>
      <c r="N181" s="223" t="s">
        <v>2214</v>
      </c>
      <c r="O181" s="229" t="str">
        <f t="shared" si="4"/>
        <v>EBS1_13529_0</v>
      </c>
      <c r="P181" s="229" t="s">
        <v>2215</v>
      </c>
      <c r="Q181" s="227"/>
      <c r="R181" s="227">
        <v>180</v>
      </c>
      <c r="S181" s="227"/>
      <c r="T181" s="229" t="str">
        <f t="shared" si="5"/>
        <v>1352900:Var_ui_ErrNo:=180;</v>
      </c>
    </row>
    <row r="182" ht="16.5" spans="1:20">
      <c r="A182" s="222">
        <v>181</v>
      </c>
      <c r="B182" s="35">
        <v>52</v>
      </c>
      <c r="C182" s="35">
        <v>218</v>
      </c>
      <c r="F182" s="224"/>
      <c r="G182" s="224"/>
      <c r="H182" s="223" t="s">
        <v>2216</v>
      </c>
      <c r="I182" s="223" t="s">
        <v>2217</v>
      </c>
      <c r="J182" s="223" t="s">
        <v>2218</v>
      </c>
      <c r="K182" s="223" t="s">
        <v>2219</v>
      </c>
      <c r="L182" s="228">
        <v>13530</v>
      </c>
      <c r="M182" s="228">
        <v>0</v>
      </c>
      <c r="N182" s="223" t="s">
        <v>2220</v>
      </c>
      <c r="O182" s="229" t="str">
        <f t="shared" si="4"/>
        <v>EBS1_13530_0</v>
      </c>
      <c r="P182" s="229" t="s">
        <v>2221</v>
      </c>
      <c r="Q182" s="227"/>
      <c r="R182" s="227">
        <v>181</v>
      </c>
      <c r="S182" s="227"/>
      <c r="T182" s="229" t="str">
        <f t="shared" si="5"/>
        <v>1353000:Var_ui_ErrNo:=181;</v>
      </c>
    </row>
    <row r="183" ht="16.5" spans="1:20">
      <c r="A183" s="222">
        <v>182</v>
      </c>
      <c r="B183" s="35">
        <v>52</v>
      </c>
      <c r="C183" s="35">
        <v>219</v>
      </c>
      <c r="F183" s="224"/>
      <c r="G183" s="224"/>
      <c r="H183" s="223" t="s">
        <v>2222</v>
      </c>
      <c r="I183" s="223" t="s">
        <v>2223</v>
      </c>
      <c r="J183" s="223" t="s">
        <v>2224</v>
      </c>
      <c r="K183" s="223" t="s">
        <v>2225</v>
      </c>
      <c r="L183" s="228">
        <v>13531</v>
      </c>
      <c r="M183" s="228">
        <v>0</v>
      </c>
      <c r="N183" s="223" t="s">
        <v>2220</v>
      </c>
      <c r="O183" s="229" t="str">
        <f t="shared" si="4"/>
        <v>EBS1_13531_0</v>
      </c>
      <c r="P183" s="229" t="s">
        <v>2226</v>
      </c>
      <c r="Q183" s="227"/>
      <c r="R183" s="227">
        <v>182</v>
      </c>
      <c r="S183" s="227"/>
      <c r="T183" s="229" t="str">
        <f t="shared" si="5"/>
        <v>1353100:Var_ui_ErrNo:=182;</v>
      </c>
    </row>
    <row r="184" ht="16.5" spans="1:20">
      <c r="A184" s="222">
        <v>183</v>
      </c>
      <c r="B184" s="35">
        <v>52</v>
      </c>
      <c r="C184" s="35">
        <v>220</v>
      </c>
      <c r="F184" s="224"/>
      <c r="G184" s="224"/>
      <c r="H184" s="223" t="s">
        <v>2227</v>
      </c>
      <c r="I184" s="223" t="s">
        <v>2211</v>
      </c>
      <c r="J184" s="223" t="s">
        <v>2228</v>
      </c>
      <c r="K184" s="223" t="s">
        <v>2229</v>
      </c>
      <c r="L184" s="228">
        <v>13532</v>
      </c>
      <c r="M184" s="228">
        <v>0</v>
      </c>
      <c r="N184" s="223" t="s">
        <v>2230</v>
      </c>
      <c r="O184" s="229" t="str">
        <f t="shared" si="4"/>
        <v>EBS1_13532_0</v>
      </c>
      <c r="P184" s="229" t="s">
        <v>2231</v>
      </c>
      <c r="Q184" s="227"/>
      <c r="R184" s="227">
        <v>183</v>
      </c>
      <c r="S184" s="227"/>
      <c r="T184" s="229" t="str">
        <f t="shared" si="5"/>
        <v>1353200:Var_ui_ErrNo:=183;</v>
      </c>
    </row>
    <row r="185" ht="16.5" spans="1:20">
      <c r="A185" s="222">
        <v>184</v>
      </c>
      <c r="B185" s="35">
        <v>52</v>
      </c>
      <c r="C185" s="35">
        <v>221</v>
      </c>
      <c r="F185" s="224"/>
      <c r="G185" s="224"/>
      <c r="H185" s="223" t="s">
        <v>2232</v>
      </c>
      <c r="I185" s="223" t="s">
        <v>2233</v>
      </c>
      <c r="J185" s="223" t="s">
        <v>2234</v>
      </c>
      <c r="K185" s="223" t="s">
        <v>2235</v>
      </c>
      <c r="L185" s="228">
        <v>13533</v>
      </c>
      <c r="M185" s="228">
        <v>0</v>
      </c>
      <c r="N185" s="223" t="s">
        <v>2236</v>
      </c>
      <c r="O185" s="229" t="str">
        <f t="shared" si="4"/>
        <v>EBS1_13533_0</v>
      </c>
      <c r="P185" s="229" t="s">
        <v>2237</v>
      </c>
      <c r="Q185" s="227"/>
      <c r="R185" s="227">
        <v>184</v>
      </c>
      <c r="S185" s="227"/>
      <c r="T185" s="229" t="str">
        <f t="shared" si="5"/>
        <v>1353300:Var_ui_ErrNo:=184;</v>
      </c>
    </row>
    <row r="186" ht="16.5" spans="1:20">
      <c r="A186" s="222">
        <v>185</v>
      </c>
      <c r="B186" s="35">
        <v>52</v>
      </c>
      <c r="C186" s="35">
        <v>222</v>
      </c>
      <c r="F186" s="224"/>
      <c r="G186" s="224"/>
      <c r="H186" s="223" t="s">
        <v>2232</v>
      </c>
      <c r="I186" s="223" t="s">
        <v>2217</v>
      </c>
      <c r="J186" s="223" t="s">
        <v>2238</v>
      </c>
      <c r="K186" s="223" t="s">
        <v>2239</v>
      </c>
      <c r="L186" s="228">
        <v>13534</v>
      </c>
      <c r="M186" s="228">
        <v>0</v>
      </c>
      <c r="N186" s="223" t="s">
        <v>2236</v>
      </c>
      <c r="O186" s="229" t="str">
        <f t="shared" si="4"/>
        <v>EBS1_13534_0</v>
      </c>
      <c r="P186" s="229" t="s">
        <v>2240</v>
      </c>
      <c r="Q186" s="227"/>
      <c r="R186" s="227">
        <v>185</v>
      </c>
      <c r="S186" s="227"/>
      <c r="T186" s="229" t="str">
        <f t="shared" si="5"/>
        <v>1353400:Var_ui_ErrNo:=185;</v>
      </c>
    </row>
    <row r="187" ht="16.5" spans="1:20">
      <c r="A187" s="222">
        <v>186</v>
      </c>
      <c r="B187" s="35">
        <v>52</v>
      </c>
      <c r="C187" s="35">
        <v>223</v>
      </c>
      <c r="F187" s="224"/>
      <c r="G187" s="224"/>
      <c r="H187" s="223" t="s">
        <v>2232</v>
      </c>
      <c r="I187" s="223" t="s">
        <v>2211</v>
      </c>
      <c r="J187" s="223" t="s">
        <v>2241</v>
      </c>
      <c r="K187" s="223" t="s">
        <v>2242</v>
      </c>
      <c r="L187" s="228">
        <v>13535</v>
      </c>
      <c r="M187" s="228">
        <v>0</v>
      </c>
      <c r="N187" s="223" t="s">
        <v>2236</v>
      </c>
      <c r="O187" s="229" t="str">
        <f t="shared" si="4"/>
        <v>EBS1_13535_0</v>
      </c>
      <c r="P187" s="229" t="s">
        <v>2243</v>
      </c>
      <c r="Q187" s="227"/>
      <c r="R187" s="227">
        <v>186</v>
      </c>
      <c r="S187" s="227"/>
      <c r="T187" s="229" t="str">
        <f t="shared" si="5"/>
        <v>1353500:Var_ui_ErrNo:=186;</v>
      </c>
    </row>
    <row r="188" ht="16.5" spans="1:20">
      <c r="A188" s="222">
        <v>187</v>
      </c>
      <c r="B188" s="35">
        <v>52</v>
      </c>
      <c r="C188" s="35">
        <v>224</v>
      </c>
      <c r="F188" s="224"/>
      <c r="G188" s="224"/>
      <c r="H188" s="223" t="s">
        <v>2232</v>
      </c>
      <c r="I188" s="223" t="s">
        <v>2211</v>
      </c>
      <c r="J188" s="223" t="s">
        <v>2244</v>
      </c>
      <c r="K188" s="223" t="s">
        <v>2245</v>
      </c>
      <c r="L188" s="228">
        <v>13536</v>
      </c>
      <c r="M188" s="228">
        <v>0</v>
      </c>
      <c r="N188" s="223" t="s">
        <v>2236</v>
      </c>
      <c r="O188" s="229" t="str">
        <f t="shared" si="4"/>
        <v>EBS1_13536_0</v>
      </c>
      <c r="P188" s="229" t="s">
        <v>2246</v>
      </c>
      <c r="Q188" s="227"/>
      <c r="R188" s="227">
        <v>187</v>
      </c>
      <c r="S188" s="227"/>
      <c r="T188" s="229" t="str">
        <f t="shared" si="5"/>
        <v>1353600:Var_ui_ErrNo:=187;</v>
      </c>
    </row>
    <row r="189" ht="16.5" spans="1:20">
      <c r="A189" s="222">
        <v>188</v>
      </c>
      <c r="B189" s="35">
        <v>53</v>
      </c>
      <c r="C189" s="35">
        <v>210</v>
      </c>
      <c r="F189" s="224"/>
      <c r="G189" s="224"/>
      <c r="H189" s="223" t="s">
        <v>2188</v>
      </c>
      <c r="I189" s="223" t="s">
        <v>2211</v>
      </c>
      <c r="J189" s="223" t="s">
        <v>2247</v>
      </c>
      <c r="K189" s="223" t="s">
        <v>2248</v>
      </c>
      <c r="L189" s="228">
        <v>13778</v>
      </c>
      <c r="M189" s="228">
        <v>0</v>
      </c>
      <c r="N189" s="223" t="s">
        <v>2192</v>
      </c>
      <c r="O189" s="229" t="str">
        <f t="shared" si="4"/>
        <v>EBS1_13778_0</v>
      </c>
      <c r="P189" s="229" t="s">
        <v>2249</v>
      </c>
      <c r="Q189" s="227"/>
      <c r="R189" s="227">
        <v>188</v>
      </c>
      <c r="S189" s="227"/>
      <c r="T189" s="229" t="str">
        <f t="shared" si="5"/>
        <v>1377800:Var_ui_ErrNo:=188;</v>
      </c>
    </row>
    <row r="190" ht="16.5" spans="1:20">
      <c r="A190" s="222">
        <v>189</v>
      </c>
      <c r="B190" s="35">
        <v>53</v>
      </c>
      <c r="C190" s="35">
        <v>214</v>
      </c>
      <c r="F190" s="224"/>
      <c r="G190" s="224"/>
      <c r="H190" s="223" t="s">
        <v>2250</v>
      </c>
      <c r="I190" s="223" t="s">
        <v>2251</v>
      </c>
      <c r="J190" s="223" t="s">
        <v>2252</v>
      </c>
      <c r="K190" s="223" t="s">
        <v>2253</v>
      </c>
      <c r="L190" s="228">
        <v>13782</v>
      </c>
      <c r="M190" s="228">
        <v>0</v>
      </c>
      <c r="N190" s="223" t="s">
        <v>2254</v>
      </c>
      <c r="O190" s="229" t="str">
        <f t="shared" si="4"/>
        <v>EBS1_13782_0</v>
      </c>
      <c r="P190" s="229" t="s">
        <v>2255</v>
      </c>
      <c r="Q190" s="227"/>
      <c r="R190" s="227">
        <v>189</v>
      </c>
      <c r="S190" s="227"/>
      <c r="T190" s="229" t="str">
        <f t="shared" si="5"/>
        <v>1378200:Var_ui_ErrNo:=189;</v>
      </c>
    </row>
    <row r="191" ht="16.5" spans="1:20">
      <c r="A191" s="222">
        <v>190</v>
      </c>
      <c r="B191" s="35">
        <v>53</v>
      </c>
      <c r="C191" s="35">
        <v>215</v>
      </c>
      <c r="F191" s="224"/>
      <c r="G191" s="224"/>
      <c r="H191" s="223" t="s">
        <v>2256</v>
      </c>
      <c r="I191" s="223" t="s">
        <v>2211</v>
      </c>
      <c r="J191" s="223" t="s">
        <v>2257</v>
      </c>
      <c r="K191" s="223" t="s">
        <v>2258</v>
      </c>
      <c r="L191" s="228">
        <v>13783</v>
      </c>
      <c r="M191" s="228">
        <v>0</v>
      </c>
      <c r="N191" s="223" t="s">
        <v>2259</v>
      </c>
      <c r="O191" s="229" t="str">
        <f t="shared" si="4"/>
        <v>EBS1_13783_0</v>
      </c>
      <c r="P191" s="229" t="s">
        <v>2260</v>
      </c>
      <c r="Q191" s="227"/>
      <c r="R191" s="227">
        <v>190</v>
      </c>
      <c r="S191" s="227"/>
      <c r="T191" s="229" t="str">
        <f t="shared" si="5"/>
        <v>1378300:Var_ui_ErrNo:=190;</v>
      </c>
    </row>
    <row r="192" ht="16.5" spans="1:20">
      <c r="A192" s="222">
        <v>191</v>
      </c>
      <c r="B192" s="35">
        <v>53</v>
      </c>
      <c r="C192" s="35">
        <v>218</v>
      </c>
      <c r="F192" s="224"/>
      <c r="G192" s="224"/>
      <c r="H192" s="223" t="s">
        <v>2216</v>
      </c>
      <c r="I192" s="223" t="s">
        <v>2261</v>
      </c>
      <c r="J192" s="223" t="s">
        <v>2262</v>
      </c>
      <c r="K192" s="223" t="s">
        <v>2263</v>
      </c>
      <c r="L192" s="228">
        <v>13786</v>
      </c>
      <c r="M192" s="228">
        <v>0</v>
      </c>
      <c r="N192" s="223" t="s">
        <v>2220</v>
      </c>
      <c r="O192" s="229" t="str">
        <f t="shared" si="4"/>
        <v>EBS1_13786_0</v>
      </c>
      <c r="P192" s="229" t="s">
        <v>2264</v>
      </c>
      <c r="Q192" s="227"/>
      <c r="R192" s="227">
        <v>191</v>
      </c>
      <c r="S192" s="227"/>
      <c r="T192" s="229" t="str">
        <f t="shared" si="5"/>
        <v>1378600:Var_ui_ErrNo:=191;</v>
      </c>
    </row>
    <row r="193" ht="16.5" spans="1:20">
      <c r="A193" s="222">
        <v>192</v>
      </c>
      <c r="B193" s="35">
        <v>53</v>
      </c>
      <c r="C193" s="35">
        <v>219</v>
      </c>
      <c r="F193" s="224"/>
      <c r="G193" s="224"/>
      <c r="H193" s="223" t="s">
        <v>2222</v>
      </c>
      <c r="I193" s="223" t="s">
        <v>2265</v>
      </c>
      <c r="J193" s="223" t="s">
        <v>2266</v>
      </c>
      <c r="K193" s="223" t="s">
        <v>2267</v>
      </c>
      <c r="L193" s="228">
        <v>13787</v>
      </c>
      <c r="M193" s="228">
        <v>0</v>
      </c>
      <c r="N193" s="223" t="s">
        <v>2220</v>
      </c>
      <c r="O193" s="229" t="str">
        <f t="shared" si="4"/>
        <v>EBS1_13787_0</v>
      </c>
      <c r="P193" s="229" t="s">
        <v>2268</v>
      </c>
      <c r="Q193" s="227"/>
      <c r="R193" s="227">
        <v>192</v>
      </c>
      <c r="S193" s="227"/>
      <c r="T193" s="229" t="str">
        <f t="shared" si="5"/>
        <v>1378700:Var_ui_ErrNo:=192;</v>
      </c>
    </row>
    <row r="194" ht="16.5" spans="1:20">
      <c r="A194" s="222">
        <v>193</v>
      </c>
      <c r="B194" s="35">
        <v>53</v>
      </c>
      <c r="C194" s="35">
        <v>225</v>
      </c>
      <c r="F194" s="224"/>
      <c r="G194" s="224"/>
      <c r="H194" s="223" t="s">
        <v>2269</v>
      </c>
      <c r="I194" s="223" t="s">
        <v>2149</v>
      </c>
      <c r="J194" s="223" t="s">
        <v>2270</v>
      </c>
      <c r="K194" s="223" t="s">
        <v>2271</v>
      </c>
      <c r="L194" s="228">
        <v>13793</v>
      </c>
      <c r="M194" s="228">
        <v>0</v>
      </c>
      <c r="N194" s="223" t="s">
        <v>2272</v>
      </c>
      <c r="O194" s="229" t="str">
        <f t="shared" ref="O194:O257" si="6">"EBS1_"&amp;L194&amp;"_"&amp;M194</f>
        <v>EBS1_13793_0</v>
      </c>
      <c r="P194" s="229" t="s">
        <v>2273</v>
      </c>
      <c r="Q194" s="227"/>
      <c r="R194" s="227">
        <v>193</v>
      </c>
      <c r="S194" s="227"/>
      <c r="T194" s="229" t="str">
        <f t="shared" si="5"/>
        <v>1379300:Var_ui_ErrNo:=193;</v>
      </c>
    </row>
    <row r="195" ht="16.5" spans="1:20">
      <c r="A195" s="222">
        <v>194</v>
      </c>
      <c r="B195" s="35">
        <v>53</v>
      </c>
      <c r="C195" s="35">
        <v>227</v>
      </c>
      <c r="F195" s="224"/>
      <c r="G195" s="224"/>
      <c r="H195" s="223" t="s">
        <v>2274</v>
      </c>
      <c r="I195" s="223" t="s">
        <v>2275</v>
      </c>
      <c r="J195" s="223" t="s">
        <v>2276</v>
      </c>
      <c r="K195" s="223" t="s">
        <v>2277</v>
      </c>
      <c r="L195" s="228">
        <v>13795</v>
      </c>
      <c r="M195" s="228">
        <v>0</v>
      </c>
      <c r="N195" s="223" t="s">
        <v>2278</v>
      </c>
      <c r="O195" s="229" t="str">
        <f t="shared" si="6"/>
        <v>EBS1_13795_0</v>
      </c>
      <c r="P195" s="229" t="s">
        <v>2279</v>
      </c>
      <c r="Q195" s="227"/>
      <c r="R195" s="227">
        <v>194</v>
      </c>
      <c r="S195" s="227"/>
      <c r="T195" s="229" t="str">
        <f t="shared" ref="T195:T258" si="7">P195&amp;$Q$2&amp;R195&amp;$S$2</f>
        <v>1379500:Var_ui_ErrNo:=194;</v>
      </c>
    </row>
    <row r="196" ht="16.5" spans="1:20">
      <c r="A196" s="222">
        <v>195</v>
      </c>
      <c r="B196" s="35">
        <v>54</v>
      </c>
      <c r="C196" s="35">
        <v>22</v>
      </c>
      <c r="F196" s="224"/>
      <c r="G196" s="224"/>
      <c r="H196" s="223" t="s">
        <v>2280</v>
      </c>
      <c r="I196" s="223" t="s">
        <v>2281</v>
      </c>
      <c r="J196" s="223" t="s">
        <v>2282</v>
      </c>
      <c r="K196" s="223" t="s">
        <v>2283</v>
      </c>
      <c r="L196" s="228">
        <v>13846</v>
      </c>
      <c r="M196" s="228">
        <v>0</v>
      </c>
      <c r="N196" s="223" t="s">
        <v>2284</v>
      </c>
      <c r="O196" s="229" t="str">
        <f t="shared" si="6"/>
        <v>EBS1_13846_0</v>
      </c>
      <c r="P196" s="229" t="s">
        <v>2285</v>
      </c>
      <c r="Q196" s="227"/>
      <c r="R196" s="227">
        <v>195</v>
      </c>
      <c r="S196" s="227"/>
      <c r="T196" s="229" t="str">
        <f t="shared" si="7"/>
        <v>1384600:Var_ui_ErrNo:=195;</v>
      </c>
    </row>
    <row r="197" ht="16.5" spans="1:20">
      <c r="A197" s="222">
        <v>196</v>
      </c>
      <c r="B197" s="35">
        <v>54</v>
      </c>
      <c r="C197" s="35">
        <v>23</v>
      </c>
      <c r="F197" s="224"/>
      <c r="G197" s="224"/>
      <c r="H197" s="223" t="s">
        <v>2286</v>
      </c>
      <c r="I197" s="223" t="s">
        <v>2281</v>
      </c>
      <c r="J197" s="223" t="s">
        <v>2287</v>
      </c>
      <c r="K197" s="223" t="s">
        <v>2288</v>
      </c>
      <c r="L197" s="228">
        <v>13847</v>
      </c>
      <c r="M197" s="228">
        <v>0</v>
      </c>
      <c r="N197" s="223" t="s">
        <v>2289</v>
      </c>
      <c r="O197" s="229" t="str">
        <f t="shared" si="6"/>
        <v>EBS1_13847_0</v>
      </c>
      <c r="P197" s="229" t="s">
        <v>2290</v>
      </c>
      <c r="Q197" s="227"/>
      <c r="R197" s="227">
        <v>196</v>
      </c>
      <c r="S197" s="227"/>
      <c r="T197" s="229" t="str">
        <f t="shared" si="7"/>
        <v>1384700:Var_ui_ErrNo:=196;</v>
      </c>
    </row>
    <row r="198" ht="16.5" spans="1:20">
      <c r="A198" s="222">
        <v>197</v>
      </c>
      <c r="B198" s="35">
        <v>54</v>
      </c>
      <c r="C198" s="35">
        <v>45</v>
      </c>
      <c r="F198" s="224"/>
      <c r="G198" s="224"/>
      <c r="H198" s="223" t="s">
        <v>2291</v>
      </c>
      <c r="I198" s="223" t="s">
        <v>2292</v>
      </c>
      <c r="J198" s="223" t="s">
        <v>2293</v>
      </c>
      <c r="K198" s="223" t="s">
        <v>2294</v>
      </c>
      <c r="L198" s="228">
        <v>13869</v>
      </c>
      <c r="M198" s="228">
        <v>0</v>
      </c>
      <c r="N198" s="223" t="s">
        <v>2295</v>
      </c>
      <c r="O198" s="229" t="str">
        <f t="shared" si="6"/>
        <v>EBS1_13869_0</v>
      </c>
      <c r="P198" s="229" t="s">
        <v>2296</v>
      </c>
      <c r="Q198" s="227"/>
      <c r="R198" s="227">
        <v>197</v>
      </c>
      <c r="S198" s="227"/>
      <c r="T198" s="229" t="str">
        <f t="shared" si="7"/>
        <v>1386900:Var_ui_ErrNo:=197;</v>
      </c>
    </row>
    <row r="199" ht="16.5" spans="1:20">
      <c r="A199" s="222">
        <v>198</v>
      </c>
      <c r="B199" s="35">
        <v>54</v>
      </c>
      <c r="C199" s="35">
        <v>50</v>
      </c>
      <c r="F199" s="224"/>
      <c r="G199" s="224"/>
      <c r="H199" s="223" t="s">
        <v>2297</v>
      </c>
      <c r="I199" s="223" t="s">
        <v>2298</v>
      </c>
      <c r="J199" s="223" t="s">
        <v>2299</v>
      </c>
      <c r="K199" s="223" t="s">
        <v>2300</v>
      </c>
      <c r="L199" s="228">
        <v>13874</v>
      </c>
      <c r="M199" s="228">
        <v>0</v>
      </c>
      <c r="N199" s="223" t="s">
        <v>2301</v>
      </c>
      <c r="O199" s="229" t="str">
        <f t="shared" si="6"/>
        <v>EBS1_13874_0</v>
      </c>
      <c r="P199" s="229" t="s">
        <v>2302</v>
      </c>
      <c r="Q199" s="227"/>
      <c r="R199" s="227">
        <v>198</v>
      </c>
      <c r="S199" s="227"/>
      <c r="T199" s="229" t="str">
        <f t="shared" si="7"/>
        <v>1387400:Var_ui_ErrNo:=198;</v>
      </c>
    </row>
    <row r="200" ht="16.5" spans="1:20">
      <c r="A200" s="222">
        <v>199</v>
      </c>
      <c r="B200" s="35">
        <v>55</v>
      </c>
      <c r="C200" s="35">
        <v>41</v>
      </c>
      <c r="F200" s="224"/>
      <c r="G200" s="224"/>
      <c r="H200" s="223" t="s">
        <v>2303</v>
      </c>
      <c r="I200" s="223" t="s">
        <v>2304</v>
      </c>
      <c r="J200" s="223" t="s">
        <v>2305</v>
      </c>
      <c r="K200" s="223" t="s">
        <v>2306</v>
      </c>
      <c r="L200" s="228">
        <v>14121</v>
      </c>
      <c r="M200" s="228">
        <v>0</v>
      </c>
      <c r="N200" s="223" t="s">
        <v>2307</v>
      </c>
      <c r="O200" s="229" t="str">
        <f t="shared" si="6"/>
        <v>EBS1_14121_0</v>
      </c>
      <c r="P200" s="229" t="s">
        <v>2308</v>
      </c>
      <c r="Q200" s="227"/>
      <c r="R200" s="227">
        <v>199</v>
      </c>
      <c r="S200" s="227"/>
      <c r="T200" s="229" t="str">
        <f t="shared" si="7"/>
        <v>1412100:Var_ui_ErrNo:=199;</v>
      </c>
    </row>
    <row r="201" ht="16.5" spans="1:20">
      <c r="A201" s="222">
        <v>200</v>
      </c>
      <c r="B201" s="35">
        <v>57</v>
      </c>
      <c r="C201" s="35">
        <v>22</v>
      </c>
      <c r="F201" s="224"/>
      <c r="G201" s="224"/>
      <c r="H201" s="223" t="s">
        <v>2309</v>
      </c>
      <c r="I201" s="223" t="s">
        <v>2310</v>
      </c>
      <c r="J201" s="223" t="s">
        <v>2311</v>
      </c>
      <c r="K201" s="223" t="s">
        <v>2312</v>
      </c>
      <c r="L201" s="228">
        <v>14614</v>
      </c>
      <c r="M201" s="228">
        <v>0</v>
      </c>
      <c r="N201" s="223" t="s">
        <v>2313</v>
      </c>
      <c r="O201" s="229" t="str">
        <f t="shared" si="6"/>
        <v>EBS1_14614_0</v>
      </c>
      <c r="P201" s="229" t="s">
        <v>2314</v>
      </c>
      <c r="Q201" s="227"/>
      <c r="R201" s="227">
        <v>200</v>
      </c>
      <c r="S201" s="227"/>
      <c r="T201" s="229" t="str">
        <f t="shared" si="7"/>
        <v>1461400:Var_ui_ErrNo:=200;</v>
      </c>
    </row>
    <row r="202" ht="16.5" spans="1:20">
      <c r="A202" s="222">
        <v>201</v>
      </c>
      <c r="B202" s="35">
        <v>58</v>
      </c>
      <c r="C202" s="35">
        <v>14</v>
      </c>
      <c r="F202" s="224"/>
      <c r="G202" s="224"/>
      <c r="H202" s="223" t="s">
        <v>2171</v>
      </c>
      <c r="I202" s="223" t="s">
        <v>2315</v>
      </c>
      <c r="J202" s="223" t="s">
        <v>2316</v>
      </c>
      <c r="K202" s="223" t="s">
        <v>2317</v>
      </c>
      <c r="L202" s="228">
        <v>14862</v>
      </c>
      <c r="M202" s="228">
        <v>0</v>
      </c>
      <c r="N202" s="223" t="s">
        <v>2318</v>
      </c>
      <c r="O202" s="229" t="str">
        <f t="shared" si="6"/>
        <v>EBS1_14862_0</v>
      </c>
      <c r="P202" s="229" t="s">
        <v>2319</v>
      </c>
      <c r="Q202" s="227"/>
      <c r="R202" s="227">
        <v>201</v>
      </c>
      <c r="S202" s="227"/>
      <c r="T202" s="229" t="str">
        <f t="shared" si="7"/>
        <v>1486200:Var_ui_ErrNo:=201;</v>
      </c>
    </row>
    <row r="203" ht="16.5" spans="1:20">
      <c r="A203" s="222">
        <v>202</v>
      </c>
      <c r="B203" s="35">
        <v>58</v>
      </c>
      <c r="C203" s="35">
        <v>204</v>
      </c>
      <c r="F203" s="224"/>
      <c r="G203" s="224"/>
      <c r="H203" s="223" t="s">
        <v>2320</v>
      </c>
      <c r="I203" s="223" t="s">
        <v>2321</v>
      </c>
      <c r="J203" s="223" t="s">
        <v>2322</v>
      </c>
      <c r="K203" s="223" t="s">
        <v>2323</v>
      </c>
      <c r="L203" s="228">
        <v>15052</v>
      </c>
      <c r="M203" s="228">
        <v>0</v>
      </c>
      <c r="N203" s="223" t="s">
        <v>2236</v>
      </c>
      <c r="O203" s="229" t="str">
        <f t="shared" si="6"/>
        <v>EBS1_15052_0</v>
      </c>
      <c r="P203" s="229" t="s">
        <v>2324</v>
      </c>
      <c r="Q203" s="227"/>
      <c r="R203" s="227">
        <v>202</v>
      </c>
      <c r="S203" s="227"/>
      <c r="T203" s="229" t="str">
        <f t="shared" si="7"/>
        <v>1505200:Var_ui_ErrNo:=202;</v>
      </c>
    </row>
    <row r="204" ht="16.5" spans="1:20">
      <c r="A204" s="222">
        <v>203</v>
      </c>
      <c r="B204" s="35">
        <v>59</v>
      </c>
      <c r="C204" s="35">
        <v>204</v>
      </c>
      <c r="F204" s="224"/>
      <c r="G204" s="224"/>
      <c r="H204" s="223" t="s">
        <v>2320</v>
      </c>
      <c r="I204" s="223" t="s">
        <v>2321</v>
      </c>
      <c r="J204" s="223" t="s">
        <v>2325</v>
      </c>
      <c r="K204" s="223" t="s">
        <v>2326</v>
      </c>
      <c r="L204" s="228">
        <v>15308</v>
      </c>
      <c r="M204" s="228">
        <v>0</v>
      </c>
      <c r="N204" s="223" t="s">
        <v>2236</v>
      </c>
      <c r="O204" s="229" t="str">
        <f t="shared" si="6"/>
        <v>EBS1_15308_0</v>
      </c>
      <c r="P204" s="229" t="s">
        <v>2327</v>
      </c>
      <c r="Q204" s="227"/>
      <c r="R204" s="227">
        <v>203</v>
      </c>
      <c r="S204" s="227"/>
      <c r="T204" s="229" t="str">
        <f t="shared" si="7"/>
        <v>1530800:Var_ui_ErrNo:=203;</v>
      </c>
    </row>
    <row r="205" ht="16.5" spans="1:20">
      <c r="A205" s="222">
        <v>204</v>
      </c>
      <c r="B205" s="35">
        <v>60</v>
      </c>
      <c r="C205" s="35">
        <v>8</v>
      </c>
      <c r="F205" s="224"/>
      <c r="G205" s="224"/>
      <c r="H205" s="223" t="s">
        <v>2328</v>
      </c>
      <c r="I205" s="223" t="s">
        <v>2329</v>
      </c>
      <c r="J205" s="223" t="s">
        <v>2330</v>
      </c>
      <c r="K205" s="223" t="s">
        <v>2331</v>
      </c>
      <c r="L205" s="228">
        <v>15368</v>
      </c>
      <c r="M205" s="228">
        <v>0</v>
      </c>
      <c r="N205" s="223" t="s">
        <v>2332</v>
      </c>
      <c r="O205" s="229" t="str">
        <f t="shared" si="6"/>
        <v>EBS1_15368_0</v>
      </c>
      <c r="P205" s="229" t="s">
        <v>2333</v>
      </c>
      <c r="Q205" s="227"/>
      <c r="R205" s="227">
        <v>204</v>
      </c>
      <c r="S205" s="227"/>
      <c r="T205" s="229" t="str">
        <f t="shared" si="7"/>
        <v>1536800:Var_ui_ErrNo:=204;</v>
      </c>
    </row>
    <row r="206" ht="16.5" spans="1:20">
      <c r="A206" s="222">
        <v>205</v>
      </c>
      <c r="B206" s="35">
        <v>60</v>
      </c>
      <c r="C206" s="35">
        <v>26</v>
      </c>
      <c r="F206" s="224"/>
      <c r="G206" s="224"/>
      <c r="H206" s="223" t="s">
        <v>2334</v>
      </c>
      <c r="I206" s="223" t="s">
        <v>2335</v>
      </c>
      <c r="J206" s="223" t="s">
        <v>2336</v>
      </c>
      <c r="K206" s="223" t="s">
        <v>2337</v>
      </c>
      <c r="L206" s="228">
        <v>15386</v>
      </c>
      <c r="M206" s="228">
        <v>0</v>
      </c>
      <c r="N206" s="223" t="s">
        <v>2338</v>
      </c>
      <c r="O206" s="229" t="str">
        <f t="shared" si="6"/>
        <v>EBS1_15386_0</v>
      </c>
      <c r="P206" s="229" t="s">
        <v>2339</v>
      </c>
      <c r="Q206" s="227"/>
      <c r="R206" s="227">
        <v>205</v>
      </c>
      <c r="S206" s="227"/>
      <c r="T206" s="229" t="str">
        <f t="shared" si="7"/>
        <v>1538600:Var_ui_ErrNo:=205;</v>
      </c>
    </row>
    <row r="207" ht="16.5" spans="1:20">
      <c r="A207" s="222">
        <v>206</v>
      </c>
      <c r="B207" s="35">
        <v>60</v>
      </c>
      <c r="C207" s="35">
        <v>35</v>
      </c>
      <c r="F207" s="224"/>
      <c r="G207" s="224"/>
      <c r="H207" s="223" t="s">
        <v>2340</v>
      </c>
      <c r="I207" s="223" t="s">
        <v>2341</v>
      </c>
      <c r="J207" s="223" t="s">
        <v>2342</v>
      </c>
      <c r="K207" s="223" t="s">
        <v>2343</v>
      </c>
      <c r="L207" s="228">
        <v>15395</v>
      </c>
      <c r="M207" s="228">
        <v>0</v>
      </c>
      <c r="N207" s="223" t="s">
        <v>2344</v>
      </c>
      <c r="O207" s="229" t="str">
        <f t="shared" si="6"/>
        <v>EBS1_15395_0</v>
      </c>
      <c r="P207" s="229" t="s">
        <v>2345</v>
      </c>
      <c r="Q207" s="227"/>
      <c r="R207" s="227">
        <v>206</v>
      </c>
      <c r="S207" s="227"/>
      <c r="T207" s="229" t="str">
        <f t="shared" si="7"/>
        <v>1539500:Var_ui_ErrNo:=206;</v>
      </c>
    </row>
    <row r="208" ht="16.5" spans="1:20">
      <c r="A208" s="222">
        <v>207</v>
      </c>
      <c r="B208" s="35">
        <v>60</v>
      </c>
      <c r="C208" s="35">
        <v>50</v>
      </c>
      <c r="F208" s="224"/>
      <c r="G208" s="224"/>
      <c r="H208" s="223" t="s">
        <v>2346</v>
      </c>
      <c r="I208" s="223" t="s">
        <v>2347</v>
      </c>
      <c r="J208" s="223" t="s">
        <v>2348</v>
      </c>
      <c r="K208" s="223" t="s">
        <v>2349</v>
      </c>
      <c r="L208" s="228">
        <v>15410</v>
      </c>
      <c r="M208" s="228">
        <v>0</v>
      </c>
      <c r="N208" s="223" t="s">
        <v>2350</v>
      </c>
      <c r="O208" s="229" t="str">
        <f t="shared" si="6"/>
        <v>EBS1_15410_0</v>
      </c>
      <c r="P208" s="229" t="s">
        <v>2351</v>
      </c>
      <c r="Q208" s="227"/>
      <c r="R208" s="227">
        <v>207</v>
      </c>
      <c r="S208" s="227"/>
      <c r="T208" s="229" t="str">
        <f t="shared" si="7"/>
        <v>1541000:Var_ui_ErrNo:=207;</v>
      </c>
    </row>
    <row r="209" ht="16.5" spans="1:20">
      <c r="A209" s="222">
        <v>208</v>
      </c>
      <c r="B209" s="35">
        <v>61</v>
      </c>
      <c r="C209" s="35">
        <v>22</v>
      </c>
      <c r="F209" s="224"/>
      <c r="G209" s="224"/>
      <c r="H209" s="223" t="s">
        <v>2352</v>
      </c>
      <c r="I209" s="223" t="s">
        <v>2347</v>
      </c>
      <c r="J209" s="223" t="s">
        <v>2353</v>
      </c>
      <c r="K209" s="223" t="s">
        <v>2354</v>
      </c>
      <c r="L209" s="228">
        <v>15638</v>
      </c>
      <c r="M209" s="228">
        <v>0</v>
      </c>
      <c r="N209" s="223" t="s">
        <v>2355</v>
      </c>
      <c r="O209" s="229" t="str">
        <f t="shared" si="6"/>
        <v>EBS1_15638_0</v>
      </c>
      <c r="P209" s="229" t="s">
        <v>2356</v>
      </c>
      <c r="Q209" s="227"/>
      <c r="R209" s="227">
        <v>208</v>
      </c>
      <c r="S209" s="227"/>
      <c r="T209" s="229" t="str">
        <f t="shared" si="7"/>
        <v>1563800:Var_ui_ErrNo:=208;</v>
      </c>
    </row>
    <row r="210" ht="16.5" spans="1:20">
      <c r="A210" s="222">
        <v>209</v>
      </c>
      <c r="B210" s="35">
        <v>61</v>
      </c>
      <c r="C210" s="35">
        <v>23</v>
      </c>
      <c r="F210" s="224"/>
      <c r="G210" s="224"/>
      <c r="H210" s="223" t="s">
        <v>2357</v>
      </c>
      <c r="I210" s="223" t="s">
        <v>2341</v>
      </c>
      <c r="J210" s="223" t="s">
        <v>2358</v>
      </c>
      <c r="K210" s="223" t="s">
        <v>2359</v>
      </c>
      <c r="L210" s="228">
        <v>15639</v>
      </c>
      <c r="M210" s="228">
        <v>0</v>
      </c>
      <c r="N210" s="223" t="s">
        <v>2360</v>
      </c>
      <c r="O210" s="229" t="str">
        <f t="shared" si="6"/>
        <v>EBS1_15639_0</v>
      </c>
      <c r="P210" s="229" t="s">
        <v>2361</v>
      </c>
      <c r="Q210" s="227"/>
      <c r="R210" s="227">
        <v>209</v>
      </c>
      <c r="S210" s="227"/>
      <c r="T210" s="229" t="str">
        <f t="shared" si="7"/>
        <v>1563900:Var_ui_ErrNo:=209;</v>
      </c>
    </row>
    <row r="211" ht="16.5" spans="1:20">
      <c r="A211" s="222">
        <v>210</v>
      </c>
      <c r="B211" s="35">
        <v>62</v>
      </c>
      <c r="C211" s="35">
        <v>22</v>
      </c>
      <c r="F211" s="224"/>
      <c r="G211" s="224"/>
      <c r="H211" s="223" t="s">
        <v>2362</v>
      </c>
      <c r="I211" s="223" t="s">
        <v>2341</v>
      </c>
      <c r="J211" s="223" t="s">
        <v>2363</v>
      </c>
      <c r="K211" s="223" t="s">
        <v>2364</v>
      </c>
      <c r="L211" s="228">
        <v>15894</v>
      </c>
      <c r="M211" s="228">
        <v>0</v>
      </c>
      <c r="N211" s="223" t="s">
        <v>2365</v>
      </c>
      <c r="O211" s="229" t="str">
        <f t="shared" si="6"/>
        <v>EBS1_15894_0</v>
      </c>
      <c r="P211" s="229" t="s">
        <v>2366</v>
      </c>
      <c r="Q211" s="227"/>
      <c r="R211" s="227">
        <v>210</v>
      </c>
      <c r="S211" s="227"/>
      <c r="T211" s="229" t="str">
        <f t="shared" si="7"/>
        <v>1589400:Var_ui_ErrNo:=210;</v>
      </c>
    </row>
    <row r="212" ht="16.5" spans="1:20">
      <c r="A212" s="222">
        <v>211</v>
      </c>
      <c r="B212" s="35">
        <v>62</v>
      </c>
      <c r="C212" s="35">
        <v>23</v>
      </c>
      <c r="F212" s="224"/>
      <c r="G212" s="224"/>
      <c r="H212" s="223" t="s">
        <v>2367</v>
      </c>
      <c r="I212" s="223" t="s">
        <v>2341</v>
      </c>
      <c r="J212" s="223" t="s">
        <v>2368</v>
      </c>
      <c r="K212" s="223" t="s">
        <v>2369</v>
      </c>
      <c r="L212" s="228">
        <v>15895</v>
      </c>
      <c r="M212" s="228">
        <v>0</v>
      </c>
      <c r="N212" s="223" t="s">
        <v>2370</v>
      </c>
      <c r="O212" s="229" t="str">
        <f t="shared" si="6"/>
        <v>EBS1_15895_0</v>
      </c>
      <c r="P212" s="229" t="s">
        <v>2371</v>
      </c>
      <c r="Q212" s="227"/>
      <c r="R212" s="227">
        <v>211</v>
      </c>
      <c r="S212" s="227"/>
      <c r="T212" s="229" t="str">
        <f t="shared" si="7"/>
        <v>1589500:Var_ui_ErrNo:=211;</v>
      </c>
    </row>
    <row r="213" ht="16.5" spans="1:20">
      <c r="A213" s="222">
        <v>212</v>
      </c>
      <c r="B213" s="35">
        <v>63</v>
      </c>
      <c r="C213" s="35">
        <v>32</v>
      </c>
      <c r="F213" s="224"/>
      <c r="G213" s="224"/>
      <c r="H213" s="223" t="s">
        <v>2372</v>
      </c>
      <c r="I213" s="223" t="s">
        <v>2341</v>
      </c>
      <c r="J213" s="223" t="s">
        <v>2373</v>
      </c>
      <c r="K213" s="223" t="s">
        <v>2374</v>
      </c>
      <c r="L213" s="228">
        <v>16160</v>
      </c>
      <c r="M213" s="228">
        <v>0</v>
      </c>
      <c r="N213" s="223" t="s">
        <v>2375</v>
      </c>
      <c r="O213" s="229" t="str">
        <f t="shared" si="6"/>
        <v>EBS1_16160_0</v>
      </c>
      <c r="P213" s="229" t="s">
        <v>2376</v>
      </c>
      <c r="Q213" s="227"/>
      <c r="R213" s="227">
        <v>212</v>
      </c>
      <c r="S213" s="227"/>
      <c r="T213" s="229" t="str">
        <f t="shared" si="7"/>
        <v>1616000:Var_ui_ErrNo:=212;</v>
      </c>
    </row>
    <row r="214" ht="16.5" spans="1:20">
      <c r="A214" s="222">
        <v>213</v>
      </c>
      <c r="B214" s="35">
        <v>63</v>
      </c>
      <c r="C214" s="35">
        <v>33</v>
      </c>
      <c r="F214" s="224"/>
      <c r="G214" s="224"/>
      <c r="H214" s="223" t="s">
        <v>2377</v>
      </c>
      <c r="I214" s="223" t="s">
        <v>2341</v>
      </c>
      <c r="J214" s="223" t="s">
        <v>2378</v>
      </c>
      <c r="K214" s="223" t="s">
        <v>2379</v>
      </c>
      <c r="L214" s="228">
        <v>16161</v>
      </c>
      <c r="M214" s="228">
        <v>0</v>
      </c>
      <c r="N214" s="223" t="s">
        <v>2380</v>
      </c>
      <c r="O214" s="229" t="str">
        <f t="shared" si="6"/>
        <v>EBS1_16161_0</v>
      </c>
      <c r="P214" s="229" t="s">
        <v>2381</v>
      </c>
      <c r="Q214" s="227"/>
      <c r="R214" s="227">
        <v>213</v>
      </c>
      <c r="S214" s="227"/>
      <c r="T214" s="229" t="str">
        <f t="shared" si="7"/>
        <v>1616100:Var_ui_ErrNo:=213;</v>
      </c>
    </row>
    <row r="215" ht="16.5" spans="1:20">
      <c r="A215" s="222">
        <v>214</v>
      </c>
      <c r="B215" s="35">
        <v>63</v>
      </c>
      <c r="C215" s="35">
        <v>42</v>
      </c>
      <c r="F215" s="224"/>
      <c r="G215" s="224"/>
      <c r="H215" s="223" t="s">
        <v>2382</v>
      </c>
      <c r="I215" s="223" t="s">
        <v>2383</v>
      </c>
      <c r="J215" s="223" t="s">
        <v>2384</v>
      </c>
      <c r="K215" s="223" t="s">
        <v>2385</v>
      </c>
      <c r="L215" s="228">
        <v>16170</v>
      </c>
      <c r="M215" s="228">
        <v>0</v>
      </c>
      <c r="N215" s="223" t="s">
        <v>2386</v>
      </c>
      <c r="O215" s="229" t="str">
        <f t="shared" si="6"/>
        <v>EBS1_16170_0</v>
      </c>
      <c r="P215" s="229" t="s">
        <v>2387</v>
      </c>
      <c r="Q215" s="227"/>
      <c r="R215" s="227">
        <v>214</v>
      </c>
      <c r="S215" s="227"/>
      <c r="T215" s="229" t="str">
        <f t="shared" si="7"/>
        <v>1617000:Var_ui_ErrNo:=214;</v>
      </c>
    </row>
    <row r="216" ht="16.5" spans="1:20">
      <c r="A216" s="222">
        <v>215</v>
      </c>
      <c r="B216" s="35">
        <v>65</v>
      </c>
      <c r="C216" s="35">
        <v>20</v>
      </c>
      <c r="F216" s="224"/>
      <c r="G216" s="224"/>
      <c r="H216" s="223" t="s">
        <v>2388</v>
      </c>
      <c r="I216" s="223" t="s">
        <v>2341</v>
      </c>
      <c r="J216" s="223" t="s">
        <v>2389</v>
      </c>
      <c r="K216" s="223" t="s">
        <v>2390</v>
      </c>
      <c r="L216" s="228">
        <v>16660</v>
      </c>
      <c r="M216" s="228">
        <v>0</v>
      </c>
      <c r="N216" s="223" t="s">
        <v>2391</v>
      </c>
      <c r="O216" s="229" t="str">
        <f t="shared" si="6"/>
        <v>EBS1_16660_0</v>
      </c>
      <c r="P216" s="229" t="s">
        <v>2392</v>
      </c>
      <c r="Q216" s="227"/>
      <c r="R216" s="227">
        <v>215</v>
      </c>
      <c r="S216" s="227"/>
      <c r="T216" s="229" t="str">
        <f t="shared" si="7"/>
        <v>1666000:Var_ui_ErrNo:=215;</v>
      </c>
    </row>
    <row r="217" ht="16.5" spans="1:20">
      <c r="A217" s="222">
        <v>216</v>
      </c>
      <c r="B217" s="35">
        <v>65</v>
      </c>
      <c r="C217" s="35">
        <v>21</v>
      </c>
      <c r="F217" s="224"/>
      <c r="G217" s="224"/>
      <c r="H217" s="223" t="s">
        <v>2393</v>
      </c>
      <c r="I217" s="223" t="s">
        <v>2341</v>
      </c>
      <c r="J217" s="223" t="s">
        <v>2394</v>
      </c>
      <c r="K217" s="223" t="s">
        <v>2395</v>
      </c>
      <c r="L217" s="228">
        <v>16661</v>
      </c>
      <c r="M217" s="228">
        <v>0</v>
      </c>
      <c r="N217" s="223" t="s">
        <v>2396</v>
      </c>
      <c r="O217" s="229" t="str">
        <f t="shared" si="6"/>
        <v>EBS1_16661_0</v>
      </c>
      <c r="P217" s="229" t="s">
        <v>2397</v>
      </c>
      <c r="Q217" s="227"/>
      <c r="R217" s="227">
        <v>216</v>
      </c>
      <c r="S217" s="227"/>
      <c r="T217" s="229" t="str">
        <f t="shared" si="7"/>
        <v>1666100:Var_ui_ErrNo:=216;</v>
      </c>
    </row>
    <row r="218" ht="16.5" spans="1:20">
      <c r="A218" s="222">
        <v>217</v>
      </c>
      <c r="B218" s="35">
        <v>67</v>
      </c>
      <c r="C218" s="35">
        <v>1</v>
      </c>
      <c r="F218" s="224"/>
      <c r="G218" s="224"/>
      <c r="H218" s="223" t="s">
        <v>1595</v>
      </c>
      <c r="I218" s="223" t="s">
        <v>2398</v>
      </c>
      <c r="J218" s="223" t="s">
        <v>2399</v>
      </c>
      <c r="K218" s="223" t="s">
        <v>2400</v>
      </c>
      <c r="L218" s="228">
        <v>17153</v>
      </c>
      <c r="M218" s="228">
        <v>0</v>
      </c>
      <c r="N218" s="223" t="s">
        <v>1599</v>
      </c>
      <c r="O218" s="229" t="str">
        <f t="shared" si="6"/>
        <v>EBS1_17153_0</v>
      </c>
      <c r="P218" s="229" t="s">
        <v>2401</v>
      </c>
      <c r="Q218" s="227"/>
      <c r="R218" s="227">
        <v>217</v>
      </c>
      <c r="S218" s="227"/>
      <c r="T218" s="229" t="str">
        <f t="shared" si="7"/>
        <v>1715300:Var_ui_ErrNo:=217;</v>
      </c>
    </row>
    <row r="219" ht="16.5" spans="1:20">
      <c r="A219" s="222">
        <v>218</v>
      </c>
      <c r="B219" s="35">
        <v>70</v>
      </c>
      <c r="C219" s="35">
        <v>1</v>
      </c>
      <c r="F219" s="224"/>
      <c r="G219" s="224"/>
      <c r="H219" s="223" t="s">
        <v>2402</v>
      </c>
      <c r="I219" s="223" t="s">
        <v>2403</v>
      </c>
      <c r="J219" s="223" t="s">
        <v>2404</v>
      </c>
      <c r="K219" s="223" t="s">
        <v>2405</v>
      </c>
      <c r="L219" s="228">
        <v>17921</v>
      </c>
      <c r="M219" s="228">
        <v>0</v>
      </c>
      <c r="N219" s="223" t="s">
        <v>2406</v>
      </c>
      <c r="O219" s="229" t="str">
        <f t="shared" si="6"/>
        <v>EBS1_17921_0</v>
      </c>
      <c r="P219" s="229" t="s">
        <v>2407</v>
      </c>
      <c r="Q219" s="227"/>
      <c r="R219" s="227">
        <v>218</v>
      </c>
      <c r="S219" s="227"/>
      <c r="T219" s="229" t="str">
        <f t="shared" si="7"/>
        <v>1792100:Var_ui_ErrNo:=218;</v>
      </c>
    </row>
    <row r="220" ht="16.5" spans="1:20">
      <c r="A220" s="222">
        <v>219</v>
      </c>
      <c r="B220" s="35">
        <v>70</v>
      </c>
      <c r="C220" s="35">
        <v>51</v>
      </c>
      <c r="F220" s="224"/>
      <c r="G220" s="224"/>
      <c r="H220" s="223" t="s">
        <v>2408</v>
      </c>
      <c r="I220" s="223" t="s">
        <v>2409</v>
      </c>
      <c r="J220" s="223" t="s">
        <v>2410</v>
      </c>
      <c r="K220" s="223" t="s">
        <v>2411</v>
      </c>
      <c r="L220" s="228">
        <v>17971</v>
      </c>
      <c r="M220" s="228">
        <v>0</v>
      </c>
      <c r="N220" s="223" t="s">
        <v>2412</v>
      </c>
      <c r="O220" s="229" t="str">
        <f t="shared" si="6"/>
        <v>EBS1_17971_0</v>
      </c>
      <c r="P220" s="229" t="s">
        <v>2413</v>
      </c>
      <c r="Q220" s="227"/>
      <c r="R220" s="227">
        <v>219</v>
      </c>
      <c r="S220" s="227"/>
      <c r="T220" s="229" t="str">
        <f t="shared" si="7"/>
        <v>1797100:Var_ui_ErrNo:=219;</v>
      </c>
    </row>
    <row r="221" ht="16.5" spans="1:20">
      <c r="A221" s="222">
        <v>220</v>
      </c>
      <c r="B221" s="35">
        <v>70</v>
      </c>
      <c r="C221" s="35">
        <v>52</v>
      </c>
      <c r="F221" s="224"/>
      <c r="G221" s="224"/>
      <c r="H221" s="223" t="s">
        <v>2414</v>
      </c>
      <c r="I221" s="223" t="s">
        <v>2065</v>
      </c>
      <c r="J221" s="223" t="s">
        <v>2415</v>
      </c>
      <c r="K221" s="223" t="s">
        <v>2416</v>
      </c>
      <c r="L221" s="228">
        <v>17972</v>
      </c>
      <c r="M221" s="228">
        <v>0</v>
      </c>
      <c r="N221" s="223" t="s">
        <v>2417</v>
      </c>
      <c r="O221" s="229" t="str">
        <f t="shared" si="6"/>
        <v>EBS1_17972_0</v>
      </c>
      <c r="P221" s="229" t="s">
        <v>2418</v>
      </c>
      <c r="Q221" s="227"/>
      <c r="R221" s="227">
        <v>220</v>
      </c>
      <c r="S221" s="227"/>
      <c r="T221" s="229" t="str">
        <f t="shared" si="7"/>
        <v>1797200:Var_ui_ErrNo:=220;</v>
      </c>
    </row>
    <row r="222" ht="16.5" spans="1:20">
      <c r="A222" s="222">
        <v>221</v>
      </c>
      <c r="B222" s="35">
        <v>71</v>
      </c>
      <c r="C222" s="35">
        <v>1</v>
      </c>
      <c r="F222" s="224"/>
      <c r="G222" s="224"/>
      <c r="H222" s="223" t="s">
        <v>2419</v>
      </c>
      <c r="I222" s="223" t="s">
        <v>2420</v>
      </c>
      <c r="J222" s="223" t="s">
        <v>2421</v>
      </c>
      <c r="K222" s="223" t="s">
        <v>2422</v>
      </c>
      <c r="L222" s="228">
        <v>18177</v>
      </c>
      <c r="M222" s="228">
        <v>0</v>
      </c>
      <c r="N222" s="223" t="s">
        <v>2423</v>
      </c>
      <c r="O222" s="229" t="str">
        <f t="shared" si="6"/>
        <v>EBS1_18177_0</v>
      </c>
      <c r="P222" s="229" t="s">
        <v>2424</v>
      </c>
      <c r="Q222" s="227"/>
      <c r="R222" s="227">
        <v>221</v>
      </c>
      <c r="S222" s="227"/>
      <c r="T222" s="229" t="str">
        <f t="shared" si="7"/>
        <v>1817700:Var_ui_ErrNo:=221;</v>
      </c>
    </row>
    <row r="223" ht="16.5" spans="1:20">
      <c r="A223" s="222">
        <v>222</v>
      </c>
      <c r="B223" s="35">
        <v>71</v>
      </c>
      <c r="C223" s="35">
        <v>11</v>
      </c>
      <c r="F223" s="224"/>
      <c r="G223" s="224"/>
      <c r="H223" s="223" t="s">
        <v>2425</v>
      </c>
      <c r="I223" s="223" t="s">
        <v>2426</v>
      </c>
      <c r="J223" s="223" t="s">
        <v>2427</v>
      </c>
      <c r="K223" s="223" t="s">
        <v>2428</v>
      </c>
      <c r="L223" s="228">
        <v>18187</v>
      </c>
      <c r="M223" s="228">
        <v>0</v>
      </c>
      <c r="N223" s="223" t="s">
        <v>2429</v>
      </c>
      <c r="O223" s="229" t="str">
        <f t="shared" si="6"/>
        <v>EBS1_18187_0</v>
      </c>
      <c r="P223" s="229" t="s">
        <v>2430</v>
      </c>
      <c r="Q223" s="227"/>
      <c r="R223" s="227">
        <v>222</v>
      </c>
      <c r="S223" s="227"/>
      <c r="T223" s="229" t="str">
        <f t="shared" si="7"/>
        <v>1818700:Var_ui_ErrNo:=222;</v>
      </c>
    </row>
    <row r="224" ht="16.5" spans="1:20">
      <c r="A224" s="222">
        <v>223</v>
      </c>
      <c r="B224" s="35">
        <v>71</v>
      </c>
      <c r="C224" s="35">
        <v>252</v>
      </c>
      <c r="F224" s="224"/>
      <c r="G224" s="224"/>
      <c r="H224" s="223" t="s">
        <v>2431</v>
      </c>
      <c r="I224" s="223" t="s">
        <v>2432</v>
      </c>
      <c r="J224" s="223" t="s">
        <v>2433</v>
      </c>
      <c r="K224" s="223" t="s">
        <v>2434</v>
      </c>
      <c r="L224" s="228">
        <v>18428</v>
      </c>
      <c r="M224" s="228">
        <v>0</v>
      </c>
      <c r="N224" s="223" t="s">
        <v>2435</v>
      </c>
      <c r="O224" s="229" t="str">
        <f t="shared" si="6"/>
        <v>EBS1_18428_0</v>
      </c>
      <c r="P224" s="229" t="s">
        <v>2436</v>
      </c>
      <c r="Q224" s="227"/>
      <c r="R224" s="227">
        <v>223</v>
      </c>
      <c r="S224" s="227"/>
      <c r="T224" s="229" t="str">
        <f t="shared" si="7"/>
        <v>1842800:Var_ui_ErrNo:=223;</v>
      </c>
    </row>
    <row r="225" ht="16.5" spans="1:20">
      <c r="A225" s="222">
        <v>224</v>
      </c>
      <c r="B225" s="35">
        <v>72</v>
      </c>
      <c r="C225" s="35">
        <v>0</v>
      </c>
      <c r="F225" s="224"/>
      <c r="G225" s="224"/>
      <c r="H225" s="223" t="s">
        <v>2437</v>
      </c>
      <c r="I225" s="223" t="s">
        <v>2438</v>
      </c>
      <c r="J225" s="223" t="s">
        <v>2439</v>
      </c>
      <c r="K225" s="223" t="s">
        <v>2440</v>
      </c>
      <c r="L225" s="228">
        <v>18432</v>
      </c>
      <c r="M225" s="228">
        <v>0</v>
      </c>
      <c r="N225" s="223" t="s">
        <v>2441</v>
      </c>
      <c r="O225" s="229" t="str">
        <f t="shared" si="6"/>
        <v>EBS1_18432_0</v>
      </c>
      <c r="P225" s="229" t="s">
        <v>2442</v>
      </c>
      <c r="Q225" s="227"/>
      <c r="R225" s="227">
        <v>224</v>
      </c>
      <c r="S225" s="227"/>
      <c r="T225" s="229" t="str">
        <f t="shared" si="7"/>
        <v>1843200:Var_ui_ErrNo:=224;</v>
      </c>
    </row>
    <row r="226" ht="16.5" spans="1:20">
      <c r="A226" s="222">
        <v>225</v>
      </c>
      <c r="B226" s="35">
        <v>72</v>
      </c>
      <c r="C226" s="35">
        <v>156</v>
      </c>
      <c r="F226" s="224"/>
      <c r="G226" s="224"/>
      <c r="H226" s="223" t="s">
        <v>2443</v>
      </c>
      <c r="I226" s="223" t="s">
        <v>2444</v>
      </c>
      <c r="J226" s="223" t="s">
        <v>2445</v>
      </c>
      <c r="K226" s="223" t="s">
        <v>2446</v>
      </c>
      <c r="L226" s="228">
        <v>18588</v>
      </c>
      <c r="M226" s="228">
        <v>0</v>
      </c>
      <c r="N226" s="223" t="s">
        <v>2447</v>
      </c>
      <c r="O226" s="229" t="str">
        <f t="shared" si="6"/>
        <v>EBS1_18588_0</v>
      </c>
      <c r="P226" s="229" t="s">
        <v>2448</v>
      </c>
      <c r="Q226" s="227"/>
      <c r="R226" s="227">
        <v>225</v>
      </c>
      <c r="S226" s="227"/>
      <c r="T226" s="229" t="str">
        <f t="shared" si="7"/>
        <v>1858800:Var_ui_ErrNo:=225;</v>
      </c>
    </row>
    <row r="227" ht="16.5" spans="1:20">
      <c r="A227" s="222">
        <v>226</v>
      </c>
      <c r="B227" s="35">
        <v>72</v>
      </c>
      <c r="C227" s="35">
        <v>157</v>
      </c>
      <c r="F227" s="224"/>
      <c r="G227" s="224"/>
      <c r="H227" s="223" t="s">
        <v>2449</v>
      </c>
      <c r="I227" s="223" t="s">
        <v>2450</v>
      </c>
      <c r="J227" s="223" t="s">
        <v>2451</v>
      </c>
      <c r="K227" s="223" t="s">
        <v>2452</v>
      </c>
      <c r="L227" s="228">
        <v>18589</v>
      </c>
      <c r="M227" s="228">
        <v>0</v>
      </c>
      <c r="N227" s="223" t="s">
        <v>2453</v>
      </c>
      <c r="O227" s="229" t="str">
        <f t="shared" si="6"/>
        <v>EBS1_18589_0</v>
      </c>
      <c r="P227" s="229" t="s">
        <v>2454</v>
      </c>
      <c r="Q227" s="227"/>
      <c r="R227" s="227">
        <v>226</v>
      </c>
      <c r="S227" s="227"/>
      <c r="T227" s="229" t="str">
        <f t="shared" si="7"/>
        <v>1858900:Var_ui_ErrNo:=226;</v>
      </c>
    </row>
    <row r="228" ht="16.5" spans="1:20">
      <c r="A228" s="222">
        <v>227</v>
      </c>
      <c r="B228" s="35">
        <v>72</v>
      </c>
      <c r="C228" s="35">
        <v>160</v>
      </c>
      <c r="F228" s="224"/>
      <c r="G228" s="224"/>
      <c r="H228" s="223" t="s">
        <v>2449</v>
      </c>
      <c r="I228" s="223" t="s">
        <v>2450</v>
      </c>
      <c r="J228" s="223" t="s">
        <v>2455</v>
      </c>
      <c r="K228" s="223" t="s">
        <v>2456</v>
      </c>
      <c r="L228" s="228">
        <v>18592</v>
      </c>
      <c r="M228" s="228">
        <v>0</v>
      </c>
      <c r="N228" s="223" t="s">
        <v>2453</v>
      </c>
      <c r="O228" s="229" t="str">
        <f t="shared" si="6"/>
        <v>EBS1_18592_0</v>
      </c>
      <c r="P228" s="229" t="s">
        <v>2457</v>
      </c>
      <c r="Q228" s="227"/>
      <c r="R228" s="227">
        <v>227</v>
      </c>
      <c r="S228" s="227"/>
      <c r="T228" s="229" t="str">
        <f t="shared" si="7"/>
        <v>1859200:Var_ui_ErrNo:=227;</v>
      </c>
    </row>
    <row r="229" ht="16.5" spans="1:20">
      <c r="A229" s="222">
        <v>228</v>
      </c>
      <c r="B229" s="35">
        <v>73</v>
      </c>
      <c r="C229" s="35">
        <v>1</v>
      </c>
      <c r="F229" s="224"/>
      <c r="G229" s="224"/>
      <c r="H229" s="223" t="s">
        <v>2458</v>
      </c>
      <c r="I229" s="223" t="s">
        <v>2459</v>
      </c>
      <c r="J229" s="223" t="s">
        <v>2460</v>
      </c>
      <c r="K229" s="223" t="s">
        <v>2461</v>
      </c>
      <c r="L229" s="228">
        <v>18689</v>
      </c>
      <c r="M229" s="228">
        <v>0</v>
      </c>
      <c r="N229" s="223" t="s">
        <v>2462</v>
      </c>
      <c r="O229" s="229" t="str">
        <f t="shared" si="6"/>
        <v>EBS1_18689_0</v>
      </c>
      <c r="P229" s="229" t="s">
        <v>2463</v>
      </c>
      <c r="Q229" s="227"/>
      <c r="R229" s="227">
        <v>228</v>
      </c>
      <c r="S229" s="227"/>
      <c r="T229" s="229" t="str">
        <f t="shared" si="7"/>
        <v>1868900:Var_ui_ErrNo:=228;</v>
      </c>
    </row>
    <row r="230" ht="16.5" spans="1:20">
      <c r="A230" s="222">
        <v>229</v>
      </c>
      <c r="B230" s="35">
        <v>73</v>
      </c>
      <c r="C230" s="35">
        <v>50</v>
      </c>
      <c r="F230" s="224"/>
      <c r="G230" s="224"/>
      <c r="H230" s="223" t="s">
        <v>2464</v>
      </c>
      <c r="I230" s="223" t="s">
        <v>1453</v>
      </c>
      <c r="J230" s="223" t="s">
        <v>2465</v>
      </c>
      <c r="K230" s="223" t="s">
        <v>2466</v>
      </c>
      <c r="L230" s="228">
        <v>18738</v>
      </c>
      <c r="M230" s="228">
        <v>0</v>
      </c>
      <c r="N230" s="223" t="s">
        <v>2467</v>
      </c>
      <c r="O230" s="229" t="str">
        <f t="shared" si="6"/>
        <v>EBS1_18738_0</v>
      </c>
      <c r="P230" s="229" t="s">
        <v>2468</v>
      </c>
      <c r="Q230" s="227"/>
      <c r="R230" s="227">
        <v>229</v>
      </c>
      <c r="S230" s="227"/>
      <c r="T230" s="229" t="str">
        <f t="shared" si="7"/>
        <v>1873800:Var_ui_ErrNo:=229;</v>
      </c>
    </row>
    <row r="231" ht="16.5" spans="1:20">
      <c r="A231" s="222">
        <v>230</v>
      </c>
      <c r="B231" s="35">
        <v>73</v>
      </c>
      <c r="C231" s="35">
        <v>178</v>
      </c>
      <c r="F231" s="224"/>
      <c r="G231" s="224"/>
      <c r="H231" s="223" t="s">
        <v>2469</v>
      </c>
      <c r="I231" s="223" t="s">
        <v>2470</v>
      </c>
      <c r="J231" s="223" t="s">
        <v>2471</v>
      </c>
      <c r="K231" s="223" t="s">
        <v>2472</v>
      </c>
      <c r="L231" s="228">
        <v>18866</v>
      </c>
      <c r="M231" s="228">
        <v>0</v>
      </c>
      <c r="N231" s="223" t="s">
        <v>2473</v>
      </c>
      <c r="O231" s="229" t="str">
        <f t="shared" si="6"/>
        <v>EBS1_18866_0</v>
      </c>
      <c r="P231" s="229" t="s">
        <v>2474</v>
      </c>
      <c r="Q231" s="227"/>
      <c r="R231" s="227">
        <v>230</v>
      </c>
      <c r="S231" s="227"/>
      <c r="T231" s="229" t="str">
        <f t="shared" si="7"/>
        <v>1886600:Var_ui_ErrNo:=230;</v>
      </c>
    </row>
    <row r="232" ht="16.5" spans="1:20">
      <c r="A232" s="222">
        <v>231</v>
      </c>
      <c r="B232" s="35">
        <v>73</v>
      </c>
      <c r="C232" s="35">
        <v>235</v>
      </c>
      <c r="F232" s="224"/>
      <c r="G232" s="224"/>
      <c r="H232" s="223" t="s">
        <v>2475</v>
      </c>
      <c r="I232" s="223" t="s">
        <v>2476</v>
      </c>
      <c r="J232" s="223" t="s">
        <v>2477</v>
      </c>
      <c r="K232" s="223" t="s">
        <v>2478</v>
      </c>
      <c r="L232" s="228">
        <v>18923</v>
      </c>
      <c r="M232" s="228">
        <v>0</v>
      </c>
      <c r="N232" s="223" t="s">
        <v>2479</v>
      </c>
      <c r="O232" s="229" t="str">
        <f t="shared" si="6"/>
        <v>EBS1_18923_0</v>
      </c>
      <c r="P232" s="229" t="s">
        <v>2480</v>
      </c>
      <c r="Q232" s="227"/>
      <c r="R232" s="227">
        <v>231</v>
      </c>
      <c r="S232" s="227"/>
      <c r="T232" s="229" t="str">
        <f t="shared" si="7"/>
        <v>1892300:Var_ui_ErrNo:=231;</v>
      </c>
    </row>
    <row r="233" ht="16.5" spans="1:20">
      <c r="A233" s="222">
        <v>232</v>
      </c>
      <c r="B233" s="35">
        <v>73</v>
      </c>
      <c r="C233" s="35">
        <v>238</v>
      </c>
      <c r="F233" s="224"/>
      <c r="G233" s="224"/>
      <c r="H233" s="223" t="s">
        <v>2481</v>
      </c>
      <c r="I233" s="223" t="s">
        <v>2482</v>
      </c>
      <c r="J233" s="223" t="s">
        <v>2483</v>
      </c>
      <c r="K233" s="223" t="s">
        <v>2484</v>
      </c>
      <c r="L233" s="228">
        <v>18926</v>
      </c>
      <c r="M233" s="228">
        <v>0</v>
      </c>
      <c r="N233" s="223" t="s">
        <v>2485</v>
      </c>
      <c r="O233" s="229" t="str">
        <f t="shared" si="6"/>
        <v>EBS1_18926_0</v>
      </c>
      <c r="P233" s="229" t="s">
        <v>2486</v>
      </c>
      <c r="Q233" s="227"/>
      <c r="R233" s="227">
        <v>232</v>
      </c>
      <c r="S233" s="227"/>
      <c r="T233" s="229" t="str">
        <f t="shared" si="7"/>
        <v>1892600:Var_ui_ErrNo:=232;</v>
      </c>
    </row>
    <row r="234" ht="16.5" spans="1:20">
      <c r="A234" s="222">
        <v>233</v>
      </c>
      <c r="B234" s="35">
        <v>73</v>
      </c>
      <c r="C234" s="35">
        <v>240</v>
      </c>
      <c r="F234" s="224"/>
      <c r="G234" s="224"/>
      <c r="H234" s="223" t="s">
        <v>2487</v>
      </c>
      <c r="I234" s="223" t="s">
        <v>2488</v>
      </c>
      <c r="J234" s="223" t="s">
        <v>2489</v>
      </c>
      <c r="K234" s="223" t="s">
        <v>2490</v>
      </c>
      <c r="L234" s="228">
        <v>18928</v>
      </c>
      <c r="M234" s="228">
        <v>0</v>
      </c>
      <c r="N234" s="223" t="s">
        <v>2491</v>
      </c>
      <c r="O234" s="229" t="str">
        <f t="shared" si="6"/>
        <v>EBS1_18928_0</v>
      </c>
      <c r="P234" s="229" t="s">
        <v>2492</v>
      </c>
      <c r="Q234" s="227"/>
      <c r="R234" s="227">
        <v>233</v>
      </c>
      <c r="S234" s="227"/>
      <c r="T234" s="229" t="str">
        <f t="shared" si="7"/>
        <v>1892800:Var_ui_ErrNo:=233;</v>
      </c>
    </row>
    <row r="235" ht="16.5" spans="1:20">
      <c r="A235" s="222">
        <v>234</v>
      </c>
      <c r="B235" s="35">
        <v>73</v>
      </c>
      <c r="C235" s="35">
        <v>242</v>
      </c>
      <c r="F235" s="224"/>
      <c r="G235" s="224"/>
      <c r="H235" s="223" t="s">
        <v>2493</v>
      </c>
      <c r="I235" s="223" t="s">
        <v>2494</v>
      </c>
      <c r="J235" s="223" t="s">
        <v>2495</v>
      </c>
      <c r="K235" s="223" t="s">
        <v>2496</v>
      </c>
      <c r="L235" s="228">
        <v>18930</v>
      </c>
      <c r="M235" s="228">
        <v>0</v>
      </c>
      <c r="N235" s="223" t="s">
        <v>2497</v>
      </c>
      <c r="O235" s="229" t="str">
        <f t="shared" si="6"/>
        <v>EBS1_18930_0</v>
      </c>
      <c r="P235" s="229" t="s">
        <v>2498</v>
      </c>
      <c r="Q235" s="227"/>
      <c r="R235" s="227">
        <v>234</v>
      </c>
      <c r="S235" s="227"/>
      <c r="T235" s="229" t="str">
        <f t="shared" si="7"/>
        <v>1893000:Var_ui_ErrNo:=234;</v>
      </c>
    </row>
    <row r="236" ht="16.5" spans="1:20">
      <c r="A236" s="222">
        <v>235</v>
      </c>
      <c r="B236" s="35">
        <v>76</v>
      </c>
      <c r="C236" s="35">
        <v>88</v>
      </c>
      <c r="F236" s="224"/>
      <c r="G236" s="224"/>
      <c r="H236" s="223" t="s">
        <v>2499</v>
      </c>
      <c r="I236" s="223" t="s">
        <v>2500</v>
      </c>
      <c r="J236" s="223" t="s">
        <v>2501</v>
      </c>
      <c r="K236" s="223" t="s">
        <v>2502</v>
      </c>
      <c r="L236" s="228">
        <v>19544</v>
      </c>
      <c r="M236" s="228">
        <v>0</v>
      </c>
      <c r="N236" s="223" t="s">
        <v>2503</v>
      </c>
      <c r="O236" s="229" t="str">
        <f t="shared" si="6"/>
        <v>EBS1_19544_0</v>
      </c>
      <c r="P236" s="229" t="s">
        <v>2504</v>
      </c>
      <c r="Q236" s="227"/>
      <c r="R236" s="227">
        <v>235</v>
      </c>
      <c r="S236" s="227"/>
      <c r="T236" s="229" t="str">
        <f t="shared" si="7"/>
        <v>1954400:Var_ui_ErrNo:=235;</v>
      </c>
    </row>
    <row r="237" ht="16.5" spans="1:20">
      <c r="A237" s="222">
        <v>236</v>
      </c>
      <c r="B237" s="35">
        <v>77</v>
      </c>
      <c r="C237" s="35">
        <v>88</v>
      </c>
      <c r="F237" s="224"/>
      <c r="G237" s="224"/>
      <c r="H237" s="223" t="s">
        <v>2505</v>
      </c>
      <c r="I237" s="223" t="s">
        <v>2500</v>
      </c>
      <c r="J237" s="223" t="s">
        <v>2506</v>
      </c>
      <c r="K237" s="223" t="s">
        <v>2507</v>
      </c>
      <c r="L237" s="228">
        <v>19800</v>
      </c>
      <c r="M237" s="228">
        <v>0</v>
      </c>
      <c r="N237" s="223" t="s">
        <v>2508</v>
      </c>
      <c r="O237" s="229" t="str">
        <f t="shared" si="6"/>
        <v>EBS1_19800_0</v>
      </c>
      <c r="P237" s="229" t="s">
        <v>2509</v>
      </c>
      <c r="Q237" s="227"/>
      <c r="R237" s="227">
        <v>236</v>
      </c>
      <c r="S237" s="227"/>
      <c r="T237" s="229" t="str">
        <f t="shared" si="7"/>
        <v>1980000:Var_ui_ErrNo:=236;</v>
      </c>
    </row>
    <row r="238" ht="16.5" spans="1:20">
      <c r="A238" s="222">
        <v>237</v>
      </c>
      <c r="B238" s="35">
        <v>78</v>
      </c>
      <c r="C238" s="35">
        <v>88</v>
      </c>
      <c r="F238" s="224"/>
      <c r="G238" s="224"/>
      <c r="H238" s="223" t="s">
        <v>2510</v>
      </c>
      <c r="I238" s="223" t="s">
        <v>2500</v>
      </c>
      <c r="J238" s="223" t="s">
        <v>2511</v>
      </c>
      <c r="K238" s="223" t="s">
        <v>2512</v>
      </c>
      <c r="L238" s="228">
        <v>20056</v>
      </c>
      <c r="M238" s="228">
        <v>0</v>
      </c>
      <c r="N238" s="223" t="s">
        <v>2513</v>
      </c>
      <c r="O238" s="229" t="str">
        <f t="shared" si="6"/>
        <v>EBS1_20056_0</v>
      </c>
      <c r="P238" s="229" t="s">
        <v>2514</v>
      </c>
      <c r="Q238" s="227"/>
      <c r="R238" s="227">
        <v>237</v>
      </c>
      <c r="S238" s="227"/>
      <c r="T238" s="229" t="str">
        <f t="shared" si="7"/>
        <v>2005600:Var_ui_ErrNo:=237;</v>
      </c>
    </row>
    <row r="239" ht="16.5" spans="1:20">
      <c r="A239" s="222">
        <v>238</v>
      </c>
      <c r="B239" s="35">
        <v>79</v>
      </c>
      <c r="C239" s="35">
        <v>20</v>
      </c>
      <c r="F239" s="224"/>
      <c r="G239" s="224"/>
      <c r="H239" s="223" t="s">
        <v>2515</v>
      </c>
      <c r="I239" s="223" t="s">
        <v>2516</v>
      </c>
      <c r="J239" s="223" t="s">
        <v>2517</v>
      </c>
      <c r="K239" s="223" t="s">
        <v>2518</v>
      </c>
      <c r="L239" s="228">
        <v>20244</v>
      </c>
      <c r="M239" s="228">
        <v>0</v>
      </c>
      <c r="N239" s="223" t="s">
        <v>2519</v>
      </c>
      <c r="O239" s="229" t="str">
        <f t="shared" si="6"/>
        <v>EBS1_20244_0</v>
      </c>
      <c r="P239" s="229" t="s">
        <v>2520</v>
      </c>
      <c r="Q239" s="227"/>
      <c r="R239" s="227">
        <v>238</v>
      </c>
      <c r="S239" s="227"/>
      <c r="T239" s="229" t="str">
        <f t="shared" si="7"/>
        <v>2024400:Var_ui_ErrNo:=238;</v>
      </c>
    </row>
    <row r="240" ht="16.5" spans="1:20">
      <c r="A240" s="222">
        <v>239</v>
      </c>
      <c r="B240" s="35">
        <v>79</v>
      </c>
      <c r="C240" s="35">
        <v>21</v>
      </c>
      <c r="F240" s="224"/>
      <c r="G240" s="224"/>
      <c r="H240" s="223" t="s">
        <v>2521</v>
      </c>
      <c r="I240" s="223" t="s">
        <v>2516</v>
      </c>
      <c r="J240" s="223" t="s">
        <v>2522</v>
      </c>
      <c r="K240" s="223" t="s">
        <v>2523</v>
      </c>
      <c r="L240" s="228">
        <v>20245</v>
      </c>
      <c r="M240" s="228">
        <v>0</v>
      </c>
      <c r="N240" s="223" t="s">
        <v>2524</v>
      </c>
      <c r="O240" s="229" t="str">
        <f t="shared" si="6"/>
        <v>EBS1_20245_0</v>
      </c>
      <c r="P240" s="229" t="s">
        <v>2525</v>
      </c>
      <c r="Q240" s="227"/>
      <c r="R240" s="227">
        <v>239</v>
      </c>
      <c r="S240" s="227"/>
      <c r="T240" s="229" t="str">
        <f t="shared" si="7"/>
        <v>2024500:Var_ui_ErrNo:=239;</v>
      </c>
    </row>
    <row r="241" ht="16.5" spans="1:20">
      <c r="A241" s="222">
        <v>240</v>
      </c>
      <c r="B241" s="35">
        <v>80</v>
      </c>
      <c r="C241" s="35">
        <v>20</v>
      </c>
      <c r="F241" s="224"/>
      <c r="G241" s="224"/>
      <c r="H241" s="223" t="s">
        <v>2526</v>
      </c>
      <c r="I241" s="223" t="s">
        <v>2516</v>
      </c>
      <c r="J241" s="223" t="s">
        <v>2527</v>
      </c>
      <c r="K241" s="223" t="s">
        <v>2528</v>
      </c>
      <c r="L241" s="228">
        <v>20500</v>
      </c>
      <c r="M241" s="228">
        <v>0</v>
      </c>
      <c r="N241" s="223" t="s">
        <v>2529</v>
      </c>
      <c r="O241" s="229" t="str">
        <f t="shared" si="6"/>
        <v>EBS1_20500_0</v>
      </c>
      <c r="P241" s="229" t="s">
        <v>2530</v>
      </c>
      <c r="Q241" s="227"/>
      <c r="R241" s="227">
        <v>240</v>
      </c>
      <c r="S241" s="227"/>
      <c r="T241" s="229" t="str">
        <f t="shared" si="7"/>
        <v>2050000:Var_ui_ErrNo:=240;</v>
      </c>
    </row>
    <row r="242" ht="16.5" spans="1:20">
      <c r="A242" s="222">
        <v>241</v>
      </c>
      <c r="B242" s="35">
        <v>80</v>
      </c>
      <c r="C242" s="35">
        <v>21</v>
      </c>
      <c r="F242" s="224"/>
      <c r="G242" s="224"/>
      <c r="H242" s="223" t="s">
        <v>2531</v>
      </c>
      <c r="I242" s="223" t="s">
        <v>1461</v>
      </c>
      <c r="J242" s="223" t="s">
        <v>2532</v>
      </c>
      <c r="K242" s="223" t="s">
        <v>2533</v>
      </c>
      <c r="L242" s="228">
        <v>20501</v>
      </c>
      <c r="M242" s="228">
        <v>0</v>
      </c>
      <c r="N242" s="223" t="s">
        <v>2534</v>
      </c>
      <c r="O242" s="229" t="str">
        <f t="shared" si="6"/>
        <v>EBS1_20501_0</v>
      </c>
      <c r="P242" s="229" t="s">
        <v>2535</v>
      </c>
      <c r="Q242" s="227"/>
      <c r="R242" s="227">
        <v>241</v>
      </c>
      <c r="S242" s="227"/>
      <c r="T242" s="229" t="str">
        <f t="shared" si="7"/>
        <v>2050100:Var_ui_ErrNo:=241;</v>
      </c>
    </row>
    <row r="243" ht="16.5" spans="1:20">
      <c r="A243" s="222">
        <v>242</v>
      </c>
      <c r="B243" s="35">
        <v>81</v>
      </c>
      <c r="C243" s="35">
        <v>20</v>
      </c>
      <c r="F243" s="224"/>
      <c r="G243" s="224"/>
      <c r="H243" s="223" t="s">
        <v>2526</v>
      </c>
      <c r="I243" s="223" t="s">
        <v>2516</v>
      </c>
      <c r="J243" s="223" t="s">
        <v>2536</v>
      </c>
      <c r="K243" s="223" t="s">
        <v>2537</v>
      </c>
      <c r="L243" s="228">
        <v>20756</v>
      </c>
      <c r="M243" s="228">
        <v>0</v>
      </c>
      <c r="N243" s="223" t="s">
        <v>2529</v>
      </c>
      <c r="O243" s="229" t="str">
        <f t="shared" si="6"/>
        <v>EBS1_20756_0</v>
      </c>
      <c r="P243" s="229" t="s">
        <v>2538</v>
      </c>
      <c r="Q243" s="227"/>
      <c r="R243" s="227">
        <v>242</v>
      </c>
      <c r="S243" s="227"/>
      <c r="T243" s="229" t="str">
        <f t="shared" si="7"/>
        <v>2075600:Var_ui_ErrNo:=242;</v>
      </c>
    </row>
    <row r="244" ht="16.5" spans="1:20">
      <c r="A244" s="222">
        <v>243</v>
      </c>
      <c r="B244" s="35">
        <v>81</v>
      </c>
      <c r="C244" s="35">
        <v>21</v>
      </c>
      <c r="F244" s="224"/>
      <c r="G244" s="224"/>
      <c r="H244" s="223" t="s">
        <v>2539</v>
      </c>
      <c r="I244" s="223" t="s">
        <v>2540</v>
      </c>
      <c r="J244" s="223" t="s">
        <v>2541</v>
      </c>
      <c r="K244" s="223" t="s">
        <v>2542</v>
      </c>
      <c r="L244" s="228">
        <v>20757</v>
      </c>
      <c r="M244" s="228">
        <v>0</v>
      </c>
      <c r="N244" s="223" t="s">
        <v>2534</v>
      </c>
      <c r="O244" s="229" t="str">
        <f t="shared" si="6"/>
        <v>EBS1_20757_0</v>
      </c>
      <c r="P244" s="229" t="s">
        <v>2543</v>
      </c>
      <c r="Q244" s="227"/>
      <c r="R244" s="227">
        <v>243</v>
      </c>
      <c r="S244" s="227"/>
      <c r="T244" s="229" t="str">
        <f t="shared" si="7"/>
        <v>2075700:Var_ui_ErrNo:=243;</v>
      </c>
    </row>
    <row r="245" ht="16.5" spans="1:20">
      <c r="A245" s="222">
        <v>244</v>
      </c>
      <c r="B245" s="35">
        <v>82</v>
      </c>
      <c r="C245" s="35">
        <v>20</v>
      </c>
      <c r="F245" s="224"/>
      <c r="G245" s="224"/>
      <c r="H245" s="223" t="s">
        <v>2544</v>
      </c>
      <c r="I245" s="223" t="s">
        <v>2516</v>
      </c>
      <c r="J245" s="223" t="s">
        <v>2545</v>
      </c>
      <c r="K245" s="223" t="s">
        <v>2546</v>
      </c>
      <c r="L245" s="228">
        <v>21012</v>
      </c>
      <c r="M245" s="228">
        <v>0</v>
      </c>
      <c r="N245" s="223" t="s">
        <v>2547</v>
      </c>
      <c r="O245" s="229" t="str">
        <f t="shared" si="6"/>
        <v>EBS1_21012_0</v>
      </c>
      <c r="P245" s="229" t="s">
        <v>2548</v>
      </c>
      <c r="Q245" s="227"/>
      <c r="R245" s="227">
        <v>244</v>
      </c>
      <c r="S245" s="227"/>
      <c r="T245" s="229" t="str">
        <f t="shared" si="7"/>
        <v>2101200:Var_ui_ErrNo:=244;</v>
      </c>
    </row>
    <row r="246" ht="16.5" spans="1:20">
      <c r="A246" s="222">
        <v>245</v>
      </c>
      <c r="B246" s="35">
        <v>82</v>
      </c>
      <c r="C246" s="35">
        <v>21</v>
      </c>
      <c r="F246" s="224"/>
      <c r="G246" s="224"/>
      <c r="H246" s="223" t="s">
        <v>2549</v>
      </c>
      <c r="I246" s="223" t="s">
        <v>2516</v>
      </c>
      <c r="J246" s="223" t="s">
        <v>2550</v>
      </c>
      <c r="K246" s="223" t="s">
        <v>2551</v>
      </c>
      <c r="L246" s="228">
        <v>21013</v>
      </c>
      <c r="M246" s="228">
        <v>0</v>
      </c>
      <c r="N246" s="223" t="s">
        <v>2552</v>
      </c>
      <c r="O246" s="229" t="str">
        <f t="shared" si="6"/>
        <v>EBS1_21013_0</v>
      </c>
      <c r="P246" s="229" t="s">
        <v>2553</v>
      </c>
      <c r="Q246" s="227"/>
      <c r="R246" s="227">
        <v>245</v>
      </c>
      <c r="S246" s="227"/>
      <c r="T246" s="229" t="str">
        <f t="shared" si="7"/>
        <v>2101300:Var_ui_ErrNo:=245;</v>
      </c>
    </row>
    <row r="247" ht="16.5" spans="1:20">
      <c r="A247" s="222">
        <v>246</v>
      </c>
      <c r="B247" s="35">
        <v>85</v>
      </c>
      <c r="C247" s="35">
        <v>20</v>
      </c>
      <c r="F247" s="224"/>
      <c r="G247" s="224"/>
      <c r="H247" s="223" t="s">
        <v>2554</v>
      </c>
      <c r="I247" s="223" t="s">
        <v>2540</v>
      </c>
      <c r="J247" s="223" t="s">
        <v>2555</v>
      </c>
      <c r="K247" s="223" t="s">
        <v>2556</v>
      </c>
      <c r="L247" s="228">
        <v>21780</v>
      </c>
      <c r="M247" s="228">
        <v>0</v>
      </c>
      <c r="N247" s="223" t="s">
        <v>2557</v>
      </c>
      <c r="O247" s="229" t="str">
        <f t="shared" si="6"/>
        <v>EBS1_21780_0</v>
      </c>
      <c r="P247" s="229" t="s">
        <v>2558</v>
      </c>
      <c r="Q247" s="227"/>
      <c r="R247" s="227">
        <v>246</v>
      </c>
      <c r="S247" s="227"/>
      <c r="T247" s="229" t="str">
        <f t="shared" si="7"/>
        <v>2178000:Var_ui_ErrNo:=246;</v>
      </c>
    </row>
    <row r="248" ht="16.5" spans="1:20">
      <c r="A248" s="222">
        <v>247</v>
      </c>
      <c r="B248" s="35">
        <v>85</v>
      </c>
      <c r="C248" s="35">
        <v>21</v>
      </c>
      <c r="F248" s="224"/>
      <c r="G248" s="224"/>
      <c r="H248" s="223" t="s">
        <v>2559</v>
      </c>
      <c r="I248" s="223" t="s">
        <v>2540</v>
      </c>
      <c r="J248" s="223" t="s">
        <v>2560</v>
      </c>
      <c r="K248" s="223" t="s">
        <v>2561</v>
      </c>
      <c r="L248" s="228">
        <v>21781</v>
      </c>
      <c r="M248" s="228">
        <v>0</v>
      </c>
      <c r="N248" s="223" t="s">
        <v>2562</v>
      </c>
      <c r="O248" s="229" t="str">
        <f t="shared" si="6"/>
        <v>EBS1_21781_0</v>
      </c>
      <c r="P248" s="229" t="s">
        <v>2563</v>
      </c>
      <c r="Q248" s="227"/>
      <c r="R248" s="227">
        <v>247</v>
      </c>
      <c r="S248" s="227"/>
      <c r="T248" s="229" t="str">
        <f t="shared" si="7"/>
        <v>2178100:Var_ui_ErrNo:=247;</v>
      </c>
    </row>
    <row r="249" ht="16.5" spans="1:20">
      <c r="A249" s="222">
        <v>248</v>
      </c>
      <c r="B249" s="35">
        <v>87</v>
      </c>
      <c r="C249" s="35">
        <v>20</v>
      </c>
      <c r="F249" s="224"/>
      <c r="G249" s="224"/>
      <c r="H249" s="223" t="s">
        <v>2564</v>
      </c>
      <c r="I249" s="223" t="s">
        <v>2516</v>
      </c>
      <c r="J249" s="223" t="s">
        <v>2565</v>
      </c>
      <c r="K249" s="223" t="s">
        <v>2566</v>
      </c>
      <c r="L249" s="228">
        <v>22292</v>
      </c>
      <c r="M249" s="228">
        <v>0</v>
      </c>
      <c r="N249" s="223" t="s">
        <v>2567</v>
      </c>
      <c r="O249" s="229" t="str">
        <f t="shared" si="6"/>
        <v>EBS1_22292_0</v>
      </c>
      <c r="P249" s="229" t="s">
        <v>2568</v>
      </c>
      <c r="Q249" s="227"/>
      <c r="R249" s="227">
        <v>248</v>
      </c>
      <c r="S249" s="227"/>
      <c r="T249" s="229" t="str">
        <f t="shared" si="7"/>
        <v>2229200:Var_ui_ErrNo:=248;</v>
      </c>
    </row>
    <row r="250" ht="16.5" spans="1:20">
      <c r="A250" s="222">
        <v>249</v>
      </c>
      <c r="B250" s="35">
        <v>87</v>
      </c>
      <c r="C250" s="35">
        <v>21</v>
      </c>
      <c r="F250" s="224"/>
      <c r="G250" s="224"/>
      <c r="H250" s="223" t="s">
        <v>2569</v>
      </c>
      <c r="I250" s="223" t="s">
        <v>2516</v>
      </c>
      <c r="J250" s="223" t="s">
        <v>2570</v>
      </c>
      <c r="K250" s="223" t="s">
        <v>2571</v>
      </c>
      <c r="L250" s="228">
        <v>22293</v>
      </c>
      <c r="M250" s="228">
        <v>0</v>
      </c>
      <c r="N250" s="223" t="s">
        <v>2572</v>
      </c>
      <c r="O250" s="229" t="str">
        <f t="shared" si="6"/>
        <v>EBS1_22293_0</v>
      </c>
      <c r="P250" s="229" t="s">
        <v>2573</v>
      </c>
      <c r="Q250" s="227"/>
      <c r="R250" s="227">
        <v>249</v>
      </c>
      <c r="S250" s="227"/>
      <c r="T250" s="229" t="str">
        <f t="shared" si="7"/>
        <v>2229300:Var_ui_ErrNo:=249;</v>
      </c>
    </row>
    <row r="251" ht="16.5" spans="1:20">
      <c r="A251" s="222">
        <v>250</v>
      </c>
      <c r="B251" s="35">
        <v>88</v>
      </c>
      <c r="C251" s="35">
        <v>20</v>
      </c>
      <c r="F251" s="224"/>
      <c r="G251" s="224"/>
      <c r="H251" s="223" t="s">
        <v>2574</v>
      </c>
      <c r="I251" s="223" t="s">
        <v>2516</v>
      </c>
      <c r="J251" s="223" t="s">
        <v>2575</v>
      </c>
      <c r="K251" s="223" t="s">
        <v>2576</v>
      </c>
      <c r="L251" s="228">
        <v>22548</v>
      </c>
      <c r="M251" s="228">
        <v>0</v>
      </c>
      <c r="N251" s="223" t="s">
        <v>2577</v>
      </c>
      <c r="O251" s="229" t="str">
        <f t="shared" si="6"/>
        <v>EBS1_22548_0</v>
      </c>
      <c r="P251" s="229" t="s">
        <v>2578</v>
      </c>
      <c r="Q251" s="227"/>
      <c r="R251" s="227">
        <v>250</v>
      </c>
      <c r="S251" s="227"/>
      <c r="T251" s="229" t="str">
        <f t="shared" si="7"/>
        <v>2254800:Var_ui_ErrNo:=250;</v>
      </c>
    </row>
    <row r="252" ht="16.5" spans="1:20">
      <c r="A252" s="222">
        <v>251</v>
      </c>
      <c r="B252" s="35">
        <v>88</v>
      </c>
      <c r="C252" s="35">
        <v>21</v>
      </c>
      <c r="F252" s="224"/>
      <c r="G252" s="224"/>
      <c r="H252" s="223" t="s">
        <v>2579</v>
      </c>
      <c r="I252" s="223" t="s">
        <v>2516</v>
      </c>
      <c r="J252" s="223" t="s">
        <v>2580</v>
      </c>
      <c r="K252" s="223" t="s">
        <v>2581</v>
      </c>
      <c r="L252" s="228">
        <v>22549</v>
      </c>
      <c r="M252" s="228">
        <v>0</v>
      </c>
      <c r="N252" s="223" t="s">
        <v>2582</v>
      </c>
      <c r="O252" s="229" t="str">
        <f t="shared" si="6"/>
        <v>EBS1_22549_0</v>
      </c>
      <c r="P252" s="229" t="s">
        <v>2583</v>
      </c>
      <c r="Q252" s="227"/>
      <c r="R252" s="227">
        <v>251</v>
      </c>
      <c r="S252" s="227"/>
      <c r="T252" s="229" t="str">
        <f t="shared" si="7"/>
        <v>2254900:Var_ui_ErrNo:=251;</v>
      </c>
    </row>
    <row r="253" ht="16.5" spans="1:20">
      <c r="A253" s="222">
        <v>252</v>
      </c>
      <c r="B253" s="35">
        <v>89</v>
      </c>
      <c r="C253" s="35">
        <v>20</v>
      </c>
      <c r="F253" s="224"/>
      <c r="G253" s="224"/>
      <c r="H253" s="223" t="s">
        <v>2584</v>
      </c>
      <c r="I253" s="223" t="s">
        <v>2516</v>
      </c>
      <c r="J253" s="223" t="s">
        <v>2585</v>
      </c>
      <c r="K253" s="223" t="s">
        <v>2586</v>
      </c>
      <c r="L253" s="228">
        <v>22804</v>
      </c>
      <c r="M253" s="228">
        <v>0</v>
      </c>
      <c r="N253" s="223" t="s">
        <v>2587</v>
      </c>
      <c r="O253" s="229" t="str">
        <f t="shared" si="6"/>
        <v>EBS1_22804_0</v>
      </c>
      <c r="P253" s="229" t="s">
        <v>2588</v>
      </c>
      <c r="Q253" s="227"/>
      <c r="R253" s="227">
        <v>252</v>
      </c>
      <c r="S253" s="227"/>
      <c r="T253" s="229" t="str">
        <f t="shared" si="7"/>
        <v>2280400:Var_ui_ErrNo:=252;</v>
      </c>
    </row>
    <row r="254" ht="16.5" spans="1:20">
      <c r="A254" s="222">
        <v>253</v>
      </c>
      <c r="B254" s="35">
        <v>89</v>
      </c>
      <c r="C254" s="35">
        <v>21</v>
      </c>
      <c r="F254" s="224"/>
      <c r="G254" s="224"/>
      <c r="H254" s="223" t="s">
        <v>2589</v>
      </c>
      <c r="I254" s="223" t="s">
        <v>2516</v>
      </c>
      <c r="J254" s="223" t="s">
        <v>2590</v>
      </c>
      <c r="K254" s="223" t="s">
        <v>2591</v>
      </c>
      <c r="L254" s="228">
        <v>22805</v>
      </c>
      <c r="M254" s="228">
        <v>0</v>
      </c>
      <c r="N254" s="223" t="s">
        <v>2592</v>
      </c>
      <c r="O254" s="229" t="str">
        <f t="shared" si="6"/>
        <v>EBS1_22805_0</v>
      </c>
      <c r="P254" s="229" t="s">
        <v>2593</v>
      </c>
      <c r="Q254" s="227"/>
      <c r="R254" s="227">
        <v>253</v>
      </c>
      <c r="S254" s="227"/>
      <c r="T254" s="229" t="str">
        <f t="shared" si="7"/>
        <v>2280500:Var_ui_ErrNo:=253;</v>
      </c>
    </row>
    <row r="255" ht="16.5" spans="1:20">
      <c r="A255" s="222">
        <v>254</v>
      </c>
      <c r="B255" s="35">
        <v>90</v>
      </c>
      <c r="C255" s="35">
        <v>31</v>
      </c>
      <c r="F255" s="224"/>
      <c r="G255" s="224"/>
      <c r="H255" s="223" t="s">
        <v>2594</v>
      </c>
      <c r="I255" s="223" t="s">
        <v>2595</v>
      </c>
      <c r="J255" s="223" t="s">
        <v>2596</v>
      </c>
      <c r="K255" s="223" t="s">
        <v>2597</v>
      </c>
      <c r="L255" s="228">
        <v>23071</v>
      </c>
      <c r="M255" s="228">
        <v>0</v>
      </c>
      <c r="N255" s="223" t="s">
        <v>2598</v>
      </c>
      <c r="O255" s="229" t="str">
        <f t="shared" si="6"/>
        <v>EBS1_23071_0</v>
      </c>
      <c r="P255" s="229" t="s">
        <v>2599</v>
      </c>
      <c r="Q255" s="227"/>
      <c r="R255" s="227">
        <v>254</v>
      </c>
      <c r="S255" s="227"/>
      <c r="T255" s="229" t="str">
        <f t="shared" si="7"/>
        <v>2307100:Var_ui_ErrNo:=254;</v>
      </c>
    </row>
    <row r="256" ht="16.5" spans="1:20">
      <c r="A256" s="222">
        <v>255</v>
      </c>
      <c r="B256" s="35">
        <v>90</v>
      </c>
      <c r="C256" s="35">
        <v>32</v>
      </c>
      <c r="F256" s="224"/>
      <c r="G256" s="224"/>
      <c r="H256" s="223" t="s">
        <v>2600</v>
      </c>
      <c r="I256" s="223" t="s">
        <v>2595</v>
      </c>
      <c r="J256" s="223" t="s">
        <v>2601</v>
      </c>
      <c r="K256" s="223" t="s">
        <v>2602</v>
      </c>
      <c r="L256" s="228">
        <v>23072</v>
      </c>
      <c r="M256" s="228">
        <v>0</v>
      </c>
      <c r="N256" s="223" t="s">
        <v>2603</v>
      </c>
      <c r="O256" s="229" t="str">
        <f t="shared" si="6"/>
        <v>EBS1_23072_0</v>
      </c>
      <c r="P256" s="229" t="s">
        <v>2604</v>
      </c>
      <c r="Q256" s="227"/>
      <c r="R256" s="227">
        <v>255</v>
      </c>
      <c r="S256" s="227"/>
      <c r="T256" s="229" t="str">
        <f t="shared" si="7"/>
        <v>2307200:Var_ui_ErrNo:=255;</v>
      </c>
    </row>
    <row r="257" ht="16.5" spans="1:20">
      <c r="A257" s="222">
        <v>256</v>
      </c>
      <c r="B257" s="35">
        <v>90</v>
      </c>
      <c r="C257" s="35">
        <v>36</v>
      </c>
      <c r="F257" s="224"/>
      <c r="G257" s="224"/>
      <c r="H257" s="223" t="s">
        <v>2605</v>
      </c>
      <c r="I257" s="223" t="s">
        <v>2595</v>
      </c>
      <c r="J257" s="223" t="s">
        <v>2606</v>
      </c>
      <c r="K257" s="223" t="s">
        <v>2607</v>
      </c>
      <c r="L257" s="228">
        <v>23076</v>
      </c>
      <c r="M257" s="228">
        <v>0</v>
      </c>
      <c r="N257" s="223" t="s">
        <v>2608</v>
      </c>
      <c r="O257" s="229" t="str">
        <f t="shared" si="6"/>
        <v>EBS1_23076_0</v>
      </c>
      <c r="P257" s="229" t="s">
        <v>2609</v>
      </c>
      <c r="Q257" s="227"/>
      <c r="R257" s="227">
        <v>256</v>
      </c>
      <c r="S257" s="227"/>
      <c r="T257" s="229" t="str">
        <f t="shared" si="7"/>
        <v>2307600:Var_ui_ErrNo:=256;</v>
      </c>
    </row>
    <row r="258" ht="16.5" spans="1:20">
      <c r="A258" s="222">
        <v>257</v>
      </c>
      <c r="B258" s="35">
        <v>90</v>
      </c>
      <c r="C258" s="35">
        <v>39</v>
      </c>
      <c r="F258" s="224"/>
      <c r="G258" s="224"/>
      <c r="H258" s="223" t="s">
        <v>2610</v>
      </c>
      <c r="I258" s="223" t="s">
        <v>2595</v>
      </c>
      <c r="J258" s="223" t="s">
        <v>2611</v>
      </c>
      <c r="K258" s="223" t="s">
        <v>2612</v>
      </c>
      <c r="L258" s="228">
        <v>23079</v>
      </c>
      <c r="M258" s="228">
        <v>0</v>
      </c>
      <c r="N258" s="223" t="s">
        <v>2613</v>
      </c>
      <c r="O258" s="229" t="str">
        <f t="shared" ref="O258:O321" si="8">"EBS1_"&amp;L258&amp;"_"&amp;M258</f>
        <v>EBS1_23079_0</v>
      </c>
      <c r="P258" s="229" t="s">
        <v>2614</v>
      </c>
      <c r="Q258" s="227"/>
      <c r="R258" s="227">
        <v>257</v>
      </c>
      <c r="S258" s="227"/>
      <c r="T258" s="229" t="str">
        <f t="shared" si="7"/>
        <v>2307900:Var_ui_ErrNo:=257;</v>
      </c>
    </row>
    <row r="259" ht="16.5" spans="1:20">
      <c r="A259" s="222">
        <v>258</v>
      </c>
      <c r="B259" s="35">
        <v>91</v>
      </c>
      <c r="C259" s="35">
        <v>31</v>
      </c>
      <c r="F259" s="224"/>
      <c r="G259" s="224"/>
      <c r="H259" s="223" t="s">
        <v>2615</v>
      </c>
      <c r="I259" s="223" t="s">
        <v>2595</v>
      </c>
      <c r="J259" s="223" t="s">
        <v>2616</v>
      </c>
      <c r="K259" s="223" t="s">
        <v>2617</v>
      </c>
      <c r="L259" s="228">
        <v>23327</v>
      </c>
      <c r="M259" s="228">
        <v>0</v>
      </c>
      <c r="N259" s="223" t="s">
        <v>2618</v>
      </c>
      <c r="O259" s="229" t="str">
        <f t="shared" si="8"/>
        <v>EBS1_23327_0</v>
      </c>
      <c r="P259" s="229" t="s">
        <v>2619</v>
      </c>
      <c r="Q259" s="227"/>
      <c r="R259" s="227">
        <v>258</v>
      </c>
      <c r="S259" s="227"/>
      <c r="T259" s="229" t="str">
        <f t="shared" ref="T259:T322" si="9">P259&amp;$Q$2&amp;R259&amp;$S$2</f>
        <v>2332700:Var_ui_ErrNo:=258;</v>
      </c>
    </row>
    <row r="260" ht="16.5" spans="1:20">
      <c r="A260" s="222">
        <v>259</v>
      </c>
      <c r="B260" s="35">
        <v>91</v>
      </c>
      <c r="C260" s="35">
        <v>32</v>
      </c>
      <c r="F260" s="224"/>
      <c r="G260" s="224"/>
      <c r="H260" s="223" t="s">
        <v>2620</v>
      </c>
      <c r="I260" s="223" t="s">
        <v>2621</v>
      </c>
      <c r="J260" s="223" t="s">
        <v>2622</v>
      </c>
      <c r="K260" s="223" t="s">
        <v>2623</v>
      </c>
      <c r="L260" s="228">
        <v>23328</v>
      </c>
      <c r="M260" s="228">
        <v>0</v>
      </c>
      <c r="N260" s="223" t="s">
        <v>2624</v>
      </c>
      <c r="O260" s="229" t="str">
        <f t="shared" si="8"/>
        <v>EBS1_23328_0</v>
      </c>
      <c r="P260" s="229" t="s">
        <v>2625</v>
      </c>
      <c r="Q260" s="227"/>
      <c r="R260" s="227">
        <v>259</v>
      </c>
      <c r="S260" s="227"/>
      <c r="T260" s="229" t="str">
        <f t="shared" si="9"/>
        <v>2332800:Var_ui_ErrNo:=259;</v>
      </c>
    </row>
    <row r="261" ht="16.5" spans="1:20">
      <c r="A261" s="222">
        <v>260</v>
      </c>
      <c r="B261" s="35">
        <v>91</v>
      </c>
      <c r="C261" s="35">
        <v>36</v>
      </c>
      <c r="F261" s="224"/>
      <c r="G261" s="224"/>
      <c r="H261" s="223" t="s">
        <v>2626</v>
      </c>
      <c r="I261" s="223" t="s">
        <v>2621</v>
      </c>
      <c r="J261" s="223" t="s">
        <v>2627</v>
      </c>
      <c r="K261" s="223" t="s">
        <v>2628</v>
      </c>
      <c r="L261" s="228">
        <v>23332</v>
      </c>
      <c r="M261" s="228">
        <v>0</v>
      </c>
      <c r="N261" s="223" t="s">
        <v>2629</v>
      </c>
      <c r="O261" s="229" t="str">
        <f t="shared" si="8"/>
        <v>EBS1_23332_0</v>
      </c>
      <c r="P261" s="229" t="s">
        <v>2630</v>
      </c>
      <c r="Q261" s="227"/>
      <c r="R261" s="227">
        <v>260</v>
      </c>
      <c r="S261" s="227"/>
      <c r="T261" s="229" t="str">
        <f t="shared" si="9"/>
        <v>2333200:Var_ui_ErrNo:=260;</v>
      </c>
    </row>
    <row r="262" ht="16.5" spans="1:20">
      <c r="A262" s="222">
        <v>261</v>
      </c>
      <c r="B262" s="35">
        <v>91</v>
      </c>
      <c r="C262" s="35">
        <v>39</v>
      </c>
      <c r="F262" s="224"/>
      <c r="G262" s="224"/>
      <c r="H262" s="223" t="s">
        <v>2631</v>
      </c>
      <c r="I262" s="223" t="s">
        <v>2621</v>
      </c>
      <c r="J262" s="223" t="s">
        <v>2632</v>
      </c>
      <c r="K262" s="223" t="s">
        <v>2633</v>
      </c>
      <c r="L262" s="228">
        <v>23335</v>
      </c>
      <c r="M262" s="228">
        <v>0</v>
      </c>
      <c r="N262" s="223" t="s">
        <v>2634</v>
      </c>
      <c r="O262" s="229" t="str">
        <f t="shared" si="8"/>
        <v>EBS1_23335_0</v>
      </c>
      <c r="P262" s="229" t="s">
        <v>2635</v>
      </c>
      <c r="Q262" s="227"/>
      <c r="R262" s="227">
        <v>261</v>
      </c>
      <c r="S262" s="227"/>
      <c r="T262" s="229" t="str">
        <f t="shared" si="9"/>
        <v>2333500:Var_ui_ErrNo:=261;</v>
      </c>
    </row>
    <row r="263" ht="16.5" spans="1:20">
      <c r="A263" s="222">
        <v>262</v>
      </c>
      <c r="B263" s="35">
        <v>92</v>
      </c>
      <c r="C263" s="35">
        <v>31</v>
      </c>
      <c r="F263" s="224"/>
      <c r="G263" s="224"/>
      <c r="H263" s="223" t="s">
        <v>2636</v>
      </c>
      <c r="I263" s="223" t="s">
        <v>2621</v>
      </c>
      <c r="J263" s="223" t="s">
        <v>2637</v>
      </c>
      <c r="K263" s="223" t="s">
        <v>2638</v>
      </c>
      <c r="L263" s="228">
        <v>23583</v>
      </c>
      <c r="M263" s="228">
        <v>0</v>
      </c>
      <c r="N263" s="223" t="s">
        <v>2639</v>
      </c>
      <c r="O263" s="229" t="str">
        <f t="shared" si="8"/>
        <v>EBS1_23583_0</v>
      </c>
      <c r="P263" s="229" t="s">
        <v>2640</v>
      </c>
      <c r="Q263" s="227"/>
      <c r="R263" s="227">
        <v>262</v>
      </c>
      <c r="S263" s="227"/>
      <c r="T263" s="229" t="str">
        <f t="shared" si="9"/>
        <v>2358300:Var_ui_ErrNo:=262;</v>
      </c>
    </row>
    <row r="264" ht="16.5" spans="1:20">
      <c r="A264" s="222">
        <v>263</v>
      </c>
      <c r="B264" s="35">
        <v>92</v>
      </c>
      <c r="C264" s="35">
        <v>32</v>
      </c>
      <c r="F264" s="224"/>
      <c r="G264" s="224"/>
      <c r="H264" s="223" t="s">
        <v>2641</v>
      </c>
      <c r="I264" s="223" t="s">
        <v>2595</v>
      </c>
      <c r="J264" s="223" t="s">
        <v>2642</v>
      </c>
      <c r="K264" s="223" t="s">
        <v>2643</v>
      </c>
      <c r="L264" s="228">
        <v>23584</v>
      </c>
      <c r="M264" s="228">
        <v>0</v>
      </c>
      <c r="N264" s="223" t="s">
        <v>2644</v>
      </c>
      <c r="O264" s="229" t="str">
        <f t="shared" si="8"/>
        <v>EBS1_23584_0</v>
      </c>
      <c r="P264" s="229" t="s">
        <v>2645</v>
      </c>
      <c r="Q264" s="227"/>
      <c r="R264" s="227">
        <v>263</v>
      </c>
      <c r="S264" s="227"/>
      <c r="T264" s="229" t="str">
        <f t="shared" si="9"/>
        <v>2358400:Var_ui_ErrNo:=263;</v>
      </c>
    </row>
    <row r="265" ht="16.5" spans="1:20">
      <c r="A265" s="222">
        <v>264</v>
      </c>
      <c r="B265" s="35">
        <v>92</v>
      </c>
      <c r="C265" s="35">
        <v>36</v>
      </c>
      <c r="F265" s="224"/>
      <c r="G265" s="224"/>
      <c r="H265" s="223" t="s">
        <v>2646</v>
      </c>
      <c r="I265" s="223" t="s">
        <v>2595</v>
      </c>
      <c r="J265" s="223" t="s">
        <v>2647</v>
      </c>
      <c r="K265" s="223" t="s">
        <v>2648</v>
      </c>
      <c r="L265" s="228">
        <v>23588</v>
      </c>
      <c r="M265" s="228">
        <v>0</v>
      </c>
      <c r="N265" s="223" t="s">
        <v>2649</v>
      </c>
      <c r="O265" s="229" t="str">
        <f t="shared" si="8"/>
        <v>EBS1_23588_0</v>
      </c>
      <c r="P265" s="229" t="s">
        <v>2650</v>
      </c>
      <c r="Q265" s="227"/>
      <c r="R265" s="227">
        <v>264</v>
      </c>
      <c r="S265" s="227"/>
      <c r="T265" s="229" t="str">
        <f t="shared" si="9"/>
        <v>2358800:Var_ui_ErrNo:=264;</v>
      </c>
    </row>
    <row r="266" ht="16.5" spans="1:20">
      <c r="A266" s="222">
        <v>265</v>
      </c>
      <c r="B266" s="35">
        <v>92</v>
      </c>
      <c r="C266" s="35">
        <v>39</v>
      </c>
      <c r="F266" s="224"/>
      <c r="G266" s="224"/>
      <c r="H266" s="223" t="s">
        <v>2651</v>
      </c>
      <c r="I266" s="223" t="s">
        <v>2595</v>
      </c>
      <c r="J266" s="223" t="s">
        <v>2652</v>
      </c>
      <c r="K266" s="223" t="s">
        <v>2653</v>
      </c>
      <c r="L266" s="228">
        <v>23591</v>
      </c>
      <c r="M266" s="228">
        <v>0</v>
      </c>
      <c r="N266" s="223" t="s">
        <v>2654</v>
      </c>
      <c r="O266" s="229" t="str">
        <f t="shared" si="8"/>
        <v>EBS1_23591_0</v>
      </c>
      <c r="P266" s="229" t="s">
        <v>2655</v>
      </c>
      <c r="Q266" s="227"/>
      <c r="R266" s="227">
        <v>265</v>
      </c>
      <c r="S266" s="227"/>
      <c r="T266" s="229" t="str">
        <f t="shared" si="9"/>
        <v>2359100:Var_ui_ErrNo:=265;</v>
      </c>
    </row>
    <row r="267" ht="16.5" spans="1:20">
      <c r="A267" s="222">
        <v>266</v>
      </c>
      <c r="B267" s="35">
        <v>93</v>
      </c>
      <c r="C267" s="35">
        <v>22</v>
      </c>
      <c r="F267" s="224"/>
      <c r="G267" s="224"/>
      <c r="H267" s="223" t="s">
        <v>2656</v>
      </c>
      <c r="I267" s="223" t="s">
        <v>2657</v>
      </c>
      <c r="J267" s="223" t="s">
        <v>2658</v>
      </c>
      <c r="K267" s="223" t="s">
        <v>2659</v>
      </c>
      <c r="L267" s="228">
        <v>23830</v>
      </c>
      <c r="M267" s="228">
        <v>0</v>
      </c>
      <c r="N267" s="223" t="s">
        <v>2660</v>
      </c>
      <c r="O267" s="229" t="str">
        <f t="shared" si="8"/>
        <v>EBS1_23830_0</v>
      </c>
      <c r="P267" s="229" t="s">
        <v>2661</v>
      </c>
      <c r="Q267" s="227"/>
      <c r="R267" s="227">
        <v>266</v>
      </c>
      <c r="S267" s="227"/>
      <c r="T267" s="229" t="str">
        <f t="shared" si="9"/>
        <v>2383000:Var_ui_ErrNo:=266;</v>
      </c>
    </row>
    <row r="268" ht="16.5" spans="1:20">
      <c r="A268" s="222">
        <v>267</v>
      </c>
      <c r="B268" s="35">
        <v>93</v>
      </c>
      <c r="C268" s="35">
        <v>23</v>
      </c>
      <c r="F268" s="224"/>
      <c r="G268" s="224"/>
      <c r="H268" s="223" t="s">
        <v>2662</v>
      </c>
      <c r="I268" s="223" t="s">
        <v>2663</v>
      </c>
      <c r="J268" s="223" t="s">
        <v>2664</v>
      </c>
      <c r="K268" s="223" t="s">
        <v>2665</v>
      </c>
      <c r="L268" s="228">
        <v>23831</v>
      </c>
      <c r="M268" s="228">
        <v>0</v>
      </c>
      <c r="N268" s="223" t="s">
        <v>2666</v>
      </c>
      <c r="O268" s="229" t="str">
        <f t="shared" si="8"/>
        <v>EBS1_23831_0</v>
      </c>
      <c r="P268" s="229" t="s">
        <v>2667</v>
      </c>
      <c r="Q268" s="227"/>
      <c r="R268" s="227">
        <v>267</v>
      </c>
      <c r="S268" s="227"/>
      <c r="T268" s="229" t="str">
        <f t="shared" si="9"/>
        <v>2383100:Var_ui_ErrNo:=267;</v>
      </c>
    </row>
    <row r="269" ht="16.5" spans="1:20">
      <c r="A269" s="222">
        <v>268</v>
      </c>
      <c r="B269" s="35">
        <v>93</v>
      </c>
      <c r="C269" s="35">
        <v>26</v>
      </c>
      <c r="F269" s="224"/>
      <c r="G269" s="224"/>
      <c r="H269" s="223" t="s">
        <v>2668</v>
      </c>
      <c r="I269" s="223" t="s">
        <v>2663</v>
      </c>
      <c r="J269" s="223" t="s">
        <v>2669</v>
      </c>
      <c r="K269" s="223" t="s">
        <v>2670</v>
      </c>
      <c r="L269" s="228">
        <v>23834</v>
      </c>
      <c r="M269" s="228">
        <v>0</v>
      </c>
      <c r="N269" s="223" t="s">
        <v>2671</v>
      </c>
      <c r="O269" s="229" t="str">
        <f t="shared" si="8"/>
        <v>EBS1_23834_0</v>
      </c>
      <c r="P269" s="229" t="s">
        <v>2672</v>
      </c>
      <c r="Q269" s="227"/>
      <c r="R269" s="227">
        <v>268</v>
      </c>
      <c r="S269" s="227"/>
      <c r="T269" s="229" t="str">
        <f t="shared" si="9"/>
        <v>2383400:Var_ui_ErrNo:=268;</v>
      </c>
    </row>
    <row r="270" ht="16.5" spans="1:20">
      <c r="A270" s="222">
        <v>269</v>
      </c>
      <c r="B270" s="35">
        <v>94</v>
      </c>
      <c r="C270" s="35">
        <v>64</v>
      </c>
      <c r="F270" s="224"/>
      <c r="G270" s="224"/>
      <c r="H270" s="223" t="s">
        <v>2673</v>
      </c>
      <c r="I270" s="223" t="s">
        <v>2674</v>
      </c>
      <c r="J270" s="223" t="s">
        <v>2675</v>
      </c>
      <c r="K270" s="223" t="s">
        <v>2676</v>
      </c>
      <c r="L270" s="228">
        <v>24128</v>
      </c>
      <c r="M270" s="228">
        <v>0</v>
      </c>
      <c r="N270" s="223" t="s">
        <v>2677</v>
      </c>
      <c r="O270" s="229" t="str">
        <f t="shared" si="8"/>
        <v>EBS1_24128_0</v>
      </c>
      <c r="P270" s="229" t="s">
        <v>2678</v>
      </c>
      <c r="Q270" s="227"/>
      <c r="R270" s="227">
        <v>269</v>
      </c>
      <c r="S270" s="227"/>
      <c r="T270" s="229" t="str">
        <f t="shared" si="9"/>
        <v>2412800:Var_ui_ErrNo:=269;</v>
      </c>
    </row>
    <row r="271" ht="16.5" spans="1:20">
      <c r="A271" s="222">
        <v>270</v>
      </c>
      <c r="B271" s="35">
        <v>94</v>
      </c>
      <c r="C271" s="35">
        <v>67</v>
      </c>
      <c r="F271" s="224"/>
      <c r="G271" s="224"/>
      <c r="H271" s="223" t="s">
        <v>2679</v>
      </c>
      <c r="I271" s="223" t="s">
        <v>2680</v>
      </c>
      <c r="J271" s="223" t="s">
        <v>2681</v>
      </c>
      <c r="K271" s="223" t="s">
        <v>2682</v>
      </c>
      <c r="L271" s="228">
        <v>24131</v>
      </c>
      <c r="M271" s="228">
        <v>0</v>
      </c>
      <c r="N271" s="223" t="s">
        <v>2683</v>
      </c>
      <c r="O271" s="229" t="str">
        <f t="shared" si="8"/>
        <v>EBS1_24131_0</v>
      </c>
      <c r="P271" s="229" t="s">
        <v>2684</v>
      </c>
      <c r="Q271" s="227"/>
      <c r="R271" s="227">
        <v>270</v>
      </c>
      <c r="S271" s="227"/>
      <c r="T271" s="229" t="str">
        <f t="shared" si="9"/>
        <v>2413100:Var_ui_ErrNo:=270;</v>
      </c>
    </row>
    <row r="272" ht="16.5" spans="1:20">
      <c r="A272" s="222">
        <v>271</v>
      </c>
      <c r="B272" s="35">
        <v>94</v>
      </c>
      <c r="C272" s="35">
        <v>69</v>
      </c>
      <c r="F272" s="224"/>
      <c r="G272" s="224"/>
      <c r="H272" s="223" t="s">
        <v>2685</v>
      </c>
      <c r="I272" s="223" t="s">
        <v>2686</v>
      </c>
      <c r="J272" s="223" t="s">
        <v>2687</v>
      </c>
      <c r="K272" s="223" t="s">
        <v>2688</v>
      </c>
      <c r="L272" s="228">
        <v>24133</v>
      </c>
      <c r="M272" s="228">
        <v>0</v>
      </c>
      <c r="N272" s="223" t="s">
        <v>2689</v>
      </c>
      <c r="O272" s="229" t="str">
        <f t="shared" si="8"/>
        <v>EBS1_24133_0</v>
      </c>
      <c r="P272" s="229" t="s">
        <v>2690</v>
      </c>
      <c r="Q272" s="227"/>
      <c r="R272" s="227">
        <v>271</v>
      </c>
      <c r="S272" s="227"/>
      <c r="T272" s="229" t="str">
        <f t="shared" si="9"/>
        <v>2413300:Var_ui_ErrNo:=271;</v>
      </c>
    </row>
    <row r="273" ht="16.5" spans="1:20">
      <c r="A273" s="222">
        <v>272</v>
      </c>
      <c r="B273" s="35">
        <v>94</v>
      </c>
      <c r="C273" s="35">
        <v>71</v>
      </c>
      <c r="F273" s="224"/>
      <c r="G273" s="224"/>
      <c r="H273" s="223" t="s">
        <v>2691</v>
      </c>
      <c r="I273" s="223" t="s">
        <v>2692</v>
      </c>
      <c r="J273" s="223" t="s">
        <v>2693</v>
      </c>
      <c r="K273" s="223" t="s">
        <v>2694</v>
      </c>
      <c r="L273" s="228">
        <v>24135</v>
      </c>
      <c r="M273" s="228">
        <v>0</v>
      </c>
      <c r="N273" s="223" t="s">
        <v>2695</v>
      </c>
      <c r="O273" s="229" t="str">
        <f t="shared" si="8"/>
        <v>EBS1_24135_0</v>
      </c>
      <c r="P273" s="229" t="s">
        <v>2696</v>
      </c>
      <c r="Q273" s="227"/>
      <c r="R273" s="227">
        <v>272</v>
      </c>
      <c r="S273" s="227"/>
      <c r="T273" s="229" t="str">
        <f t="shared" si="9"/>
        <v>2413500:Var_ui_ErrNo:=272;</v>
      </c>
    </row>
    <row r="274" ht="16.5" spans="1:20">
      <c r="A274" s="222">
        <v>273</v>
      </c>
      <c r="B274" s="35">
        <v>94</v>
      </c>
      <c r="C274" s="35">
        <v>73</v>
      </c>
      <c r="F274" s="224"/>
      <c r="G274" s="224"/>
      <c r="H274" s="223" t="s">
        <v>2697</v>
      </c>
      <c r="I274" s="223" t="s">
        <v>2698</v>
      </c>
      <c r="J274" s="223" t="s">
        <v>2699</v>
      </c>
      <c r="K274" s="223" t="s">
        <v>2700</v>
      </c>
      <c r="L274" s="228">
        <v>24137</v>
      </c>
      <c r="M274" s="228">
        <v>0</v>
      </c>
      <c r="N274" s="223" t="s">
        <v>2701</v>
      </c>
      <c r="O274" s="229" t="str">
        <f t="shared" si="8"/>
        <v>EBS1_24137_0</v>
      </c>
      <c r="P274" s="229" t="s">
        <v>2702</v>
      </c>
      <c r="Q274" s="227"/>
      <c r="R274" s="227">
        <v>273</v>
      </c>
      <c r="S274" s="227"/>
      <c r="T274" s="229" t="str">
        <f t="shared" si="9"/>
        <v>2413700:Var_ui_ErrNo:=273;</v>
      </c>
    </row>
    <row r="275" ht="16.5" spans="1:20">
      <c r="A275" s="222">
        <v>274</v>
      </c>
      <c r="B275" s="35">
        <v>94</v>
      </c>
      <c r="C275" s="35">
        <v>74</v>
      </c>
      <c r="F275" s="224"/>
      <c r="G275" s="224"/>
      <c r="H275" s="223" t="s">
        <v>2703</v>
      </c>
      <c r="I275" s="223" t="s">
        <v>2704</v>
      </c>
      <c r="J275" s="223" t="s">
        <v>2705</v>
      </c>
      <c r="K275" s="223" t="s">
        <v>2706</v>
      </c>
      <c r="L275" s="228">
        <v>24138</v>
      </c>
      <c r="M275" s="228">
        <v>0</v>
      </c>
      <c r="N275" s="223" t="s">
        <v>2707</v>
      </c>
      <c r="O275" s="229" t="str">
        <f t="shared" si="8"/>
        <v>EBS1_24138_0</v>
      </c>
      <c r="P275" s="229" t="s">
        <v>2708</v>
      </c>
      <c r="Q275" s="227"/>
      <c r="R275" s="227">
        <v>274</v>
      </c>
      <c r="S275" s="227"/>
      <c r="T275" s="229" t="str">
        <f t="shared" si="9"/>
        <v>2413800:Var_ui_ErrNo:=274;</v>
      </c>
    </row>
    <row r="276" ht="16.5" spans="1:20">
      <c r="A276" s="222">
        <v>275</v>
      </c>
      <c r="B276" s="35">
        <v>94</v>
      </c>
      <c r="C276" s="35">
        <v>75</v>
      </c>
      <c r="F276" s="224"/>
      <c r="G276" s="224"/>
      <c r="H276" s="223" t="s">
        <v>2709</v>
      </c>
      <c r="I276" s="223" t="s">
        <v>2710</v>
      </c>
      <c r="J276" s="223" t="s">
        <v>2711</v>
      </c>
      <c r="K276" s="223" t="s">
        <v>2712</v>
      </c>
      <c r="L276" s="228">
        <v>24139</v>
      </c>
      <c r="M276" s="228">
        <v>0</v>
      </c>
      <c r="N276" s="223" t="s">
        <v>2707</v>
      </c>
      <c r="O276" s="229" t="str">
        <f t="shared" si="8"/>
        <v>EBS1_24139_0</v>
      </c>
      <c r="P276" s="229" t="s">
        <v>2713</v>
      </c>
      <c r="Q276" s="227"/>
      <c r="R276" s="227">
        <v>275</v>
      </c>
      <c r="S276" s="227"/>
      <c r="T276" s="229" t="str">
        <f t="shared" si="9"/>
        <v>2413900:Var_ui_ErrNo:=275;</v>
      </c>
    </row>
    <row r="277" ht="16.5" spans="1:20">
      <c r="A277" s="222">
        <v>276</v>
      </c>
      <c r="B277" s="35">
        <v>94</v>
      </c>
      <c r="C277" s="35">
        <v>76</v>
      </c>
      <c r="F277" s="224"/>
      <c r="G277" s="224"/>
      <c r="H277" s="223" t="s">
        <v>2709</v>
      </c>
      <c r="I277" s="223" t="s">
        <v>2714</v>
      </c>
      <c r="J277" s="223" t="s">
        <v>2715</v>
      </c>
      <c r="K277" s="223" t="s">
        <v>2716</v>
      </c>
      <c r="L277" s="228">
        <v>24140</v>
      </c>
      <c r="M277" s="228">
        <v>0</v>
      </c>
      <c r="N277" s="223" t="s">
        <v>2707</v>
      </c>
      <c r="O277" s="229" t="str">
        <f t="shared" si="8"/>
        <v>EBS1_24140_0</v>
      </c>
      <c r="P277" s="229" t="s">
        <v>2717</v>
      </c>
      <c r="Q277" s="227"/>
      <c r="R277" s="227">
        <v>276</v>
      </c>
      <c r="S277" s="227"/>
      <c r="T277" s="229" t="str">
        <f t="shared" si="9"/>
        <v>2414000:Var_ui_ErrNo:=276;</v>
      </c>
    </row>
    <row r="278" ht="16.5" spans="1:20">
      <c r="A278" s="222">
        <v>277</v>
      </c>
      <c r="B278" s="35">
        <v>94</v>
      </c>
      <c r="C278" s="35">
        <v>77</v>
      </c>
      <c r="F278" s="224"/>
      <c r="G278" s="224"/>
      <c r="H278" s="223" t="s">
        <v>2718</v>
      </c>
      <c r="I278" s="223" t="s">
        <v>2719</v>
      </c>
      <c r="J278" s="223" t="s">
        <v>2720</v>
      </c>
      <c r="K278" s="223" t="s">
        <v>2721</v>
      </c>
      <c r="L278" s="228">
        <v>24141</v>
      </c>
      <c r="M278" s="228">
        <v>0</v>
      </c>
      <c r="N278" s="223" t="s">
        <v>2722</v>
      </c>
      <c r="O278" s="229" t="str">
        <f t="shared" si="8"/>
        <v>EBS1_24141_0</v>
      </c>
      <c r="P278" s="229" t="s">
        <v>2723</v>
      </c>
      <c r="Q278" s="227"/>
      <c r="R278" s="227">
        <v>277</v>
      </c>
      <c r="S278" s="227"/>
      <c r="T278" s="229" t="str">
        <f t="shared" si="9"/>
        <v>2414100:Var_ui_ErrNo:=277;</v>
      </c>
    </row>
    <row r="279" ht="16.5" spans="1:20">
      <c r="A279" s="222">
        <v>278</v>
      </c>
      <c r="B279" s="35">
        <v>94</v>
      </c>
      <c r="C279" s="35">
        <v>78</v>
      </c>
      <c r="F279" s="224"/>
      <c r="G279" s="224"/>
      <c r="H279" s="223" t="s">
        <v>2718</v>
      </c>
      <c r="I279" s="223" t="s">
        <v>2724</v>
      </c>
      <c r="J279" s="223" t="s">
        <v>2725</v>
      </c>
      <c r="K279" s="223" t="s">
        <v>2726</v>
      </c>
      <c r="L279" s="228">
        <v>24142</v>
      </c>
      <c r="M279" s="228">
        <v>0</v>
      </c>
      <c r="N279" s="223" t="s">
        <v>2722</v>
      </c>
      <c r="O279" s="229" t="str">
        <f t="shared" si="8"/>
        <v>EBS1_24142_0</v>
      </c>
      <c r="P279" s="229" t="s">
        <v>2727</v>
      </c>
      <c r="Q279" s="227"/>
      <c r="R279" s="227">
        <v>278</v>
      </c>
      <c r="S279" s="227"/>
      <c r="T279" s="229" t="str">
        <f t="shared" si="9"/>
        <v>2414200:Var_ui_ErrNo:=278;</v>
      </c>
    </row>
    <row r="280" ht="16.5" spans="1:20">
      <c r="A280" s="222">
        <v>279</v>
      </c>
      <c r="B280" s="35">
        <v>94</v>
      </c>
      <c r="C280" s="35">
        <v>79</v>
      </c>
      <c r="F280" s="224"/>
      <c r="G280" s="224"/>
      <c r="H280" s="223" t="s">
        <v>2728</v>
      </c>
      <c r="I280" s="223" t="s">
        <v>2729</v>
      </c>
      <c r="J280" s="223" t="s">
        <v>2730</v>
      </c>
      <c r="K280" s="223" t="s">
        <v>2731</v>
      </c>
      <c r="L280" s="228">
        <v>24143</v>
      </c>
      <c r="M280" s="228">
        <v>0</v>
      </c>
      <c r="N280" s="223" t="s">
        <v>2732</v>
      </c>
      <c r="O280" s="229" t="str">
        <f t="shared" si="8"/>
        <v>EBS1_24143_0</v>
      </c>
      <c r="P280" s="229" t="s">
        <v>2733</v>
      </c>
      <c r="Q280" s="227"/>
      <c r="R280" s="227">
        <v>279</v>
      </c>
      <c r="S280" s="227"/>
      <c r="T280" s="229" t="str">
        <f t="shared" si="9"/>
        <v>2414300:Var_ui_ErrNo:=279;</v>
      </c>
    </row>
    <row r="281" ht="16.5" spans="1:20">
      <c r="A281" s="222">
        <v>280</v>
      </c>
      <c r="B281" s="35">
        <v>94</v>
      </c>
      <c r="C281" s="35">
        <v>80</v>
      </c>
      <c r="F281" s="224"/>
      <c r="G281" s="224"/>
      <c r="H281" s="223" t="s">
        <v>2734</v>
      </c>
      <c r="I281" s="223" t="s">
        <v>2714</v>
      </c>
      <c r="J281" s="223" t="s">
        <v>2735</v>
      </c>
      <c r="K281" s="223" t="s">
        <v>2736</v>
      </c>
      <c r="L281" s="228">
        <v>24144</v>
      </c>
      <c r="M281" s="228">
        <v>0</v>
      </c>
      <c r="N281" s="223" t="s">
        <v>2722</v>
      </c>
      <c r="O281" s="229" t="str">
        <f t="shared" si="8"/>
        <v>EBS1_24144_0</v>
      </c>
      <c r="P281" s="229" t="s">
        <v>2737</v>
      </c>
      <c r="Q281" s="227"/>
      <c r="R281" s="227">
        <v>280</v>
      </c>
      <c r="S281" s="227"/>
      <c r="T281" s="229" t="str">
        <f t="shared" si="9"/>
        <v>2414400:Var_ui_ErrNo:=280;</v>
      </c>
    </row>
    <row r="282" ht="16.5" spans="1:20">
      <c r="A282" s="222">
        <v>281</v>
      </c>
      <c r="B282" s="35">
        <v>94</v>
      </c>
      <c r="C282" s="35">
        <v>81</v>
      </c>
      <c r="F282" s="224"/>
      <c r="G282" s="224"/>
      <c r="H282" s="223" t="s">
        <v>2718</v>
      </c>
      <c r="I282" s="223" t="s">
        <v>2738</v>
      </c>
      <c r="J282" s="223" t="s">
        <v>2739</v>
      </c>
      <c r="K282" s="223" t="s">
        <v>2740</v>
      </c>
      <c r="L282" s="228">
        <v>24145</v>
      </c>
      <c r="M282" s="228">
        <v>0</v>
      </c>
      <c r="N282" s="223" t="s">
        <v>2722</v>
      </c>
      <c r="O282" s="229" t="str">
        <f t="shared" si="8"/>
        <v>EBS1_24145_0</v>
      </c>
      <c r="P282" s="229" t="s">
        <v>2741</v>
      </c>
      <c r="Q282" s="227"/>
      <c r="R282" s="227">
        <v>281</v>
      </c>
      <c r="S282" s="227"/>
      <c r="T282" s="229" t="str">
        <f t="shared" si="9"/>
        <v>2414500:Var_ui_ErrNo:=281;</v>
      </c>
    </row>
    <row r="283" ht="16.5" spans="1:20">
      <c r="A283" s="222">
        <v>282</v>
      </c>
      <c r="B283" s="35">
        <v>94</v>
      </c>
      <c r="C283" s="35">
        <v>82</v>
      </c>
      <c r="F283" s="224"/>
      <c r="G283" s="224"/>
      <c r="H283" s="223" t="s">
        <v>2742</v>
      </c>
      <c r="I283" s="223" t="s">
        <v>2743</v>
      </c>
      <c r="J283" s="223" t="s">
        <v>2744</v>
      </c>
      <c r="K283" s="223" t="s">
        <v>2745</v>
      </c>
      <c r="L283" s="228">
        <v>24146</v>
      </c>
      <c r="M283" s="228">
        <v>0</v>
      </c>
      <c r="N283" s="223" t="s">
        <v>2746</v>
      </c>
      <c r="O283" s="229" t="str">
        <f t="shared" si="8"/>
        <v>EBS1_24146_0</v>
      </c>
      <c r="P283" s="229" t="s">
        <v>2747</v>
      </c>
      <c r="Q283" s="227"/>
      <c r="R283" s="227">
        <v>282</v>
      </c>
      <c r="S283" s="227"/>
      <c r="T283" s="229" t="str">
        <f t="shared" si="9"/>
        <v>2414600:Var_ui_ErrNo:=282;</v>
      </c>
    </row>
    <row r="284" ht="16.5" spans="1:20">
      <c r="A284" s="222">
        <v>283</v>
      </c>
      <c r="B284" s="35">
        <v>94</v>
      </c>
      <c r="C284" s="35">
        <v>83</v>
      </c>
      <c r="F284" s="224"/>
      <c r="G284" s="224"/>
      <c r="H284" s="223" t="s">
        <v>2748</v>
      </c>
      <c r="I284" s="223" t="s">
        <v>2749</v>
      </c>
      <c r="J284" s="223" t="s">
        <v>2750</v>
      </c>
      <c r="K284" s="223" t="s">
        <v>2751</v>
      </c>
      <c r="L284" s="228">
        <v>24147</v>
      </c>
      <c r="M284" s="228">
        <v>0</v>
      </c>
      <c r="N284" s="223" t="s">
        <v>2746</v>
      </c>
      <c r="O284" s="229" t="str">
        <f t="shared" si="8"/>
        <v>EBS1_24147_0</v>
      </c>
      <c r="P284" s="229" t="s">
        <v>2752</v>
      </c>
      <c r="Q284" s="227"/>
      <c r="R284" s="227">
        <v>283</v>
      </c>
      <c r="S284" s="227"/>
      <c r="T284" s="229" t="str">
        <f t="shared" si="9"/>
        <v>2414700:Var_ui_ErrNo:=283;</v>
      </c>
    </row>
    <row r="285" ht="16.5" spans="1:20">
      <c r="A285" s="222">
        <v>284</v>
      </c>
      <c r="B285" s="35">
        <v>94</v>
      </c>
      <c r="C285" s="35">
        <v>84</v>
      </c>
      <c r="F285" s="224"/>
      <c r="G285" s="224"/>
      <c r="H285" s="223" t="s">
        <v>2753</v>
      </c>
      <c r="I285" s="223" t="s">
        <v>2754</v>
      </c>
      <c r="J285" s="223" t="s">
        <v>2755</v>
      </c>
      <c r="K285" s="223" t="s">
        <v>2756</v>
      </c>
      <c r="L285" s="228">
        <v>24148</v>
      </c>
      <c r="M285" s="228">
        <v>0</v>
      </c>
      <c r="N285" s="223" t="s">
        <v>2757</v>
      </c>
      <c r="O285" s="229" t="str">
        <f t="shared" si="8"/>
        <v>EBS1_24148_0</v>
      </c>
      <c r="P285" s="229" t="s">
        <v>2758</v>
      </c>
      <c r="Q285" s="227"/>
      <c r="R285" s="227">
        <v>284</v>
      </c>
      <c r="S285" s="227"/>
      <c r="T285" s="229" t="str">
        <f t="shared" si="9"/>
        <v>2414800:Var_ui_ErrNo:=284;</v>
      </c>
    </row>
    <row r="286" ht="16.5" spans="1:20">
      <c r="A286" s="222">
        <v>285</v>
      </c>
      <c r="B286" s="35">
        <v>94</v>
      </c>
      <c r="C286" s="35">
        <v>85</v>
      </c>
      <c r="F286" s="224"/>
      <c r="G286" s="224"/>
      <c r="H286" s="223" t="s">
        <v>2759</v>
      </c>
      <c r="I286" s="223" t="s">
        <v>2760</v>
      </c>
      <c r="J286" s="223" t="s">
        <v>2761</v>
      </c>
      <c r="K286" s="223" t="s">
        <v>2762</v>
      </c>
      <c r="L286" s="228">
        <v>24149</v>
      </c>
      <c r="M286" s="228">
        <v>0</v>
      </c>
      <c r="N286" s="223" t="s">
        <v>2763</v>
      </c>
      <c r="O286" s="229" t="str">
        <f t="shared" si="8"/>
        <v>EBS1_24149_0</v>
      </c>
      <c r="P286" s="229" t="s">
        <v>2764</v>
      </c>
      <c r="Q286" s="227"/>
      <c r="R286" s="227">
        <v>285</v>
      </c>
      <c r="S286" s="227"/>
      <c r="T286" s="229" t="str">
        <f t="shared" si="9"/>
        <v>2414900:Var_ui_ErrNo:=285;</v>
      </c>
    </row>
    <row r="287" ht="16.5" spans="1:20">
      <c r="A287" s="222">
        <v>286</v>
      </c>
      <c r="B287" s="35">
        <v>94</v>
      </c>
      <c r="C287" s="35">
        <v>86</v>
      </c>
      <c r="F287" s="224"/>
      <c r="G287" s="224"/>
      <c r="H287" s="223" t="s">
        <v>2765</v>
      </c>
      <c r="I287" s="223" t="s">
        <v>2766</v>
      </c>
      <c r="J287" s="223" t="s">
        <v>2767</v>
      </c>
      <c r="K287" s="223" t="s">
        <v>2768</v>
      </c>
      <c r="L287" s="228">
        <v>24150</v>
      </c>
      <c r="M287" s="228">
        <v>0</v>
      </c>
      <c r="N287" s="223" t="s">
        <v>2769</v>
      </c>
      <c r="O287" s="229" t="str">
        <f t="shared" si="8"/>
        <v>EBS1_24150_0</v>
      </c>
      <c r="P287" s="229" t="s">
        <v>2770</v>
      </c>
      <c r="Q287" s="227"/>
      <c r="R287" s="227">
        <v>286</v>
      </c>
      <c r="S287" s="227"/>
      <c r="T287" s="229" t="str">
        <f t="shared" si="9"/>
        <v>2415000:Var_ui_ErrNo:=286;</v>
      </c>
    </row>
    <row r="288" ht="16.5" spans="1:20">
      <c r="A288" s="222">
        <v>287</v>
      </c>
      <c r="B288" s="35">
        <v>95</v>
      </c>
      <c r="C288" s="35">
        <v>20</v>
      </c>
      <c r="F288" s="224"/>
      <c r="G288" s="224"/>
      <c r="H288" s="223" t="s">
        <v>2771</v>
      </c>
      <c r="I288" s="223" t="s">
        <v>2772</v>
      </c>
      <c r="J288" s="223" t="s">
        <v>2773</v>
      </c>
      <c r="K288" s="223" t="s">
        <v>2774</v>
      </c>
      <c r="L288" s="228">
        <v>24340</v>
      </c>
      <c r="M288" s="228">
        <v>0</v>
      </c>
      <c r="N288" s="223" t="s">
        <v>2775</v>
      </c>
      <c r="O288" s="229" t="str">
        <f t="shared" si="8"/>
        <v>EBS1_24340_0</v>
      </c>
      <c r="P288" s="229" t="s">
        <v>2776</v>
      </c>
      <c r="Q288" s="227"/>
      <c r="R288" s="227">
        <v>287</v>
      </c>
      <c r="S288" s="227"/>
      <c r="T288" s="229" t="str">
        <f t="shared" si="9"/>
        <v>2434000:Var_ui_ErrNo:=287;</v>
      </c>
    </row>
    <row r="289" ht="16.5" spans="1:20">
      <c r="A289" s="222">
        <v>288</v>
      </c>
      <c r="B289" s="35">
        <v>95</v>
      </c>
      <c r="C289" s="35">
        <v>21</v>
      </c>
      <c r="F289" s="224"/>
      <c r="G289" s="224"/>
      <c r="H289" s="223" t="s">
        <v>2777</v>
      </c>
      <c r="I289" s="223" t="s">
        <v>2778</v>
      </c>
      <c r="J289" s="223" t="s">
        <v>2779</v>
      </c>
      <c r="K289" s="223" t="s">
        <v>2780</v>
      </c>
      <c r="L289" s="228">
        <v>24341</v>
      </c>
      <c r="M289" s="228">
        <v>0</v>
      </c>
      <c r="N289" s="223" t="s">
        <v>2781</v>
      </c>
      <c r="O289" s="229" t="str">
        <f t="shared" si="8"/>
        <v>EBS1_24341_0</v>
      </c>
      <c r="P289" s="229" t="s">
        <v>2782</v>
      </c>
      <c r="Q289" s="227"/>
      <c r="R289" s="227">
        <v>288</v>
      </c>
      <c r="S289" s="227"/>
      <c r="T289" s="229" t="str">
        <f t="shared" si="9"/>
        <v>2434100:Var_ui_ErrNo:=288;</v>
      </c>
    </row>
    <row r="290" ht="16.5" spans="1:20">
      <c r="A290" s="222">
        <v>289</v>
      </c>
      <c r="B290" s="35">
        <v>96</v>
      </c>
      <c r="C290" s="35">
        <v>0</v>
      </c>
      <c r="F290" s="224"/>
      <c r="G290" s="224"/>
      <c r="H290" s="223" t="s">
        <v>2783</v>
      </c>
      <c r="I290" s="223" t="s">
        <v>2784</v>
      </c>
      <c r="J290" s="223" t="s">
        <v>2785</v>
      </c>
      <c r="K290" s="223" t="s">
        <v>2786</v>
      </c>
      <c r="L290" s="228">
        <v>24576</v>
      </c>
      <c r="M290" s="228">
        <v>0</v>
      </c>
      <c r="N290" s="223" t="s">
        <v>2787</v>
      </c>
      <c r="O290" s="229" t="str">
        <f t="shared" si="8"/>
        <v>EBS1_24576_0</v>
      </c>
      <c r="P290" s="229" t="s">
        <v>2788</v>
      </c>
      <c r="Q290" s="227"/>
      <c r="R290" s="227">
        <v>289</v>
      </c>
      <c r="S290" s="227"/>
      <c r="T290" s="229" t="str">
        <f t="shared" si="9"/>
        <v>2457600:Var_ui_ErrNo:=289;</v>
      </c>
    </row>
    <row r="291" ht="16.5" spans="1:20">
      <c r="A291" s="222">
        <v>290</v>
      </c>
      <c r="B291" s="35">
        <v>96</v>
      </c>
      <c r="C291" s="35">
        <v>1</v>
      </c>
      <c r="F291" s="224"/>
      <c r="G291" s="224"/>
      <c r="H291" s="223" t="s">
        <v>2789</v>
      </c>
      <c r="I291" s="223" t="s">
        <v>2790</v>
      </c>
      <c r="J291" s="223" t="s">
        <v>2791</v>
      </c>
      <c r="K291" s="223" t="s">
        <v>2792</v>
      </c>
      <c r="L291" s="228">
        <v>24577</v>
      </c>
      <c r="M291" s="228">
        <v>0</v>
      </c>
      <c r="N291" s="223" t="s">
        <v>2793</v>
      </c>
      <c r="O291" s="229" t="str">
        <f t="shared" si="8"/>
        <v>EBS1_24577_0</v>
      </c>
      <c r="P291" s="229" t="s">
        <v>2794</v>
      </c>
      <c r="Q291" s="227"/>
      <c r="R291" s="227">
        <v>290</v>
      </c>
      <c r="S291" s="227"/>
      <c r="T291" s="229" t="str">
        <f t="shared" si="9"/>
        <v>2457700:Var_ui_ErrNo:=290;</v>
      </c>
    </row>
    <row r="292" ht="16.5" spans="1:20">
      <c r="A292" s="222">
        <v>291</v>
      </c>
      <c r="B292" s="35">
        <v>96</v>
      </c>
      <c r="C292" s="35">
        <v>32</v>
      </c>
      <c r="F292" s="224"/>
      <c r="G292" s="224"/>
      <c r="H292" s="223" t="s">
        <v>2795</v>
      </c>
      <c r="I292" s="223" t="s">
        <v>2796</v>
      </c>
      <c r="J292" s="223" t="s">
        <v>2797</v>
      </c>
      <c r="K292" s="223" t="s">
        <v>2798</v>
      </c>
      <c r="L292" s="228">
        <v>24608</v>
      </c>
      <c r="M292" s="228">
        <v>0</v>
      </c>
      <c r="N292" s="223" t="s">
        <v>2799</v>
      </c>
      <c r="O292" s="229" t="str">
        <f t="shared" si="8"/>
        <v>EBS1_24608_0</v>
      </c>
      <c r="P292" s="229" t="s">
        <v>2800</v>
      </c>
      <c r="Q292" s="227"/>
      <c r="R292" s="227">
        <v>291</v>
      </c>
      <c r="S292" s="227"/>
      <c r="T292" s="229" t="str">
        <f t="shared" si="9"/>
        <v>2460800:Var_ui_ErrNo:=291;</v>
      </c>
    </row>
    <row r="293" ht="16.5" spans="1:20">
      <c r="A293" s="222">
        <v>292</v>
      </c>
      <c r="B293" s="35">
        <v>96</v>
      </c>
      <c r="C293" s="35">
        <v>33</v>
      </c>
      <c r="F293" s="224"/>
      <c r="G293" s="224"/>
      <c r="H293" s="223" t="s">
        <v>2801</v>
      </c>
      <c r="I293" s="223" t="s">
        <v>2802</v>
      </c>
      <c r="J293" s="223" t="s">
        <v>2803</v>
      </c>
      <c r="K293" s="223" t="s">
        <v>2804</v>
      </c>
      <c r="L293" s="228">
        <v>24609</v>
      </c>
      <c r="M293" s="228">
        <v>0</v>
      </c>
      <c r="N293" s="223" t="s">
        <v>2805</v>
      </c>
      <c r="O293" s="229" t="str">
        <f t="shared" si="8"/>
        <v>EBS1_24609_0</v>
      </c>
      <c r="P293" s="229" t="s">
        <v>2806</v>
      </c>
      <c r="Q293" s="227"/>
      <c r="R293" s="227">
        <v>292</v>
      </c>
      <c r="S293" s="227"/>
      <c r="T293" s="229" t="str">
        <f t="shared" si="9"/>
        <v>2460900:Var_ui_ErrNo:=292;</v>
      </c>
    </row>
    <row r="294" ht="16.5" spans="1:20">
      <c r="A294" s="222">
        <v>293</v>
      </c>
      <c r="B294" s="35">
        <v>96</v>
      </c>
      <c r="C294" s="35">
        <v>39</v>
      </c>
      <c r="F294" s="224"/>
      <c r="G294" s="224"/>
      <c r="H294" s="223" t="s">
        <v>2807</v>
      </c>
      <c r="I294" s="223" t="s">
        <v>2808</v>
      </c>
      <c r="J294" s="223" t="s">
        <v>2809</v>
      </c>
      <c r="K294" s="223" t="s">
        <v>2810</v>
      </c>
      <c r="L294" s="228">
        <v>24615</v>
      </c>
      <c r="M294" s="228">
        <v>0</v>
      </c>
      <c r="N294" s="223" t="s">
        <v>2811</v>
      </c>
      <c r="O294" s="229" t="str">
        <f t="shared" si="8"/>
        <v>EBS1_24615_0</v>
      </c>
      <c r="P294" s="229" t="s">
        <v>2812</v>
      </c>
      <c r="Q294" s="227"/>
      <c r="R294" s="227">
        <v>293</v>
      </c>
      <c r="S294" s="227"/>
      <c r="T294" s="229" t="str">
        <f t="shared" si="9"/>
        <v>2461500:Var_ui_ErrNo:=293;</v>
      </c>
    </row>
    <row r="295" ht="16.5" spans="1:20">
      <c r="A295" s="222">
        <v>294</v>
      </c>
      <c r="B295" s="35">
        <v>96</v>
      </c>
      <c r="C295" s="35">
        <v>45</v>
      </c>
      <c r="F295" s="224"/>
      <c r="G295" s="224"/>
      <c r="H295" s="223" t="s">
        <v>2813</v>
      </c>
      <c r="I295" s="223" t="s">
        <v>2814</v>
      </c>
      <c r="J295" s="223" t="s">
        <v>2815</v>
      </c>
      <c r="K295" s="223" t="s">
        <v>2816</v>
      </c>
      <c r="L295" s="228">
        <v>24621</v>
      </c>
      <c r="M295" s="228">
        <v>0</v>
      </c>
      <c r="N295" s="223" t="s">
        <v>2817</v>
      </c>
      <c r="O295" s="229" t="str">
        <f t="shared" si="8"/>
        <v>EBS1_24621_0</v>
      </c>
      <c r="P295" s="229" t="s">
        <v>2818</v>
      </c>
      <c r="Q295" s="227"/>
      <c r="R295" s="227">
        <v>294</v>
      </c>
      <c r="S295" s="227"/>
      <c r="T295" s="229" t="str">
        <f t="shared" si="9"/>
        <v>2462100:Var_ui_ErrNo:=294;</v>
      </c>
    </row>
    <row r="296" ht="16.5" spans="1:20">
      <c r="A296" s="222">
        <v>295</v>
      </c>
      <c r="B296" s="35">
        <v>96</v>
      </c>
      <c r="C296" s="35">
        <v>47</v>
      </c>
      <c r="F296" s="224"/>
      <c r="G296" s="224"/>
      <c r="H296" s="223" t="s">
        <v>2819</v>
      </c>
      <c r="I296" s="223" t="s">
        <v>2820</v>
      </c>
      <c r="J296" s="223" t="s">
        <v>2821</v>
      </c>
      <c r="K296" s="223" t="s">
        <v>2822</v>
      </c>
      <c r="L296" s="228">
        <v>24623</v>
      </c>
      <c r="M296" s="228">
        <v>0</v>
      </c>
      <c r="N296" s="223" t="s">
        <v>2823</v>
      </c>
      <c r="O296" s="229" t="str">
        <f t="shared" si="8"/>
        <v>EBS1_24623_0</v>
      </c>
      <c r="P296" s="229" t="s">
        <v>2824</v>
      </c>
      <c r="Q296" s="227"/>
      <c r="R296" s="227">
        <v>295</v>
      </c>
      <c r="S296" s="227"/>
      <c r="T296" s="229" t="str">
        <f t="shared" si="9"/>
        <v>2462300:Var_ui_ErrNo:=295;</v>
      </c>
    </row>
    <row r="297" ht="16.5" spans="1:20">
      <c r="A297" s="222">
        <v>296</v>
      </c>
      <c r="B297" s="35">
        <v>96</v>
      </c>
      <c r="C297" s="35">
        <v>48</v>
      </c>
      <c r="F297" s="224"/>
      <c r="G297" s="224"/>
      <c r="H297" s="223" t="s">
        <v>2825</v>
      </c>
      <c r="I297" s="223" t="s">
        <v>2826</v>
      </c>
      <c r="J297" s="223" t="s">
        <v>2827</v>
      </c>
      <c r="K297" s="223" t="s">
        <v>2828</v>
      </c>
      <c r="L297" s="228">
        <v>24624</v>
      </c>
      <c r="M297" s="228">
        <v>0</v>
      </c>
      <c r="N297" s="223" t="s">
        <v>2829</v>
      </c>
      <c r="O297" s="229" t="str">
        <f t="shared" si="8"/>
        <v>EBS1_24624_0</v>
      </c>
      <c r="P297" s="229" t="s">
        <v>2830</v>
      </c>
      <c r="Q297" s="227"/>
      <c r="R297" s="227">
        <v>296</v>
      </c>
      <c r="S297" s="227"/>
      <c r="T297" s="229" t="str">
        <f t="shared" si="9"/>
        <v>2462400:Var_ui_ErrNo:=296;</v>
      </c>
    </row>
    <row r="298" ht="16.5" spans="1:20">
      <c r="A298" s="222">
        <v>297</v>
      </c>
      <c r="B298" s="35">
        <v>96</v>
      </c>
      <c r="C298" s="35">
        <v>49</v>
      </c>
      <c r="F298" s="224"/>
      <c r="G298" s="224"/>
      <c r="H298" s="223" t="s">
        <v>2831</v>
      </c>
      <c r="I298" s="223" t="s">
        <v>2832</v>
      </c>
      <c r="J298" s="223" t="s">
        <v>2833</v>
      </c>
      <c r="K298" s="223" t="s">
        <v>2834</v>
      </c>
      <c r="L298" s="228">
        <v>24625</v>
      </c>
      <c r="M298" s="228">
        <v>0</v>
      </c>
      <c r="N298" s="223" t="s">
        <v>2835</v>
      </c>
      <c r="O298" s="229" t="str">
        <f t="shared" si="8"/>
        <v>EBS1_24625_0</v>
      </c>
      <c r="P298" s="229" t="s">
        <v>2836</v>
      </c>
      <c r="Q298" s="227"/>
      <c r="R298" s="227">
        <v>297</v>
      </c>
      <c r="S298" s="227"/>
      <c r="T298" s="229" t="str">
        <f t="shared" si="9"/>
        <v>2462500:Var_ui_ErrNo:=297;</v>
      </c>
    </row>
    <row r="299" ht="16.5" spans="1:20">
      <c r="A299" s="222">
        <v>298</v>
      </c>
      <c r="B299" s="35">
        <v>100</v>
      </c>
      <c r="C299" s="35">
        <v>0</v>
      </c>
      <c r="F299" s="224"/>
      <c r="G299" s="224"/>
      <c r="H299" s="223" t="s">
        <v>2837</v>
      </c>
      <c r="I299" s="223" t="s">
        <v>2838</v>
      </c>
      <c r="J299" s="223" t="s">
        <v>2839</v>
      </c>
      <c r="K299" s="223" t="s">
        <v>2840</v>
      </c>
      <c r="L299" s="228">
        <v>25600</v>
      </c>
      <c r="M299" s="228">
        <v>0</v>
      </c>
      <c r="N299" s="223" t="s">
        <v>2841</v>
      </c>
      <c r="O299" s="229" t="str">
        <f t="shared" si="8"/>
        <v>EBS1_25600_0</v>
      </c>
      <c r="P299" s="229" t="s">
        <v>2842</v>
      </c>
      <c r="Q299" s="227"/>
      <c r="R299" s="227">
        <v>298</v>
      </c>
      <c r="S299" s="227"/>
      <c r="T299" s="229" t="str">
        <f t="shared" si="9"/>
        <v>2560000:Var_ui_ErrNo:=298;</v>
      </c>
    </row>
    <row r="300" ht="16.5" spans="1:20">
      <c r="A300" s="222">
        <v>299</v>
      </c>
      <c r="B300" s="35">
        <v>101</v>
      </c>
      <c r="C300" s="35">
        <v>0</v>
      </c>
      <c r="F300" s="224"/>
      <c r="G300" s="224"/>
      <c r="H300" s="223" t="s">
        <v>2843</v>
      </c>
      <c r="I300" s="223" t="s">
        <v>2838</v>
      </c>
      <c r="J300" s="223" t="s">
        <v>2844</v>
      </c>
      <c r="K300" s="223" t="s">
        <v>2845</v>
      </c>
      <c r="L300" s="228">
        <v>25856</v>
      </c>
      <c r="M300" s="228">
        <v>0</v>
      </c>
      <c r="N300" s="223" t="s">
        <v>2846</v>
      </c>
      <c r="O300" s="229" t="str">
        <f t="shared" si="8"/>
        <v>EBS1_25856_0</v>
      </c>
      <c r="P300" s="229" t="s">
        <v>2847</v>
      </c>
      <c r="Q300" s="227"/>
      <c r="R300" s="227">
        <v>299</v>
      </c>
      <c r="S300" s="227"/>
      <c r="T300" s="229" t="str">
        <f t="shared" si="9"/>
        <v>2585600:Var_ui_ErrNo:=299;</v>
      </c>
    </row>
    <row r="301" ht="16.5" spans="1:20">
      <c r="A301" s="222">
        <v>300</v>
      </c>
      <c r="B301" s="35">
        <v>102</v>
      </c>
      <c r="C301" s="35">
        <v>0</v>
      </c>
      <c r="F301" s="224"/>
      <c r="G301" s="224"/>
      <c r="H301" s="223" t="s">
        <v>2848</v>
      </c>
      <c r="I301" s="223" t="s">
        <v>2838</v>
      </c>
      <c r="J301" s="223" t="s">
        <v>2849</v>
      </c>
      <c r="K301" s="223" t="s">
        <v>2850</v>
      </c>
      <c r="L301" s="228">
        <v>26112</v>
      </c>
      <c r="M301" s="228">
        <v>0</v>
      </c>
      <c r="N301" s="223" t="s">
        <v>2851</v>
      </c>
      <c r="O301" s="229" t="str">
        <f t="shared" si="8"/>
        <v>EBS1_26112_0</v>
      </c>
      <c r="P301" s="229" t="s">
        <v>2852</v>
      </c>
      <c r="Q301" s="227"/>
      <c r="R301" s="227">
        <v>300</v>
      </c>
      <c r="S301" s="227"/>
      <c r="T301" s="229" t="str">
        <f t="shared" si="9"/>
        <v>2611200:Var_ui_ErrNo:=300;</v>
      </c>
    </row>
    <row r="302" ht="16.5" spans="1:20">
      <c r="A302" s="222">
        <v>301</v>
      </c>
      <c r="B302" s="35">
        <v>103</v>
      </c>
      <c r="C302" s="35">
        <v>0</v>
      </c>
      <c r="F302" s="224"/>
      <c r="G302" s="224"/>
      <c r="H302" s="223" t="s">
        <v>2853</v>
      </c>
      <c r="I302" s="223" t="s">
        <v>2838</v>
      </c>
      <c r="J302" s="223" t="s">
        <v>2854</v>
      </c>
      <c r="K302" s="223" t="s">
        <v>2855</v>
      </c>
      <c r="L302" s="228">
        <v>26368</v>
      </c>
      <c r="M302" s="228">
        <v>0</v>
      </c>
      <c r="N302" s="223" t="s">
        <v>2856</v>
      </c>
      <c r="O302" s="229" t="str">
        <f t="shared" si="8"/>
        <v>EBS1_26368_0</v>
      </c>
      <c r="P302" s="229" t="s">
        <v>2857</v>
      </c>
      <c r="Q302" s="227"/>
      <c r="R302" s="227">
        <v>301</v>
      </c>
      <c r="S302" s="227"/>
      <c r="T302" s="229" t="str">
        <f t="shared" si="9"/>
        <v>2636800:Var_ui_ErrNo:=301;</v>
      </c>
    </row>
    <row r="303" ht="16.5" spans="1:20">
      <c r="A303" s="222">
        <v>302</v>
      </c>
      <c r="B303" s="35">
        <v>104</v>
      </c>
      <c r="C303" s="35">
        <v>0</v>
      </c>
      <c r="F303" s="224"/>
      <c r="G303" s="224"/>
      <c r="H303" s="223" t="s">
        <v>2858</v>
      </c>
      <c r="I303" s="223" t="s">
        <v>2838</v>
      </c>
      <c r="J303" s="223" t="s">
        <v>2859</v>
      </c>
      <c r="K303" s="223" t="s">
        <v>2860</v>
      </c>
      <c r="L303" s="228">
        <v>26624</v>
      </c>
      <c r="M303" s="228">
        <v>0</v>
      </c>
      <c r="N303" s="223" t="s">
        <v>2861</v>
      </c>
      <c r="O303" s="229" t="str">
        <f t="shared" si="8"/>
        <v>EBS1_26624_0</v>
      </c>
      <c r="P303" s="229" t="s">
        <v>2862</v>
      </c>
      <c r="Q303" s="227"/>
      <c r="R303" s="227">
        <v>302</v>
      </c>
      <c r="S303" s="227"/>
      <c r="T303" s="229" t="str">
        <f t="shared" si="9"/>
        <v>2662400:Var_ui_ErrNo:=302;</v>
      </c>
    </row>
    <row r="304" ht="16.5" spans="1:20">
      <c r="A304" s="222">
        <v>303</v>
      </c>
      <c r="B304" s="35">
        <v>105</v>
      </c>
      <c r="C304" s="35">
        <v>0</v>
      </c>
      <c r="F304" s="224"/>
      <c r="G304" s="224"/>
      <c r="H304" s="223" t="s">
        <v>2863</v>
      </c>
      <c r="I304" s="223" t="s">
        <v>2838</v>
      </c>
      <c r="J304" s="223" t="s">
        <v>2864</v>
      </c>
      <c r="K304" s="223" t="s">
        <v>2865</v>
      </c>
      <c r="L304" s="228">
        <v>26880</v>
      </c>
      <c r="M304" s="228">
        <v>0</v>
      </c>
      <c r="N304" s="223" t="s">
        <v>2866</v>
      </c>
      <c r="O304" s="229" t="str">
        <f t="shared" si="8"/>
        <v>EBS1_26880_0</v>
      </c>
      <c r="P304" s="229" t="s">
        <v>2867</v>
      </c>
      <c r="Q304" s="227"/>
      <c r="R304" s="227">
        <v>303</v>
      </c>
      <c r="S304" s="227"/>
      <c r="T304" s="229" t="str">
        <f t="shared" si="9"/>
        <v>2688000:Var_ui_ErrNo:=303;</v>
      </c>
    </row>
    <row r="305" ht="16.5" spans="1:20">
      <c r="A305" s="222">
        <v>304</v>
      </c>
      <c r="B305" s="35">
        <v>100</v>
      </c>
      <c r="C305" s="35">
        <v>29</v>
      </c>
      <c r="F305" s="224"/>
      <c r="G305" s="224"/>
      <c r="H305" s="223" t="s">
        <v>2868</v>
      </c>
      <c r="I305" s="223" t="s">
        <v>2869</v>
      </c>
      <c r="J305" s="223" t="s">
        <v>2870</v>
      </c>
      <c r="K305" s="223" t="s">
        <v>2871</v>
      </c>
      <c r="L305" s="228">
        <v>25629</v>
      </c>
      <c r="M305" s="228">
        <v>0</v>
      </c>
      <c r="N305" s="223" t="s">
        <v>2872</v>
      </c>
      <c r="O305" s="229" t="str">
        <f t="shared" si="8"/>
        <v>EBS1_25629_0</v>
      </c>
      <c r="P305" s="229" t="s">
        <v>2873</v>
      </c>
      <c r="Q305" s="227"/>
      <c r="R305" s="227">
        <v>304</v>
      </c>
      <c r="S305" s="227"/>
      <c r="T305" s="229" t="str">
        <f t="shared" si="9"/>
        <v>2562900:Var_ui_ErrNo:=304;</v>
      </c>
    </row>
    <row r="306" ht="16.5" spans="1:20">
      <c r="A306" s="222">
        <v>305</v>
      </c>
      <c r="B306" s="35">
        <v>101</v>
      </c>
      <c r="C306" s="35">
        <v>29</v>
      </c>
      <c r="F306" s="224"/>
      <c r="G306" s="224"/>
      <c r="H306" s="223" t="s">
        <v>2874</v>
      </c>
      <c r="I306" s="223" t="s">
        <v>2869</v>
      </c>
      <c r="J306" s="223" t="s">
        <v>2875</v>
      </c>
      <c r="K306" s="223" t="s">
        <v>2876</v>
      </c>
      <c r="L306" s="228">
        <v>25885</v>
      </c>
      <c r="M306" s="228">
        <v>0</v>
      </c>
      <c r="N306" s="223" t="s">
        <v>2877</v>
      </c>
      <c r="O306" s="229" t="str">
        <f t="shared" si="8"/>
        <v>EBS1_25885_0</v>
      </c>
      <c r="P306" s="229" t="s">
        <v>2878</v>
      </c>
      <c r="Q306" s="227"/>
      <c r="R306" s="227">
        <v>305</v>
      </c>
      <c r="S306" s="227"/>
      <c r="T306" s="229" t="str">
        <f t="shared" si="9"/>
        <v>2588500:Var_ui_ErrNo:=305;</v>
      </c>
    </row>
    <row r="307" ht="16.5" spans="1:20">
      <c r="A307" s="222">
        <v>306</v>
      </c>
      <c r="B307" s="35">
        <v>102</v>
      </c>
      <c r="C307" s="35">
        <v>29</v>
      </c>
      <c r="F307" s="224"/>
      <c r="G307" s="224"/>
      <c r="H307" s="223" t="s">
        <v>2879</v>
      </c>
      <c r="I307" s="223" t="s">
        <v>2869</v>
      </c>
      <c r="J307" s="223" t="s">
        <v>2880</v>
      </c>
      <c r="K307" s="223" t="s">
        <v>2881</v>
      </c>
      <c r="L307" s="228">
        <v>26141</v>
      </c>
      <c r="M307" s="228">
        <v>0</v>
      </c>
      <c r="N307" s="223" t="s">
        <v>2882</v>
      </c>
      <c r="O307" s="229" t="str">
        <f t="shared" si="8"/>
        <v>EBS1_26141_0</v>
      </c>
      <c r="P307" s="229" t="s">
        <v>2883</v>
      </c>
      <c r="Q307" s="227"/>
      <c r="R307" s="227">
        <v>306</v>
      </c>
      <c r="S307" s="227"/>
      <c r="T307" s="229" t="str">
        <f t="shared" si="9"/>
        <v>2614100:Var_ui_ErrNo:=306;</v>
      </c>
    </row>
    <row r="308" ht="16.5" spans="1:20">
      <c r="A308" s="222">
        <v>307</v>
      </c>
      <c r="B308" s="35">
        <v>103</v>
      </c>
      <c r="C308" s="35">
        <v>29</v>
      </c>
      <c r="F308" s="224"/>
      <c r="G308" s="224"/>
      <c r="H308" s="223" t="s">
        <v>2884</v>
      </c>
      <c r="I308" s="223" t="s">
        <v>2869</v>
      </c>
      <c r="J308" s="223" t="s">
        <v>2885</v>
      </c>
      <c r="K308" s="223" t="s">
        <v>2886</v>
      </c>
      <c r="L308" s="228">
        <v>26397</v>
      </c>
      <c r="M308" s="228">
        <v>0</v>
      </c>
      <c r="N308" s="223" t="s">
        <v>2887</v>
      </c>
      <c r="O308" s="229" t="str">
        <f t="shared" si="8"/>
        <v>EBS1_26397_0</v>
      </c>
      <c r="P308" s="229" t="s">
        <v>2888</v>
      </c>
      <c r="Q308" s="227"/>
      <c r="R308" s="227">
        <v>307</v>
      </c>
      <c r="S308" s="227"/>
      <c r="T308" s="229" t="str">
        <f t="shared" si="9"/>
        <v>2639700:Var_ui_ErrNo:=307;</v>
      </c>
    </row>
    <row r="309" ht="16.5" spans="1:20">
      <c r="A309" s="222">
        <v>308</v>
      </c>
      <c r="B309" s="35">
        <v>104</v>
      </c>
      <c r="C309" s="35">
        <v>29</v>
      </c>
      <c r="F309" s="224"/>
      <c r="G309" s="224"/>
      <c r="H309" s="223" t="s">
        <v>2889</v>
      </c>
      <c r="I309" s="223" t="s">
        <v>2869</v>
      </c>
      <c r="J309" s="223" t="s">
        <v>2890</v>
      </c>
      <c r="K309" s="223" t="s">
        <v>2891</v>
      </c>
      <c r="L309" s="228">
        <v>26653</v>
      </c>
      <c r="M309" s="228">
        <v>0</v>
      </c>
      <c r="N309" s="223" t="s">
        <v>2892</v>
      </c>
      <c r="O309" s="229" t="str">
        <f t="shared" si="8"/>
        <v>EBS1_26653_0</v>
      </c>
      <c r="P309" s="229" t="s">
        <v>2893</v>
      </c>
      <c r="Q309" s="227"/>
      <c r="R309" s="227">
        <v>308</v>
      </c>
      <c r="S309" s="227"/>
      <c r="T309" s="229" t="str">
        <f t="shared" si="9"/>
        <v>2665300:Var_ui_ErrNo:=308;</v>
      </c>
    </row>
    <row r="310" ht="16.5" spans="1:20">
      <c r="A310" s="222">
        <v>309</v>
      </c>
      <c r="B310" s="35">
        <v>105</v>
      </c>
      <c r="C310" s="35">
        <v>29</v>
      </c>
      <c r="F310" s="224"/>
      <c r="G310" s="224"/>
      <c r="H310" s="223" t="s">
        <v>2894</v>
      </c>
      <c r="I310" s="223" t="s">
        <v>2869</v>
      </c>
      <c r="J310" s="223" t="s">
        <v>2895</v>
      </c>
      <c r="K310" s="223" t="s">
        <v>2896</v>
      </c>
      <c r="L310" s="228">
        <v>26909</v>
      </c>
      <c r="M310" s="228">
        <v>0</v>
      </c>
      <c r="N310" s="223" t="s">
        <v>2897</v>
      </c>
      <c r="O310" s="229" t="str">
        <f t="shared" si="8"/>
        <v>EBS1_26909_0</v>
      </c>
      <c r="P310" s="229" t="s">
        <v>2898</v>
      </c>
      <c r="Q310" s="227"/>
      <c r="R310" s="227">
        <v>309</v>
      </c>
      <c r="S310" s="227"/>
      <c r="T310" s="229" t="str">
        <f t="shared" si="9"/>
        <v>2690900:Var_ui_ErrNo:=309;</v>
      </c>
    </row>
    <row r="311" ht="16.5" spans="1:20">
      <c r="A311" s="222">
        <v>310</v>
      </c>
      <c r="B311" s="35">
        <v>100</v>
      </c>
      <c r="C311" s="35">
        <v>35</v>
      </c>
      <c r="F311" s="224"/>
      <c r="G311" s="224"/>
      <c r="H311" s="223" t="s">
        <v>2899</v>
      </c>
      <c r="I311" s="223" t="s">
        <v>2900</v>
      </c>
      <c r="J311" s="223" t="s">
        <v>2901</v>
      </c>
      <c r="K311" s="223" t="s">
        <v>2902</v>
      </c>
      <c r="L311" s="228">
        <v>25635</v>
      </c>
      <c r="M311" s="228">
        <v>0</v>
      </c>
      <c r="N311" s="223" t="s">
        <v>2903</v>
      </c>
      <c r="O311" s="229" t="str">
        <f t="shared" si="8"/>
        <v>EBS1_25635_0</v>
      </c>
      <c r="P311" s="229" t="s">
        <v>2904</v>
      </c>
      <c r="Q311" s="227"/>
      <c r="R311" s="227">
        <v>310</v>
      </c>
      <c r="S311" s="227"/>
      <c r="T311" s="229" t="str">
        <f t="shared" si="9"/>
        <v>2563500:Var_ui_ErrNo:=310;</v>
      </c>
    </row>
    <row r="312" ht="16.5" spans="1:20">
      <c r="A312" s="222">
        <v>311</v>
      </c>
      <c r="B312" s="35">
        <v>101</v>
      </c>
      <c r="C312" s="35">
        <v>35</v>
      </c>
      <c r="F312" s="224"/>
      <c r="G312" s="224"/>
      <c r="H312" s="223" t="s">
        <v>2905</v>
      </c>
      <c r="I312" s="223" t="s">
        <v>2900</v>
      </c>
      <c r="J312" s="223" t="s">
        <v>2906</v>
      </c>
      <c r="K312" s="223" t="s">
        <v>2907</v>
      </c>
      <c r="L312" s="228">
        <v>25891</v>
      </c>
      <c r="M312" s="228">
        <v>0</v>
      </c>
      <c r="N312" s="223" t="s">
        <v>2908</v>
      </c>
      <c r="O312" s="229" t="str">
        <f t="shared" si="8"/>
        <v>EBS1_25891_0</v>
      </c>
      <c r="P312" s="229" t="s">
        <v>2909</v>
      </c>
      <c r="Q312" s="227"/>
      <c r="R312" s="227">
        <v>311</v>
      </c>
      <c r="S312" s="227"/>
      <c r="T312" s="229" t="str">
        <f t="shared" si="9"/>
        <v>2589100:Var_ui_ErrNo:=311;</v>
      </c>
    </row>
    <row r="313" ht="16.5" spans="1:20">
      <c r="A313" s="222">
        <v>312</v>
      </c>
      <c r="B313" s="35">
        <v>102</v>
      </c>
      <c r="C313" s="35">
        <v>35</v>
      </c>
      <c r="F313" s="224"/>
      <c r="G313" s="224"/>
      <c r="H313" s="223" t="s">
        <v>2910</v>
      </c>
      <c r="I313" s="223" t="s">
        <v>2900</v>
      </c>
      <c r="J313" s="223" t="s">
        <v>2911</v>
      </c>
      <c r="K313" s="223" t="s">
        <v>2912</v>
      </c>
      <c r="L313" s="228">
        <v>26147</v>
      </c>
      <c r="M313" s="228">
        <v>0</v>
      </c>
      <c r="N313" s="223" t="s">
        <v>2913</v>
      </c>
      <c r="O313" s="229" t="str">
        <f t="shared" si="8"/>
        <v>EBS1_26147_0</v>
      </c>
      <c r="P313" s="229" t="s">
        <v>2914</v>
      </c>
      <c r="Q313" s="227"/>
      <c r="R313" s="227">
        <v>312</v>
      </c>
      <c r="S313" s="227"/>
      <c r="T313" s="229" t="str">
        <f t="shared" si="9"/>
        <v>2614700:Var_ui_ErrNo:=312;</v>
      </c>
    </row>
    <row r="314" ht="16.5" spans="1:20">
      <c r="A314" s="222">
        <v>313</v>
      </c>
      <c r="B314" s="35">
        <v>103</v>
      </c>
      <c r="C314" s="35">
        <v>35</v>
      </c>
      <c r="F314" s="224"/>
      <c r="G314" s="224"/>
      <c r="H314" s="223" t="s">
        <v>2915</v>
      </c>
      <c r="I314" s="223" t="s">
        <v>2900</v>
      </c>
      <c r="J314" s="223" t="s">
        <v>2916</v>
      </c>
      <c r="K314" s="223" t="s">
        <v>2917</v>
      </c>
      <c r="L314" s="228">
        <v>26403</v>
      </c>
      <c r="M314" s="228">
        <v>0</v>
      </c>
      <c r="N314" s="223" t="s">
        <v>2918</v>
      </c>
      <c r="O314" s="229" t="str">
        <f t="shared" si="8"/>
        <v>EBS1_26403_0</v>
      </c>
      <c r="P314" s="229" t="s">
        <v>2919</v>
      </c>
      <c r="Q314" s="227"/>
      <c r="R314" s="227">
        <v>313</v>
      </c>
      <c r="S314" s="227"/>
      <c r="T314" s="229" t="str">
        <f t="shared" si="9"/>
        <v>2640300:Var_ui_ErrNo:=313;</v>
      </c>
    </row>
    <row r="315" ht="16.5" spans="1:20">
      <c r="A315" s="222">
        <v>314</v>
      </c>
      <c r="B315" s="35">
        <v>104</v>
      </c>
      <c r="C315" s="35">
        <v>35</v>
      </c>
      <c r="F315" s="224"/>
      <c r="G315" s="224"/>
      <c r="H315" s="223" t="s">
        <v>2920</v>
      </c>
      <c r="I315" s="223" t="s">
        <v>2900</v>
      </c>
      <c r="J315" s="223" t="s">
        <v>2921</v>
      </c>
      <c r="K315" s="223" t="s">
        <v>2922</v>
      </c>
      <c r="L315" s="228">
        <v>26659</v>
      </c>
      <c r="M315" s="228">
        <v>0</v>
      </c>
      <c r="N315" s="223" t="s">
        <v>2923</v>
      </c>
      <c r="O315" s="229" t="str">
        <f t="shared" si="8"/>
        <v>EBS1_26659_0</v>
      </c>
      <c r="P315" s="229" t="s">
        <v>2924</v>
      </c>
      <c r="Q315" s="227"/>
      <c r="R315" s="227">
        <v>314</v>
      </c>
      <c r="S315" s="227"/>
      <c r="T315" s="229" t="str">
        <f t="shared" si="9"/>
        <v>2665900:Var_ui_ErrNo:=314;</v>
      </c>
    </row>
    <row r="316" ht="16.5" spans="1:20">
      <c r="A316" s="222">
        <v>315</v>
      </c>
      <c r="B316" s="35">
        <v>105</v>
      </c>
      <c r="C316" s="35">
        <v>35</v>
      </c>
      <c r="F316" s="224"/>
      <c r="G316" s="224"/>
      <c r="H316" s="223" t="s">
        <v>2925</v>
      </c>
      <c r="I316" s="223" t="s">
        <v>2900</v>
      </c>
      <c r="J316" s="223" t="s">
        <v>2926</v>
      </c>
      <c r="K316" s="223" t="s">
        <v>2927</v>
      </c>
      <c r="L316" s="228">
        <v>26915</v>
      </c>
      <c r="M316" s="228">
        <v>0</v>
      </c>
      <c r="N316" s="223" t="s">
        <v>2928</v>
      </c>
      <c r="O316" s="229" t="str">
        <f t="shared" si="8"/>
        <v>EBS1_26915_0</v>
      </c>
      <c r="P316" s="229" t="s">
        <v>2929</v>
      </c>
      <c r="Q316" s="227"/>
      <c r="R316" s="227">
        <v>315</v>
      </c>
      <c r="S316" s="227"/>
      <c r="T316" s="229" t="str">
        <f t="shared" si="9"/>
        <v>2691500:Var_ui_ErrNo:=315;</v>
      </c>
    </row>
    <row r="317" ht="16.5" spans="1:20">
      <c r="A317" s="222">
        <v>316</v>
      </c>
      <c r="B317" s="35">
        <v>100</v>
      </c>
      <c r="C317" s="35">
        <v>41</v>
      </c>
      <c r="F317" s="224"/>
      <c r="G317" s="224"/>
      <c r="H317" s="223" t="s">
        <v>2930</v>
      </c>
      <c r="I317" s="223" t="s">
        <v>2931</v>
      </c>
      <c r="J317" s="223" t="s">
        <v>2932</v>
      </c>
      <c r="K317" s="223" t="s">
        <v>2933</v>
      </c>
      <c r="L317" s="228">
        <v>25641</v>
      </c>
      <c r="M317" s="228">
        <v>0</v>
      </c>
      <c r="N317" s="223" t="s">
        <v>2934</v>
      </c>
      <c r="O317" s="229" t="str">
        <f t="shared" si="8"/>
        <v>EBS1_25641_0</v>
      </c>
      <c r="P317" s="229" t="s">
        <v>2935</v>
      </c>
      <c r="Q317" s="227"/>
      <c r="R317" s="227">
        <v>316</v>
      </c>
      <c r="S317" s="227"/>
      <c r="T317" s="229" t="str">
        <f t="shared" si="9"/>
        <v>2564100:Var_ui_ErrNo:=316;</v>
      </c>
    </row>
    <row r="318" ht="16.5" spans="1:20">
      <c r="A318" s="222">
        <v>317</v>
      </c>
      <c r="B318" s="35">
        <v>101</v>
      </c>
      <c r="C318" s="35">
        <v>41</v>
      </c>
      <c r="F318" s="224"/>
      <c r="G318" s="224"/>
      <c r="H318" s="223" t="s">
        <v>2936</v>
      </c>
      <c r="I318" s="223" t="s">
        <v>2931</v>
      </c>
      <c r="J318" s="223" t="s">
        <v>2937</v>
      </c>
      <c r="K318" s="223" t="s">
        <v>2938</v>
      </c>
      <c r="L318" s="228">
        <v>25897</v>
      </c>
      <c r="M318" s="228">
        <v>0</v>
      </c>
      <c r="N318" s="223" t="s">
        <v>2939</v>
      </c>
      <c r="O318" s="229" t="str">
        <f t="shared" si="8"/>
        <v>EBS1_25897_0</v>
      </c>
      <c r="P318" s="229" t="s">
        <v>2940</v>
      </c>
      <c r="Q318" s="227"/>
      <c r="R318" s="227">
        <v>317</v>
      </c>
      <c r="S318" s="227"/>
      <c r="T318" s="229" t="str">
        <f t="shared" si="9"/>
        <v>2589700:Var_ui_ErrNo:=317;</v>
      </c>
    </row>
    <row r="319" ht="16.5" spans="1:20">
      <c r="A319" s="222">
        <v>318</v>
      </c>
      <c r="B319" s="35">
        <v>102</v>
      </c>
      <c r="C319" s="35">
        <v>41</v>
      </c>
      <c r="F319" s="224"/>
      <c r="G319" s="224"/>
      <c r="H319" s="223" t="s">
        <v>2941</v>
      </c>
      <c r="I319" s="223" t="s">
        <v>2931</v>
      </c>
      <c r="J319" s="223" t="s">
        <v>2942</v>
      </c>
      <c r="K319" s="223" t="s">
        <v>2943</v>
      </c>
      <c r="L319" s="228">
        <v>26153</v>
      </c>
      <c r="M319" s="228">
        <v>0</v>
      </c>
      <c r="N319" s="223" t="s">
        <v>2944</v>
      </c>
      <c r="O319" s="229" t="str">
        <f t="shared" si="8"/>
        <v>EBS1_26153_0</v>
      </c>
      <c r="P319" s="229" t="s">
        <v>2945</v>
      </c>
      <c r="Q319" s="227"/>
      <c r="R319" s="227">
        <v>318</v>
      </c>
      <c r="S319" s="227"/>
      <c r="T319" s="229" t="str">
        <f t="shared" si="9"/>
        <v>2615300:Var_ui_ErrNo:=318;</v>
      </c>
    </row>
    <row r="320" ht="16.5" spans="1:20">
      <c r="A320" s="222">
        <v>319</v>
      </c>
      <c r="B320" s="35">
        <v>103</v>
      </c>
      <c r="C320" s="35">
        <v>41</v>
      </c>
      <c r="F320" s="224"/>
      <c r="G320" s="224"/>
      <c r="H320" s="223" t="s">
        <v>2946</v>
      </c>
      <c r="I320" s="223" t="s">
        <v>2931</v>
      </c>
      <c r="J320" s="223" t="s">
        <v>2947</v>
      </c>
      <c r="K320" s="223" t="s">
        <v>2948</v>
      </c>
      <c r="L320" s="228">
        <v>26409</v>
      </c>
      <c r="M320" s="228">
        <v>0</v>
      </c>
      <c r="N320" s="223" t="s">
        <v>2949</v>
      </c>
      <c r="O320" s="229" t="str">
        <f t="shared" si="8"/>
        <v>EBS1_26409_0</v>
      </c>
      <c r="P320" s="229" t="s">
        <v>2950</v>
      </c>
      <c r="Q320" s="227"/>
      <c r="R320" s="227">
        <v>319</v>
      </c>
      <c r="S320" s="227"/>
      <c r="T320" s="229" t="str">
        <f t="shared" si="9"/>
        <v>2640900:Var_ui_ErrNo:=319;</v>
      </c>
    </row>
    <row r="321" ht="16.5" spans="1:20">
      <c r="A321" s="222">
        <v>320</v>
      </c>
      <c r="B321" s="35">
        <v>104</v>
      </c>
      <c r="C321" s="35">
        <v>41</v>
      </c>
      <c r="F321" s="224"/>
      <c r="G321" s="224"/>
      <c r="H321" s="223" t="s">
        <v>2951</v>
      </c>
      <c r="I321" s="223" t="s">
        <v>2931</v>
      </c>
      <c r="J321" s="223" t="s">
        <v>2952</v>
      </c>
      <c r="K321" s="223" t="s">
        <v>2953</v>
      </c>
      <c r="L321" s="228">
        <v>26665</v>
      </c>
      <c r="M321" s="228">
        <v>0</v>
      </c>
      <c r="N321" s="223" t="s">
        <v>2954</v>
      </c>
      <c r="O321" s="229" t="str">
        <f t="shared" si="8"/>
        <v>EBS1_26665_0</v>
      </c>
      <c r="P321" s="229" t="s">
        <v>2955</v>
      </c>
      <c r="Q321" s="227"/>
      <c r="R321" s="227">
        <v>320</v>
      </c>
      <c r="S321" s="227"/>
      <c r="T321" s="229" t="str">
        <f t="shared" si="9"/>
        <v>2666500:Var_ui_ErrNo:=320;</v>
      </c>
    </row>
    <row r="322" ht="16.5" spans="1:20">
      <c r="A322" s="222">
        <v>321</v>
      </c>
      <c r="B322" s="35">
        <v>105</v>
      </c>
      <c r="C322" s="35">
        <v>41</v>
      </c>
      <c r="F322" s="224"/>
      <c r="G322" s="224"/>
      <c r="H322" s="223" t="s">
        <v>2956</v>
      </c>
      <c r="I322" s="223" t="s">
        <v>2931</v>
      </c>
      <c r="J322" s="223" t="s">
        <v>2957</v>
      </c>
      <c r="K322" s="223" t="s">
        <v>2958</v>
      </c>
      <c r="L322" s="228">
        <v>26921</v>
      </c>
      <c r="M322" s="228">
        <v>0</v>
      </c>
      <c r="N322" s="223" t="s">
        <v>2959</v>
      </c>
      <c r="O322" s="229" t="str">
        <f t="shared" ref="O322:O385" si="10">"EBS1_"&amp;L322&amp;"_"&amp;M322</f>
        <v>EBS1_26921_0</v>
      </c>
      <c r="P322" s="229" t="s">
        <v>2960</v>
      </c>
      <c r="Q322" s="227"/>
      <c r="R322" s="227">
        <v>321</v>
      </c>
      <c r="S322" s="227"/>
      <c r="T322" s="229" t="str">
        <f t="shared" si="9"/>
        <v>2692100:Var_ui_ErrNo:=321;</v>
      </c>
    </row>
    <row r="323" ht="16.5" spans="1:20">
      <c r="A323" s="222">
        <v>322</v>
      </c>
      <c r="B323" s="35">
        <v>100</v>
      </c>
      <c r="C323" s="35">
        <v>45</v>
      </c>
      <c r="F323" s="224"/>
      <c r="G323" s="224"/>
      <c r="H323" s="223" t="s">
        <v>2961</v>
      </c>
      <c r="I323" s="223" t="s">
        <v>2962</v>
      </c>
      <c r="J323" s="223" t="s">
        <v>2963</v>
      </c>
      <c r="K323" s="223" t="s">
        <v>2964</v>
      </c>
      <c r="L323" s="228">
        <v>25645</v>
      </c>
      <c r="M323" s="228">
        <v>0</v>
      </c>
      <c r="N323" s="223" t="s">
        <v>2965</v>
      </c>
      <c r="O323" s="229" t="str">
        <f t="shared" si="10"/>
        <v>EBS1_25645_0</v>
      </c>
      <c r="P323" s="229" t="s">
        <v>2966</v>
      </c>
      <c r="Q323" s="227"/>
      <c r="R323" s="227">
        <v>322</v>
      </c>
      <c r="S323" s="227"/>
      <c r="T323" s="229" t="str">
        <f t="shared" ref="T323:T386" si="11">P323&amp;$Q$2&amp;R323&amp;$S$2</f>
        <v>2564500:Var_ui_ErrNo:=322;</v>
      </c>
    </row>
    <row r="324" ht="16.5" spans="1:20">
      <c r="A324" s="222">
        <v>323</v>
      </c>
      <c r="B324" s="35">
        <v>101</v>
      </c>
      <c r="C324" s="35">
        <v>45</v>
      </c>
      <c r="F324" s="224"/>
      <c r="G324" s="224"/>
      <c r="H324" s="223" t="s">
        <v>2967</v>
      </c>
      <c r="I324" s="223" t="s">
        <v>2962</v>
      </c>
      <c r="J324" s="223" t="s">
        <v>2968</v>
      </c>
      <c r="K324" s="223" t="s">
        <v>2969</v>
      </c>
      <c r="L324" s="228">
        <v>25901</v>
      </c>
      <c r="M324" s="228">
        <v>0</v>
      </c>
      <c r="N324" s="223" t="s">
        <v>2970</v>
      </c>
      <c r="O324" s="229" t="str">
        <f t="shared" si="10"/>
        <v>EBS1_25901_0</v>
      </c>
      <c r="P324" s="229" t="s">
        <v>2971</v>
      </c>
      <c r="Q324" s="227"/>
      <c r="R324" s="227">
        <v>323</v>
      </c>
      <c r="S324" s="227"/>
      <c r="T324" s="229" t="str">
        <f t="shared" si="11"/>
        <v>2590100:Var_ui_ErrNo:=323;</v>
      </c>
    </row>
    <row r="325" ht="16.5" spans="1:20">
      <c r="A325" s="222">
        <v>324</v>
      </c>
      <c r="B325" s="35">
        <v>102</v>
      </c>
      <c r="C325" s="35">
        <v>45</v>
      </c>
      <c r="F325" s="224"/>
      <c r="G325" s="224"/>
      <c r="H325" s="223" t="s">
        <v>2972</v>
      </c>
      <c r="I325" s="223" t="s">
        <v>2962</v>
      </c>
      <c r="J325" s="223" t="s">
        <v>2973</v>
      </c>
      <c r="K325" s="223" t="s">
        <v>2974</v>
      </c>
      <c r="L325" s="228">
        <v>26157</v>
      </c>
      <c r="M325" s="228">
        <v>0</v>
      </c>
      <c r="N325" s="223" t="s">
        <v>2975</v>
      </c>
      <c r="O325" s="229" t="str">
        <f t="shared" si="10"/>
        <v>EBS1_26157_0</v>
      </c>
      <c r="P325" s="229" t="s">
        <v>2976</v>
      </c>
      <c r="Q325" s="227"/>
      <c r="R325" s="227">
        <v>324</v>
      </c>
      <c r="S325" s="227"/>
      <c r="T325" s="229" t="str">
        <f t="shared" si="11"/>
        <v>2615700:Var_ui_ErrNo:=324;</v>
      </c>
    </row>
    <row r="326" ht="16.5" spans="1:20">
      <c r="A326" s="222">
        <v>325</v>
      </c>
      <c r="B326" s="35">
        <v>103</v>
      </c>
      <c r="C326" s="35">
        <v>45</v>
      </c>
      <c r="F326" s="224"/>
      <c r="G326" s="224"/>
      <c r="H326" s="223" t="s">
        <v>2977</v>
      </c>
      <c r="I326" s="223" t="s">
        <v>2962</v>
      </c>
      <c r="J326" s="223" t="s">
        <v>2978</v>
      </c>
      <c r="K326" s="223" t="s">
        <v>2979</v>
      </c>
      <c r="L326" s="228">
        <v>26413</v>
      </c>
      <c r="M326" s="228">
        <v>0</v>
      </c>
      <c r="N326" s="223" t="s">
        <v>2980</v>
      </c>
      <c r="O326" s="229" t="str">
        <f t="shared" si="10"/>
        <v>EBS1_26413_0</v>
      </c>
      <c r="P326" s="229" t="s">
        <v>2981</v>
      </c>
      <c r="Q326" s="227"/>
      <c r="R326" s="227">
        <v>325</v>
      </c>
      <c r="S326" s="227"/>
      <c r="T326" s="229" t="str">
        <f t="shared" si="11"/>
        <v>2641300:Var_ui_ErrNo:=325;</v>
      </c>
    </row>
    <row r="327" ht="16.5" spans="1:20">
      <c r="A327" s="222">
        <v>326</v>
      </c>
      <c r="B327" s="35">
        <v>104</v>
      </c>
      <c r="C327" s="35">
        <v>45</v>
      </c>
      <c r="F327" s="224"/>
      <c r="G327" s="224"/>
      <c r="H327" s="223" t="s">
        <v>2982</v>
      </c>
      <c r="I327" s="223" t="s">
        <v>2962</v>
      </c>
      <c r="J327" s="223" t="s">
        <v>2983</v>
      </c>
      <c r="K327" s="223" t="s">
        <v>2984</v>
      </c>
      <c r="L327" s="228">
        <v>26669</v>
      </c>
      <c r="M327" s="228">
        <v>0</v>
      </c>
      <c r="N327" s="223" t="s">
        <v>2985</v>
      </c>
      <c r="O327" s="229" t="str">
        <f t="shared" si="10"/>
        <v>EBS1_26669_0</v>
      </c>
      <c r="P327" s="229" t="s">
        <v>2986</v>
      </c>
      <c r="Q327" s="227"/>
      <c r="R327" s="227">
        <v>326</v>
      </c>
      <c r="S327" s="227"/>
      <c r="T327" s="229" t="str">
        <f t="shared" si="11"/>
        <v>2666900:Var_ui_ErrNo:=326;</v>
      </c>
    </row>
    <row r="328" ht="16.5" spans="1:20">
      <c r="A328" s="222">
        <v>327</v>
      </c>
      <c r="B328" s="35">
        <v>105</v>
      </c>
      <c r="C328" s="35">
        <v>45</v>
      </c>
      <c r="F328" s="224"/>
      <c r="G328" s="224"/>
      <c r="H328" s="223" t="s">
        <v>2987</v>
      </c>
      <c r="I328" s="223" t="s">
        <v>2962</v>
      </c>
      <c r="J328" s="223" t="s">
        <v>2988</v>
      </c>
      <c r="K328" s="223" t="s">
        <v>2989</v>
      </c>
      <c r="L328" s="228">
        <v>26925</v>
      </c>
      <c r="M328" s="228">
        <v>0</v>
      </c>
      <c r="N328" s="223" t="s">
        <v>2990</v>
      </c>
      <c r="O328" s="229" t="str">
        <f t="shared" si="10"/>
        <v>EBS1_26925_0</v>
      </c>
      <c r="P328" s="229" t="s">
        <v>2991</v>
      </c>
      <c r="Q328" s="227"/>
      <c r="R328" s="227">
        <v>327</v>
      </c>
      <c r="S328" s="227"/>
      <c r="T328" s="229" t="str">
        <f t="shared" si="11"/>
        <v>2692500:Var_ui_ErrNo:=327;</v>
      </c>
    </row>
    <row r="329" ht="16.5" spans="1:20">
      <c r="A329" s="222">
        <v>328</v>
      </c>
      <c r="B329" s="35">
        <v>100</v>
      </c>
      <c r="C329" s="35">
        <v>195</v>
      </c>
      <c r="F329" s="224"/>
      <c r="G329" s="224"/>
      <c r="H329" s="223" t="s">
        <v>2992</v>
      </c>
      <c r="I329" s="223" t="s">
        <v>2993</v>
      </c>
      <c r="J329" s="223" t="s">
        <v>2994</v>
      </c>
      <c r="K329" s="223" t="s">
        <v>2995</v>
      </c>
      <c r="L329" s="228">
        <v>25795</v>
      </c>
      <c r="M329" s="228">
        <v>0</v>
      </c>
      <c r="N329" s="223" t="s">
        <v>2996</v>
      </c>
      <c r="O329" s="229" t="str">
        <f t="shared" si="10"/>
        <v>EBS1_25795_0</v>
      </c>
      <c r="P329" s="229" t="s">
        <v>2997</v>
      </c>
      <c r="Q329" s="227"/>
      <c r="R329" s="227">
        <v>328</v>
      </c>
      <c r="S329" s="227"/>
      <c r="T329" s="229" t="str">
        <f t="shared" si="11"/>
        <v>2579500:Var_ui_ErrNo:=328;</v>
      </c>
    </row>
    <row r="330" ht="16.5" spans="1:20">
      <c r="A330" s="222">
        <v>329</v>
      </c>
      <c r="B330" s="35">
        <v>101</v>
      </c>
      <c r="C330" s="35">
        <v>195</v>
      </c>
      <c r="F330" s="224"/>
      <c r="G330" s="224"/>
      <c r="H330" s="223" t="s">
        <v>2998</v>
      </c>
      <c r="I330" s="223" t="s">
        <v>2993</v>
      </c>
      <c r="J330" s="223" t="s">
        <v>2999</v>
      </c>
      <c r="K330" s="223" t="s">
        <v>3000</v>
      </c>
      <c r="L330" s="228">
        <v>26051</v>
      </c>
      <c r="M330" s="228">
        <v>0</v>
      </c>
      <c r="N330" s="223" t="s">
        <v>3001</v>
      </c>
      <c r="O330" s="229" t="str">
        <f t="shared" si="10"/>
        <v>EBS1_26051_0</v>
      </c>
      <c r="P330" s="229" t="s">
        <v>3002</v>
      </c>
      <c r="Q330" s="227"/>
      <c r="R330" s="227">
        <v>329</v>
      </c>
      <c r="S330" s="227"/>
      <c r="T330" s="229" t="str">
        <f t="shared" si="11"/>
        <v>2605100:Var_ui_ErrNo:=329;</v>
      </c>
    </row>
    <row r="331" ht="16.5" spans="1:20">
      <c r="A331" s="222">
        <v>330</v>
      </c>
      <c r="B331" s="35">
        <v>102</v>
      </c>
      <c r="C331" s="35">
        <v>195</v>
      </c>
      <c r="F331" s="224"/>
      <c r="G331" s="224"/>
      <c r="H331" s="223" t="s">
        <v>3003</v>
      </c>
      <c r="I331" s="223" t="s">
        <v>2993</v>
      </c>
      <c r="J331" s="223" t="s">
        <v>3004</v>
      </c>
      <c r="K331" s="223" t="s">
        <v>3005</v>
      </c>
      <c r="L331" s="228">
        <v>26307</v>
      </c>
      <c r="M331" s="228">
        <v>0</v>
      </c>
      <c r="N331" s="223" t="s">
        <v>3006</v>
      </c>
      <c r="O331" s="229" t="str">
        <f t="shared" si="10"/>
        <v>EBS1_26307_0</v>
      </c>
      <c r="P331" s="229" t="s">
        <v>3007</v>
      </c>
      <c r="Q331" s="227"/>
      <c r="R331" s="227">
        <v>330</v>
      </c>
      <c r="S331" s="227"/>
      <c r="T331" s="229" t="str">
        <f t="shared" si="11"/>
        <v>2630700:Var_ui_ErrNo:=330;</v>
      </c>
    </row>
    <row r="332" ht="16.5" spans="1:20">
      <c r="A332" s="222">
        <v>331</v>
      </c>
      <c r="B332" s="35">
        <v>103</v>
      </c>
      <c r="C332" s="35">
        <v>195</v>
      </c>
      <c r="F332" s="224"/>
      <c r="G332" s="224"/>
      <c r="H332" s="223" t="s">
        <v>3008</v>
      </c>
      <c r="I332" s="223" t="s">
        <v>2993</v>
      </c>
      <c r="J332" s="223" t="s">
        <v>3009</v>
      </c>
      <c r="K332" s="223" t="s">
        <v>3010</v>
      </c>
      <c r="L332" s="228">
        <v>26563</v>
      </c>
      <c r="M332" s="228">
        <v>0</v>
      </c>
      <c r="N332" s="223" t="s">
        <v>3011</v>
      </c>
      <c r="O332" s="229" t="str">
        <f t="shared" si="10"/>
        <v>EBS1_26563_0</v>
      </c>
      <c r="P332" s="229" t="s">
        <v>3012</v>
      </c>
      <c r="Q332" s="227"/>
      <c r="R332" s="227">
        <v>331</v>
      </c>
      <c r="S332" s="227"/>
      <c r="T332" s="229" t="str">
        <f t="shared" si="11"/>
        <v>2656300:Var_ui_ErrNo:=331;</v>
      </c>
    </row>
    <row r="333" ht="16.5" spans="1:20">
      <c r="A333" s="222">
        <v>332</v>
      </c>
      <c r="B333" s="35">
        <v>104</v>
      </c>
      <c r="C333" s="35">
        <v>195</v>
      </c>
      <c r="F333" s="224"/>
      <c r="G333" s="224"/>
      <c r="H333" s="223" t="s">
        <v>3013</v>
      </c>
      <c r="I333" s="223" t="s">
        <v>2993</v>
      </c>
      <c r="J333" s="223" t="s">
        <v>3014</v>
      </c>
      <c r="K333" s="223" t="s">
        <v>3015</v>
      </c>
      <c r="L333" s="228">
        <v>26819</v>
      </c>
      <c r="M333" s="228">
        <v>0</v>
      </c>
      <c r="N333" s="223" t="s">
        <v>3016</v>
      </c>
      <c r="O333" s="229" t="str">
        <f t="shared" si="10"/>
        <v>EBS1_26819_0</v>
      </c>
      <c r="P333" s="229" t="s">
        <v>3017</v>
      </c>
      <c r="Q333" s="227"/>
      <c r="R333" s="227">
        <v>332</v>
      </c>
      <c r="S333" s="227"/>
      <c r="T333" s="229" t="str">
        <f t="shared" si="11"/>
        <v>2681900:Var_ui_ErrNo:=332;</v>
      </c>
    </row>
    <row r="334" ht="16.5" spans="1:20">
      <c r="A334" s="222">
        <v>333</v>
      </c>
      <c r="B334" s="35">
        <v>105</v>
      </c>
      <c r="C334" s="35">
        <v>195</v>
      </c>
      <c r="F334" s="224"/>
      <c r="G334" s="224"/>
      <c r="H334" s="223" t="s">
        <v>3018</v>
      </c>
      <c r="I334" s="223" t="s">
        <v>2993</v>
      </c>
      <c r="J334" s="223" t="s">
        <v>3019</v>
      </c>
      <c r="K334" s="223" t="s">
        <v>3020</v>
      </c>
      <c r="L334" s="228">
        <v>27075</v>
      </c>
      <c r="M334" s="228">
        <v>0</v>
      </c>
      <c r="N334" s="223" t="s">
        <v>3021</v>
      </c>
      <c r="O334" s="229" t="str">
        <f t="shared" si="10"/>
        <v>EBS1_27075_0</v>
      </c>
      <c r="P334" s="229" t="s">
        <v>3022</v>
      </c>
      <c r="Q334" s="227"/>
      <c r="R334" s="227">
        <v>333</v>
      </c>
      <c r="S334" s="227"/>
      <c r="T334" s="229" t="str">
        <f t="shared" si="11"/>
        <v>2707500:Var_ui_ErrNo:=333;</v>
      </c>
    </row>
    <row r="335" ht="16.5" spans="1:20">
      <c r="A335" s="222">
        <v>334</v>
      </c>
      <c r="B335" s="35">
        <v>100</v>
      </c>
      <c r="C335" s="35">
        <v>196</v>
      </c>
      <c r="F335" s="224"/>
      <c r="G335" s="224"/>
      <c r="H335" s="223" t="s">
        <v>3023</v>
      </c>
      <c r="I335" s="223" t="s">
        <v>3024</v>
      </c>
      <c r="J335" s="223" t="s">
        <v>3025</v>
      </c>
      <c r="K335" s="223" t="s">
        <v>3026</v>
      </c>
      <c r="L335" s="228">
        <v>25796</v>
      </c>
      <c r="M335" s="228">
        <v>0</v>
      </c>
      <c r="N335" s="223" t="s">
        <v>3027</v>
      </c>
      <c r="O335" s="229" t="str">
        <f t="shared" si="10"/>
        <v>EBS1_25796_0</v>
      </c>
      <c r="P335" s="229" t="s">
        <v>3028</v>
      </c>
      <c r="Q335" s="227"/>
      <c r="R335" s="227">
        <v>334</v>
      </c>
      <c r="S335" s="227"/>
      <c r="T335" s="229" t="str">
        <f t="shared" si="11"/>
        <v>2579600:Var_ui_ErrNo:=334;</v>
      </c>
    </row>
    <row r="336" ht="16.5" spans="1:20">
      <c r="A336" s="222">
        <v>335</v>
      </c>
      <c r="B336" s="35">
        <v>101</v>
      </c>
      <c r="C336" s="35">
        <v>196</v>
      </c>
      <c r="F336" s="224"/>
      <c r="G336" s="224"/>
      <c r="H336" s="223" t="s">
        <v>3029</v>
      </c>
      <c r="I336" s="223" t="s">
        <v>3024</v>
      </c>
      <c r="J336" s="223" t="s">
        <v>3030</v>
      </c>
      <c r="K336" s="223" t="s">
        <v>3031</v>
      </c>
      <c r="L336" s="228">
        <v>26052</v>
      </c>
      <c r="M336" s="228">
        <v>0</v>
      </c>
      <c r="N336" s="223" t="s">
        <v>3032</v>
      </c>
      <c r="O336" s="229" t="str">
        <f t="shared" si="10"/>
        <v>EBS1_26052_0</v>
      </c>
      <c r="P336" s="229" t="s">
        <v>3033</v>
      </c>
      <c r="Q336" s="227"/>
      <c r="R336" s="227">
        <v>335</v>
      </c>
      <c r="S336" s="227"/>
      <c r="T336" s="229" t="str">
        <f t="shared" si="11"/>
        <v>2605200:Var_ui_ErrNo:=335;</v>
      </c>
    </row>
    <row r="337" ht="16.5" spans="1:20">
      <c r="A337" s="222">
        <v>336</v>
      </c>
      <c r="B337" s="35">
        <v>102</v>
      </c>
      <c r="C337" s="35">
        <v>196</v>
      </c>
      <c r="F337" s="224"/>
      <c r="G337" s="224"/>
      <c r="H337" s="223" t="s">
        <v>3034</v>
      </c>
      <c r="I337" s="223" t="s">
        <v>3024</v>
      </c>
      <c r="J337" s="223" t="s">
        <v>3035</v>
      </c>
      <c r="K337" s="223" t="s">
        <v>3036</v>
      </c>
      <c r="L337" s="228">
        <v>26308</v>
      </c>
      <c r="M337" s="228">
        <v>0</v>
      </c>
      <c r="N337" s="223" t="s">
        <v>3037</v>
      </c>
      <c r="O337" s="229" t="str">
        <f t="shared" si="10"/>
        <v>EBS1_26308_0</v>
      </c>
      <c r="P337" s="229" t="s">
        <v>3038</v>
      </c>
      <c r="Q337" s="227"/>
      <c r="R337" s="227">
        <v>336</v>
      </c>
      <c r="S337" s="227"/>
      <c r="T337" s="229" t="str">
        <f t="shared" si="11"/>
        <v>2630800:Var_ui_ErrNo:=336;</v>
      </c>
    </row>
    <row r="338" ht="16.5" spans="1:20">
      <c r="A338" s="222">
        <v>337</v>
      </c>
      <c r="B338" s="35">
        <v>103</v>
      </c>
      <c r="C338" s="35">
        <v>196</v>
      </c>
      <c r="F338" s="224"/>
      <c r="G338" s="224"/>
      <c r="H338" s="223" t="s">
        <v>3039</v>
      </c>
      <c r="I338" s="223" t="s">
        <v>3024</v>
      </c>
      <c r="J338" s="223" t="s">
        <v>3040</v>
      </c>
      <c r="K338" s="223" t="s">
        <v>3041</v>
      </c>
      <c r="L338" s="228">
        <v>26564</v>
      </c>
      <c r="M338" s="228">
        <v>0</v>
      </c>
      <c r="N338" s="223" t="s">
        <v>3042</v>
      </c>
      <c r="O338" s="229" t="str">
        <f t="shared" si="10"/>
        <v>EBS1_26564_0</v>
      </c>
      <c r="P338" s="229" t="s">
        <v>3043</v>
      </c>
      <c r="Q338" s="227"/>
      <c r="R338" s="227">
        <v>337</v>
      </c>
      <c r="S338" s="227"/>
      <c r="T338" s="229" t="str">
        <f t="shared" si="11"/>
        <v>2656400:Var_ui_ErrNo:=337;</v>
      </c>
    </row>
    <row r="339" ht="16.5" spans="1:20">
      <c r="A339" s="222">
        <v>338</v>
      </c>
      <c r="B339" s="35">
        <v>104</v>
      </c>
      <c r="C339" s="35">
        <v>196</v>
      </c>
      <c r="F339" s="224"/>
      <c r="G339" s="224"/>
      <c r="H339" s="223" t="s">
        <v>3044</v>
      </c>
      <c r="I339" s="223" t="s">
        <v>3024</v>
      </c>
      <c r="J339" s="223" t="s">
        <v>3045</v>
      </c>
      <c r="K339" s="223" t="s">
        <v>3046</v>
      </c>
      <c r="L339" s="228">
        <v>26820</v>
      </c>
      <c r="M339" s="228">
        <v>0</v>
      </c>
      <c r="N339" s="223" t="s">
        <v>3047</v>
      </c>
      <c r="O339" s="229" t="str">
        <f t="shared" si="10"/>
        <v>EBS1_26820_0</v>
      </c>
      <c r="P339" s="229" t="s">
        <v>3048</v>
      </c>
      <c r="Q339" s="227"/>
      <c r="R339" s="227">
        <v>338</v>
      </c>
      <c r="S339" s="227"/>
      <c r="T339" s="229" t="str">
        <f t="shared" si="11"/>
        <v>2682000:Var_ui_ErrNo:=338;</v>
      </c>
    </row>
    <row r="340" ht="16.5" spans="1:20">
      <c r="A340" s="222">
        <v>339</v>
      </c>
      <c r="B340" s="35">
        <v>105</v>
      </c>
      <c r="C340" s="35">
        <v>196</v>
      </c>
      <c r="F340" s="224"/>
      <c r="G340" s="224"/>
      <c r="H340" s="223" t="s">
        <v>3049</v>
      </c>
      <c r="I340" s="223" t="s">
        <v>3024</v>
      </c>
      <c r="J340" s="223" t="s">
        <v>3050</v>
      </c>
      <c r="K340" s="223" t="s">
        <v>3051</v>
      </c>
      <c r="L340" s="228">
        <v>27076</v>
      </c>
      <c r="M340" s="228">
        <v>0</v>
      </c>
      <c r="N340" s="223" t="s">
        <v>3052</v>
      </c>
      <c r="O340" s="229" t="str">
        <f t="shared" si="10"/>
        <v>EBS1_27076_0</v>
      </c>
      <c r="P340" s="229" t="s">
        <v>3053</v>
      </c>
      <c r="Q340" s="227"/>
      <c r="R340" s="227">
        <v>339</v>
      </c>
      <c r="S340" s="227"/>
      <c r="T340" s="229" t="str">
        <f t="shared" si="11"/>
        <v>2707600:Var_ui_ErrNo:=339;</v>
      </c>
    </row>
    <row r="341" ht="16.5" spans="1:20">
      <c r="A341" s="222">
        <v>340</v>
      </c>
      <c r="B341" s="35">
        <v>100</v>
      </c>
      <c r="C341" s="35">
        <v>197</v>
      </c>
      <c r="F341" s="224"/>
      <c r="G341" s="224"/>
      <c r="H341" s="223" t="s">
        <v>3054</v>
      </c>
      <c r="I341" s="223" t="s">
        <v>3055</v>
      </c>
      <c r="J341" s="223" t="s">
        <v>3056</v>
      </c>
      <c r="K341" s="223" t="s">
        <v>3057</v>
      </c>
      <c r="L341" s="228">
        <v>25797</v>
      </c>
      <c r="M341" s="228">
        <v>0</v>
      </c>
      <c r="N341" s="223" t="s">
        <v>3058</v>
      </c>
      <c r="O341" s="229" t="str">
        <f t="shared" si="10"/>
        <v>EBS1_25797_0</v>
      </c>
      <c r="P341" s="229" t="s">
        <v>3059</v>
      </c>
      <c r="Q341" s="227"/>
      <c r="R341" s="227">
        <v>340</v>
      </c>
      <c r="S341" s="227"/>
      <c r="T341" s="229" t="str">
        <f t="shared" si="11"/>
        <v>2579700:Var_ui_ErrNo:=340;</v>
      </c>
    </row>
    <row r="342" ht="16.5" spans="1:20">
      <c r="A342" s="222">
        <v>341</v>
      </c>
      <c r="B342" s="35">
        <v>101</v>
      </c>
      <c r="C342" s="35">
        <v>197</v>
      </c>
      <c r="F342" s="224"/>
      <c r="G342" s="224"/>
      <c r="H342" s="223" t="s">
        <v>3060</v>
      </c>
      <c r="I342" s="223" t="s">
        <v>3055</v>
      </c>
      <c r="J342" s="223" t="s">
        <v>3061</v>
      </c>
      <c r="K342" s="223" t="s">
        <v>3062</v>
      </c>
      <c r="L342" s="228">
        <v>26053</v>
      </c>
      <c r="M342" s="228">
        <v>0</v>
      </c>
      <c r="N342" s="223" t="s">
        <v>3063</v>
      </c>
      <c r="O342" s="229" t="str">
        <f t="shared" si="10"/>
        <v>EBS1_26053_0</v>
      </c>
      <c r="P342" s="229" t="s">
        <v>3064</v>
      </c>
      <c r="Q342" s="227"/>
      <c r="R342" s="227">
        <v>341</v>
      </c>
      <c r="S342" s="227"/>
      <c r="T342" s="229" t="str">
        <f t="shared" si="11"/>
        <v>2605300:Var_ui_ErrNo:=341;</v>
      </c>
    </row>
    <row r="343" ht="16.5" spans="1:20">
      <c r="A343" s="222">
        <v>342</v>
      </c>
      <c r="B343" s="35">
        <v>102</v>
      </c>
      <c r="C343" s="35">
        <v>197</v>
      </c>
      <c r="F343" s="224"/>
      <c r="G343" s="224"/>
      <c r="H343" s="223" t="s">
        <v>3065</v>
      </c>
      <c r="I343" s="223" t="s">
        <v>3055</v>
      </c>
      <c r="J343" s="223" t="s">
        <v>3066</v>
      </c>
      <c r="K343" s="223" t="s">
        <v>3067</v>
      </c>
      <c r="L343" s="228">
        <v>26309</v>
      </c>
      <c r="M343" s="228">
        <v>0</v>
      </c>
      <c r="N343" s="223" t="s">
        <v>3068</v>
      </c>
      <c r="O343" s="229" t="str">
        <f t="shared" si="10"/>
        <v>EBS1_26309_0</v>
      </c>
      <c r="P343" s="229" t="s">
        <v>3069</v>
      </c>
      <c r="Q343" s="227"/>
      <c r="R343" s="227">
        <v>342</v>
      </c>
      <c r="S343" s="227"/>
      <c r="T343" s="229" t="str">
        <f t="shared" si="11"/>
        <v>2630900:Var_ui_ErrNo:=342;</v>
      </c>
    </row>
    <row r="344" ht="16.5" spans="1:20">
      <c r="A344" s="222">
        <v>343</v>
      </c>
      <c r="B344" s="35">
        <v>103</v>
      </c>
      <c r="C344" s="35">
        <v>197</v>
      </c>
      <c r="F344" s="224"/>
      <c r="G344" s="224"/>
      <c r="H344" s="223" t="s">
        <v>3070</v>
      </c>
      <c r="I344" s="223" t="s">
        <v>3055</v>
      </c>
      <c r="J344" s="223" t="s">
        <v>3071</v>
      </c>
      <c r="K344" s="223" t="s">
        <v>3072</v>
      </c>
      <c r="L344" s="228">
        <v>26565</v>
      </c>
      <c r="M344" s="228">
        <v>0</v>
      </c>
      <c r="N344" s="223" t="s">
        <v>3073</v>
      </c>
      <c r="O344" s="229" t="str">
        <f t="shared" si="10"/>
        <v>EBS1_26565_0</v>
      </c>
      <c r="P344" s="229" t="s">
        <v>3074</v>
      </c>
      <c r="Q344" s="227"/>
      <c r="R344" s="227">
        <v>343</v>
      </c>
      <c r="S344" s="227"/>
      <c r="T344" s="229" t="str">
        <f t="shared" si="11"/>
        <v>2656500:Var_ui_ErrNo:=343;</v>
      </c>
    </row>
    <row r="345" ht="16.5" spans="1:20">
      <c r="A345" s="222">
        <v>344</v>
      </c>
      <c r="B345" s="35">
        <v>104</v>
      </c>
      <c r="C345" s="35">
        <v>197</v>
      </c>
      <c r="F345" s="224"/>
      <c r="G345" s="224"/>
      <c r="H345" s="223" t="s">
        <v>3075</v>
      </c>
      <c r="I345" s="223" t="s">
        <v>3055</v>
      </c>
      <c r="J345" s="223" t="s">
        <v>3076</v>
      </c>
      <c r="K345" s="223" t="s">
        <v>3077</v>
      </c>
      <c r="L345" s="228">
        <v>26821</v>
      </c>
      <c r="M345" s="228">
        <v>0</v>
      </c>
      <c r="N345" s="223" t="s">
        <v>3078</v>
      </c>
      <c r="O345" s="229" t="str">
        <f t="shared" si="10"/>
        <v>EBS1_26821_0</v>
      </c>
      <c r="P345" s="229" t="s">
        <v>3079</v>
      </c>
      <c r="Q345" s="227"/>
      <c r="R345" s="227">
        <v>344</v>
      </c>
      <c r="S345" s="227"/>
      <c r="T345" s="229" t="str">
        <f t="shared" si="11"/>
        <v>2682100:Var_ui_ErrNo:=344;</v>
      </c>
    </row>
    <row r="346" ht="16.5" spans="1:20">
      <c r="A346" s="222">
        <v>345</v>
      </c>
      <c r="B346" s="35">
        <v>105</v>
      </c>
      <c r="C346" s="35">
        <v>197</v>
      </c>
      <c r="F346" s="224"/>
      <c r="G346" s="224"/>
      <c r="H346" s="223" t="s">
        <v>3080</v>
      </c>
      <c r="I346" s="223" t="s">
        <v>3055</v>
      </c>
      <c r="J346" s="223" t="s">
        <v>3081</v>
      </c>
      <c r="K346" s="223" t="s">
        <v>3082</v>
      </c>
      <c r="L346" s="228">
        <v>27077</v>
      </c>
      <c r="M346" s="228">
        <v>0</v>
      </c>
      <c r="N346" s="223" t="s">
        <v>3083</v>
      </c>
      <c r="O346" s="229" t="str">
        <f t="shared" si="10"/>
        <v>EBS1_27077_0</v>
      </c>
      <c r="P346" s="229" t="s">
        <v>3084</v>
      </c>
      <c r="Q346" s="227"/>
      <c r="R346" s="227">
        <v>345</v>
      </c>
      <c r="S346" s="227"/>
      <c r="T346" s="229" t="str">
        <f t="shared" si="11"/>
        <v>2707700:Var_ui_ErrNo:=345;</v>
      </c>
    </row>
    <row r="347" ht="16.5" spans="1:20">
      <c r="A347" s="222">
        <v>346</v>
      </c>
      <c r="B347" s="35">
        <v>130</v>
      </c>
      <c r="C347" s="35">
        <v>3</v>
      </c>
      <c r="F347" s="224"/>
      <c r="G347" s="224"/>
      <c r="H347" s="223" t="s">
        <v>3085</v>
      </c>
      <c r="I347" s="223" t="s">
        <v>2962</v>
      </c>
      <c r="J347" s="223" t="s">
        <v>3086</v>
      </c>
      <c r="K347" s="223" t="s">
        <v>3087</v>
      </c>
      <c r="L347" s="228">
        <v>33283</v>
      </c>
      <c r="M347" s="228">
        <v>0</v>
      </c>
      <c r="N347" s="223" t="s">
        <v>3088</v>
      </c>
      <c r="O347" s="229" t="str">
        <f t="shared" si="10"/>
        <v>EBS1_33283_0</v>
      </c>
      <c r="P347" s="229" t="s">
        <v>3089</v>
      </c>
      <c r="Q347" s="227"/>
      <c r="R347" s="227">
        <v>346</v>
      </c>
      <c r="S347" s="227"/>
      <c r="T347" s="229" t="str">
        <f t="shared" si="11"/>
        <v>3328300:Var_ui_ErrNo:=346;</v>
      </c>
    </row>
    <row r="348" ht="16.5" spans="1:20">
      <c r="A348" s="222">
        <v>347</v>
      </c>
      <c r="B348" s="35">
        <v>131</v>
      </c>
      <c r="C348" s="35">
        <v>3</v>
      </c>
      <c r="F348" s="224"/>
      <c r="G348" s="224"/>
      <c r="H348" s="223" t="s">
        <v>3090</v>
      </c>
      <c r="I348" s="223" t="s">
        <v>2962</v>
      </c>
      <c r="J348" s="223" t="s">
        <v>3091</v>
      </c>
      <c r="K348" s="223" t="s">
        <v>3092</v>
      </c>
      <c r="L348" s="228">
        <v>33539</v>
      </c>
      <c r="M348" s="228">
        <v>0</v>
      </c>
      <c r="N348" s="223" t="s">
        <v>3093</v>
      </c>
      <c r="O348" s="229" t="str">
        <f t="shared" si="10"/>
        <v>EBS1_33539_0</v>
      </c>
      <c r="P348" s="229" t="s">
        <v>3094</v>
      </c>
      <c r="Q348" s="227"/>
      <c r="R348" s="227">
        <v>347</v>
      </c>
      <c r="S348" s="227"/>
      <c r="T348" s="229" t="str">
        <f t="shared" si="11"/>
        <v>3353900:Var_ui_ErrNo:=347;</v>
      </c>
    </row>
    <row r="349" ht="16.5" spans="1:20">
      <c r="A349" s="222">
        <v>348</v>
      </c>
      <c r="B349" s="35">
        <v>132</v>
      </c>
      <c r="C349" s="35">
        <v>3</v>
      </c>
      <c r="F349" s="224"/>
      <c r="G349" s="224"/>
      <c r="H349" s="223" t="s">
        <v>3095</v>
      </c>
      <c r="I349" s="223" t="s">
        <v>2962</v>
      </c>
      <c r="J349" s="223" t="s">
        <v>3096</v>
      </c>
      <c r="K349" s="223" t="s">
        <v>3097</v>
      </c>
      <c r="L349" s="228">
        <v>33795</v>
      </c>
      <c r="M349" s="228">
        <v>0</v>
      </c>
      <c r="N349" s="223" t="s">
        <v>3098</v>
      </c>
      <c r="O349" s="229" t="str">
        <f t="shared" si="10"/>
        <v>EBS1_33795_0</v>
      </c>
      <c r="P349" s="229" t="s">
        <v>3099</v>
      </c>
      <c r="Q349" s="227"/>
      <c r="R349" s="227">
        <v>348</v>
      </c>
      <c r="S349" s="227"/>
      <c r="T349" s="229" t="str">
        <f t="shared" si="11"/>
        <v>3379500:Var_ui_ErrNo:=348;</v>
      </c>
    </row>
    <row r="350" ht="16.5" spans="1:20">
      <c r="A350" s="222">
        <v>349</v>
      </c>
      <c r="B350" s="35">
        <v>133</v>
      </c>
      <c r="C350" s="35">
        <v>3</v>
      </c>
      <c r="F350" s="224"/>
      <c r="G350" s="224"/>
      <c r="H350" s="223" t="s">
        <v>3100</v>
      </c>
      <c r="I350" s="223" t="s">
        <v>2962</v>
      </c>
      <c r="J350" s="223" t="s">
        <v>3101</v>
      </c>
      <c r="K350" s="223" t="s">
        <v>3102</v>
      </c>
      <c r="L350" s="228">
        <v>34051</v>
      </c>
      <c r="M350" s="228">
        <v>0</v>
      </c>
      <c r="N350" s="223" t="s">
        <v>3103</v>
      </c>
      <c r="O350" s="229" t="str">
        <f t="shared" si="10"/>
        <v>EBS1_34051_0</v>
      </c>
      <c r="P350" s="229" t="s">
        <v>3104</v>
      </c>
      <c r="Q350" s="227"/>
      <c r="R350" s="227">
        <v>349</v>
      </c>
      <c r="S350" s="227"/>
      <c r="T350" s="229" t="str">
        <f t="shared" si="11"/>
        <v>3405100:Var_ui_ErrNo:=349;</v>
      </c>
    </row>
    <row r="351" ht="16.5" spans="1:20">
      <c r="A351" s="222">
        <v>350</v>
      </c>
      <c r="B351" s="35">
        <v>134</v>
      </c>
      <c r="C351" s="35">
        <v>3</v>
      </c>
      <c r="F351" s="224"/>
      <c r="G351" s="224"/>
      <c r="H351" s="223" t="s">
        <v>3105</v>
      </c>
      <c r="I351" s="223" t="s">
        <v>2962</v>
      </c>
      <c r="J351" s="223" t="s">
        <v>3106</v>
      </c>
      <c r="K351" s="223" t="s">
        <v>3107</v>
      </c>
      <c r="L351" s="228">
        <v>34307</v>
      </c>
      <c r="M351" s="228">
        <v>0</v>
      </c>
      <c r="N351" s="223" t="s">
        <v>3108</v>
      </c>
      <c r="O351" s="229" t="str">
        <f t="shared" si="10"/>
        <v>EBS1_34307_0</v>
      </c>
      <c r="P351" s="229" t="s">
        <v>3109</v>
      </c>
      <c r="Q351" s="227"/>
      <c r="R351" s="227">
        <v>350</v>
      </c>
      <c r="S351" s="227"/>
      <c r="T351" s="229" t="str">
        <f t="shared" si="11"/>
        <v>3430700:Var_ui_ErrNo:=350;</v>
      </c>
    </row>
    <row r="352" ht="16.5" spans="1:20">
      <c r="A352" s="222">
        <v>351</v>
      </c>
      <c r="B352" s="35">
        <v>135</v>
      </c>
      <c r="C352" s="35">
        <v>3</v>
      </c>
      <c r="F352" s="224"/>
      <c r="G352" s="224"/>
      <c r="H352" s="223" t="s">
        <v>3110</v>
      </c>
      <c r="I352" s="223" t="s">
        <v>2962</v>
      </c>
      <c r="J352" s="223" t="s">
        <v>3111</v>
      </c>
      <c r="K352" s="223" t="s">
        <v>3112</v>
      </c>
      <c r="L352" s="228">
        <v>34563</v>
      </c>
      <c r="M352" s="228">
        <v>0</v>
      </c>
      <c r="N352" s="223" t="s">
        <v>3113</v>
      </c>
      <c r="O352" s="229" t="str">
        <f t="shared" si="10"/>
        <v>EBS1_34563_0</v>
      </c>
      <c r="P352" s="229" t="s">
        <v>3114</v>
      </c>
      <c r="Q352" s="227"/>
      <c r="R352" s="227">
        <v>351</v>
      </c>
      <c r="S352" s="227"/>
      <c r="T352" s="229" t="str">
        <f t="shared" si="11"/>
        <v>3456300:Var_ui_ErrNo:=351;</v>
      </c>
    </row>
    <row r="353" ht="16.5" spans="1:20">
      <c r="A353" s="222">
        <v>352</v>
      </c>
      <c r="B353" s="35">
        <v>130</v>
      </c>
      <c r="C353" s="35">
        <v>7</v>
      </c>
      <c r="F353" s="224"/>
      <c r="G353" s="224"/>
      <c r="H353" s="223" t="s">
        <v>3115</v>
      </c>
      <c r="I353" s="223" t="s">
        <v>3116</v>
      </c>
      <c r="J353" s="223" t="s">
        <v>3117</v>
      </c>
      <c r="K353" s="223" t="s">
        <v>3118</v>
      </c>
      <c r="L353" s="228">
        <v>33287</v>
      </c>
      <c r="M353" s="228">
        <v>0</v>
      </c>
      <c r="N353" s="223" t="s">
        <v>3119</v>
      </c>
      <c r="O353" s="229" t="str">
        <f t="shared" si="10"/>
        <v>EBS1_33287_0</v>
      </c>
      <c r="P353" s="229" t="s">
        <v>3120</v>
      </c>
      <c r="Q353" s="227"/>
      <c r="R353" s="227">
        <v>352</v>
      </c>
      <c r="S353" s="227"/>
      <c r="T353" s="229" t="str">
        <f t="shared" si="11"/>
        <v>3328700:Var_ui_ErrNo:=352;</v>
      </c>
    </row>
    <row r="354" ht="16.5" spans="1:20">
      <c r="A354" s="222">
        <v>353</v>
      </c>
      <c r="B354" s="35">
        <v>131</v>
      </c>
      <c r="C354" s="35">
        <v>7</v>
      </c>
      <c r="F354" s="224"/>
      <c r="G354" s="224"/>
      <c r="H354" s="223" t="s">
        <v>3121</v>
      </c>
      <c r="I354" s="223" t="s">
        <v>3116</v>
      </c>
      <c r="J354" s="223" t="s">
        <v>3122</v>
      </c>
      <c r="K354" s="223" t="s">
        <v>3123</v>
      </c>
      <c r="L354" s="228">
        <v>33543</v>
      </c>
      <c r="M354" s="228">
        <v>0</v>
      </c>
      <c r="N354" s="223" t="s">
        <v>3124</v>
      </c>
      <c r="O354" s="229" t="str">
        <f t="shared" si="10"/>
        <v>EBS1_33543_0</v>
      </c>
      <c r="P354" s="229" t="s">
        <v>3125</v>
      </c>
      <c r="Q354" s="227"/>
      <c r="R354" s="227">
        <v>353</v>
      </c>
      <c r="S354" s="227"/>
      <c r="T354" s="229" t="str">
        <f t="shared" si="11"/>
        <v>3354300:Var_ui_ErrNo:=353;</v>
      </c>
    </row>
    <row r="355" ht="16.5" spans="1:20">
      <c r="A355" s="222">
        <v>354</v>
      </c>
      <c r="B355" s="35">
        <v>132</v>
      </c>
      <c r="C355" s="35">
        <v>7</v>
      </c>
      <c r="F355" s="224"/>
      <c r="G355" s="224"/>
      <c r="H355" s="223" t="s">
        <v>3126</v>
      </c>
      <c r="I355" s="223" t="s">
        <v>3116</v>
      </c>
      <c r="J355" s="223" t="s">
        <v>3127</v>
      </c>
      <c r="K355" s="223" t="s">
        <v>3128</v>
      </c>
      <c r="L355" s="228">
        <v>33799</v>
      </c>
      <c r="M355" s="228">
        <v>0</v>
      </c>
      <c r="N355" s="223" t="s">
        <v>3129</v>
      </c>
      <c r="O355" s="229" t="str">
        <f t="shared" si="10"/>
        <v>EBS1_33799_0</v>
      </c>
      <c r="P355" s="229" t="s">
        <v>3130</v>
      </c>
      <c r="Q355" s="227"/>
      <c r="R355" s="227">
        <v>354</v>
      </c>
      <c r="S355" s="227"/>
      <c r="T355" s="229" t="str">
        <f t="shared" si="11"/>
        <v>3379900:Var_ui_ErrNo:=354;</v>
      </c>
    </row>
    <row r="356" ht="16.5" spans="1:20">
      <c r="A356" s="222">
        <v>355</v>
      </c>
      <c r="B356" s="35">
        <v>133</v>
      </c>
      <c r="C356" s="35">
        <v>7</v>
      </c>
      <c r="F356" s="224"/>
      <c r="G356" s="224"/>
      <c r="H356" s="223" t="s">
        <v>3131</v>
      </c>
      <c r="I356" s="223" t="s">
        <v>3116</v>
      </c>
      <c r="J356" s="223" t="s">
        <v>3132</v>
      </c>
      <c r="K356" s="223" t="s">
        <v>3133</v>
      </c>
      <c r="L356" s="228">
        <v>34055</v>
      </c>
      <c r="M356" s="228">
        <v>0</v>
      </c>
      <c r="N356" s="223" t="s">
        <v>3134</v>
      </c>
      <c r="O356" s="229" t="str">
        <f t="shared" si="10"/>
        <v>EBS1_34055_0</v>
      </c>
      <c r="P356" s="229" t="s">
        <v>3135</v>
      </c>
      <c r="Q356" s="227"/>
      <c r="R356" s="227">
        <v>355</v>
      </c>
      <c r="S356" s="227"/>
      <c r="T356" s="229" t="str">
        <f t="shared" si="11"/>
        <v>3405500:Var_ui_ErrNo:=355;</v>
      </c>
    </row>
    <row r="357" ht="16.5" spans="1:20">
      <c r="A357" s="222">
        <v>356</v>
      </c>
      <c r="B357" s="35">
        <v>134</v>
      </c>
      <c r="C357" s="35">
        <v>7</v>
      </c>
      <c r="F357" s="224"/>
      <c r="G357" s="224"/>
      <c r="H357" s="223" t="s">
        <v>3136</v>
      </c>
      <c r="I357" s="223" t="s">
        <v>3116</v>
      </c>
      <c r="J357" s="223" t="s">
        <v>3137</v>
      </c>
      <c r="K357" s="223" t="s">
        <v>3138</v>
      </c>
      <c r="L357" s="228">
        <v>34311</v>
      </c>
      <c r="M357" s="228">
        <v>0</v>
      </c>
      <c r="N357" s="223" t="s">
        <v>3139</v>
      </c>
      <c r="O357" s="229" t="str">
        <f t="shared" si="10"/>
        <v>EBS1_34311_0</v>
      </c>
      <c r="P357" s="229" t="s">
        <v>3140</v>
      </c>
      <c r="Q357" s="227"/>
      <c r="R357" s="227">
        <v>356</v>
      </c>
      <c r="S357" s="227"/>
      <c r="T357" s="229" t="str">
        <f t="shared" si="11"/>
        <v>3431100:Var_ui_ErrNo:=356;</v>
      </c>
    </row>
    <row r="358" ht="16.5" spans="1:20">
      <c r="A358" s="222">
        <v>357</v>
      </c>
      <c r="B358" s="35">
        <v>135</v>
      </c>
      <c r="C358" s="35">
        <v>7</v>
      </c>
      <c r="F358" s="224"/>
      <c r="G358" s="224"/>
      <c r="H358" s="223" t="s">
        <v>3141</v>
      </c>
      <c r="I358" s="223" t="s">
        <v>3116</v>
      </c>
      <c r="J358" s="223" t="s">
        <v>3142</v>
      </c>
      <c r="K358" s="223" t="s">
        <v>3143</v>
      </c>
      <c r="L358" s="228">
        <v>34567</v>
      </c>
      <c r="M358" s="228">
        <v>0</v>
      </c>
      <c r="N358" s="223" t="s">
        <v>3144</v>
      </c>
      <c r="O358" s="229" t="str">
        <f t="shared" si="10"/>
        <v>EBS1_34567_0</v>
      </c>
      <c r="P358" s="229" t="s">
        <v>3145</v>
      </c>
      <c r="Q358" s="227"/>
      <c r="R358" s="227">
        <v>357</v>
      </c>
      <c r="S358" s="227"/>
      <c r="T358" s="229" t="str">
        <f t="shared" si="11"/>
        <v>3456700:Var_ui_ErrNo:=357;</v>
      </c>
    </row>
    <row r="359" ht="16.5" spans="1:20">
      <c r="A359" s="222">
        <v>358</v>
      </c>
      <c r="B359" s="35">
        <v>130</v>
      </c>
      <c r="C359" s="35">
        <v>9</v>
      </c>
      <c r="F359" s="224"/>
      <c r="G359" s="224"/>
      <c r="H359" s="223" t="s">
        <v>3146</v>
      </c>
      <c r="I359" s="223" t="s">
        <v>3147</v>
      </c>
      <c r="J359" s="223" t="s">
        <v>3148</v>
      </c>
      <c r="K359" s="223" t="s">
        <v>3149</v>
      </c>
      <c r="L359" s="228">
        <v>33289</v>
      </c>
      <c r="M359" s="228">
        <v>0</v>
      </c>
      <c r="N359" s="223" t="s">
        <v>3150</v>
      </c>
      <c r="O359" s="229" t="str">
        <f t="shared" si="10"/>
        <v>EBS1_33289_0</v>
      </c>
      <c r="P359" s="229" t="s">
        <v>3151</v>
      </c>
      <c r="Q359" s="227"/>
      <c r="R359" s="227">
        <v>358</v>
      </c>
      <c r="S359" s="227"/>
      <c r="T359" s="229" t="str">
        <f t="shared" si="11"/>
        <v>3328900:Var_ui_ErrNo:=358;</v>
      </c>
    </row>
    <row r="360" ht="16.5" spans="1:20">
      <c r="A360" s="222">
        <v>359</v>
      </c>
      <c r="B360" s="35">
        <v>131</v>
      </c>
      <c r="C360" s="35">
        <v>9</v>
      </c>
      <c r="F360" s="224"/>
      <c r="G360" s="224"/>
      <c r="H360" s="223" t="s">
        <v>3152</v>
      </c>
      <c r="I360" s="223" t="s">
        <v>3147</v>
      </c>
      <c r="J360" s="223" t="s">
        <v>3153</v>
      </c>
      <c r="K360" s="223" t="s">
        <v>3154</v>
      </c>
      <c r="L360" s="228">
        <v>33545</v>
      </c>
      <c r="M360" s="228">
        <v>0</v>
      </c>
      <c r="N360" s="223" t="s">
        <v>3155</v>
      </c>
      <c r="O360" s="229" t="str">
        <f t="shared" si="10"/>
        <v>EBS1_33545_0</v>
      </c>
      <c r="P360" s="229" t="s">
        <v>3156</v>
      </c>
      <c r="Q360" s="227"/>
      <c r="R360" s="227">
        <v>359</v>
      </c>
      <c r="S360" s="227"/>
      <c r="T360" s="229" t="str">
        <f t="shared" si="11"/>
        <v>3354500:Var_ui_ErrNo:=359;</v>
      </c>
    </row>
    <row r="361" ht="16.5" spans="1:20">
      <c r="A361" s="222">
        <v>360</v>
      </c>
      <c r="B361" s="35">
        <v>132</v>
      </c>
      <c r="C361" s="35">
        <v>9</v>
      </c>
      <c r="F361" s="224"/>
      <c r="G361" s="224"/>
      <c r="H361" s="223" t="s">
        <v>3157</v>
      </c>
      <c r="I361" s="223" t="s">
        <v>3147</v>
      </c>
      <c r="J361" s="223" t="s">
        <v>3158</v>
      </c>
      <c r="K361" s="223" t="s">
        <v>3159</v>
      </c>
      <c r="L361" s="228">
        <v>33801</v>
      </c>
      <c r="M361" s="228">
        <v>0</v>
      </c>
      <c r="N361" s="223" t="s">
        <v>3160</v>
      </c>
      <c r="O361" s="229" t="str">
        <f t="shared" si="10"/>
        <v>EBS1_33801_0</v>
      </c>
      <c r="P361" s="229" t="s">
        <v>3161</v>
      </c>
      <c r="Q361" s="227"/>
      <c r="R361" s="227">
        <v>360</v>
      </c>
      <c r="S361" s="227"/>
      <c r="T361" s="229" t="str">
        <f t="shared" si="11"/>
        <v>3380100:Var_ui_ErrNo:=360;</v>
      </c>
    </row>
    <row r="362" ht="16.5" spans="1:20">
      <c r="A362" s="222">
        <v>361</v>
      </c>
      <c r="B362" s="35">
        <v>133</v>
      </c>
      <c r="C362" s="35">
        <v>9</v>
      </c>
      <c r="F362" s="224"/>
      <c r="G362" s="224"/>
      <c r="H362" s="223" t="s">
        <v>3162</v>
      </c>
      <c r="I362" s="223" t="s">
        <v>3147</v>
      </c>
      <c r="J362" s="223" t="s">
        <v>3163</v>
      </c>
      <c r="K362" s="223" t="s">
        <v>3164</v>
      </c>
      <c r="L362" s="228">
        <v>34057</v>
      </c>
      <c r="M362" s="228">
        <v>0</v>
      </c>
      <c r="N362" s="223" t="s">
        <v>3165</v>
      </c>
      <c r="O362" s="229" t="str">
        <f t="shared" si="10"/>
        <v>EBS1_34057_0</v>
      </c>
      <c r="P362" s="229" t="s">
        <v>3166</v>
      </c>
      <c r="Q362" s="227"/>
      <c r="R362" s="227">
        <v>361</v>
      </c>
      <c r="S362" s="227"/>
      <c r="T362" s="229" t="str">
        <f t="shared" si="11"/>
        <v>3405700:Var_ui_ErrNo:=361;</v>
      </c>
    </row>
    <row r="363" ht="16.5" spans="1:20">
      <c r="A363" s="222">
        <v>362</v>
      </c>
      <c r="B363" s="35">
        <v>134</v>
      </c>
      <c r="C363" s="35">
        <v>9</v>
      </c>
      <c r="F363" s="224"/>
      <c r="G363" s="224"/>
      <c r="H363" s="223" t="s">
        <v>3167</v>
      </c>
      <c r="I363" s="223" t="s">
        <v>3147</v>
      </c>
      <c r="J363" s="223" t="s">
        <v>3168</v>
      </c>
      <c r="K363" s="223" t="s">
        <v>3169</v>
      </c>
      <c r="L363" s="228">
        <v>34313</v>
      </c>
      <c r="M363" s="228">
        <v>0</v>
      </c>
      <c r="N363" s="223" t="s">
        <v>3170</v>
      </c>
      <c r="O363" s="229" t="str">
        <f t="shared" si="10"/>
        <v>EBS1_34313_0</v>
      </c>
      <c r="P363" s="229" t="s">
        <v>3171</v>
      </c>
      <c r="Q363" s="227"/>
      <c r="R363" s="227">
        <v>362</v>
      </c>
      <c r="S363" s="227"/>
      <c r="T363" s="229" t="str">
        <f t="shared" si="11"/>
        <v>3431300:Var_ui_ErrNo:=362;</v>
      </c>
    </row>
    <row r="364" ht="16.5" spans="1:20">
      <c r="A364" s="222">
        <v>363</v>
      </c>
      <c r="B364" s="35">
        <v>135</v>
      </c>
      <c r="C364" s="35">
        <v>9</v>
      </c>
      <c r="F364" s="224"/>
      <c r="G364" s="224"/>
      <c r="H364" s="223" t="s">
        <v>3172</v>
      </c>
      <c r="I364" s="223" t="s">
        <v>3147</v>
      </c>
      <c r="J364" s="223" t="s">
        <v>3173</v>
      </c>
      <c r="K364" s="223" t="s">
        <v>3174</v>
      </c>
      <c r="L364" s="228">
        <v>34569</v>
      </c>
      <c r="M364" s="228">
        <v>0</v>
      </c>
      <c r="N364" s="223" t="s">
        <v>3175</v>
      </c>
      <c r="O364" s="229" t="str">
        <f t="shared" si="10"/>
        <v>EBS1_34569_0</v>
      </c>
      <c r="P364" s="229" t="s">
        <v>3176</v>
      </c>
      <c r="Q364" s="227"/>
      <c r="R364" s="227">
        <v>363</v>
      </c>
      <c r="S364" s="227"/>
      <c r="T364" s="229" t="str">
        <f t="shared" si="11"/>
        <v>3456900:Var_ui_ErrNo:=363;</v>
      </c>
    </row>
    <row r="365" ht="16.5" spans="1:20">
      <c r="A365" s="222">
        <v>364</v>
      </c>
      <c r="B365" s="35">
        <v>130</v>
      </c>
      <c r="C365" s="35">
        <v>37</v>
      </c>
      <c r="F365" s="224"/>
      <c r="G365" s="224"/>
      <c r="H365" s="223" t="s">
        <v>3177</v>
      </c>
      <c r="I365" s="223" t="s">
        <v>3178</v>
      </c>
      <c r="J365" s="223" t="s">
        <v>3179</v>
      </c>
      <c r="K365" s="223" t="s">
        <v>3180</v>
      </c>
      <c r="L365" s="228">
        <v>33317</v>
      </c>
      <c r="M365" s="228">
        <v>0</v>
      </c>
      <c r="N365" s="223" t="s">
        <v>3181</v>
      </c>
      <c r="O365" s="229" t="str">
        <f t="shared" si="10"/>
        <v>EBS1_33317_0</v>
      </c>
      <c r="P365" s="229" t="s">
        <v>3182</v>
      </c>
      <c r="Q365" s="227"/>
      <c r="R365" s="227">
        <v>364</v>
      </c>
      <c r="S365" s="227"/>
      <c r="T365" s="229" t="str">
        <f t="shared" si="11"/>
        <v>3331700:Var_ui_ErrNo:=364;</v>
      </c>
    </row>
    <row r="366" ht="16.5" spans="1:20">
      <c r="A366" s="222">
        <v>365</v>
      </c>
      <c r="B366" s="35">
        <v>131</v>
      </c>
      <c r="C366" s="35">
        <v>37</v>
      </c>
      <c r="F366" s="224"/>
      <c r="G366" s="224"/>
      <c r="H366" s="223" t="s">
        <v>3183</v>
      </c>
      <c r="I366" s="223" t="s">
        <v>3178</v>
      </c>
      <c r="J366" s="223" t="s">
        <v>3184</v>
      </c>
      <c r="K366" s="223" t="s">
        <v>3185</v>
      </c>
      <c r="L366" s="228">
        <v>33573</v>
      </c>
      <c r="M366" s="228">
        <v>0</v>
      </c>
      <c r="N366" s="223" t="s">
        <v>3186</v>
      </c>
      <c r="O366" s="229" t="str">
        <f t="shared" si="10"/>
        <v>EBS1_33573_0</v>
      </c>
      <c r="P366" s="229" t="s">
        <v>3187</v>
      </c>
      <c r="Q366" s="227"/>
      <c r="R366" s="227">
        <v>365</v>
      </c>
      <c r="S366" s="227"/>
      <c r="T366" s="229" t="str">
        <f t="shared" si="11"/>
        <v>3357300:Var_ui_ErrNo:=365;</v>
      </c>
    </row>
    <row r="367" ht="16.5" spans="1:20">
      <c r="A367" s="222">
        <v>366</v>
      </c>
      <c r="B367" s="35">
        <v>132</v>
      </c>
      <c r="C367" s="35">
        <v>37</v>
      </c>
      <c r="F367" s="224"/>
      <c r="G367" s="224"/>
      <c r="H367" s="223" t="s">
        <v>3188</v>
      </c>
      <c r="I367" s="223" t="s">
        <v>3178</v>
      </c>
      <c r="J367" s="223" t="s">
        <v>3189</v>
      </c>
      <c r="K367" s="223" t="s">
        <v>3190</v>
      </c>
      <c r="L367" s="228">
        <v>33829</v>
      </c>
      <c r="M367" s="228">
        <v>0</v>
      </c>
      <c r="N367" s="223" t="s">
        <v>3191</v>
      </c>
      <c r="O367" s="229" t="str">
        <f t="shared" si="10"/>
        <v>EBS1_33829_0</v>
      </c>
      <c r="P367" s="229" t="s">
        <v>3192</v>
      </c>
      <c r="Q367" s="227"/>
      <c r="R367" s="227">
        <v>366</v>
      </c>
      <c r="S367" s="227"/>
      <c r="T367" s="229" t="str">
        <f t="shared" si="11"/>
        <v>3382900:Var_ui_ErrNo:=366;</v>
      </c>
    </row>
    <row r="368" ht="16.5" spans="1:20">
      <c r="A368" s="222">
        <v>367</v>
      </c>
      <c r="B368" s="35">
        <v>133</v>
      </c>
      <c r="C368" s="35">
        <v>37</v>
      </c>
      <c r="F368" s="224"/>
      <c r="G368" s="224"/>
      <c r="H368" s="223" t="s">
        <v>3193</v>
      </c>
      <c r="I368" s="223" t="s">
        <v>3178</v>
      </c>
      <c r="J368" s="223" t="s">
        <v>3194</v>
      </c>
      <c r="K368" s="223" t="s">
        <v>3195</v>
      </c>
      <c r="L368" s="228">
        <v>34085</v>
      </c>
      <c r="M368" s="228">
        <v>0</v>
      </c>
      <c r="N368" s="223" t="s">
        <v>3196</v>
      </c>
      <c r="O368" s="229" t="str">
        <f t="shared" si="10"/>
        <v>EBS1_34085_0</v>
      </c>
      <c r="P368" s="229" t="s">
        <v>3197</v>
      </c>
      <c r="Q368" s="227"/>
      <c r="R368" s="227">
        <v>367</v>
      </c>
      <c r="S368" s="227"/>
      <c r="T368" s="229" t="str">
        <f t="shared" si="11"/>
        <v>3408500:Var_ui_ErrNo:=367;</v>
      </c>
    </row>
    <row r="369" ht="16.5" spans="1:20">
      <c r="A369" s="222">
        <v>368</v>
      </c>
      <c r="B369" s="35">
        <v>134</v>
      </c>
      <c r="C369" s="35">
        <v>37</v>
      </c>
      <c r="F369" s="224"/>
      <c r="G369" s="224"/>
      <c r="H369" s="223" t="s">
        <v>3198</v>
      </c>
      <c r="I369" s="223" t="s">
        <v>3178</v>
      </c>
      <c r="J369" s="223" t="s">
        <v>3199</v>
      </c>
      <c r="K369" s="223" t="s">
        <v>3200</v>
      </c>
      <c r="L369" s="228">
        <v>34341</v>
      </c>
      <c r="M369" s="228">
        <v>0</v>
      </c>
      <c r="N369" s="223" t="s">
        <v>3201</v>
      </c>
      <c r="O369" s="229" t="str">
        <f t="shared" si="10"/>
        <v>EBS1_34341_0</v>
      </c>
      <c r="P369" s="229" t="s">
        <v>3202</v>
      </c>
      <c r="Q369" s="227"/>
      <c r="R369" s="227">
        <v>368</v>
      </c>
      <c r="S369" s="227"/>
      <c r="T369" s="229" t="str">
        <f t="shared" si="11"/>
        <v>3434100:Var_ui_ErrNo:=368;</v>
      </c>
    </row>
    <row r="370" ht="16.5" spans="1:20">
      <c r="A370" s="222">
        <v>369</v>
      </c>
      <c r="B370" s="35">
        <v>135</v>
      </c>
      <c r="C370" s="35">
        <v>37</v>
      </c>
      <c r="F370" s="224"/>
      <c r="G370" s="224"/>
      <c r="H370" s="223" t="s">
        <v>3203</v>
      </c>
      <c r="I370" s="223" t="s">
        <v>3178</v>
      </c>
      <c r="J370" s="223" t="s">
        <v>3204</v>
      </c>
      <c r="K370" s="223" t="s">
        <v>3205</v>
      </c>
      <c r="L370" s="228">
        <v>34597</v>
      </c>
      <c r="M370" s="228">
        <v>0</v>
      </c>
      <c r="N370" s="223" t="s">
        <v>3206</v>
      </c>
      <c r="O370" s="229" t="str">
        <f t="shared" si="10"/>
        <v>EBS1_34597_0</v>
      </c>
      <c r="P370" s="229" t="s">
        <v>3207</v>
      </c>
      <c r="Q370" s="227"/>
      <c r="R370" s="227">
        <v>369</v>
      </c>
      <c r="S370" s="227"/>
      <c r="T370" s="229" t="str">
        <f t="shared" si="11"/>
        <v>3459700:Var_ui_ErrNo:=369;</v>
      </c>
    </row>
    <row r="371" ht="16.5" spans="1:20">
      <c r="A371" s="222">
        <v>370</v>
      </c>
      <c r="B371" s="35">
        <v>130</v>
      </c>
      <c r="C371" s="35">
        <v>45</v>
      </c>
      <c r="F371" s="224"/>
      <c r="G371" s="224"/>
      <c r="H371" s="223" t="s">
        <v>3085</v>
      </c>
      <c r="I371" s="223" t="s">
        <v>2962</v>
      </c>
      <c r="J371" s="223" t="s">
        <v>3208</v>
      </c>
      <c r="K371" s="223" t="s">
        <v>3209</v>
      </c>
      <c r="L371" s="228">
        <v>33325</v>
      </c>
      <c r="M371" s="228">
        <v>0</v>
      </c>
      <c r="N371" s="223" t="s">
        <v>3210</v>
      </c>
      <c r="O371" s="229" t="str">
        <f t="shared" si="10"/>
        <v>EBS1_33325_0</v>
      </c>
      <c r="P371" s="229" t="s">
        <v>3211</v>
      </c>
      <c r="Q371" s="227"/>
      <c r="R371" s="227">
        <v>370</v>
      </c>
      <c r="S371" s="227"/>
      <c r="T371" s="229" t="str">
        <f t="shared" si="11"/>
        <v>3332500:Var_ui_ErrNo:=370;</v>
      </c>
    </row>
    <row r="372" ht="16.5" spans="1:20">
      <c r="A372" s="222">
        <v>371</v>
      </c>
      <c r="B372" s="35">
        <v>131</v>
      </c>
      <c r="C372" s="35">
        <v>45</v>
      </c>
      <c r="F372" s="224"/>
      <c r="G372" s="224"/>
      <c r="H372" s="223" t="s">
        <v>3090</v>
      </c>
      <c r="I372" s="223" t="s">
        <v>2962</v>
      </c>
      <c r="J372" s="223" t="s">
        <v>3212</v>
      </c>
      <c r="K372" s="223" t="s">
        <v>3213</v>
      </c>
      <c r="L372" s="228">
        <v>33581</v>
      </c>
      <c r="M372" s="228">
        <v>0</v>
      </c>
      <c r="N372" s="223" t="s">
        <v>3214</v>
      </c>
      <c r="O372" s="229" t="str">
        <f t="shared" si="10"/>
        <v>EBS1_33581_0</v>
      </c>
      <c r="P372" s="229" t="s">
        <v>3215</v>
      </c>
      <c r="Q372" s="227"/>
      <c r="R372" s="227">
        <v>371</v>
      </c>
      <c r="S372" s="227"/>
      <c r="T372" s="229" t="str">
        <f t="shared" si="11"/>
        <v>3358100:Var_ui_ErrNo:=371;</v>
      </c>
    </row>
    <row r="373" ht="16.5" spans="1:20">
      <c r="A373" s="222">
        <v>372</v>
      </c>
      <c r="B373" s="35">
        <v>132</v>
      </c>
      <c r="C373" s="35">
        <v>45</v>
      </c>
      <c r="F373" s="224"/>
      <c r="G373" s="224"/>
      <c r="H373" s="223" t="s">
        <v>3095</v>
      </c>
      <c r="I373" s="223" t="s">
        <v>2962</v>
      </c>
      <c r="J373" s="223" t="s">
        <v>3216</v>
      </c>
      <c r="K373" s="223" t="s">
        <v>3217</v>
      </c>
      <c r="L373" s="228">
        <v>33837</v>
      </c>
      <c r="M373" s="228">
        <v>0</v>
      </c>
      <c r="N373" s="223" t="s">
        <v>3218</v>
      </c>
      <c r="O373" s="229" t="str">
        <f t="shared" si="10"/>
        <v>EBS1_33837_0</v>
      </c>
      <c r="P373" s="229" t="s">
        <v>3219</v>
      </c>
      <c r="Q373" s="227"/>
      <c r="R373" s="227">
        <v>372</v>
      </c>
      <c r="S373" s="227"/>
      <c r="T373" s="229" t="str">
        <f t="shared" si="11"/>
        <v>3383700:Var_ui_ErrNo:=372;</v>
      </c>
    </row>
    <row r="374" ht="16.5" spans="1:20">
      <c r="A374" s="222">
        <v>373</v>
      </c>
      <c r="B374" s="35">
        <v>133</v>
      </c>
      <c r="C374" s="35">
        <v>45</v>
      </c>
      <c r="F374" s="224"/>
      <c r="G374" s="224"/>
      <c r="H374" s="223" t="s">
        <v>3100</v>
      </c>
      <c r="I374" s="223" t="s">
        <v>2962</v>
      </c>
      <c r="J374" s="223" t="s">
        <v>3220</v>
      </c>
      <c r="K374" s="223" t="s">
        <v>3221</v>
      </c>
      <c r="L374" s="228">
        <v>34093</v>
      </c>
      <c r="M374" s="228">
        <v>0</v>
      </c>
      <c r="N374" s="223" t="s">
        <v>3222</v>
      </c>
      <c r="O374" s="229" t="str">
        <f t="shared" si="10"/>
        <v>EBS1_34093_0</v>
      </c>
      <c r="P374" s="229" t="s">
        <v>3223</v>
      </c>
      <c r="Q374" s="227"/>
      <c r="R374" s="227">
        <v>373</v>
      </c>
      <c r="S374" s="227"/>
      <c r="T374" s="229" t="str">
        <f t="shared" si="11"/>
        <v>3409300:Var_ui_ErrNo:=373;</v>
      </c>
    </row>
    <row r="375" ht="16.5" spans="1:20">
      <c r="A375" s="222">
        <v>374</v>
      </c>
      <c r="B375" s="35">
        <v>134</v>
      </c>
      <c r="C375" s="35">
        <v>45</v>
      </c>
      <c r="F375" s="224"/>
      <c r="G375" s="224"/>
      <c r="H375" s="223" t="s">
        <v>3105</v>
      </c>
      <c r="I375" s="223" t="s">
        <v>2962</v>
      </c>
      <c r="J375" s="223" t="s">
        <v>3224</v>
      </c>
      <c r="K375" s="223" t="s">
        <v>3225</v>
      </c>
      <c r="L375" s="228">
        <v>34349</v>
      </c>
      <c r="M375" s="228">
        <v>0</v>
      </c>
      <c r="N375" s="223" t="s">
        <v>3226</v>
      </c>
      <c r="O375" s="229" t="str">
        <f t="shared" si="10"/>
        <v>EBS1_34349_0</v>
      </c>
      <c r="P375" s="229" t="s">
        <v>3227</v>
      </c>
      <c r="Q375" s="227"/>
      <c r="R375" s="227">
        <v>374</v>
      </c>
      <c r="S375" s="227"/>
      <c r="T375" s="229" t="str">
        <f t="shared" si="11"/>
        <v>3434900:Var_ui_ErrNo:=374;</v>
      </c>
    </row>
    <row r="376" ht="16.5" spans="1:20">
      <c r="A376" s="222">
        <v>375</v>
      </c>
      <c r="B376" s="35">
        <v>135</v>
      </c>
      <c r="C376" s="35">
        <v>45</v>
      </c>
      <c r="F376" s="224"/>
      <c r="G376" s="224"/>
      <c r="H376" s="223" t="s">
        <v>3110</v>
      </c>
      <c r="I376" s="223" t="s">
        <v>2962</v>
      </c>
      <c r="J376" s="223" t="s">
        <v>3228</v>
      </c>
      <c r="K376" s="223" t="s">
        <v>3229</v>
      </c>
      <c r="L376" s="228">
        <v>34605</v>
      </c>
      <c r="M376" s="228">
        <v>0</v>
      </c>
      <c r="N376" s="223" t="s">
        <v>3230</v>
      </c>
      <c r="O376" s="229" t="str">
        <f t="shared" si="10"/>
        <v>EBS1_34605_0</v>
      </c>
      <c r="P376" s="229" t="s">
        <v>3231</v>
      </c>
      <c r="Q376" s="227"/>
      <c r="R376" s="227">
        <v>375</v>
      </c>
      <c r="S376" s="227"/>
      <c r="T376" s="229" t="str">
        <f t="shared" si="11"/>
        <v>3460500:Var_ui_ErrNo:=375;</v>
      </c>
    </row>
    <row r="377" ht="16.5" spans="1:20">
      <c r="A377" s="222">
        <v>376</v>
      </c>
      <c r="B377" s="35">
        <v>130</v>
      </c>
      <c r="C377" s="35">
        <v>46</v>
      </c>
      <c r="F377" s="224"/>
      <c r="G377" s="224"/>
      <c r="H377" s="223" t="s">
        <v>3232</v>
      </c>
      <c r="I377" s="223" t="s">
        <v>3233</v>
      </c>
      <c r="J377" s="223" t="s">
        <v>3234</v>
      </c>
      <c r="K377" s="223" t="s">
        <v>3235</v>
      </c>
      <c r="L377" s="228">
        <v>33326</v>
      </c>
      <c r="M377" s="228">
        <v>0</v>
      </c>
      <c r="N377" s="223" t="s">
        <v>3236</v>
      </c>
      <c r="O377" s="229" t="str">
        <f t="shared" si="10"/>
        <v>EBS1_33326_0</v>
      </c>
      <c r="P377" s="229" t="s">
        <v>3237</v>
      </c>
      <c r="Q377" s="227"/>
      <c r="R377" s="227">
        <v>376</v>
      </c>
      <c r="S377" s="227"/>
      <c r="T377" s="229" t="str">
        <f t="shared" si="11"/>
        <v>3332600:Var_ui_ErrNo:=376;</v>
      </c>
    </row>
    <row r="378" ht="16.5" spans="1:20">
      <c r="A378" s="222">
        <v>377</v>
      </c>
      <c r="B378" s="35">
        <v>131</v>
      </c>
      <c r="C378" s="35">
        <v>46</v>
      </c>
      <c r="F378" s="224"/>
      <c r="G378" s="224"/>
      <c r="H378" s="223" t="s">
        <v>3238</v>
      </c>
      <c r="I378" s="223" t="s">
        <v>3233</v>
      </c>
      <c r="J378" s="223" t="s">
        <v>3239</v>
      </c>
      <c r="K378" s="223" t="s">
        <v>3240</v>
      </c>
      <c r="L378" s="228">
        <v>33582</v>
      </c>
      <c r="M378" s="228">
        <v>0</v>
      </c>
      <c r="N378" s="223" t="s">
        <v>3241</v>
      </c>
      <c r="O378" s="229" t="str">
        <f t="shared" si="10"/>
        <v>EBS1_33582_0</v>
      </c>
      <c r="P378" s="229" t="s">
        <v>3242</v>
      </c>
      <c r="Q378" s="227"/>
      <c r="R378" s="227">
        <v>377</v>
      </c>
      <c r="S378" s="227"/>
      <c r="T378" s="229" t="str">
        <f t="shared" si="11"/>
        <v>3358200:Var_ui_ErrNo:=377;</v>
      </c>
    </row>
    <row r="379" ht="16.5" spans="1:20">
      <c r="A379" s="222">
        <v>378</v>
      </c>
      <c r="B379" s="35">
        <v>132</v>
      </c>
      <c r="C379" s="35">
        <v>46</v>
      </c>
      <c r="F379" s="224"/>
      <c r="G379" s="224"/>
      <c r="H379" s="223" t="s">
        <v>3243</v>
      </c>
      <c r="I379" s="223" t="s">
        <v>3233</v>
      </c>
      <c r="J379" s="223" t="s">
        <v>3244</v>
      </c>
      <c r="K379" s="223" t="s">
        <v>3245</v>
      </c>
      <c r="L379" s="228">
        <v>33838</v>
      </c>
      <c r="M379" s="228">
        <v>0</v>
      </c>
      <c r="N379" s="223" t="s">
        <v>3246</v>
      </c>
      <c r="O379" s="229" t="str">
        <f t="shared" si="10"/>
        <v>EBS1_33838_0</v>
      </c>
      <c r="P379" s="229" t="s">
        <v>3247</v>
      </c>
      <c r="Q379" s="227"/>
      <c r="R379" s="227">
        <v>378</v>
      </c>
      <c r="S379" s="227"/>
      <c r="T379" s="229" t="str">
        <f t="shared" si="11"/>
        <v>3383800:Var_ui_ErrNo:=378;</v>
      </c>
    </row>
    <row r="380" ht="16.5" spans="1:20">
      <c r="A380" s="222">
        <v>379</v>
      </c>
      <c r="B380" s="35">
        <v>133</v>
      </c>
      <c r="C380" s="35">
        <v>46</v>
      </c>
      <c r="F380" s="224"/>
      <c r="G380" s="224"/>
      <c r="H380" s="223" t="s">
        <v>3248</v>
      </c>
      <c r="I380" s="223" t="s">
        <v>3233</v>
      </c>
      <c r="J380" s="223" t="s">
        <v>3249</v>
      </c>
      <c r="K380" s="223" t="s">
        <v>3250</v>
      </c>
      <c r="L380" s="228">
        <v>34094</v>
      </c>
      <c r="M380" s="228">
        <v>0</v>
      </c>
      <c r="N380" s="223" t="s">
        <v>3251</v>
      </c>
      <c r="O380" s="229" t="str">
        <f t="shared" si="10"/>
        <v>EBS1_34094_0</v>
      </c>
      <c r="P380" s="229" t="s">
        <v>3252</v>
      </c>
      <c r="Q380" s="227"/>
      <c r="R380" s="227">
        <v>379</v>
      </c>
      <c r="S380" s="227"/>
      <c r="T380" s="229" t="str">
        <f t="shared" si="11"/>
        <v>3409400:Var_ui_ErrNo:=379;</v>
      </c>
    </row>
    <row r="381" ht="16.5" spans="1:20">
      <c r="A381" s="222">
        <v>380</v>
      </c>
      <c r="B381" s="35">
        <v>134</v>
      </c>
      <c r="C381" s="35">
        <v>46</v>
      </c>
      <c r="F381" s="224"/>
      <c r="G381" s="224"/>
      <c r="H381" s="223" t="s">
        <v>3253</v>
      </c>
      <c r="I381" s="223" t="s">
        <v>3233</v>
      </c>
      <c r="J381" s="223" t="s">
        <v>3254</v>
      </c>
      <c r="K381" s="223" t="s">
        <v>3255</v>
      </c>
      <c r="L381" s="228">
        <v>34350</v>
      </c>
      <c r="M381" s="228">
        <v>0</v>
      </c>
      <c r="N381" s="223" t="s">
        <v>3256</v>
      </c>
      <c r="O381" s="229" t="str">
        <f t="shared" si="10"/>
        <v>EBS1_34350_0</v>
      </c>
      <c r="P381" s="229" t="s">
        <v>3257</v>
      </c>
      <c r="Q381" s="227"/>
      <c r="R381" s="227">
        <v>380</v>
      </c>
      <c r="S381" s="227"/>
      <c r="T381" s="229" t="str">
        <f t="shared" si="11"/>
        <v>3435000:Var_ui_ErrNo:=380;</v>
      </c>
    </row>
    <row r="382" ht="16.5" spans="1:20">
      <c r="A382" s="222">
        <v>381</v>
      </c>
      <c r="B382" s="35">
        <v>135</v>
      </c>
      <c r="C382" s="35">
        <v>46</v>
      </c>
      <c r="F382" s="224"/>
      <c r="G382" s="224"/>
      <c r="H382" s="223" t="s">
        <v>3258</v>
      </c>
      <c r="I382" s="223" t="s">
        <v>3233</v>
      </c>
      <c r="J382" s="223" t="s">
        <v>3259</v>
      </c>
      <c r="K382" s="223" t="s">
        <v>3260</v>
      </c>
      <c r="L382" s="228">
        <v>34606</v>
      </c>
      <c r="M382" s="228">
        <v>0</v>
      </c>
      <c r="N382" s="223" t="s">
        <v>3261</v>
      </c>
      <c r="O382" s="229" t="str">
        <f t="shared" si="10"/>
        <v>EBS1_34606_0</v>
      </c>
      <c r="P382" s="229" t="s">
        <v>3262</v>
      </c>
      <c r="Q382" s="227"/>
      <c r="R382" s="227">
        <v>381</v>
      </c>
      <c r="S382" s="227"/>
      <c r="T382" s="229" t="str">
        <f t="shared" si="11"/>
        <v>3460600:Var_ui_ErrNo:=381;</v>
      </c>
    </row>
    <row r="383" ht="16.5" spans="1:20">
      <c r="A383" s="222">
        <v>382</v>
      </c>
      <c r="B383" s="35">
        <v>130</v>
      </c>
      <c r="C383" s="35">
        <v>150</v>
      </c>
      <c r="F383" s="224"/>
      <c r="G383" s="224"/>
      <c r="H383" s="223" t="s">
        <v>3263</v>
      </c>
      <c r="I383" s="223" t="s">
        <v>2962</v>
      </c>
      <c r="J383" s="223" t="s">
        <v>3264</v>
      </c>
      <c r="K383" s="223" t="s">
        <v>3265</v>
      </c>
      <c r="L383" s="228">
        <v>33430</v>
      </c>
      <c r="M383" s="228">
        <v>0</v>
      </c>
      <c r="N383" s="223" t="s">
        <v>3266</v>
      </c>
      <c r="O383" s="229" t="str">
        <f t="shared" si="10"/>
        <v>EBS1_33430_0</v>
      </c>
      <c r="P383" s="229" t="s">
        <v>3267</v>
      </c>
      <c r="Q383" s="227"/>
      <c r="R383" s="227">
        <v>382</v>
      </c>
      <c r="S383" s="227"/>
      <c r="T383" s="229" t="str">
        <f t="shared" si="11"/>
        <v>3343000:Var_ui_ErrNo:=382;</v>
      </c>
    </row>
    <row r="384" ht="16.5" spans="1:20">
      <c r="A384" s="222">
        <v>383</v>
      </c>
      <c r="B384" s="35">
        <v>131</v>
      </c>
      <c r="C384" s="35">
        <v>150</v>
      </c>
      <c r="F384" s="224"/>
      <c r="G384" s="224"/>
      <c r="H384" s="223" t="s">
        <v>3268</v>
      </c>
      <c r="I384" s="223" t="s">
        <v>2962</v>
      </c>
      <c r="J384" s="223" t="s">
        <v>3269</v>
      </c>
      <c r="K384" s="223" t="s">
        <v>3270</v>
      </c>
      <c r="L384" s="228">
        <v>33686</v>
      </c>
      <c r="M384" s="228">
        <v>0</v>
      </c>
      <c r="N384" s="223" t="s">
        <v>3271</v>
      </c>
      <c r="O384" s="229" t="str">
        <f t="shared" si="10"/>
        <v>EBS1_33686_0</v>
      </c>
      <c r="P384" s="229" t="s">
        <v>3272</v>
      </c>
      <c r="Q384" s="227"/>
      <c r="R384" s="227">
        <v>383</v>
      </c>
      <c r="S384" s="227"/>
      <c r="T384" s="229" t="str">
        <f t="shared" si="11"/>
        <v>3368600:Var_ui_ErrNo:=383;</v>
      </c>
    </row>
    <row r="385" ht="16.5" spans="1:20">
      <c r="A385" s="222">
        <v>384</v>
      </c>
      <c r="B385" s="35">
        <v>132</v>
      </c>
      <c r="C385" s="35">
        <v>150</v>
      </c>
      <c r="F385" s="224"/>
      <c r="G385" s="224"/>
      <c r="H385" s="223" t="s">
        <v>3273</v>
      </c>
      <c r="I385" s="223" t="s">
        <v>2962</v>
      </c>
      <c r="J385" s="223" t="s">
        <v>3274</v>
      </c>
      <c r="K385" s="223" t="s">
        <v>3275</v>
      </c>
      <c r="L385" s="228">
        <v>33942</v>
      </c>
      <c r="M385" s="228">
        <v>0</v>
      </c>
      <c r="N385" s="223" t="s">
        <v>3276</v>
      </c>
      <c r="O385" s="229" t="str">
        <f t="shared" si="10"/>
        <v>EBS1_33942_0</v>
      </c>
      <c r="P385" s="229" t="s">
        <v>3277</v>
      </c>
      <c r="Q385" s="227"/>
      <c r="R385" s="227">
        <v>384</v>
      </c>
      <c r="S385" s="227"/>
      <c r="T385" s="229" t="str">
        <f t="shared" si="11"/>
        <v>3394200:Var_ui_ErrNo:=384;</v>
      </c>
    </row>
    <row r="386" ht="16.5" spans="1:20">
      <c r="A386" s="222">
        <v>385</v>
      </c>
      <c r="B386" s="35">
        <v>133</v>
      </c>
      <c r="C386" s="35">
        <v>150</v>
      </c>
      <c r="F386" s="224"/>
      <c r="G386" s="224"/>
      <c r="H386" s="223" t="s">
        <v>3278</v>
      </c>
      <c r="I386" s="223" t="s">
        <v>2962</v>
      </c>
      <c r="J386" s="223" t="s">
        <v>3279</v>
      </c>
      <c r="K386" s="223" t="s">
        <v>3280</v>
      </c>
      <c r="L386" s="228">
        <v>34198</v>
      </c>
      <c r="M386" s="228">
        <v>0</v>
      </c>
      <c r="N386" s="223" t="s">
        <v>3281</v>
      </c>
      <c r="O386" s="229" t="str">
        <f t="shared" ref="O386:O449" si="12">"EBS1_"&amp;L386&amp;"_"&amp;M386</f>
        <v>EBS1_34198_0</v>
      </c>
      <c r="P386" s="229" t="s">
        <v>3282</v>
      </c>
      <c r="Q386" s="227"/>
      <c r="R386" s="227">
        <v>385</v>
      </c>
      <c r="S386" s="227"/>
      <c r="T386" s="229" t="str">
        <f t="shared" si="11"/>
        <v>3419800:Var_ui_ErrNo:=385;</v>
      </c>
    </row>
    <row r="387" ht="16.5" spans="1:20">
      <c r="A387" s="222">
        <v>386</v>
      </c>
      <c r="B387" s="35">
        <v>134</v>
      </c>
      <c r="C387" s="35">
        <v>150</v>
      </c>
      <c r="F387" s="224"/>
      <c r="G387" s="224"/>
      <c r="H387" s="223" t="s">
        <v>3283</v>
      </c>
      <c r="I387" s="223" t="s">
        <v>2962</v>
      </c>
      <c r="J387" s="223" t="s">
        <v>3284</v>
      </c>
      <c r="K387" s="223" t="s">
        <v>3285</v>
      </c>
      <c r="L387" s="228">
        <v>34454</v>
      </c>
      <c r="M387" s="228">
        <v>0</v>
      </c>
      <c r="N387" s="223" t="s">
        <v>3286</v>
      </c>
      <c r="O387" s="229" t="str">
        <f t="shared" si="12"/>
        <v>EBS1_34454_0</v>
      </c>
      <c r="P387" s="229" t="s">
        <v>3287</v>
      </c>
      <c r="Q387" s="227"/>
      <c r="R387" s="227">
        <v>386</v>
      </c>
      <c r="S387" s="227"/>
      <c r="T387" s="229" t="str">
        <f t="shared" ref="T387:T450" si="13">P387&amp;$Q$2&amp;R387&amp;$S$2</f>
        <v>3445400:Var_ui_ErrNo:=386;</v>
      </c>
    </row>
    <row r="388" ht="16.5" spans="1:20">
      <c r="A388" s="222">
        <v>387</v>
      </c>
      <c r="B388" s="35">
        <v>135</v>
      </c>
      <c r="C388" s="35">
        <v>150</v>
      </c>
      <c r="F388" s="224"/>
      <c r="G388" s="224"/>
      <c r="H388" s="223" t="s">
        <v>3288</v>
      </c>
      <c r="I388" s="223" t="s">
        <v>2962</v>
      </c>
      <c r="J388" s="223" t="s">
        <v>3289</v>
      </c>
      <c r="K388" s="223" t="s">
        <v>3290</v>
      </c>
      <c r="L388" s="228">
        <v>34710</v>
      </c>
      <c r="M388" s="228">
        <v>0</v>
      </c>
      <c r="N388" s="223" t="s">
        <v>3291</v>
      </c>
      <c r="O388" s="229" t="str">
        <f t="shared" si="12"/>
        <v>EBS1_34710_0</v>
      </c>
      <c r="P388" s="229" t="s">
        <v>3292</v>
      </c>
      <c r="Q388" s="227"/>
      <c r="R388" s="227">
        <v>387</v>
      </c>
      <c r="S388" s="227"/>
      <c r="T388" s="229" t="str">
        <f t="shared" si="13"/>
        <v>3471000:Var_ui_ErrNo:=387;</v>
      </c>
    </row>
    <row r="389" ht="16.5" spans="1:20">
      <c r="A389" s="222">
        <v>388</v>
      </c>
      <c r="B389" s="35">
        <v>130</v>
      </c>
      <c r="C389" s="35">
        <v>151</v>
      </c>
      <c r="F389" s="224"/>
      <c r="G389" s="224"/>
      <c r="H389" s="223" t="s">
        <v>3293</v>
      </c>
      <c r="I389" s="223" t="s">
        <v>3294</v>
      </c>
      <c r="J389" s="223" t="s">
        <v>3295</v>
      </c>
      <c r="K389" s="223" t="s">
        <v>3296</v>
      </c>
      <c r="L389" s="228">
        <v>33431</v>
      </c>
      <c r="M389" s="228">
        <v>0</v>
      </c>
      <c r="N389" s="223" t="s">
        <v>3297</v>
      </c>
      <c r="O389" s="229" t="str">
        <f t="shared" si="12"/>
        <v>EBS1_33431_0</v>
      </c>
      <c r="P389" s="229" t="s">
        <v>3298</v>
      </c>
      <c r="Q389" s="227"/>
      <c r="R389" s="227">
        <v>388</v>
      </c>
      <c r="S389" s="227"/>
      <c r="T389" s="229" t="str">
        <f t="shared" si="13"/>
        <v>3343100:Var_ui_ErrNo:=388;</v>
      </c>
    </row>
    <row r="390" ht="16.5" spans="1:20">
      <c r="A390" s="222">
        <v>389</v>
      </c>
      <c r="B390" s="35">
        <v>131</v>
      </c>
      <c r="C390" s="35">
        <v>151</v>
      </c>
      <c r="F390" s="224"/>
      <c r="G390" s="224"/>
      <c r="H390" s="223" t="s">
        <v>3299</v>
      </c>
      <c r="I390" s="223" t="s">
        <v>3294</v>
      </c>
      <c r="J390" s="223" t="s">
        <v>3300</v>
      </c>
      <c r="K390" s="223" t="s">
        <v>3301</v>
      </c>
      <c r="L390" s="228">
        <v>33687</v>
      </c>
      <c r="M390" s="228">
        <v>0</v>
      </c>
      <c r="N390" s="223" t="s">
        <v>3302</v>
      </c>
      <c r="O390" s="229" t="str">
        <f t="shared" si="12"/>
        <v>EBS1_33687_0</v>
      </c>
      <c r="P390" s="229" t="s">
        <v>3303</v>
      </c>
      <c r="Q390" s="227"/>
      <c r="R390" s="227">
        <v>389</v>
      </c>
      <c r="S390" s="227"/>
      <c r="T390" s="229" t="str">
        <f t="shared" si="13"/>
        <v>3368700:Var_ui_ErrNo:=389;</v>
      </c>
    </row>
    <row r="391" ht="16.5" spans="1:20">
      <c r="A391" s="222">
        <v>390</v>
      </c>
      <c r="B391" s="35">
        <v>132</v>
      </c>
      <c r="C391" s="35">
        <v>151</v>
      </c>
      <c r="F391" s="224"/>
      <c r="G391" s="224"/>
      <c r="H391" s="223" t="s">
        <v>3304</v>
      </c>
      <c r="I391" s="223" t="s">
        <v>3294</v>
      </c>
      <c r="J391" s="223" t="s">
        <v>3305</v>
      </c>
      <c r="K391" s="223" t="s">
        <v>3306</v>
      </c>
      <c r="L391" s="228">
        <v>33943</v>
      </c>
      <c r="M391" s="228">
        <v>0</v>
      </c>
      <c r="N391" s="223" t="s">
        <v>3307</v>
      </c>
      <c r="O391" s="229" t="str">
        <f t="shared" si="12"/>
        <v>EBS1_33943_0</v>
      </c>
      <c r="P391" s="229" t="s">
        <v>3308</v>
      </c>
      <c r="Q391" s="227"/>
      <c r="R391" s="227">
        <v>390</v>
      </c>
      <c r="S391" s="227"/>
      <c r="T391" s="229" t="str">
        <f t="shared" si="13"/>
        <v>3394300:Var_ui_ErrNo:=390;</v>
      </c>
    </row>
    <row r="392" ht="16.5" spans="1:20">
      <c r="A392" s="222">
        <v>391</v>
      </c>
      <c r="B392" s="35">
        <v>133</v>
      </c>
      <c r="C392" s="35">
        <v>151</v>
      </c>
      <c r="F392" s="224"/>
      <c r="G392" s="224"/>
      <c r="H392" s="223" t="s">
        <v>3309</v>
      </c>
      <c r="I392" s="223" t="s">
        <v>3294</v>
      </c>
      <c r="J392" s="223" t="s">
        <v>3310</v>
      </c>
      <c r="K392" s="223" t="s">
        <v>3311</v>
      </c>
      <c r="L392" s="228">
        <v>34199</v>
      </c>
      <c r="M392" s="228">
        <v>0</v>
      </c>
      <c r="N392" s="223" t="s">
        <v>3312</v>
      </c>
      <c r="O392" s="229" t="str">
        <f t="shared" si="12"/>
        <v>EBS1_34199_0</v>
      </c>
      <c r="P392" s="229" t="s">
        <v>3313</v>
      </c>
      <c r="Q392" s="227"/>
      <c r="R392" s="227">
        <v>391</v>
      </c>
      <c r="S392" s="227"/>
      <c r="T392" s="229" t="str">
        <f t="shared" si="13"/>
        <v>3419900:Var_ui_ErrNo:=391;</v>
      </c>
    </row>
    <row r="393" ht="16.5" spans="1:20">
      <c r="A393" s="222">
        <v>392</v>
      </c>
      <c r="B393" s="35">
        <v>134</v>
      </c>
      <c r="C393" s="35">
        <v>151</v>
      </c>
      <c r="F393" s="224"/>
      <c r="G393" s="224"/>
      <c r="H393" s="223" t="s">
        <v>3314</v>
      </c>
      <c r="I393" s="223" t="s">
        <v>3294</v>
      </c>
      <c r="J393" s="223" t="s">
        <v>3315</v>
      </c>
      <c r="K393" s="223" t="s">
        <v>3316</v>
      </c>
      <c r="L393" s="228">
        <v>34455</v>
      </c>
      <c r="M393" s="228">
        <v>0</v>
      </c>
      <c r="N393" s="223" t="s">
        <v>3317</v>
      </c>
      <c r="O393" s="229" t="str">
        <f t="shared" si="12"/>
        <v>EBS1_34455_0</v>
      </c>
      <c r="P393" s="229" t="s">
        <v>3318</v>
      </c>
      <c r="Q393" s="227"/>
      <c r="R393" s="227">
        <v>392</v>
      </c>
      <c r="S393" s="227"/>
      <c r="T393" s="229" t="str">
        <f t="shared" si="13"/>
        <v>3445500:Var_ui_ErrNo:=392;</v>
      </c>
    </row>
    <row r="394" ht="16.5" spans="1:20">
      <c r="A394" s="222">
        <v>393</v>
      </c>
      <c r="B394" s="35">
        <v>135</v>
      </c>
      <c r="C394" s="35">
        <v>151</v>
      </c>
      <c r="F394" s="224"/>
      <c r="G394" s="224"/>
      <c r="H394" s="223" t="s">
        <v>3319</v>
      </c>
      <c r="I394" s="223" t="s">
        <v>3294</v>
      </c>
      <c r="J394" s="223" t="s">
        <v>3320</v>
      </c>
      <c r="K394" s="223" t="s">
        <v>3321</v>
      </c>
      <c r="L394" s="228">
        <v>34711</v>
      </c>
      <c r="M394" s="228">
        <v>0</v>
      </c>
      <c r="N394" s="223" t="s">
        <v>3322</v>
      </c>
      <c r="O394" s="229" t="str">
        <f t="shared" si="12"/>
        <v>EBS1_34711_0</v>
      </c>
      <c r="P394" s="229" t="s">
        <v>3323</v>
      </c>
      <c r="Q394" s="227"/>
      <c r="R394" s="227">
        <v>393</v>
      </c>
      <c r="S394" s="227"/>
      <c r="T394" s="229" t="str">
        <f t="shared" si="13"/>
        <v>3471100:Var_ui_ErrNo:=393;</v>
      </c>
    </row>
    <row r="395" ht="16.5" spans="1:20">
      <c r="A395" s="222">
        <v>394</v>
      </c>
      <c r="B395" s="35">
        <v>130</v>
      </c>
      <c r="C395" s="35">
        <v>153</v>
      </c>
      <c r="F395" s="224"/>
      <c r="G395" s="224"/>
      <c r="H395" s="223" t="s">
        <v>3324</v>
      </c>
      <c r="I395" s="223" t="s">
        <v>3325</v>
      </c>
      <c r="J395" s="223" t="s">
        <v>3326</v>
      </c>
      <c r="K395" s="223" t="s">
        <v>3327</v>
      </c>
      <c r="L395" s="228">
        <v>33433</v>
      </c>
      <c r="M395" s="228">
        <v>0</v>
      </c>
      <c r="N395" s="223" t="s">
        <v>3328</v>
      </c>
      <c r="O395" s="229" t="str">
        <f t="shared" si="12"/>
        <v>EBS1_33433_0</v>
      </c>
      <c r="P395" s="229" t="s">
        <v>3329</v>
      </c>
      <c r="Q395" s="227"/>
      <c r="R395" s="227">
        <v>394</v>
      </c>
      <c r="S395" s="227"/>
      <c r="T395" s="229" t="str">
        <f t="shared" si="13"/>
        <v>3343300:Var_ui_ErrNo:=394;</v>
      </c>
    </row>
    <row r="396" ht="16.5" spans="1:20">
      <c r="A396" s="222">
        <v>395</v>
      </c>
      <c r="B396" s="35">
        <v>131</v>
      </c>
      <c r="C396" s="35">
        <v>153</v>
      </c>
      <c r="F396" s="224"/>
      <c r="G396" s="224"/>
      <c r="H396" s="223" t="s">
        <v>3330</v>
      </c>
      <c r="I396" s="223" t="s">
        <v>3325</v>
      </c>
      <c r="J396" s="223" t="s">
        <v>3331</v>
      </c>
      <c r="K396" s="223" t="s">
        <v>3332</v>
      </c>
      <c r="L396" s="228">
        <v>33689</v>
      </c>
      <c r="M396" s="228">
        <v>0</v>
      </c>
      <c r="N396" s="223" t="s">
        <v>3333</v>
      </c>
      <c r="O396" s="229" t="str">
        <f t="shared" si="12"/>
        <v>EBS1_33689_0</v>
      </c>
      <c r="P396" s="229" t="s">
        <v>3334</v>
      </c>
      <c r="Q396" s="227"/>
      <c r="R396" s="227">
        <v>395</v>
      </c>
      <c r="S396" s="227"/>
      <c r="T396" s="229" t="str">
        <f t="shared" si="13"/>
        <v>3368900:Var_ui_ErrNo:=395;</v>
      </c>
    </row>
    <row r="397" ht="16.5" spans="1:20">
      <c r="A397" s="222">
        <v>396</v>
      </c>
      <c r="B397" s="35">
        <v>132</v>
      </c>
      <c r="C397" s="35">
        <v>153</v>
      </c>
      <c r="F397" s="224"/>
      <c r="G397" s="224"/>
      <c r="H397" s="223" t="s">
        <v>3335</v>
      </c>
      <c r="I397" s="223" t="s">
        <v>3325</v>
      </c>
      <c r="J397" s="223" t="s">
        <v>3336</v>
      </c>
      <c r="K397" s="223" t="s">
        <v>3337</v>
      </c>
      <c r="L397" s="228">
        <v>33945</v>
      </c>
      <c r="M397" s="228">
        <v>0</v>
      </c>
      <c r="N397" s="223" t="s">
        <v>3338</v>
      </c>
      <c r="O397" s="229" t="str">
        <f t="shared" si="12"/>
        <v>EBS1_33945_0</v>
      </c>
      <c r="P397" s="229" t="s">
        <v>3339</v>
      </c>
      <c r="Q397" s="227"/>
      <c r="R397" s="227">
        <v>396</v>
      </c>
      <c r="S397" s="227"/>
      <c r="T397" s="229" t="str">
        <f t="shared" si="13"/>
        <v>3394500:Var_ui_ErrNo:=396;</v>
      </c>
    </row>
    <row r="398" ht="16.5" spans="1:20">
      <c r="A398" s="222">
        <v>397</v>
      </c>
      <c r="B398" s="35">
        <v>133</v>
      </c>
      <c r="C398" s="35">
        <v>153</v>
      </c>
      <c r="F398" s="224"/>
      <c r="G398" s="224"/>
      <c r="H398" s="223" t="s">
        <v>3340</v>
      </c>
      <c r="I398" s="223" t="s">
        <v>3325</v>
      </c>
      <c r="J398" s="223" t="s">
        <v>3341</v>
      </c>
      <c r="K398" s="223" t="s">
        <v>3342</v>
      </c>
      <c r="L398" s="228">
        <v>34201</v>
      </c>
      <c r="M398" s="228">
        <v>0</v>
      </c>
      <c r="N398" s="223" t="s">
        <v>3343</v>
      </c>
      <c r="O398" s="229" t="str">
        <f t="shared" si="12"/>
        <v>EBS1_34201_0</v>
      </c>
      <c r="P398" s="229" t="s">
        <v>3344</v>
      </c>
      <c r="Q398" s="227"/>
      <c r="R398" s="227">
        <v>397</v>
      </c>
      <c r="S398" s="227"/>
      <c r="T398" s="229" t="str">
        <f t="shared" si="13"/>
        <v>3420100:Var_ui_ErrNo:=397;</v>
      </c>
    </row>
    <row r="399" ht="16.5" spans="1:20">
      <c r="A399" s="222">
        <v>398</v>
      </c>
      <c r="B399" s="35">
        <v>134</v>
      </c>
      <c r="C399" s="35">
        <v>153</v>
      </c>
      <c r="F399" s="224"/>
      <c r="G399" s="224"/>
      <c r="H399" s="223" t="s">
        <v>3345</v>
      </c>
      <c r="I399" s="223" t="s">
        <v>3325</v>
      </c>
      <c r="J399" s="223" t="s">
        <v>3346</v>
      </c>
      <c r="K399" s="223" t="s">
        <v>3347</v>
      </c>
      <c r="L399" s="228">
        <v>34457</v>
      </c>
      <c r="M399" s="228">
        <v>0</v>
      </c>
      <c r="N399" s="223" t="s">
        <v>3348</v>
      </c>
      <c r="O399" s="229" t="str">
        <f t="shared" si="12"/>
        <v>EBS1_34457_0</v>
      </c>
      <c r="P399" s="229" t="s">
        <v>3349</v>
      </c>
      <c r="Q399" s="227"/>
      <c r="R399" s="227">
        <v>398</v>
      </c>
      <c r="S399" s="227"/>
      <c r="T399" s="229" t="str">
        <f t="shared" si="13"/>
        <v>3445700:Var_ui_ErrNo:=398;</v>
      </c>
    </row>
    <row r="400" ht="16.5" spans="1:20">
      <c r="A400" s="222">
        <v>399</v>
      </c>
      <c r="B400" s="35">
        <v>135</v>
      </c>
      <c r="C400" s="35">
        <v>153</v>
      </c>
      <c r="F400" s="224"/>
      <c r="G400" s="224"/>
      <c r="H400" s="223" t="s">
        <v>3350</v>
      </c>
      <c r="I400" s="223" t="s">
        <v>3325</v>
      </c>
      <c r="J400" s="223" t="s">
        <v>3351</v>
      </c>
      <c r="K400" s="223" t="s">
        <v>3352</v>
      </c>
      <c r="L400" s="228">
        <v>34713</v>
      </c>
      <c r="M400" s="228">
        <v>0</v>
      </c>
      <c r="N400" s="223" t="s">
        <v>3353</v>
      </c>
      <c r="O400" s="229" t="str">
        <f t="shared" si="12"/>
        <v>EBS1_34713_0</v>
      </c>
      <c r="P400" s="229" t="s">
        <v>3354</v>
      </c>
      <c r="Q400" s="227"/>
      <c r="R400" s="227">
        <v>399</v>
      </c>
      <c r="S400" s="227"/>
      <c r="T400" s="229" t="str">
        <f t="shared" si="13"/>
        <v>3471300:Var_ui_ErrNo:=399;</v>
      </c>
    </row>
    <row r="401" ht="16.5" spans="1:20">
      <c r="A401" s="222">
        <v>400</v>
      </c>
      <c r="B401" s="35">
        <v>130</v>
      </c>
      <c r="C401" s="35">
        <v>156</v>
      </c>
      <c r="F401" s="224"/>
      <c r="G401" s="224"/>
      <c r="H401" s="223" t="s">
        <v>3355</v>
      </c>
      <c r="I401" s="223" t="s">
        <v>3294</v>
      </c>
      <c r="J401" s="223" t="s">
        <v>3356</v>
      </c>
      <c r="K401" s="223" t="s">
        <v>3357</v>
      </c>
      <c r="L401" s="228">
        <v>33436</v>
      </c>
      <c r="M401" s="228">
        <v>0</v>
      </c>
      <c r="N401" s="223" t="s">
        <v>3358</v>
      </c>
      <c r="O401" s="229" t="str">
        <f t="shared" si="12"/>
        <v>EBS1_33436_0</v>
      </c>
      <c r="P401" s="229" t="s">
        <v>3359</v>
      </c>
      <c r="Q401" s="227"/>
      <c r="R401" s="227">
        <v>400</v>
      </c>
      <c r="S401" s="227"/>
      <c r="T401" s="229" t="str">
        <f t="shared" si="13"/>
        <v>3343600:Var_ui_ErrNo:=400;</v>
      </c>
    </row>
    <row r="402" ht="16.5" spans="1:20">
      <c r="A402" s="222">
        <v>401</v>
      </c>
      <c r="B402" s="35">
        <v>131</v>
      </c>
      <c r="C402" s="35">
        <v>156</v>
      </c>
      <c r="F402" s="224"/>
      <c r="G402" s="224"/>
      <c r="H402" s="223" t="s">
        <v>3360</v>
      </c>
      <c r="I402" s="223" t="s">
        <v>3294</v>
      </c>
      <c r="J402" s="223" t="s">
        <v>3361</v>
      </c>
      <c r="K402" s="223" t="s">
        <v>3362</v>
      </c>
      <c r="L402" s="228">
        <v>33692</v>
      </c>
      <c r="M402" s="228">
        <v>0</v>
      </c>
      <c r="N402" s="223" t="s">
        <v>3363</v>
      </c>
      <c r="O402" s="229" t="str">
        <f t="shared" si="12"/>
        <v>EBS1_33692_0</v>
      </c>
      <c r="P402" s="229" t="s">
        <v>3364</v>
      </c>
      <c r="Q402" s="227"/>
      <c r="R402" s="227">
        <v>401</v>
      </c>
      <c r="S402" s="227"/>
      <c r="T402" s="229" t="str">
        <f t="shared" si="13"/>
        <v>3369200:Var_ui_ErrNo:=401;</v>
      </c>
    </row>
    <row r="403" ht="16.5" spans="1:20">
      <c r="A403" s="222">
        <v>402</v>
      </c>
      <c r="B403" s="35">
        <v>132</v>
      </c>
      <c r="C403" s="35">
        <v>156</v>
      </c>
      <c r="F403" s="224"/>
      <c r="G403" s="224"/>
      <c r="H403" s="223" t="s">
        <v>3365</v>
      </c>
      <c r="I403" s="223" t="s">
        <v>3294</v>
      </c>
      <c r="J403" s="223" t="s">
        <v>3366</v>
      </c>
      <c r="K403" s="223" t="s">
        <v>3367</v>
      </c>
      <c r="L403" s="228">
        <v>33948</v>
      </c>
      <c r="M403" s="228">
        <v>0</v>
      </c>
      <c r="N403" s="223" t="s">
        <v>3368</v>
      </c>
      <c r="O403" s="229" t="str">
        <f t="shared" si="12"/>
        <v>EBS1_33948_0</v>
      </c>
      <c r="P403" s="229" t="s">
        <v>3369</v>
      </c>
      <c r="Q403" s="227"/>
      <c r="R403" s="227">
        <v>402</v>
      </c>
      <c r="S403" s="227"/>
      <c r="T403" s="229" t="str">
        <f t="shared" si="13"/>
        <v>3394800:Var_ui_ErrNo:=402;</v>
      </c>
    </row>
    <row r="404" ht="16.5" spans="1:20">
      <c r="A404" s="222">
        <v>403</v>
      </c>
      <c r="B404" s="35">
        <v>133</v>
      </c>
      <c r="C404" s="35">
        <v>156</v>
      </c>
      <c r="F404" s="224"/>
      <c r="G404" s="224"/>
      <c r="H404" s="223" t="s">
        <v>3370</v>
      </c>
      <c r="I404" s="223" t="s">
        <v>3294</v>
      </c>
      <c r="J404" s="223" t="s">
        <v>3371</v>
      </c>
      <c r="K404" s="223" t="s">
        <v>3372</v>
      </c>
      <c r="L404" s="228">
        <v>34204</v>
      </c>
      <c r="M404" s="228">
        <v>0</v>
      </c>
      <c r="N404" s="223" t="s">
        <v>3373</v>
      </c>
      <c r="O404" s="229" t="str">
        <f t="shared" si="12"/>
        <v>EBS1_34204_0</v>
      </c>
      <c r="P404" s="229" t="s">
        <v>3374</v>
      </c>
      <c r="Q404" s="227"/>
      <c r="R404" s="227">
        <v>403</v>
      </c>
      <c r="S404" s="227"/>
      <c r="T404" s="229" t="str">
        <f t="shared" si="13"/>
        <v>3420400:Var_ui_ErrNo:=403;</v>
      </c>
    </row>
    <row r="405" ht="16.5" spans="1:20">
      <c r="A405" s="222">
        <v>404</v>
      </c>
      <c r="B405" s="35">
        <v>134</v>
      </c>
      <c r="C405" s="35">
        <v>156</v>
      </c>
      <c r="F405" s="224"/>
      <c r="G405" s="224"/>
      <c r="H405" s="223" t="s">
        <v>3375</v>
      </c>
      <c r="I405" s="223" t="s">
        <v>3294</v>
      </c>
      <c r="J405" s="223" t="s">
        <v>3376</v>
      </c>
      <c r="K405" s="223" t="s">
        <v>3377</v>
      </c>
      <c r="L405" s="228">
        <v>34460</v>
      </c>
      <c r="M405" s="228">
        <v>0</v>
      </c>
      <c r="N405" s="223" t="s">
        <v>3378</v>
      </c>
      <c r="O405" s="229" t="str">
        <f t="shared" si="12"/>
        <v>EBS1_34460_0</v>
      </c>
      <c r="P405" s="229" t="s">
        <v>3379</v>
      </c>
      <c r="Q405" s="227"/>
      <c r="R405" s="227">
        <v>404</v>
      </c>
      <c r="S405" s="227"/>
      <c r="T405" s="229" t="str">
        <f t="shared" si="13"/>
        <v>3446000:Var_ui_ErrNo:=404;</v>
      </c>
    </row>
    <row r="406" ht="16.5" spans="1:20">
      <c r="A406" s="222">
        <v>405</v>
      </c>
      <c r="B406" s="35">
        <v>135</v>
      </c>
      <c r="C406" s="35">
        <v>156</v>
      </c>
      <c r="F406" s="224"/>
      <c r="G406" s="224"/>
      <c r="H406" s="223" t="s">
        <v>3380</v>
      </c>
      <c r="I406" s="223" t="s">
        <v>3294</v>
      </c>
      <c r="J406" s="223" t="s">
        <v>3381</v>
      </c>
      <c r="K406" s="223" t="s">
        <v>3382</v>
      </c>
      <c r="L406" s="228">
        <v>34716</v>
      </c>
      <c r="M406" s="228">
        <v>0</v>
      </c>
      <c r="N406" s="223" t="s">
        <v>3383</v>
      </c>
      <c r="O406" s="229" t="str">
        <f t="shared" si="12"/>
        <v>EBS1_34716_0</v>
      </c>
      <c r="P406" s="229" t="s">
        <v>3384</v>
      </c>
      <c r="Q406" s="227"/>
      <c r="R406" s="227">
        <v>405</v>
      </c>
      <c r="S406" s="227"/>
      <c r="T406" s="229" t="str">
        <f t="shared" si="13"/>
        <v>3471600:Var_ui_ErrNo:=405;</v>
      </c>
    </row>
    <row r="407" ht="16.5" spans="1:20">
      <c r="A407" s="222">
        <v>406</v>
      </c>
      <c r="B407" s="35">
        <v>130</v>
      </c>
      <c r="C407" s="35">
        <v>157</v>
      </c>
      <c r="F407" s="224"/>
      <c r="G407" s="224"/>
      <c r="H407" s="223" t="s">
        <v>3385</v>
      </c>
      <c r="I407" s="223" t="s">
        <v>3294</v>
      </c>
      <c r="J407" s="223" t="s">
        <v>3386</v>
      </c>
      <c r="K407" s="223" t="s">
        <v>3387</v>
      </c>
      <c r="L407" s="228">
        <v>33437</v>
      </c>
      <c r="M407" s="228">
        <v>0</v>
      </c>
      <c r="N407" s="223" t="s">
        <v>3119</v>
      </c>
      <c r="O407" s="229" t="str">
        <f t="shared" si="12"/>
        <v>EBS1_33437_0</v>
      </c>
      <c r="P407" s="229" t="s">
        <v>3388</v>
      </c>
      <c r="Q407" s="227"/>
      <c r="R407" s="227">
        <v>406</v>
      </c>
      <c r="S407" s="227"/>
      <c r="T407" s="229" t="str">
        <f t="shared" si="13"/>
        <v>3343700:Var_ui_ErrNo:=406;</v>
      </c>
    </row>
    <row r="408" ht="16.5" spans="1:20">
      <c r="A408" s="222">
        <v>407</v>
      </c>
      <c r="B408" s="35">
        <v>131</v>
      </c>
      <c r="C408" s="35">
        <v>157</v>
      </c>
      <c r="F408" s="224"/>
      <c r="G408" s="224"/>
      <c r="H408" s="223" t="s">
        <v>3389</v>
      </c>
      <c r="I408" s="223" t="s">
        <v>3294</v>
      </c>
      <c r="J408" s="223" t="s">
        <v>3390</v>
      </c>
      <c r="K408" s="223" t="s">
        <v>3391</v>
      </c>
      <c r="L408" s="228">
        <v>33693</v>
      </c>
      <c r="M408" s="228">
        <v>0</v>
      </c>
      <c r="N408" s="223" t="s">
        <v>3124</v>
      </c>
      <c r="O408" s="229" t="str">
        <f t="shared" si="12"/>
        <v>EBS1_33693_0</v>
      </c>
      <c r="P408" s="229" t="s">
        <v>3392</v>
      </c>
      <c r="Q408" s="227"/>
      <c r="R408" s="227">
        <v>407</v>
      </c>
      <c r="S408" s="227"/>
      <c r="T408" s="229" t="str">
        <f t="shared" si="13"/>
        <v>3369300:Var_ui_ErrNo:=407;</v>
      </c>
    </row>
    <row r="409" ht="16.5" spans="1:20">
      <c r="A409" s="222">
        <v>408</v>
      </c>
      <c r="B409" s="35">
        <v>132</v>
      </c>
      <c r="C409" s="35">
        <v>157</v>
      </c>
      <c r="F409" s="224"/>
      <c r="G409" s="224"/>
      <c r="H409" s="223" t="s">
        <v>3393</v>
      </c>
      <c r="I409" s="223" t="s">
        <v>3294</v>
      </c>
      <c r="J409" s="223" t="s">
        <v>3394</v>
      </c>
      <c r="K409" s="223" t="s">
        <v>3395</v>
      </c>
      <c r="L409" s="228">
        <v>33949</v>
      </c>
      <c r="M409" s="228">
        <v>0</v>
      </c>
      <c r="N409" s="223" t="s">
        <v>3129</v>
      </c>
      <c r="O409" s="229" t="str">
        <f t="shared" si="12"/>
        <v>EBS1_33949_0</v>
      </c>
      <c r="P409" s="229" t="s">
        <v>3396</v>
      </c>
      <c r="Q409" s="227"/>
      <c r="R409" s="227">
        <v>408</v>
      </c>
      <c r="S409" s="227"/>
      <c r="T409" s="229" t="str">
        <f t="shared" si="13"/>
        <v>3394900:Var_ui_ErrNo:=408;</v>
      </c>
    </row>
    <row r="410" ht="16.5" spans="1:20">
      <c r="A410" s="222">
        <v>409</v>
      </c>
      <c r="B410" s="35">
        <v>133</v>
      </c>
      <c r="C410" s="35">
        <v>157</v>
      </c>
      <c r="F410" s="224"/>
      <c r="G410" s="224"/>
      <c r="H410" s="223" t="s">
        <v>3397</v>
      </c>
      <c r="I410" s="223" t="s">
        <v>3294</v>
      </c>
      <c r="J410" s="223" t="s">
        <v>3398</v>
      </c>
      <c r="K410" s="223" t="s">
        <v>3399</v>
      </c>
      <c r="L410" s="228">
        <v>34205</v>
      </c>
      <c r="M410" s="228">
        <v>0</v>
      </c>
      <c r="N410" s="223" t="s">
        <v>3134</v>
      </c>
      <c r="O410" s="229" t="str">
        <f t="shared" si="12"/>
        <v>EBS1_34205_0</v>
      </c>
      <c r="P410" s="229" t="s">
        <v>3400</v>
      </c>
      <c r="Q410" s="227"/>
      <c r="R410" s="227">
        <v>409</v>
      </c>
      <c r="S410" s="227"/>
      <c r="T410" s="229" t="str">
        <f t="shared" si="13"/>
        <v>3420500:Var_ui_ErrNo:=409;</v>
      </c>
    </row>
    <row r="411" ht="16.5" spans="1:20">
      <c r="A411" s="222">
        <v>410</v>
      </c>
      <c r="B411" s="35">
        <v>134</v>
      </c>
      <c r="C411" s="35">
        <v>157</v>
      </c>
      <c r="F411" s="224"/>
      <c r="G411" s="224"/>
      <c r="H411" s="223" t="s">
        <v>3401</v>
      </c>
      <c r="I411" s="223" t="s">
        <v>3294</v>
      </c>
      <c r="J411" s="223" t="s">
        <v>3402</v>
      </c>
      <c r="K411" s="223" t="s">
        <v>3403</v>
      </c>
      <c r="L411" s="228">
        <v>34461</v>
      </c>
      <c r="M411" s="228">
        <v>0</v>
      </c>
      <c r="N411" s="223" t="s">
        <v>3139</v>
      </c>
      <c r="O411" s="229" t="str">
        <f t="shared" si="12"/>
        <v>EBS1_34461_0</v>
      </c>
      <c r="P411" s="229" t="s">
        <v>3404</v>
      </c>
      <c r="Q411" s="227"/>
      <c r="R411" s="227">
        <v>410</v>
      </c>
      <c r="S411" s="227"/>
      <c r="T411" s="229" t="str">
        <f t="shared" si="13"/>
        <v>3446100:Var_ui_ErrNo:=410;</v>
      </c>
    </row>
    <row r="412" ht="16.5" spans="1:20">
      <c r="A412" s="222">
        <v>411</v>
      </c>
      <c r="B412" s="35">
        <v>135</v>
      </c>
      <c r="C412" s="35">
        <v>157</v>
      </c>
      <c r="F412" s="224"/>
      <c r="G412" s="224"/>
      <c r="H412" s="223" t="s">
        <v>3405</v>
      </c>
      <c r="I412" s="223" t="s">
        <v>3294</v>
      </c>
      <c r="J412" s="223" t="s">
        <v>3406</v>
      </c>
      <c r="K412" s="223" t="s">
        <v>3407</v>
      </c>
      <c r="L412" s="228">
        <v>34717</v>
      </c>
      <c r="M412" s="228">
        <v>0</v>
      </c>
      <c r="N412" s="223" t="s">
        <v>3144</v>
      </c>
      <c r="O412" s="229" t="str">
        <f t="shared" si="12"/>
        <v>EBS1_34717_0</v>
      </c>
      <c r="P412" s="229" t="s">
        <v>3408</v>
      </c>
      <c r="Q412" s="227"/>
      <c r="R412" s="227">
        <v>411</v>
      </c>
      <c r="S412" s="227"/>
      <c r="T412" s="229" t="str">
        <f t="shared" si="13"/>
        <v>3471700:Var_ui_ErrNo:=411;</v>
      </c>
    </row>
    <row r="413" ht="16.5" spans="1:20">
      <c r="A413" s="222">
        <v>412</v>
      </c>
      <c r="B413" s="35">
        <v>130</v>
      </c>
      <c r="C413" s="35">
        <v>160</v>
      </c>
      <c r="F413" s="224"/>
      <c r="G413" s="224"/>
      <c r="H413" s="223" t="s">
        <v>3385</v>
      </c>
      <c r="I413" s="223" t="s">
        <v>3325</v>
      </c>
      <c r="J413" s="223" t="s">
        <v>3409</v>
      </c>
      <c r="K413" s="223" t="s">
        <v>3410</v>
      </c>
      <c r="L413" s="228">
        <v>33440</v>
      </c>
      <c r="M413" s="228">
        <v>0</v>
      </c>
      <c r="N413" s="223" t="s">
        <v>3119</v>
      </c>
      <c r="O413" s="229" t="str">
        <f t="shared" si="12"/>
        <v>EBS1_33440_0</v>
      </c>
      <c r="P413" s="229" t="s">
        <v>3411</v>
      </c>
      <c r="Q413" s="227"/>
      <c r="R413" s="227">
        <v>412</v>
      </c>
      <c r="S413" s="227"/>
      <c r="T413" s="229" t="str">
        <f t="shared" si="13"/>
        <v>3344000:Var_ui_ErrNo:=412;</v>
      </c>
    </row>
    <row r="414" ht="16.5" spans="1:20">
      <c r="A414" s="222">
        <v>413</v>
      </c>
      <c r="B414" s="35">
        <v>131</v>
      </c>
      <c r="C414" s="35">
        <v>160</v>
      </c>
      <c r="F414" s="224"/>
      <c r="G414" s="224"/>
      <c r="H414" s="223" t="s">
        <v>3389</v>
      </c>
      <c r="I414" s="223" t="s">
        <v>3325</v>
      </c>
      <c r="J414" s="223" t="s">
        <v>3412</v>
      </c>
      <c r="K414" s="223" t="s">
        <v>3413</v>
      </c>
      <c r="L414" s="228">
        <v>33696</v>
      </c>
      <c r="M414" s="228">
        <v>0</v>
      </c>
      <c r="N414" s="223" t="s">
        <v>3124</v>
      </c>
      <c r="O414" s="229" t="str">
        <f t="shared" si="12"/>
        <v>EBS1_33696_0</v>
      </c>
      <c r="P414" s="229" t="s">
        <v>3414</v>
      </c>
      <c r="Q414" s="227"/>
      <c r="R414" s="227">
        <v>413</v>
      </c>
      <c r="S414" s="227"/>
      <c r="T414" s="229" t="str">
        <f t="shared" si="13"/>
        <v>3369600:Var_ui_ErrNo:=413;</v>
      </c>
    </row>
    <row r="415" ht="16.5" spans="1:20">
      <c r="A415" s="222">
        <v>414</v>
      </c>
      <c r="B415" s="35">
        <v>132</v>
      </c>
      <c r="C415" s="35">
        <v>160</v>
      </c>
      <c r="F415" s="224"/>
      <c r="G415" s="224"/>
      <c r="H415" s="223" t="s">
        <v>3393</v>
      </c>
      <c r="I415" s="223" t="s">
        <v>3325</v>
      </c>
      <c r="J415" s="223" t="s">
        <v>3415</v>
      </c>
      <c r="K415" s="223" t="s">
        <v>3416</v>
      </c>
      <c r="L415" s="228">
        <v>33952</v>
      </c>
      <c r="M415" s="228">
        <v>0</v>
      </c>
      <c r="N415" s="223" t="s">
        <v>3129</v>
      </c>
      <c r="O415" s="229" t="str">
        <f t="shared" si="12"/>
        <v>EBS1_33952_0</v>
      </c>
      <c r="P415" s="229" t="s">
        <v>3417</v>
      </c>
      <c r="Q415" s="227"/>
      <c r="R415" s="227">
        <v>414</v>
      </c>
      <c r="S415" s="227"/>
      <c r="T415" s="229" t="str">
        <f t="shared" si="13"/>
        <v>3395200:Var_ui_ErrNo:=414;</v>
      </c>
    </row>
    <row r="416" ht="16.5" spans="1:20">
      <c r="A416" s="222">
        <v>415</v>
      </c>
      <c r="B416" s="35">
        <v>133</v>
      </c>
      <c r="C416" s="35">
        <v>160</v>
      </c>
      <c r="F416" s="224"/>
      <c r="G416" s="224"/>
      <c r="H416" s="223" t="s">
        <v>3397</v>
      </c>
      <c r="I416" s="223" t="s">
        <v>3325</v>
      </c>
      <c r="J416" s="223" t="s">
        <v>3418</v>
      </c>
      <c r="K416" s="223" t="s">
        <v>3419</v>
      </c>
      <c r="L416" s="228">
        <v>34208</v>
      </c>
      <c r="M416" s="228">
        <v>0</v>
      </c>
      <c r="N416" s="223" t="s">
        <v>3134</v>
      </c>
      <c r="O416" s="229" t="str">
        <f t="shared" si="12"/>
        <v>EBS1_34208_0</v>
      </c>
      <c r="P416" s="229" t="s">
        <v>3420</v>
      </c>
      <c r="Q416" s="227"/>
      <c r="R416" s="227">
        <v>415</v>
      </c>
      <c r="S416" s="227"/>
      <c r="T416" s="229" t="str">
        <f t="shared" si="13"/>
        <v>3420800:Var_ui_ErrNo:=415;</v>
      </c>
    </row>
    <row r="417" ht="16.5" spans="1:20">
      <c r="A417" s="222">
        <v>416</v>
      </c>
      <c r="B417" s="35">
        <v>134</v>
      </c>
      <c r="C417" s="35">
        <v>160</v>
      </c>
      <c r="F417" s="224"/>
      <c r="G417" s="224"/>
      <c r="H417" s="223" t="s">
        <v>3401</v>
      </c>
      <c r="I417" s="223" t="s">
        <v>3325</v>
      </c>
      <c r="J417" s="223" t="s">
        <v>3421</v>
      </c>
      <c r="K417" s="223" t="s">
        <v>3422</v>
      </c>
      <c r="L417" s="228">
        <v>34464</v>
      </c>
      <c r="M417" s="228">
        <v>0</v>
      </c>
      <c r="N417" s="223" t="s">
        <v>3139</v>
      </c>
      <c r="O417" s="229" t="str">
        <f t="shared" si="12"/>
        <v>EBS1_34464_0</v>
      </c>
      <c r="P417" s="229" t="s">
        <v>3423</v>
      </c>
      <c r="Q417" s="227"/>
      <c r="R417" s="227">
        <v>416</v>
      </c>
      <c r="S417" s="227"/>
      <c r="T417" s="229" t="str">
        <f t="shared" si="13"/>
        <v>3446400:Var_ui_ErrNo:=416;</v>
      </c>
    </row>
    <row r="418" ht="16.5" spans="1:20">
      <c r="A418" s="222">
        <v>417</v>
      </c>
      <c r="B418" s="35">
        <v>135</v>
      </c>
      <c r="C418" s="35">
        <v>160</v>
      </c>
      <c r="F418" s="224"/>
      <c r="G418" s="224"/>
      <c r="H418" s="223" t="s">
        <v>3405</v>
      </c>
      <c r="I418" s="223" t="s">
        <v>3325</v>
      </c>
      <c r="J418" s="223" t="s">
        <v>3424</v>
      </c>
      <c r="K418" s="223" t="s">
        <v>3425</v>
      </c>
      <c r="L418" s="228">
        <v>34720</v>
      </c>
      <c r="M418" s="228">
        <v>0</v>
      </c>
      <c r="N418" s="223" t="s">
        <v>3144</v>
      </c>
      <c r="O418" s="229" t="str">
        <f t="shared" si="12"/>
        <v>EBS1_34720_0</v>
      </c>
      <c r="P418" s="229" t="s">
        <v>3426</v>
      </c>
      <c r="Q418" s="227"/>
      <c r="R418" s="227">
        <v>417</v>
      </c>
      <c r="S418" s="227"/>
      <c r="T418" s="229" t="str">
        <f t="shared" si="13"/>
        <v>3472000:Var_ui_ErrNo:=417;</v>
      </c>
    </row>
    <row r="419" ht="16.5" spans="1:20">
      <c r="A419" s="222">
        <v>418</v>
      </c>
      <c r="B419" s="35">
        <v>130</v>
      </c>
      <c r="C419" s="35">
        <v>162</v>
      </c>
      <c r="F419" s="224"/>
      <c r="G419" s="224"/>
      <c r="H419" s="223" t="s">
        <v>3427</v>
      </c>
      <c r="I419" s="223" t="s">
        <v>3428</v>
      </c>
      <c r="J419" s="223" t="s">
        <v>3429</v>
      </c>
      <c r="K419" s="223" t="s">
        <v>3430</v>
      </c>
      <c r="L419" s="228">
        <v>33442</v>
      </c>
      <c r="M419" s="228">
        <v>0</v>
      </c>
      <c r="N419" s="223" t="s">
        <v>3431</v>
      </c>
      <c r="O419" s="229" t="str">
        <f t="shared" si="12"/>
        <v>EBS1_33442_0</v>
      </c>
      <c r="P419" s="229" t="s">
        <v>3432</v>
      </c>
      <c r="Q419" s="227"/>
      <c r="R419" s="227">
        <v>418</v>
      </c>
      <c r="S419" s="227"/>
      <c r="T419" s="229" t="str">
        <f t="shared" si="13"/>
        <v>3344200:Var_ui_ErrNo:=418;</v>
      </c>
    </row>
    <row r="420" ht="16.5" spans="1:20">
      <c r="A420" s="222">
        <v>419</v>
      </c>
      <c r="B420" s="35">
        <v>131</v>
      </c>
      <c r="C420" s="35">
        <v>162</v>
      </c>
      <c r="F420" s="224"/>
      <c r="G420" s="224"/>
      <c r="H420" s="223" t="s">
        <v>3433</v>
      </c>
      <c r="I420" s="223" t="s">
        <v>3428</v>
      </c>
      <c r="J420" s="223" t="s">
        <v>3434</v>
      </c>
      <c r="K420" s="223" t="s">
        <v>3435</v>
      </c>
      <c r="L420" s="228">
        <v>33698</v>
      </c>
      <c r="M420" s="228">
        <v>0</v>
      </c>
      <c r="N420" s="223" t="s">
        <v>3436</v>
      </c>
      <c r="O420" s="229" t="str">
        <f t="shared" si="12"/>
        <v>EBS1_33698_0</v>
      </c>
      <c r="P420" s="229" t="s">
        <v>3437</v>
      </c>
      <c r="Q420" s="227"/>
      <c r="R420" s="227">
        <v>419</v>
      </c>
      <c r="S420" s="227"/>
      <c r="T420" s="229" t="str">
        <f t="shared" si="13"/>
        <v>3369800:Var_ui_ErrNo:=419;</v>
      </c>
    </row>
    <row r="421" ht="16.5" spans="1:20">
      <c r="A421" s="222">
        <v>420</v>
      </c>
      <c r="B421" s="35">
        <v>132</v>
      </c>
      <c r="C421" s="35">
        <v>162</v>
      </c>
      <c r="F421" s="224"/>
      <c r="G421" s="224"/>
      <c r="H421" s="223" t="s">
        <v>3438</v>
      </c>
      <c r="I421" s="223" t="s">
        <v>3428</v>
      </c>
      <c r="J421" s="223" t="s">
        <v>3439</v>
      </c>
      <c r="K421" s="223" t="s">
        <v>3440</v>
      </c>
      <c r="L421" s="228">
        <v>33954</v>
      </c>
      <c r="M421" s="228">
        <v>0</v>
      </c>
      <c r="N421" s="223" t="s">
        <v>3441</v>
      </c>
      <c r="O421" s="229" t="str">
        <f t="shared" si="12"/>
        <v>EBS1_33954_0</v>
      </c>
      <c r="P421" s="229" t="s">
        <v>3442</v>
      </c>
      <c r="Q421" s="227"/>
      <c r="R421" s="227">
        <v>420</v>
      </c>
      <c r="S421" s="227"/>
      <c r="T421" s="229" t="str">
        <f t="shared" si="13"/>
        <v>3395400:Var_ui_ErrNo:=420;</v>
      </c>
    </row>
    <row r="422" ht="16.5" spans="1:20">
      <c r="A422" s="222">
        <v>421</v>
      </c>
      <c r="B422" s="35">
        <v>133</v>
      </c>
      <c r="C422" s="35">
        <v>162</v>
      </c>
      <c r="F422" s="224"/>
      <c r="G422" s="224"/>
      <c r="H422" s="223" t="s">
        <v>3443</v>
      </c>
      <c r="I422" s="223" t="s">
        <v>3428</v>
      </c>
      <c r="J422" s="223" t="s">
        <v>3444</v>
      </c>
      <c r="K422" s="223" t="s">
        <v>3445</v>
      </c>
      <c r="L422" s="228">
        <v>34210</v>
      </c>
      <c r="M422" s="228">
        <v>0</v>
      </c>
      <c r="N422" s="223" t="s">
        <v>3446</v>
      </c>
      <c r="O422" s="229" t="str">
        <f t="shared" si="12"/>
        <v>EBS1_34210_0</v>
      </c>
      <c r="P422" s="229" t="s">
        <v>3447</v>
      </c>
      <c r="Q422" s="227"/>
      <c r="R422" s="227">
        <v>421</v>
      </c>
      <c r="S422" s="227"/>
      <c r="T422" s="229" t="str">
        <f t="shared" si="13"/>
        <v>3421000:Var_ui_ErrNo:=421;</v>
      </c>
    </row>
    <row r="423" ht="16.5" spans="1:20">
      <c r="A423" s="222">
        <v>422</v>
      </c>
      <c r="B423" s="35">
        <v>134</v>
      </c>
      <c r="C423" s="35">
        <v>162</v>
      </c>
      <c r="F423" s="224"/>
      <c r="G423" s="224"/>
      <c r="H423" s="223" t="s">
        <v>3448</v>
      </c>
      <c r="I423" s="223" t="s">
        <v>3428</v>
      </c>
      <c r="J423" s="223" t="s">
        <v>3449</v>
      </c>
      <c r="K423" s="223" t="s">
        <v>3450</v>
      </c>
      <c r="L423" s="228">
        <v>34466</v>
      </c>
      <c r="M423" s="228">
        <v>0</v>
      </c>
      <c r="N423" s="223" t="s">
        <v>3451</v>
      </c>
      <c r="O423" s="229" t="str">
        <f t="shared" si="12"/>
        <v>EBS1_34466_0</v>
      </c>
      <c r="P423" s="229" t="s">
        <v>3452</v>
      </c>
      <c r="Q423" s="227"/>
      <c r="R423" s="227">
        <v>422</v>
      </c>
      <c r="S423" s="227"/>
      <c r="T423" s="229" t="str">
        <f t="shared" si="13"/>
        <v>3446600:Var_ui_ErrNo:=422;</v>
      </c>
    </row>
    <row r="424" ht="16.5" spans="1:20">
      <c r="A424" s="222">
        <v>423</v>
      </c>
      <c r="B424" s="35">
        <v>135</v>
      </c>
      <c r="C424" s="35">
        <v>162</v>
      </c>
      <c r="F424" s="224"/>
      <c r="G424" s="224"/>
      <c r="H424" s="223" t="s">
        <v>3453</v>
      </c>
      <c r="I424" s="223" t="s">
        <v>3428</v>
      </c>
      <c r="J424" s="223" t="s">
        <v>3454</v>
      </c>
      <c r="K424" s="223" t="s">
        <v>3455</v>
      </c>
      <c r="L424" s="228">
        <v>34722</v>
      </c>
      <c r="M424" s="228">
        <v>0</v>
      </c>
      <c r="N424" s="223" t="s">
        <v>3456</v>
      </c>
      <c r="O424" s="229" t="str">
        <f t="shared" si="12"/>
        <v>EBS1_34722_0</v>
      </c>
      <c r="P424" s="229" t="s">
        <v>3457</v>
      </c>
      <c r="Q424" s="227"/>
      <c r="R424" s="227">
        <v>423</v>
      </c>
      <c r="S424" s="227"/>
      <c r="T424" s="229" t="str">
        <f t="shared" si="13"/>
        <v>3472200:Var_ui_ErrNo:=423;</v>
      </c>
    </row>
    <row r="425" ht="16.5" spans="1:20">
      <c r="A425" s="222">
        <v>424</v>
      </c>
      <c r="B425" s="35">
        <v>140</v>
      </c>
      <c r="C425" s="35">
        <v>32</v>
      </c>
      <c r="F425" s="224"/>
      <c r="G425" s="224"/>
      <c r="H425" s="223" t="s">
        <v>3458</v>
      </c>
      <c r="I425" s="223" t="s">
        <v>3459</v>
      </c>
      <c r="J425" s="223" t="s">
        <v>3460</v>
      </c>
      <c r="K425" s="223" t="s">
        <v>3461</v>
      </c>
      <c r="L425" s="228">
        <v>35872</v>
      </c>
      <c r="M425" s="228">
        <v>0</v>
      </c>
      <c r="N425" s="223" t="s">
        <v>3462</v>
      </c>
      <c r="O425" s="229" t="str">
        <f t="shared" si="12"/>
        <v>EBS1_35872_0</v>
      </c>
      <c r="P425" s="229" t="s">
        <v>3463</v>
      </c>
      <c r="Q425" s="227"/>
      <c r="R425" s="227">
        <v>424</v>
      </c>
      <c r="S425" s="227"/>
      <c r="T425" s="229" t="str">
        <f t="shared" si="13"/>
        <v>3587200:Var_ui_ErrNo:=424;</v>
      </c>
    </row>
    <row r="426" ht="16.5" spans="1:20">
      <c r="A426" s="222">
        <v>425</v>
      </c>
      <c r="B426" s="35">
        <v>141</v>
      </c>
      <c r="C426" s="35">
        <v>32</v>
      </c>
      <c r="F426" s="224"/>
      <c r="G426" s="224"/>
      <c r="H426" s="223" t="s">
        <v>3464</v>
      </c>
      <c r="I426" s="223" t="s">
        <v>3459</v>
      </c>
      <c r="J426" s="223" t="s">
        <v>3465</v>
      </c>
      <c r="K426" s="223" t="s">
        <v>3466</v>
      </c>
      <c r="L426" s="228">
        <v>36128</v>
      </c>
      <c r="M426" s="228">
        <v>0</v>
      </c>
      <c r="N426" s="223" t="s">
        <v>3467</v>
      </c>
      <c r="O426" s="229" t="str">
        <f t="shared" si="12"/>
        <v>EBS1_36128_0</v>
      </c>
      <c r="P426" s="229" t="s">
        <v>3468</v>
      </c>
      <c r="Q426" s="227"/>
      <c r="R426" s="227">
        <v>425</v>
      </c>
      <c r="S426" s="227"/>
      <c r="T426" s="229" t="str">
        <f t="shared" si="13"/>
        <v>3612800:Var_ui_ErrNo:=425;</v>
      </c>
    </row>
    <row r="427" ht="16.5" spans="1:20">
      <c r="A427" s="222">
        <v>426</v>
      </c>
      <c r="B427" s="35">
        <v>142</v>
      </c>
      <c r="C427" s="35">
        <v>32</v>
      </c>
      <c r="F427" s="224"/>
      <c r="G427" s="224"/>
      <c r="H427" s="223" t="s">
        <v>3469</v>
      </c>
      <c r="I427" s="223" t="s">
        <v>3459</v>
      </c>
      <c r="J427" s="223" t="s">
        <v>3470</v>
      </c>
      <c r="K427" s="223" t="s">
        <v>3471</v>
      </c>
      <c r="L427" s="228">
        <v>36384</v>
      </c>
      <c r="M427" s="228">
        <v>0</v>
      </c>
      <c r="N427" s="223" t="s">
        <v>3472</v>
      </c>
      <c r="O427" s="229" t="str">
        <f t="shared" si="12"/>
        <v>EBS1_36384_0</v>
      </c>
      <c r="P427" s="229" t="s">
        <v>3473</v>
      </c>
      <c r="Q427" s="227"/>
      <c r="R427" s="227">
        <v>426</v>
      </c>
      <c r="S427" s="227"/>
      <c r="T427" s="229" t="str">
        <f t="shared" si="13"/>
        <v>3638400:Var_ui_ErrNo:=426;</v>
      </c>
    </row>
    <row r="428" ht="16.5" spans="1:20">
      <c r="A428" s="222">
        <v>427</v>
      </c>
      <c r="B428" s="35">
        <v>143</v>
      </c>
      <c r="C428" s="35">
        <v>32</v>
      </c>
      <c r="F428" s="224"/>
      <c r="G428" s="224"/>
      <c r="H428" s="223" t="s">
        <v>3474</v>
      </c>
      <c r="I428" s="223" t="s">
        <v>3459</v>
      </c>
      <c r="J428" s="223" t="s">
        <v>3475</v>
      </c>
      <c r="K428" s="223" t="s">
        <v>3476</v>
      </c>
      <c r="L428" s="228">
        <v>36640</v>
      </c>
      <c r="M428" s="228">
        <v>0</v>
      </c>
      <c r="N428" s="223" t="s">
        <v>3477</v>
      </c>
      <c r="O428" s="229" t="str">
        <f t="shared" si="12"/>
        <v>EBS1_36640_0</v>
      </c>
      <c r="P428" s="229" t="s">
        <v>3478</v>
      </c>
      <c r="Q428" s="227"/>
      <c r="R428" s="227">
        <v>427</v>
      </c>
      <c r="S428" s="227"/>
      <c r="T428" s="229" t="str">
        <f t="shared" si="13"/>
        <v>3664000:Var_ui_ErrNo:=427;</v>
      </c>
    </row>
    <row r="429" ht="16.5" spans="1:20">
      <c r="A429" s="222">
        <v>428</v>
      </c>
      <c r="B429" s="35">
        <v>144</v>
      </c>
      <c r="C429" s="35">
        <v>32</v>
      </c>
      <c r="F429" s="224"/>
      <c r="G429" s="224"/>
      <c r="H429" s="223" t="s">
        <v>3479</v>
      </c>
      <c r="I429" s="223" t="s">
        <v>3459</v>
      </c>
      <c r="J429" s="223" t="s">
        <v>3480</v>
      </c>
      <c r="K429" s="223" t="s">
        <v>3481</v>
      </c>
      <c r="L429" s="228">
        <v>36896</v>
      </c>
      <c r="M429" s="228">
        <v>0</v>
      </c>
      <c r="N429" s="223" t="s">
        <v>3482</v>
      </c>
      <c r="O429" s="229" t="str">
        <f t="shared" si="12"/>
        <v>EBS1_36896_0</v>
      </c>
      <c r="P429" s="229" t="s">
        <v>3483</v>
      </c>
      <c r="Q429" s="227"/>
      <c r="R429" s="227">
        <v>428</v>
      </c>
      <c r="S429" s="227"/>
      <c r="T429" s="229" t="str">
        <f t="shared" si="13"/>
        <v>3689600:Var_ui_ErrNo:=428;</v>
      </c>
    </row>
    <row r="430" ht="16.5" spans="1:20">
      <c r="A430" s="222">
        <v>429</v>
      </c>
      <c r="B430" s="35">
        <v>145</v>
      </c>
      <c r="C430" s="35">
        <v>32</v>
      </c>
      <c r="F430" s="224"/>
      <c r="G430" s="224"/>
      <c r="H430" s="223" t="s">
        <v>3484</v>
      </c>
      <c r="I430" s="223" t="s">
        <v>3459</v>
      </c>
      <c r="J430" s="223" t="s">
        <v>3485</v>
      </c>
      <c r="K430" s="223" t="s">
        <v>3486</v>
      </c>
      <c r="L430" s="228">
        <v>37152</v>
      </c>
      <c r="M430" s="228">
        <v>0</v>
      </c>
      <c r="N430" s="223" t="s">
        <v>3487</v>
      </c>
      <c r="O430" s="229" t="str">
        <f t="shared" si="12"/>
        <v>EBS1_37152_0</v>
      </c>
      <c r="P430" s="229" t="s">
        <v>3488</v>
      </c>
      <c r="Q430" s="227"/>
      <c r="R430" s="227">
        <v>429</v>
      </c>
      <c r="S430" s="227"/>
      <c r="T430" s="229" t="str">
        <f t="shared" si="13"/>
        <v>3715200:Var_ui_ErrNo:=429;</v>
      </c>
    </row>
    <row r="431" ht="16.5" spans="1:20">
      <c r="A431" s="222">
        <v>430</v>
      </c>
      <c r="B431" s="35">
        <v>140</v>
      </c>
      <c r="C431" s="35">
        <v>33</v>
      </c>
      <c r="F431" s="224"/>
      <c r="G431" s="224"/>
      <c r="H431" s="223" t="s">
        <v>3489</v>
      </c>
      <c r="I431" s="223" t="s">
        <v>3490</v>
      </c>
      <c r="J431" s="223" t="s">
        <v>3491</v>
      </c>
      <c r="K431" s="223" t="s">
        <v>3492</v>
      </c>
      <c r="L431" s="228">
        <v>35873</v>
      </c>
      <c r="M431" s="228">
        <v>0</v>
      </c>
      <c r="N431" s="223" t="s">
        <v>3493</v>
      </c>
      <c r="O431" s="229" t="str">
        <f t="shared" si="12"/>
        <v>EBS1_35873_0</v>
      </c>
      <c r="P431" s="229" t="s">
        <v>3494</v>
      </c>
      <c r="Q431" s="227"/>
      <c r="R431" s="227">
        <v>430</v>
      </c>
      <c r="S431" s="227"/>
      <c r="T431" s="229" t="str">
        <f t="shared" si="13"/>
        <v>3587300:Var_ui_ErrNo:=430;</v>
      </c>
    </row>
    <row r="432" ht="16.5" spans="1:20">
      <c r="A432" s="222">
        <v>431</v>
      </c>
      <c r="B432" s="35">
        <v>141</v>
      </c>
      <c r="C432" s="35">
        <v>33</v>
      </c>
      <c r="F432" s="224"/>
      <c r="G432" s="224"/>
      <c r="H432" s="223" t="s">
        <v>3495</v>
      </c>
      <c r="I432" s="223" t="s">
        <v>3490</v>
      </c>
      <c r="J432" s="223" t="s">
        <v>3496</v>
      </c>
      <c r="K432" s="223" t="s">
        <v>3497</v>
      </c>
      <c r="L432" s="228">
        <v>36129</v>
      </c>
      <c r="M432" s="228">
        <v>0</v>
      </c>
      <c r="N432" s="223" t="s">
        <v>3498</v>
      </c>
      <c r="O432" s="229" t="str">
        <f t="shared" si="12"/>
        <v>EBS1_36129_0</v>
      </c>
      <c r="P432" s="229" t="s">
        <v>3499</v>
      </c>
      <c r="Q432" s="227"/>
      <c r="R432" s="227">
        <v>431</v>
      </c>
      <c r="S432" s="227"/>
      <c r="T432" s="229" t="str">
        <f t="shared" si="13"/>
        <v>3612900:Var_ui_ErrNo:=431;</v>
      </c>
    </row>
    <row r="433" ht="16.5" spans="1:20">
      <c r="A433" s="222">
        <v>432</v>
      </c>
      <c r="B433" s="35">
        <v>142</v>
      </c>
      <c r="C433" s="35">
        <v>33</v>
      </c>
      <c r="F433" s="224"/>
      <c r="G433" s="224"/>
      <c r="H433" s="223" t="s">
        <v>3500</v>
      </c>
      <c r="I433" s="223" t="s">
        <v>3490</v>
      </c>
      <c r="J433" s="223" t="s">
        <v>3501</v>
      </c>
      <c r="K433" s="223" t="s">
        <v>3502</v>
      </c>
      <c r="L433" s="228">
        <v>36385</v>
      </c>
      <c r="M433" s="228">
        <v>0</v>
      </c>
      <c r="N433" s="223" t="s">
        <v>3503</v>
      </c>
      <c r="O433" s="229" t="str">
        <f t="shared" si="12"/>
        <v>EBS1_36385_0</v>
      </c>
      <c r="P433" s="229" t="s">
        <v>3504</v>
      </c>
      <c r="Q433" s="227"/>
      <c r="R433" s="227">
        <v>432</v>
      </c>
      <c r="S433" s="227"/>
      <c r="T433" s="229" t="str">
        <f t="shared" si="13"/>
        <v>3638500:Var_ui_ErrNo:=432;</v>
      </c>
    </row>
    <row r="434" ht="16.5" spans="1:20">
      <c r="A434" s="222">
        <v>433</v>
      </c>
      <c r="B434" s="35">
        <v>143</v>
      </c>
      <c r="C434" s="35">
        <v>33</v>
      </c>
      <c r="F434" s="224"/>
      <c r="G434" s="224"/>
      <c r="H434" s="223" t="s">
        <v>3505</v>
      </c>
      <c r="I434" s="223" t="s">
        <v>3490</v>
      </c>
      <c r="J434" s="223" t="s">
        <v>3506</v>
      </c>
      <c r="K434" s="223" t="s">
        <v>3507</v>
      </c>
      <c r="L434" s="228">
        <v>36641</v>
      </c>
      <c r="M434" s="228">
        <v>0</v>
      </c>
      <c r="N434" s="223" t="s">
        <v>3508</v>
      </c>
      <c r="O434" s="229" t="str">
        <f t="shared" si="12"/>
        <v>EBS1_36641_0</v>
      </c>
      <c r="P434" s="229" t="s">
        <v>3509</v>
      </c>
      <c r="Q434" s="227"/>
      <c r="R434" s="227">
        <v>433</v>
      </c>
      <c r="S434" s="227"/>
      <c r="T434" s="229" t="str">
        <f t="shared" si="13"/>
        <v>3664100:Var_ui_ErrNo:=433;</v>
      </c>
    </row>
    <row r="435" ht="16.5" spans="1:20">
      <c r="A435" s="222">
        <v>434</v>
      </c>
      <c r="B435" s="35">
        <v>144</v>
      </c>
      <c r="C435" s="35">
        <v>33</v>
      </c>
      <c r="F435" s="224"/>
      <c r="G435" s="224"/>
      <c r="H435" s="223" t="s">
        <v>3510</v>
      </c>
      <c r="I435" s="223" t="s">
        <v>3490</v>
      </c>
      <c r="J435" s="223" t="s">
        <v>3511</v>
      </c>
      <c r="K435" s="223" t="s">
        <v>3512</v>
      </c>
      <c r="L435" s="228">
        <v>36897</v>
      </c>
      <c r="M435" s="228">
        <v>0</v>
      </c>
      <c r="N435" s="223" t="s">
        <v>3513</v>
      </c>
      <c r="O435" s="229" t="str">
        <f t="shared" si="12"/>
        <v>EBS1_36897_0</v>
      </c>
      <c r="P435" s="229" t="s">
        <v>3514</v>
      </c>
      <c r="Q435" s="227"/>
      <c r="R435" s="227">
        <v>434</v>
      </c>
      <c r="S435" s="227"/>
      <c r="T435" s="229" t="str">
        <f t="shared" si="13"/>
        <v>3689700:Var_ui_ErrNo:=434;</v>
      </c>
    </row>
    <row r="436" ht="16.5" spans="1:20">
      <c r="A436" s="222">
        <v>435</v>
      </c>
      <c r="B436" s="35">
        <v>145</v>
      </c>
      <c r="C436" s="35">
        <v>33</v>
      </c>
      <c r="F436" s="224"/>
      <c r="G436" s="224"/>
      <c r="H436" s="223" t="s">
        <v>3515</v>
      </c>
      <c r="I436" s="223" t="s">
        <v>3490</v>
      </c>
      <c r="J436" s="223" t="s">
        <v>3516</v>
      </c>
      <c r="K436" s="223" t="s">
        <v>3517</v>
      </c>
      <c r="L436" s="228">
        <v>37153</v>
      </c>
      <c r="M436" s="228">
        <v>0</v>
      </c>
      <c r="N436" s="223" t="s">
        <v>3518</v>
      </c>
      <c r="O436" s="229" t="str">
        <f t="shared" si="12"/>
        <v>EBS1_37153_0</v>
      </c>
      <c r="P436" s="229" t="s">
        <v>3519</v>
      </c>
      <c r="Q436" s="227"/>
      <c r="R436" s="227">
        <v>435</v>
      </c>
      <c r="S436" s="227"/>
      <c r="T436" s="229" t="str">
        <f t="shared" si="13"/>
        <v>3715300:Var_ui_ErrNo:=435;</v>
      </c>
    </row>
    <row r="437" ht="16.5" spans="1:20">
      <c r="A437" s="222">
        <v>436</v>
      </c>
      <c r="B437" s="35">
        <v>140</v>
      </c>
      <c r="C437" s="35">
        <v>34</v>
      </c>
      <c r="F437" s="224"/>
      <c r="G437" s="224"/>
      <c r="H437" s="223" t="s">
        <v>3520</v>
      </c>
      <c r="I437" s="223" t="s">
        <v>3521</v>
      </c>
      <c r="J437" s="223" t="s">
        <v>3522</v>
      </c>
      <c r="K437" s="223" t="s">
        <v>3523</v>
      </c>
      <c r="L437" s="228">
        <v>35874</v>
      </c>
      <c r="M437" s="228">
        <v>0</v>
      </c>
      <c r="N437" s="223" t="s">
        <v>3524</v>
      </c>
      <c r="O437" s="229" t="str">
        <f t="shared" si="12"/>
        <v>EBS1_35874_0</v>
      </c>
      <c r="P437" s="229" t="s">
        <v>3525</v>
      </c>
      <c r="Q437" s="227"/>
      <c r="R437" s="227">
        <v>436</v>
      </c>
      <c r="S437" s="227"/>
      <c r="T437" s="229" t="str">
        <f t="shared" si="13"/>
        <v>3587400:Var_ui_ErrNo:=436;</v>
      </c>
    </row>
    <row r="438" ht="16.5" spans="1:20">
      <c r="A438" s="222">
        <v>437</v>
      </c>
      <c r="B438" s="35">
        <v>141</v>
      </c>
      <c r="C438" s="35">
        <v>34</v>
      </c>
      <c r="F438" s="224"/>
      <c r="G438" s="224"/>
      <c r="H438" s="223" t="s">
        <v>3526</v>
      </c>
      <c r="I438" s="223" t="s">
        <v>3527</v>
      </c>
      <c r="J438" s="223" t="s">
        <v>3528</v>
      </c>
      <c r="K438" s="223" t="s">
        <v>3529</v>
      </c>
      <c r="L438" s="228">
        <v>36130</v>
      </c>
      <c r="M438" s="228">
        <v>0</v>
      </c>
      <c r="N438" s="223" t="s">
        <v>3530</v>
      </c>
      <c r="O438" s="229" t="str">
        <f t="shared" si="12"/>
        <v>EBS1_36130_0</v>
      </c>
      <c r="P438" s="229" t="s">
        <v>3531</v>
      </c>
      <c r="Q438" s="227"/>
      <c r="R438" s="227">
        <v>437</v>
      </c>
      <c r="S438" s="227"/>
      <c r="T438" s="229" t="str">
        <f t="shared" si="13"/>
        <v>3613000:Var_ui_ErrNo:=437;</v>
      </c>
    </row>
    <row r="439" ht="16.5" spans="1:20">
      <c r="A439" s="222">
        <v>438</v>
      </c>
      <c r="B439" s="35">
        <v>142</v>
      </c>
      <c r="C439" s="35">
        <v>34</v>
      </c>
      <c r="F439" s="224"/>
      <c r="G439" s="224"/>
      <c r="H439" s="223" t="s">
        <v>3532</v>
      </c>
      <c r="I439" s="223" t="s">
        <v>3533</v>
      </c>
      <c r="J439" s="223" t="s">
        <v>3534</v>
      </c>
      <c r="K439" s="223" t="s">
        <v>3535</v>
      </c>
      <c r="L439" s="228">
        <v>36386</v>
      </c>
      <c r="M439" s="228">
        <v>0</v>
      </c>
      <c r="N439" s="223" t="s">
        <v>3536</v>
      </c>
      <c r="O439" s="229" t="str">
        <f t="shared" si="12"/>
        <v>EBS1_36386_0</v>
      </c>
      <c r="P439" s="229" t="s">
        <v>3537</v>
      </c>
      <c r="Q439" s="227"/>
      <c r="R439" s="227">
        <v>438</v>
      </c>
      <c r="S439" s="227"/>
      <c r="T439" s="229" t="str">
        <f t="shared" si="13"/>
        <v>3638600:Var_ui_ErrNo:=438;</v>
      </c>
    </row>
    <row r="440" ht="16.5" spans="1:20">
      <c r="A440" s="222">
        <v>439</v>
      </c>
      <c r="B440" s="35">
        <v>143</v>
      </c>
      <c r="C440" s="35">
        <v>34</v>
      </c>
      <c r="F440" s="224"/>
      <c r="G440" s="224"/>
      <c r="H440" s="223" t="s">
        <v>3538</v>
      </c>
      <c r="I440" s="223" t="s">
        <v>3539</v>
      </c>
      <c r="J440" s="223" t="s">
        <v>3540</v>
      </c>
      <c r="K440" s="223" t="s">
        <v>3541</v>
      </c>
      <c r="L440" s="228">
        <v>36642</v>
      </c>
      <c r="M440" s="228">
        <v>0</v>
      </c>
      <c r="N440" s="223" t="s">
        <v>3542</v>
      </c>
      <c r="O440" s="229" t="str">
        <f t="shared" si="12"/>
        <v>EBS1_36642_0</v>
      </c>
      <c r="P440" s="229" t="s">
        <v>3543</v>
      </c>
      <c r="Q440" s="227"/>
      <c r="R440" s="227">
        <v>439</v>
      </c>
      <c r="S440" s="227"/>
      <c r="T440" s="229" t="str">
        <f t="shared" si="13"/>
        <v>3664200:Var_ui_ErrNo:=439;</v>
      </c>
    </row>
    <row r="441" ht="16.5" spans="1:20">
      <c r="A441" s="222">
        <v>440</v>
      </c>
      <c r="B441" s="35">
        <v>144</v>
      </c>
      <c r="C441" s="35">
        <v>34</v>
      </c>
      <c r="F441" s="224"/>
      <c r="G441" s="224"/>
      <c r="H441" s="223" t="s">
        <v>3544</v>
      </c>
      <c r="I441" s="223" t="s">
        <v>3545</v>
      </c>
      <c r="J441" s="223" t="s">
        <v>3546</v>
      </c>
      <c r="K441" s="223" t="s">
        <v>3547</v>
      </c>
      <c r="L441" s="228">
        <v>36898</v>
      </c>
      <c r="M441" s="228">
        <v>0</v>
      </c>
      <c r="N441" s="223" t="s">
        <v>3548</v>
      </c>
      <c r="O441" s="229" t="str">
        <f t="shared" si="12"/>
        <v>EBS1_36898_0</v>
      </c>
      <c r="P441" s="229" t="s">
        <v>3549</v>
      </c>
      <c r="Q441" s="227"/>
      <c r="R441" s="227">
        <v>440</v>
      </c>
      <c r="S441" s="227"/>
      <c r="T441" s="229" t="str">
        <f t="shared" si="13"/>
        <v>3689800:Var_ui_ErrNo:=440;</v>
      </c>
    </row>
    <row r="442" ht="16.5" spans="1:20">
      <c r="A442" s="222">
        <v>441</v>
      </c>
      <c r="B442" s="35">
        <v>145</v>
      </c>
      <c r="C442" s="35">
        <v>34</v>
      </c>
      <c r="F442" s="224"/>
      <c r="G442" s="224"/>
      <c r="H442" s="223" t="s">
        <v>3550</v>
      </c>
      <c r="I442" s="223" t="s">
        <v>3551</v>
      </c>
      <c r="J442" s="223" t="s">
        <v>3552</v>
      </c>
      <c r="K442" s="223" t="s">
        <v>3553</v>
      </c>
      <c r="L442" s="228">
        <v>37154</v>
      </c>
      <c r="M442" s="228">
        <v>0</v>
      </c>
      <c r="N442" s="223" t="s">
        <v>3554</v>
      </c>
      <c r="O442" s="229" t="str">
        <f t="shared" si="12"/>
        <v>EBS1_37154_0</v>
      </c>
      <c r="P442" s="229" t="s">
        <v>3555</v>
      </c>
      <c r="Q442" s="227"/>
      <c r="R442" s="227">
        <v>441</v>
      </c>
      <c r="S442" s="227"/>
      <c r="T442" s="229" t="str">
        <f t="shared" si="13"/>
        <v>3715400:Var_ui_ErrNo:=441;</v>
      </c>
    </row>
    <row r="443" ht="16.5" spans="1:20">
      <c r="A443" s="222">
        <v>442</v>
      </c>
      <c r="B443" s="35">
        <v>140</v>
      </c>
      <c r="C443" s="35">
        <v>35</v>
      </c>
      <c r="F443" s="224"/>
      <c r="G443" s="224"/>
      <c r="H443" s="223" t="s">
        <v>3556</v>
      </c>
      <c r="I443" s="223" t="s">
        <v>3557</v>
      </c>
      <c r="J443" s="223" t="s">
        <v>3558</v>
      </c>
      <c r="K443" s="223" t="s">
        <v>3559</v>
      </c>
      <c r="L443" s="228">
        <v>35875</v>
      </c>
      <c r="M443" s="228">
        <v>0</v>
      </c>
      <c r="N443" s="223" t="s">
        <v>3560</v>
      </c>
      <c r="O443" s="229" t="str">
        <f t="shared" si="12"/>
        <v>EBS1_35875_0</v>
      </c>
      <c r="P443" s="229" t="s">
        <v>3561</v>
      </c>
      <c r="Q443" s="227"/>
      <c r="R443" s="227">
        <v>442</v>
      </c>
      <c r="S443" s="227"/>
      <c r="T443" s="229" t="str">
        <f t="shared" si="13"/>
        <v>3587500:Var_ui_ErrNo:=442;</v>
      </c>
    </row>
    <row r="444" ht="16.5" spans="1:20">
      <c r="A444" s="222">
        <v>443</v>
      </c>
      <c r="B444" s="35">
        <v>141</v>
      </c>
      <c r="C444" s="35">
        <v>35</v>
      </c>
      <c r="F444" s="224"/>
      <c r="G444" s="224"/>
      <c r="H444" s="223" t="s">
        <v>3562</v>
      </c>
      <c r="I444" s="223" t="s">
        <v>3557</v>
      </c>
      <c r="J444" s="223" t="s">
        <v>3563</v>
      </c>
      <c r="K444" s="223" t="s">
        <v>3564</v>
      </c>
      <c r="L444" s="228">
        <v>36131</v>
      </c>
      <c r="M444" s="228">
        <v>0</v>
      </c>
      <c r="N444" s="223" t="s">
        <v>3565</v>
      </c>
      <c r="O444" s="229" t="str">
        <f t="shared" si="12"/>
        <v>EBS1_36131_0</v>
      </c>
      <c r="P444" s="229" t="s">
        <v>3566</v>
      </c>
      <c r="Q444" s="227"/>
      <c r="R444" s="227">
        <v>443</v>
      </c>
      <c r="S444" s="227"/>
      <c r="T444" s="229" t="str">
        <f t="shared" si="13"/>
        <v>3613100:Var_ui_ErrNo:=443;</v>
      </c>
    </row>
    <row r="445" ht="16.5" spans="1:20">
      <c r="A445" s="222">
        <v>444</v>
      </c>
      <c r="B445" s="35">
        <v>142</v>
      </c>
      <c r="C445" s="35">
        <v>35</v>
      </c>
      <c r="F445" s="224"/>
      <c r="G445" s="224"/>
      <c r="H445" s="223" t="s">
        <v>3567</v>
      </c>
      <c r="I445" s="223" t="s">
        <v>3557</v>
      </c>
      <c r="J445" s="223" t="s">
        <v>3568</v>
      </c>
      <c r="K445" s="223" t="s">
        <v>3569</v>
      </c>
      <c r="L445" s="228">
        <v>36387</v>
      </c>
      <c r="M445" s="228">
        <v>0</v>
      </c>
      <c r="N445" s="223" t="s">
        <v>3570</v>
      </c>
      <c r="O445" s="229" t="str">
        <f t="shared" si="12"/>
        <v>EBS1_36387_0</v>
      </c>
      <c r="P445" s="229" t="s">
        <v>3571</v>
      </c>
      <c r="Q445" s="227"/>
      <c r="R445" s="227">
        <v>444</v>
      </c>
      <c r="S445" s="227"/>
      <c r="T445" s="229" t="str">
        <f t="shared" si="13"/>
        <v>3638700:Var_ui_ErrNo:=444;</v>
      </c>
    </row>
    <row r="446" ht="16.5" spans="1:20">
      <c r="A446" s="222">
        <v>445</v>
      </c>
      <c r="B446" s="35">
        <v>143</v>
      </c>
      <c r="C446" s="35">
        <v>35</v>
      </c>
      <c r="F446" s="224"/>
      <c r="G446" s="224"/>
      <c r="H446" s="223" t="s">
        <v>3572</v>
      </c>
      <c r="I446" s="223" t="s">
        <v>3557</v>
      </c>
      <c r="J446" s="223" t="s">
        <v>3573</v>
      </c>
      <c r="K446" s="223" t="s">
        <v>3574</v>
      </c>
      <c r="L446" s="228">
        <v>36643</v>
      </c>
      <c r="M446" s="228">
        <v>0</v>
      </c>
      <c r="N446" s="223" t="s">
        <v>3575</v>
      </c>
      <c r="O446" s="229" t="str">
        <f t="shared" si="12"/>
        <v>EBS1_36643_0</v>
      </c>
      <c r="P446" s="229" t="s">
        <v>3576</v>
      </c>
      <c r="Q446" s="227"/>
      <c r="R446" s="227">
        <v>445</v>
      </c>
      <c r="S446" s="227"/>
      <c r="T446" s="229" t="str">
        <f t="shared" si="13"/>
        <v>3664300:Var_ui_ErrNo:=445;</v>
      </c>
    </row>
    <row r="447" ht="16.5" spans="1:20">
      <c r="A447" s="222">
        <v>446</v>
      </c>
      <c r="B447" s="35">
        <v>144</v>
      </c>
      <c r="C447" s="35">
        <v>35</v>
      </c>
      <c r="F447" s="224"/>
      <c r="G447" s="224"/>
      <c r="H447" s="223" t="s">
        <v>3577</v>
      </c>
      <c r="I447" s="223" t="s">
        <v>3557</v>
      </c>
      <c r="J447" s="223" t="s">
        <v>3578</v>
      </c>
      <c r="K447" s="223" t="s">
        <v>3579</v>
      </c>
      <c r="L447" s="228">
        <v>36899</v>
      </c>
      <c r="M447" s="228">
        <v>0</v>
      </c>
      <c r="N447" s="223" t="s">
        <v>3580</v>
      </c>
      <c r="O447" s="229" t="str">
        <f t="shared" si="12"/>
        <v>EBS1_36899_0</v>
      </c>
      <c r="P447" s="229" t="s">
        <v>3581</v>
      </c>
      <c r="Q447" s="227"/>
      <c r="R447" s="227">
        <v>446</v>
      </c>
      <c r="S447" s="227"/>
      <c r="T447" s="229" t="str">
        <f t="shared" si="13"/>
        <v>3689900:Var_ui_ErrNo:=446;</v>
      </c>
    </row>
    <row r="448" ht="16.5" spans="1:20">
      <c r="A448" s="222">
        <v>447</v>
      </c>
      <c r="B448" s="35">
        <v>145</v>
      </c>
      <c r="C448" s="35">
        <v>35</v>
      </c>
      <c r="F448" s="224"/>
      <c r="G448" s="224"/>
      <c r="H448" s="223" t="s">
        <v>3582</v>
      </c>
      <c r="I448" s="223" t="s">
        <v>3557</v>
      </c>
      <c r="J448" s="223" t="s">
        <v>3583</v>
      </c>
      <c r="K448" s="223" t="s">
        <v>3584</v>
      </c>
      <c r="L448" s="228">
        <v>37155</v>
      </c>
      <c r="M448" s="228">
        <v>0</v>
      </c>
      <c r="N448" s="223" t="s">
        <v>3585</v>
      </c>
      <c r="O448" s="229" t="str">
        <f t="shared" si="12"/>
        <v>EBS1_37155_0</v>
      </c>
      <c r="P448" s="229" t="s">
        <v>3586</v>
      </c>
      <c r="Q448" s="227"/>
      <c r="R448" s="227">
        <v>447</v>
      </c>
      <c r="S448" s="227"/>
      <c r="T448" s="229" t="str">
        <f t="shared" si="13"/>
        <v>3715500:Var_ui_ErrNo:=447;</v>
      </c>
    </row>
    <row r="449" ht="16.5" spans="1:20">
      <c r="A449" s="222">
        <v>448</v>
      </c>
      <c r="B449" s="35">
        <v>140</v>
      </c>
      <c r="C449" s="35">
        <v>45</v>
      </c>
      <c r="F449" s="224"/>
      <c r="G449" s="224"/>
      <c r="H449" s="223" t="s">
        <v>3587</v>
      </c>
      <c r="I449" s="223" t="s">
        <v>3588</v>
      </c>
      <c r="J449" s="223" t="s">
        <v>3589</v>
      </c>
      <c r="K449" s="223" t="s">
        <v>3590</v>
      </c>
      <c r="L449" s="228">
        <v>35885</v>
      </c>
      <c r="M449" s="228">
        <v>0</v>
      </c>
      <c r="N449" s="223" t="s">
        <v>3591</v>
      </c>
      <c r="O449" s="229" t="str">
        <f t="shared" si="12"/>
        <v>EBS1_35885_0</v>
      </c>
      <c r="P449" s="229" t="s">
        <v>3592</v>
      </c>
      <c r="Q449" s="227"/>
      <c r="R449" s="227">
        <v>448</v>
      </c>
      <c r="S449" s="227"/>
      <c r="T449" s="229" t="str">
        <f t="shared" si="13"/>
        <v>3588500:Var_ui_ErrNo:=448;</v>
      </c>
    </row>
    <row r="450" ht="16.5" spans="1:20">
      <c r="A450" s="222">
        <v>449</v>
      </c>
      <c r="B450" s="35">
        <v>141</v>
      </c>
      <c r="C450" s="35">
        <v>45</v>
      </c>
      <c r="F450" s="224"/>
      <c r="G450" s="224"/>
      <c r="H450" s="223" t="s">
        <v>3593</v>
      </c>
      <c r="I450" s="223" t="s">
        <v>3588</v>
      </c>
      <c r="J450" s="223" t="s">
        <v>3594</v>
      </c>
      <c r="K450" s="223" t="s">
        <v>3595</v>
      </c>
      <c r="L450" s="228">
        <v>36141</v>
      </c>
      <c r="M450" s="228">
        <v>0</v>
      </c>
      <c r="N450" s="223" t="s">
        <v>3596</v>
      </c>
      <c r="O450" s="229" t="str">
        <f t="shared" ref="O450:O513" si="14">"EBS1_"&amp;L450&amp;"_"&amp;M450</f>
        <v>EBS1_36141_0</v>
      </c>
      <c r="P450" s="229" t="s">
        <v>3597</v>
      </c>
      <c r="Q450" s="227"/>
      <c r="R450" s="227">
        <v>449</v>
      </c>
      <c r="S450" s="227"/>
      <c r="T450" s="229" t="str">
        <f t="shared" si="13"/>
        <v>3614100:Var_ui_ErrNo:=449;</v>
      </c>
    </row>
    <row r="451" ht="16.5" spans="1:20">
      <c r="A451" s="222">
        <v>450</v>
      </c>
      <c r="B451" s="35">
        <v>142</v>
      </c>
      <c r="C451" s="35">
        <v>45</v>
      </c>
      <c r="F451" s="224"/>
      <c r="G451" s="224"/>
      <c r="H451" s="223" t="s">
        <v>3598</v>
      </c>
      <c r="I451" s="223" t="s">
        <v>3588</v>
      </c>
      <c r="J451" s="223" t="s">
        <v>3599</v>
      </c>
      <c r="K451" s="223" t="s">
        <v>3600</v>
      </c>
      <c r="L451" s="228">
        <v>36397</v>
      </c>
      <c r="M451" s="228">
        <v>0</v>
      </c>
      <c r="N451" s="223" t="s">
        <v>3601</v>
      </c>
      <c r="O451" s="229" t="str">
        <f t="shared" si="14"/>
        <v>EBS1_36397_0</v>
      </c>
      <c r="P451" s="229" t="s">
        <v>3602</v>
      </c>
      <c r="Q451" s="227"/>
      <c r="R451" s="227">
        <v>450</v>
      </c>
      <c r="S451" s="227"/>
      <c r="T451" s="229" t="str">
        <f t="shared" ref="T451:T514" si="15">P451&amp;$Q$2&amp;R451&amp;$S$2</f>
        <v>3639700:Var_ui_ErrNo:=450;</v>
      </c>
    </row>
    <row r="452" ht="16.5" spans="1:20">
      <c r="A452" s="222">
        <v>451</v>
      </c>
      <c r="B452" s="35">
        <v>143</v>
      </c>
      <c r="C452" s="35">
        <v>45</v>
      </c>
      <c r="F452" s="224"/>
      <c r="G452" s="224"/>
      <c r="H452" s="223" t="s">
        <v>3603</v>
      </c>
      <c r="I452" s="223" t="s">
        <v>3588</v>
      </c>
      <c r="J452" s="223" t="s">
        <v>3604</v>
      </c>
      <c r="K452" s="223" t="s">
        <v>3605</v>
      </c>
      <c r="L452" s="228">
        <v>36653</v>
      </c>
      <c r="M452" s="228">
        <v>0</v>
      </c>
      <c r="N452" s="223" t="s">
        <v>3606</v>
      </c>
      <c r="O452" s="229" t="str">
        <f t="shared" si="14"/>
        <v>EBS1_36653_0</v>
      </c>
      <c r="P452" s="229" t="s">
        <v>3607</v>
      </c>
      <c r="Q452" s="227"/>
      <c r="R452" s="227">
        <v>451</v>
      </c>
      <c r="S452" s="227"/>
      <c r="T452" s="229" t="str">
        <f t="shared" si="15"/>
        <v>3665300:Var_ui_ErrNo:=451;</v>
      </c>
    </row>
    <row r="453" ht="16.5" spans="1:20">
      <c r="A453" s="222">
        <v>452</v>
      </c>
      <c r="B453" s="35">
        <v>144</v>
      </c>
      <c r="C453" s="35">
        <v>45</v>
      </c>
      <c r="F453" s="224"/>
      <c r="G453" s="224"/>
      <c r="H453" s="223" t="s">
        <v>3608</v>
      </c>
      <c r="I453" s="223" t="s">
        <v>3588</v>
      </c>
      <c r="J453" s="223" t="s">
        <v>3609</v>
      </c>
      <c r="K453" s="223" t="s">
        <v>3610</v>
      </c>
      <c r="L453" s="228">
        <v>36909</v>
      </c>
      <c r="M453" s="228">
        <v>0</v>
      </c>
      <c r="N453" s="223" t="s">
        <v>3611</v>
      </c>
      <c r="O453" s="229" t="str">
        <f t="shared" si="14"/>
        <v>EBS1_36909_0</v>
      </c>
      <c r="P453" s="229" t="s">
        <v>3612</v>
      </c>
      <c r="Q453" s="227"/>
      <c r="R453" s="227">
        <v>452</v>
      </c>
      <c r="S453" s="227"/>
      <c r="T453" s="229" t="str">
        <f t="shared" si="15"/>
        <v>3690900:Var_ui_ErrNo:=452;</v>
      </c>
    </row>
    <row r="454" ht="16.5" spans="1:20">
      <c r="A454" s="222">
        <v>453</v>
      </c>
      <c r="B454" s="35">
        <v>145</v>
      </c>
      <c r="C454" s="35">
        <v>45</v>
      </c>
      <c r="F454" s="224"/>
      <c r="G454" s="224"/>
      <c r="H454" s="223" t="s">
        <v>3613</v>
      </c>
      <c r="I454" s="223" t="s">
        <v>3588</v>
      </c>
      <c r="J454" s="223" t="s">
        <v>3614</v>
      </c>
      <c r="K454" s="223" t="s">
        <v>3615</v>
      </c>
      <c r="L454" s="228">
        <v>37165</v>
      </c>
      <c r="M454" s="228">
        <v>0</v>
      </c>
      <c r="N454" s="223" t="s">
        <v>3616</v>
      </c>
      <c r="O454" s="229" t="str">
        <f t="shared" si="14"/>
        <v>EBS1_37165_0</v>
      </c>
      <c r="P454" s="229" t="s">
        <v>3617</v>
      </c>
      <c r="Q454" s="227"/>
      <c r="R454" s="227">
        <v>453</v>
      </c>
      <c r="S454" s="227"/>
      <c r="T454" s="229" t="str">
        <f t="shared" si="15"/>
        <v>3716500:Var_ui_ErrNo:=453;</v>
      </c>
    </row>
    <row r="455" ht="16.5" spans="1:20">
      <c r="A455" s="222">
        <v>454</v>
      </c>
      <c r="B455" s="35">
        <v>140</v>
      </c>
      <c r="C455" s="35">
        <v>206</v>
      </c>
      <c r="F455" s="224"/>
      <c r="G455" s="224"/>
      <c r="H455" s="223" t="s">
        <v>3618</v>
      </c>
      <c r="I455" s="223" t="s">
        <v>3619</v>
      </c>
      <c r="J455" s="223" t="s">
        <v>3620</v>
      </c>
      <c r="K455" s="223" t="s">
        <v>3621</v>
      </c>
      <c r="L455" s="228">
        <v>36046</v>
      </c>
      <c r="M455" s="228">
        <v>0</v>
      </c>
      <c r="N455" s="223" t="s">
        <v>3622</v>
      </c>
      <c r="O455" s="229" t="str">
        <f t="shared" si="14"/>
        <v>EBS1_36046_0</v>
      </c>
      <c r="P455" s="229" t="s">
        <v>3623</v>
      </c>
      <c r="Q455" s="227"/>
      <c r="R455" s="227">
        <v>454</v>
      </c>
      <c r="S455" s="227"/>
      <c r="T455" s="229" t="str">
        <f t="shared" si="15"/>
        <v>3604600:Var_ui_ErrNo:=454;</v>
      </c>
    </row>
    <row r="456" ht="16.5" spans="1:20">
      <c r="A456" s="222">
        <v>455</v>
      </c>
      <c r="B456" s="35">
        <v>141</v>
      </c>
      <c r="C456" s="35">
        <v>206</v>
      </c>
      <c r="F456" s="224"/>
      <c r="G456" s="224"/>
      <c r="H456" s="223" t="s">
        <v>3624</v>
      </c>
      <c r="I456" s="223" t="s">
        <v>3619</v>
      </c>
      <c r="J456" s="223" t="s">
        <v>3625</v>
      </c>
      <c r="K456" s="223" t="s">
        <v>3626</v>
      </c>
      <c r="L456" s="228">
        <v>36302</v>
      </c>
      <c r="M456" s="228">
        <v>0</v>
      </c>
      <c r="N456" s="223" t="s">
        <v>3627</v>
      </c>
      <c r="O456" s="229" t="str">
        <f t="shared" si="14"/>
        <v>EBS1_36302_0</v>
      </c>
      <c r="P456" s="229" t="s">
        <v>3628</v>
      </c>
      <c r="Q456" s="227"/>
      <c r="R456" s="227">
        <v>455</v>
      </c>
      <c r="S456" s="227"/>
      <c r="T456" s="229" t="str">
        <f t="shared" si="15"/>
        <v>3630200:Var_ui_ErrNo:=455;</v>
      </c>
    </row>
    <row r="457" ht="16.5" spans="1:20">
      <c r="A457" s="222">
        <v>456</v>
      </c>
      <c r="B457" s="35">
        <v>142</v>
      </c>
      <c r="C457" s="35">
        <v>206</v>
      </c>
      <c r="F457" s="224"/>
      <c r="G457" s="224"/>
      <c r="H457" s="223" t="s">
        <v>3629</v>
      </c>
      <c r="I457" s="223" t="s">
        <v>3619</v>
      </c>
      <c r="J457" s="223" t="s">
        <v>3630</v>
      </c>
      <c r="K457" s="223" t="s">
        <v>3631</v>
      </c>
      <c r="L457" s="228">
        <v>36558</v>
      </c>
      <c r="M457" s="228">
        <v>0</v>
      </c>
      <c r="N457" s="223" t="s">
        <v>3632</v>
      </c>
      <c r="O457" s="229" t="str">
        <f t="shared" si="14"/>
        <v>EBS1_36558_0</v>
      </c>
      <c r="P457" s="229" t="s">
        <v>3633</v>
      </c>
      <c r="Q457" s="227"/>
      <c r="R457" s="227">
        <v>456</v>
      </c>
      <c r="S457" s="227"/>
      <c r="T457" s="229" t="str">
        <f t="shared" si="15"/>
        <v>3655800:Var_ui_ErrNo:=456;</v>
      </c>
    </row>
    <row r="458" ht="16.5" spans="1:20">
      <c r="A458" s="222">
        <v>457</v>
      </c>
      <c r="B458" s="35">
        <v>143</v>
      </c>
      <c r="C458" s="35">
        <v>206</v>
      </c>
      <c r="F458" s="224"/>
      <c r="G458" s="224"/>
      <c r="H458" s="223" t="s">
        <v>3634</v>
      </c>
      <c r="I458" s="223" t="s">
        <v>3619</v>
      </c>
      <c r="J458" s="223" t="s">
        <v>3635</v>
      </c>
      <c r="K458" s="223" t="s">
        <v>3636</v>
      </c>
      <c r="L458" s="228">
        <v>36814</v>
      </c>
      <c r="M458" s="228">
        <v>0</v>
      </c>
      <c r="N458" s="223" t="s">
        <v>3637</v>
      </c>
      <c r="O458" s="229" t="str">
        <f t="shared" si="14"/>
        <v>EBS1_36814_0</v>
      </c>
      <c r="P458" s="229" t="s">
        <v>3638</v>
      </c>
      <c r="Q458" s="227"/>
      <c r="R458" s="227">
        <v>457</v>
      </c>
      <c r="S458" s="227"/>
      <c r="T458" s="229" t="str">
        <f t="shared" si="15"/>
        <v>3681400:Var_ui_ErrNo:=457;</v>
      </c>
    </row>
    <row r="459" ht="16.5" spans="1:20">
      <c r="A459" s="222">
        <v>458</v>
      </c>
      <c r="B459" s="35">
        <v>144</v>
      </c>
      <c r="C459" s="35">
        <v>206</v>
      </c>
      <c r="F459" s="224"/>
      <c r="G459" s="224"/>
      <c r="H459" s="223" t="s">
        <v>3639</v>
      </c>
      <c r="I459" s="223" t="s">
        <v>3619</v>
      </c>
      <c r="J459" s="223" t="s">
        <v>3640</v>
      </c>
      <c r="K459" s="223" t="s">
        <v>3641</v>
      </c>
      <c r="L459" s="228">
        <v>37070</v>
      </c>
      <c r="M459" s="228">
        <v>0</v>
      </c>
      <c r="N459" s="223" t="s">
        <v>3642</v>
      </c>
      <c r="O459" s="229" t="str">
        <f t="shared" si="14"/>
        <v>EBS1_37070_0</v>
      </c>
      <c r="P459" s="229" t="s">
        <v>3643</v>
      </c>
      <c r="Q459" s="227"/>
      <c r="R459" s="227">
        <v>458</v>
      </c>
      <c r="S459" s="227"/>
      <c r="T459" s="229" t="str">
        <f t="shared" si="15"/>
        <v>3707000:Var_ui_ErrNo:=458;</v>
      </c>
    </row>
    <row r="460" ht="16.5" spans="1:20">
      <c r="A460" s="222">
        <v>459</v>
      </c>
      <c r="B460" s="35">
        <v>145</v>
      </c>
      <c r="C460" s="35">
        <v>206</v>
      </c>
      <c r="F460" s="224"/>
      <c r="G460" s="224"/>
      <c r="H460" s="223" t="s">
        <v>3644</v>
      </c>
      <c r="I460" s="223" t="s">
        <v>3619</v>
      </c>
      <c r="J460" s="223" t="s">
        <v>3645</v>
      </c>
      <c r="K460" s="223" t="s">
        <v>3646</v>
      </c>
      <c r="L460" s="228">
        <v>37326</v>
      </c>
      <c r="M460" s="228">
        <v>0</v>
      </c>
      <c r="N460" s="223" t="s">
        <v>3647</v>
      </c>
      <c r="O460" s="229" t="str">
        <f t="shared" si="14"/>
        <v>EBS1_37326_0</v>
      </c>
      <c r="P460" s="229" t="s">
        <v>3648</v>
      </c>
      <c r="Q460" s="227"/>
      <c r="R460" s="227">
        <v>459</v>
      </c>
      <c r="S460" s="227"/>
      <c r="T460" s="229" t="str">
        <f t="shared" si="15"/>
        <v>3732600:Var_ui_ErrNo:=459;</v>
      </c>
    </row>
    <row r="461" ht="16.5" spans="1:20">
      <c r="A461" s="222">
        <v>460</v>
      </c>
      <c r="B461" s="35">
        <v>150</v>
      </c>
      <c r="C461" s="35">
        <v>10</v>
      </c>
      <c r="F461" s="224"/>
      <c r="G461" s="224"/>
      <c r="H461" s="223" t="s">
        <v>3649</v>
      </c>
      <c r="I461" s="223" t="s">
        <v>3650</v>
      </c>
      <c r="J461" s="223" t="s">
        <v>3651</v>
      </c>
      <c r="K461" s="223" t="s">
        <v>3652</v>
      </c>
      <c r="L461" s="228">
        <v>38410</v>
      </c>
      <c r="M461" s="228">
        <v>0</v>
      </c>
      <c r="N461" s="223" t="s">
        <v>3653</v>
      </c>
      <c r="O461" s="229" t="str">
        <f t="shared" si="14"/>
        <v>EBS1_38410_0</v>
      </c>
      <c r="P461" s="229" t="s">
        <v>3654</v>
      </c>
      <c r="Q461" s="227"/>
      <c r="R461" s="227">
        <v>460</v>
      </c>
      <c r="S461" s="227"/>
      <c r="T461" s="229" t="str">
        <f t="shared" si="15"/>
        <v>3841000:Var_ui_ErrNo:=460;</v>
      </c>
    </row>
    <row r="462" ht="16.5" spans="1:20">
      <c r="A462" s="222">
        <v>461</v>
      </c>
      <c r="B462" s="35">
        <v>151</v>
      </c>
      <c r="C462" s="35">
        <v>10</v>
      </c>
      <c r="F462" s="224"/>
      <c r="G462" s="224"/>
      <c r="H462" s="223" t="s">
        <v>3655</v>
      </c>
      <c r="I462" s="223" t="s">
        <v>3650</v>
      </c>
      <c r="J462" s="223" t="s">
        <v>3656</v>
      </c>
      <c r="K462" s="223" t="s">
        <v>3657</v>
      </c>
      <c r="L462" s="228">
        <v>38666</v>
      </c>
      <c r="M462" s="228">
        <v>0</v>
      </c>
      <c r="N462" s="223" t="s">
        <v>3658</v>
      </c>
      <c r="O462" s="229" t="str">
        <f t="shared" si="14"/>
        <v>EBS1_38666_0</v>
      </c>
      <c r="P462" s="229" t="s">
        <v>3659</v>
      </c>
      <c r="Q462" s="227"/>
      <c r="R462" s="227">
        <v>461</v>
      </c>
      <c r="S462" s="227"/>
      <c r="T462" s="229" t="str">
        <f t="shared" si="15"/>
        <v>3866600:Var_ui_ErrNo:=461;</v>
      </c>
    </row>
    <row r="463" ht="16.5" spans="1:20">
      <c r="A463" s="222">
        <v>462</v>
      </c>
      <c r="B463" s="35">
        <v>152</v>
      </c>
      <c r="C463" s="35">
        <v>10</v>
      </c>
      <c r="F463" s="224"/>
      <c r="G463" s="224"/>
      <c r="H463" s="223" t="s">
        <v>3660</v>
      </c>
      <c r="I463" s="223" t="s">
        <v>3650</v>
      </c>
      <c r="J463" s="223" t="s">
        <v>3661</v>
      </c>
      <c r="K463" s="223" t="s">
        <v>3662</v>
      </c>
      <c r="L463" s="228">
        <v>38922</v>
      </c>
      <c r="M463" s="228">
        <v>0</v>
      </c>
      <c r="N463" s="223" t="s">
        <v>3663</v>
      </c>
      <c r="O463" s="229" t="str">
        <f t="shared" si="14"/>
        <v>EBS1_38922_0</v>
      </c>
      <c r="P463" s="229" t="s">
        <v>3664</v>
      </c>
      <c r="Q463" s="227"/>
      <c r="R463" s="227">
        <v>462</v>
      </c>
      <c r="S463" s="227"/>
      <c r="T463" s="229" t="str">
        <f t="shared" si="15"/>
        <v>3892200:Var_ui_ErrNo:=462;</v>
      </c>
    </row>
    <row r="464" ht="16.5" spans="1:20">
      <c r="A464" s="222">
        <v>463</v>
      </c>
      <c r="B464" s="35">
        <v>153</v>
      </c>
      <c r="C464" s="35">
        <v>10</v>
      </c>
      <c r="F464" s="224"/>
      <c r="G464" s="224"/>
      <c r="H464" s="223" t="s">
        <v>3665</v>
      </c>
      <c r="I464" s="223" t="s">
        <v>3650</v>
      </c>
      <c r="J464" s="223" t="s">
        <v>3666</v>
      </c>
      <c r="K464" s="223" t="s">
        <v>3667</v>
      </c>
      <c r="L464" s="228">
        <v>39178</v>
      </c>
      <c r="M464" s="228">
        <v>0</v>
      </c>
      <c r="N464" s="223" t="s">
        <v>3668</v>
      </c>
      <c r="O464" s="229" t="str">
        <f t="shared" si="14"/>
        <v>EBS1_39178_0</v>
      </c>
      <c r="P464" s="229" t="s">
        <v>3669</v>
      </c>
      <c r="Q464" s="227"/>
      <c r="R464" s="227">
        <v>463</v>
      </c>
      <c r="S464" s="227"/>
      <c r="T464" s="229" t="str">
        <f t="shared" si="15"/>
        <v>3917800:Var_ui_ErrNo:=463;</v>
      </c>
    </row>
    <row r="465" ht="16.5" spans="1:20">
      <c r="A465" s="222">
        <v>464</v>
      </c>
      <c r="B465" s="35">
        <v>154</v>
      </c>
      <c r="C465" s="35">
        <v>10</v>
      </c>
      <c r="F465" s="224"/>
      <c r="G465" s="224"/>
      <c r="H465" s="223" t="s">
        <v>3670</v>
      </c>
      <c r="I465" s="223" t="s">
        <v>3650</v>
      </c>
      <c r="J465" s="223" t="s">
        <v>3671</v>
      </c>
      <c r="K465" s="223" t="s">
        <v>3672</v>
      </c>
      <c r="L465" s="228">
        <v>39434</v>
      </c>
      <c r="M465" s="228">
        <v>0</v>
      </c>
      <c r="N465" s="223" t="s">
        <v>3673</v>
      </c>
      <c r="O465" s="229" t="str">
        <f t="shared" si="14"/>
        <v>EBS1_39434_0</v>
      </c>
      <c r="P465" s="229" t="s">
        <v>3674</v>
      </c>
      <c r="Q465" s="227"/>
      <c r="R465" s="227">
        <v>464</v>
      </c>
      <c r="S465" s="227"/>
      <c r="T465" s="229" t="str">
        <f t="shared" si="15"/>
        <v>3943400:Var_ui_ErrNo:=464;</v>
      </c>
    </row>
    <row r="466" ht="16.5" spans="1:20">
      <c r="A466" s="222">
        <v>465</v>
      </c>
      <c r="B466" s="35">
        <v>155</v>
      </c>
      <c r="C466" s="35">
        <v>10</v>
      </c>
      <c r="F466" s="224"/>
      <c r="G466" s="224"/>
      <c r="H466" s="223" t="s">
        <v>3675</v>
      </c>
      <c r="I466" s="223" t="s">
        <v>3650</v>
      </c>
      <c r="J466" s="223" t="s">
        <v>3676</v>
      </c>
      <c r="K466" s="223" t="s">
        <v>3677</v>
      </c>
      <c r="L466" s="228">
        <v>39690</v>
      </c>
      <c r="M466" s="228">
        <v>0</v>
      </c>
      <c r="N466" s="223" t="s">
        <v>3678</v>
      </c>
      <c r="O466" s="229" t="str">
        <f t="shared" si="14"/>
        <v>EBS1_39690_0</v>
      </c>
      <c r="P466" s="229" t="s">
        <v>3679</v>
      </c>
      <c r="Q466" s="227"/>
      <c r="R466" s="227">
        <v>465</v>
      </c>
      <c r="S466" s="227"/>
      <c r="T466" s="229" t="str">
        <f t="shared" si="15"/>
        <v>3969000:Var_ui_ErrNo:=465;</v>
      </c>
    </row>
    <row r="467" ht="16.5" spans="1:20">
      <c r="A467" s="222">
        <v>466</v>
      </c>
      <c r="B467" s="35">
        <v>150</v>
      </c>
      <c r="C467" s="35">
        <v>11</v>
      </c>
      <c r="F467" s="224"/>
      <c r="G467" s="224"/>
      <c r="H467" s="223" t="s">
        <v>3680</v>
      </c>
      <c r="I467" s="223" t="s">
        <v>3681</v>
      </c>
      <c r="J467" s="223" t="s">
        <v>3682</v>
      </c>
      <c r="K467" s="223" t="s">
        <v>3683</v>
      </c>
      <c r="L467" s="228">
        <v>38411</v>
      </c>
      <c r="M467" s="228">
        <v>0</v>
      </c>
      <c r="N467" s="223" t="s">
        <v>3684</v>
      </c>
      <c r="O467" s="229" t="str">
        <f t="shared" si="14"/>
        <v>EBS1_38411_0</v>
      </c>
      <c r="P467" s="229" t="s">
        <v>3685</v>
      </c>
      <c r="Q467" s="227"/>
      <c r="R467" s="227">
        <v>466</v>
      </c>
      <c r="S467" s="227"/>
      <c r="T467" s="229" t="str">
        <f t="shared" si="15"/>
        <v>3841100:Var_ui_ErrNo:=466;</v>
      </c>
    </row>
    <row r="468" ht="16.5" spans="1:20">
      <c r="A468" s="222">
        <v>467</v>
      </c>
      <c r="B468" s="35">
        <v>151</v>
      </c>
      <c r="C468" s="35">
        <v>11</v>
      </c>
      <c r="F468" s="224"/>
      <c r="G468" s="224"/>
      <c r="H468" s="223" t="s">
        <v>3686</v>
      </c>
      <c r="I468" s="223" t="s">
        <v>3681</v>
      </c>
      <c r="J468" s="223" t="s">
        <v>3687</v>
      </c>
      <c r="K468" s="223" t="s">
        <v>3688</v>
      </c>
      <c r="L468" s="228">
        <v>38667</v>
      </c>
      <c r="M468" s="228">
        <v>0</v>
      </c>
      <c r="N468" s="223" t="s">
        <v>3689</v>
      </c>
      <c r="O468" s="229" t="str">
        <f t="shared" si="14"/>
        <v>EBS1_38667_0</v>
      </c>
      <c r="P468" s="229" t="s">
        <v>3690</v>
      </c>
      <c r="Q468" s="227"/>
      <c r="R468" s="227">
        <v>467</v>
      </c>
      <c r="S468" s="227"/>
      <c r="T468" s="229" t="str">
        <f t="shared" si="15"/>
        <v>3866700:Var_ui_ErrNo:=467;</v>
      </c>
    </row>
    <row r="469" ht="16.5" spans="1:20">
      <c r="A469" s="222">
        <v>468</v>
      </c>
      <c r="B469" s="35">
        <v>152</v>
      </c>
      <c r="C469" s="35">
        <v>11</v>
      </c>
      <c r="F469" s="224"/>
      <c r="G469" s="224"/>
      <c r="H469" s="223" t="s">
        <v>3691</v>
      </c>
      <c r="I469" s="223" t="s">
        <v>3681</v>
      </c>
      <c r="J469" s="223" t="s">
        <v>3692</v>
      </c>
      <c r="K469" s="223" t="s">
        <v>3693</v>
      </c>
      <c r="L469" s="228">
        <v>38923</v>
      </c>
      <c r="M469" s="228">
        <v>0</v>
      </c>
      <c r="N469" s="223" t="s">
        <v>3694</v>
      </c>
      <c r="O469" s="229" t="str">
        <f t="shared" si="14"/>
        <v>EBS1_38923_0</v>
      </c>
      <c r="P469" s="229" t="s">
        <v>3695</v>
      </c>
      <c r="Q469" s="227"/>
      <c r="R469" s="227">
        <v>468</v>
      </c>
      <c r="S469" s="227"/>
      <c r="T469" s="229" t="str">
        <f t="shared" si="15"/>
        <v>3892300:Var_ui_ErrNo:=468;</v>
      </c>
    </row>
    <row r="470" ht="16.5" spans="1:20">
      <c r="A470" s="222">
        <v>469</v>
      </c>
      <c r="B470" s="35">
        <v>153</v>
      </c>
      <c r="C470" s="35">
        <v>11</v>
      </c>
      <c r="F470" s="224"/>
      <c r="G470" s="224"/>
      <c r="H470" s="223" t="s">
        <v>3696</v>
      </c>
      <c r="I470" s="223" t="s">
        <v>3681</v>
      </c>
      <c r="J470" s="223" t="s">
        <v>3697</v>
      </c>
      <c r="K470" s="223" t="s">
        <v>3698</v>
      </c>
      <c r="L470" s="228">
        <v>39179</v>
      </c>
      <c r="M470" s="228">
        <v>0</v>
      </c>
      <c r="N470" s="223" t="s">
        <v>3699</v>
      </c>
      <c r="O470" s="229" t="str">
        <f t="shared" si="14"/>
        <v>EBS1_39179_0</v>
      </c>
      <c r="P470" s="229" t="s">
        <v>3700</v>
      </c>
      <c r="Q470" s="227"/>
      <c r="R470" s="227">
        <v>469</v>
      </c>
      <c r="S470" s="227"/>
      <c r="T470" s="229" t="str">
        <f t="shared" si="15"/>
        <v>3917900:Var_ui_ErrNo:=469;</v>
      </c>
    </row>
    <row r="471" ht="16.5" spans="1:20">
      <c r="A471" s="222">
        <v>470</v>
      </c>
      <c r="B471" s="35">
        <v>154</v>
      </c>
      <c r="C471" s="35">
        <v>11</v>
      </c>
      <c r="F471" s="224"/>
      <c r="G471" s="224"/>
      <c r="H471" s="223" t="s">
        <v>3701</v>
      </c>
      <c r="I471" s="223" t="s">
        <v>3681</v>
      </c>
      <c r="J471" s="223" t="s">
        <v>3702</v>
      </c>
      <c r="K471" s="223" t="s">
        <v>3703</v>
      </c>
      <c r="L471" s="228">
        <v>39435</v>
      </c>
      <c r="M471" s="228">
        <v>0</v>
      </c>
      <c r="N471" s="223" t="s">
        <v>3704</v>
      </c>
      <c r="O471" s="229" t="str">
        <f t="shared" si="14"/>
        <v>EBS1_39435_0</v>
      </c>
      <c r="P471" s="229" t="s">
        <v>3705</v>
      </c>
      <c r="Q471" s="227"/>
      <c r="R471" s="227">
        <v>470</v>
      </c>
      <c r="S471" s="227"/>
      <c r="T471" s="229" t="str">
        <f t="shared" si="15"/>
        <v>3943500:Var_ui_ErrNo:=470;</v>
      </c>
    </row>
    <row r="472" ht="16.5" spans="1:20">
      <c r="A472" s="222">
        <v>471</v>
      </c>
      <c r="B472" s="35">
        <v>155</v>
      </c>
      <c r="C472" s="35">
        <v>11</v>
      </c>
      <c r="F472" s="224"/>
      <c r="G472" s="224"/>
      <c r="H472" s="223" t="s">
        <v>3706</v>
      </c>
      <c r="I472" s="223" t="s">
        <v>3681</v>
      </c>
      <c r="J472" s="223" t="s">
        <v>3707</v>
      </c>
      <c r="K472" s="223" t="s">
        <v>3708</v>
      </c>
      <c r="L472" s="228">
        <v>39691</v>
      </c>
      <c r="M472" s="228">
        <v>0</v>
      </c>
      <c r="N472" s="223" t="s">
        <v>3709</v>
      </c>
      <c r="O472" s="229" t="str">
        <f t="shared" si="14"/>
        <v>EBS1_39691_0</v>
      </c>
      <c r="P472" s="229" t="s">
        <v>3710</v>
      </c>
      <c r="Q472" s="227"/>
      <c r="R472" s="227">
        <v>471</v>
      </c>
      <c r="S472" s="227"/>
      <c r="T472" s="229" t="str">
        <f t="shared" si="15"/>
        <v>3969100:Var_ui_ErrNo:=471;</v>
      </c>
    </row>
    <row r="473" ht="16.5" spans="1:20">
      <c r="A473" s="222">
        <v>472</v>
      </c>
      <c r="B473" s="35">
        <v>150</v>
      </c>
      <c r="C473" s="35">
        <v>13</v>
      </c>
      <c r="F473" s="224"/>
      <c r="G473" s="224"/>
      <c r="H473" s="223" t="s">
        <v>3711</v>
      </c>
      <c r="I473" s="223" t="s">
        <v>3712</v>
      </c>
      <c r="J473" s="223" t="s">
        <v>3713</v>
      </c>
      <c r="K473" s="223" t="s">
        <v>3714</v>
      </c>
      <c r="L473" s="228">
        <v>38413</v>
      </c>
      <c r="M473" s="228">
        <v>0</v>
      </c>
      <c r="N473" s="223" t="s">
        <v>3715</v>
      </c>
      <c r="O473" s="229" t="str">
        <f t="shared" si="14"/>
        <v>EBS1_38413_0</v>
      </c>
      <c r="P473" s="229" t="s">
        <v>3716</v>
      </c>
      <c r="Q473" s="227"/>
      <c r="R473" s="227">
        <v>472</v>
      </c>
      <c r="S473" s="227"/>
      <c r="T473" s="229" t="str">
        <f t="shared" si="15"/>
        <v>3841300:Var_ui_ErrNo:=472;</v>
      </c>
    </row>
    <row r="474" ht="16.5" spans="1:20">
      <c r="A474" s="222">
        <v>473</v>
      </c>
      <c r="B474" s="35">
        <v>151</v>
      </c>
      <c r="C474" s="35">
        <v>13</v>
      </c>
      <c r="F474" s="224"/>
      <c r="G474" s="224"/>
      <c r="H474" s="223" t="s">
        <v>3717</v>
      </c>
      <c r="I474" s="223" t="s">
        <v>3712</v>
      </c>
      <c r="J474" s="223" t="s">
        <v>3718</v>
      </c>
      <c r="K474" s="223" t="s">
        <v>3719</v>
      </c>
      <c r="L474" s="228">
        <v>38669</v>
      </c>
      <c r="M474" s="228">
        <v>0</v>
      </c>
      <c r="N474" s="223" t="s">
        <v>3720</v>
      </c>
      <c r="O474" s="229" t="str">
        <f t="shared" si="14"/>
        <v>EBS1_38669_0</v>
      </c>
      <c r="P474" s="229" t="s">
        <v>3721</v>
      </c>
      <c r="Q474" s="227"/>
      <c r="R474" s="227">
        <v>473</v>
      </c>
      <c r="S474" s="227"/>
      <c r="T474" s="229" t="str">
        <f t="shared" si="15"/>
        <v>3866900:Var_ui_ErrNo:=473;</v>
      </c>
    </row>
    <row r="475" ht="16.5" spans="1:20">
      <c r="A475" s="222">
        <v>474</v>
      </c>
      <c r="B475" s="35">
        <v>152</v>
      </c>
      <c r="C475" s="35">
        <v>13</v>
      </c>
      <c r="F475" s="224"/>
      <c r="G475" s="224"/>
      <c r="H475" s="223" t="s">
        <v>3722</v>
      </c>
      <c r="I475" s="223" t="s">
        <v>3712</v>
      </c>
      <c r="J475" s="223" t="s">
        <v>3723</v>
      </c>
      <c r="K475" s="223" t="s">
        <v>3724</v>
      </c>
      <c r="L475" s="228">
        <v>38925</v>
      </c>
      <c r="M475" s="228">
        <v>0</v>
      </c>
      <c r="N475" s="223" t="s">
        <v>3725</v>
      </c>
      <c r="O475" s="229" t="str">
        <f t="shared" si="14"/>
        <v>EBS1_38925_0</v>
      </c>
      <c r="P475" s="229" t="s">
        <v>3726</v>
      </c>
      <c r="Q475" s="227"/>
      <c r="R475" s="227">
        <v>474</v>
      </c>
      <c r="S475" s="227"/>
      <c r="T475" s="229" t="str">
        <f t="shared" si="15"/>
        <v>3892500:Var_ui_ErrNo:=474;</v>
      </c>
    </row>
    <row r="476" ht="16.5" spans="1:20">
      <c r="A476" s="222">
        <v>475</v>
      </c>
      <c r="B476" s="35">
        <v>153</v>
      </c>
      <c r="C476" s="35">
        <v>13</v>
      </c>
      <c r="F476" s="224"/>
      <c r="G476" s="224"/>
      <c r="H476" s="223" t="s">
        <v>3727</v>
      </c>
      <c r="I476" s="223" t="s">
        <v>3712</v>
      </c>
      <c r="J476" s="223" t="s">
        <v>3728</v>
      </c>
      <c r="K476" s="223" t="s">
        <v>3729</v>
      </c>
      <c r="L476" s="228">
        <v>39181</v>
      </c>
      <c r="M476" s="228">
        <v>0</v>
      </c>
      <c r="N476" s="223" t="s">
        <v>3730</v>
      </c>
      <c r="O476" s="229" t="str">
        <f t="shared" si="14"/>
        <v>EBS1_39181_0</v>
      </c>
      <c r="P476" s="229" t="s">
        <v>3731</v>
      </c>
      <c r="Q476" s="227"/>
      <c r="R476" s="227">
        <v>475</v>
      </c>
      <c r="S476" s="227"/>
      <c r="T476" s="229" t="str">
        <f t="shared" si="15"/>
        <v>3918100:Var_ui_ErrNo:=475;</v>
      </c>
    </row>
    <row r="477" ht="16.5" spans="1:20">
      <c r="A477" s="222">
        <v>476</v>
      </c>
      <c r="B477" s="35">
        <v>154</v>
      </c>
      <c r="C477" s="35">
        <v>13</v>
      </c>
      <c r="F477" s="224"/>
      <c r="G477" s="224"/>
      <c r="H477" s="223" t="s">
        <v>3732</v>
      </c>
      <c r="I477" s="223" t="s">
        <v>3712</v>
      </c>
      <c r="J477" s="223" t="s">
        <v>3733</v>
      </c>
      <c r="K477" s="223" t="s">
        <v>3734</v>
      </c>
      <c r="L477" s="228">
        <v>39437</v>
      </c>
      <c r="M477" s="228">
        <v>0</v>
      </c>
      <c r="N477" s="223" t="s">
        <v>3735</v>
      </c>
      <c r="O477" s="229" t="str">
        <f t="shared" si="14"/>
        <v>EBS1_39437_0</v>
      </c>
      <c r="P477" s="229" t="s">
        <v>3736</v>
      </c>
      <c r="Q477" s="227"/>
      <c r="R477" s="227">
        <v>476</v>
      </c>
      <c r="S477" s="227"/>
      <c r="T477" s="229" t="str">
        <f t="shared" si="15"/>
        <v>3943700:Var_ui_ErrNo:=476;</v>
      </c>
    </row>
    <row r="478" ht="16.5" spans="1:20">
      <c r="A478" s="222">
        <v>477</v>
      </c>
      <c r="B478" s="35">
        <v>155</v>
      </c>
      <c r="C478" s="35">
        <v>13</v>
      </c>
      <c r="F478" s="224"/>
      <c r="G478" s="224"/>
      <c r="H478" s="223" t="s">
        <v>3737</v>
      </c>
      <c r="I478" s="223" t="s">
        <v>3712</v>
      </c>
      <c r="J478" s="223" t="s">
        <v>3738</v>
      </c>
      <c r="K478" s="223" t="s">
        <v>3739</v>
      </c>
      <c r="L478" s="228">
        <v>39693</v>
      </c>
      <c r="M478" s="228">
        <v>0</v>
      </c>
      <c r="N478" s="223" t="s">
        <v>3740</v>
      </c>
      <c r="O478" s="229" t="str">
        <f t="shared" si="14"/>
        <v>EBS1_39693_0</v>
      </c>
      <c r="P478" s="229" t="s">
        <v>3741</v>
      </c>
      <c r="Q478" s="227"/>
      <c r="R478" s="227">
        <v>477</v>
      </c>
      <c r="S478" s="227"/>
      <c r="T478" s="229" t="str">
        <f t="shared" si="15"/>
        <v>3969300:Var_ui_ErrNo:=477;</v>
      </c>
    </row>
    <row r="479" ht="16.5" spans="1:20">
      <c r="A479" s="222">
        <v>478</v>
      </c>
      <c r="B479" s="35">
        <v>150</v>
      </c>
      <c r="C479" s="35">
        <v>14</v>
      </c>
      <c r="F479" s="224"/>
      <c r="G479" s="224"/>
      <c r="H479" s="223" t="s">
        <v>3742</v>
      </c>
      <c r="I479" s="223" t="s">
        <v>3743</v>
      </c>
      <c r="J479" s="223" t="s">
        <v>3744</v>
      </c>
      <c r="K479" s="223" t="s">
        <v>3745</v>
      </c>
      <c r="L479" s="228">
        <v>38414</v>
      </c>
      <c r="M479" s="228">
        <v>0</v>
      </c>
      <c r="N479" s="223" t="s">
        <v>3746</v>
      </c>
      <c r="O479" s="229" t="str">
        <f t="shared" si="14"/>
        <v>EBS1_38414_0</v>
      </c>
      <c r="P479" s="229" t="s">
        <v>3747</v>
      </c>
      <c r="Q479" s="227"/>
      <c r="R479" s="227">
        <v>478</v>
      </c>
      <c r="S479" s="227"/>
      <c r="T479" s="229" t="str">
        <f t="shared" si="15"/>
        <v>3841400:Var_ui_ErrNo:=478;</v>
      </c>
    </row>
    <row r="480" ht="16.5" spans="1:20">
      <c r="A480" s="222">
        <v>479</v>
      </c>
      <c r="B480" s="35">
        <v>151</v>
      </c>
      <c r="C480" s="35">
        <v>14</v>
      </c>
      <c r="F480" s="224"/>
      <c r="G480" s="224"/>
      <c r="H480" s="223" t="s">
        <v>3748</v>
      </c>
      <c r="I480" s="223" t="s">
        <v>3743</v>
      </c>
      <c r="J480" s="223" t="s">
        <v>3749</v>
      </c>
      <c r="K480" s="223" t="s">
        <v>3750</v>
      </c>
      <c r="L480" s="228">
        <v>38670</v>
      </c>
      <c r="M480" s="228">
        <v>0</v>
      </c>
      <c r="N480" s="223" t="s">
        <v>3751</v>
      </c>
      <c r="O480" s="229" t="str">
        <f t="shared" si="14"/>
        <v>EBS1_38670_0</v>
      </c>
      <c r="P480" s="229" t="s">
        <v>3752</v>
      </c>
      <c r="Q480" s="227"/>
      <c r="R480" s="227">
        <v>479</v>
      </c>
      <c r="S480" s="227"/>
      <c r="T480" s="229" t="str">
        <f t="shared" si="15"/>
        <v>3867000:Var_ui_ErrNo:=479;</v>
      </c>
    </row>
    <row r="481" ht="16.5" spans="1:20">
      <c r="A481" s="222">
        <v>480</v>
      </c>
      <c r="B481" s="35">
        <v>152</v>
      </c>
      <c r="C481" s="35">
        <v>14</v>
      </c>
      <c r="F481" s="224"/>
      <c r="G481" s="224"/>
      <c r="H481" s="223" t="s">
        <v>3753</v>
      </c>
      <c r="I481" s="223" t="s">
        <v>3743</v>
      </c>
      <c r="J481" s="223" t="s">
        <v>3754</v>
      </c>
      <c r="K481" s="223" t="s">
        <v>3755</v>
      </c>
      <c r="L481" s="228">
        <v>38926</v>
      </c>
      <c r="M481" s="228">
        <v>0</v>
      </c>
      <c r="N481" s="223" t="s">
        <v>3756</v>
      </c>
      <c r="O481" s="229" t="str">
        <f t="shared" si="14"/>
        <v>EBS1_38926_0</v>
      </c>
      <c r="P481" s="229" t="s">
        <v>3757</v>
      </c>
      <c r="Q481" s="227"/>
      <c r="R481" s="227">
        <v>480</v>
      </c>
      <c r="S481" s="227"/>
      <c r="T481" s="229" t="str">
        <f t="shared" si="15"/>
        <v>3892600:Var_ui_ErrNo:=480;</v>
      </c>
    </row>
    <row r="482" ht="16.5" spans="1:20">
      <c r="A482" s="222">
        <v>481</v>
      </c>
      <c r="B482" s="35">
        <v>153</v>
      </c>
      <c r="C482" s="35">
        <v>14</v>
      </c>
      <c r="F482" s="224"/>
      <c r="G482" s="224"/>
      <c r="H482" s="223" t="s">
        <v>3758</v>
      </c>
      <c r="I482" s="223" t="s">
        <v>3743</v>
      </c>
      <c r="J482" s="223" t="s">
        <v>3759</v>
      </c>
      <c r="K482" s="223" t="s">
        <v>3760</v>
      </c>
      <c r="L482" s="228">
        <v>39182</v>
      </c>
      <c r="M482" s="228">
        <v>0</v>
      </c>
      <c r="N482" s="223" t="s">
        <v>3761</v>
      </c>
      <c r="O482" s="229" t="str">
        <f t="shared" si="14"/>
        <v>EBS1_39182_0</v>
      </c>
      <c r="P482" s="229" t="s">
        <v>3762</v>
      </c>
      <c r="Q482" s="227"/>
      <c r="R482" s="227">
        <v>481</v>
      </c>
      <c r="S482" s="227"/>
      <c r="T482" s="229" t="str">
        <f t="shared" si="15"/>
        <v>3918200:Var_ui_ErrNo:=481;</v>
      </c>
    </row>
    <row r="483" ht="16.5" spans="1:20">
      <c r="A483" s="222">
        <v>482</v>
      </c>
      <c r="B483" s="35">
        <v>154</v>
      </c>
      <c r="C483" s="35">
        <v>14</v>
      </c>
      <c r="F483" s="224"/>
      <c r="G483" s="224"/>
      <c r="H483" s="223" t="s">
        <v>3763</v>
      </c>
      <c r="I483" s="223" t="s">
        <v>3743</v>
      </c>
      <c r="J483" s="223" t="s">
        <v>3764</v>
      </c>
      <c r="K483" s="223" t="s">
        <v>3765</v>
      </c>
      <c r="L483" s="228">
        <v>39438</v>
      </c>
      <c r="M483" s="228">
        <v>0</v>
      </c>
      <c r="N483" s="223" t="s">
        <v>3766</v>
      </c>
      <c r="O483" s="229" t="str">
        <f t="shared" si="14"/>
        <v>EBS1_39438_0</v>
      </c>
      <c r="P483" s="229" t="s">
        <v>3767</v>
      </c>
      <c r="Q483" s="227"/>
      <c r="R483" s="227">
        <v>482</v>
      </c>
      <c r="S483" s="227"/>
      <c r="T483" s="229" t="str">
        <f t="shared" si="15"/>
        <v>3943800:Var_ui_ErrNo:=482;</v>
      </c>
    </row>
    <row r="484" ht="16.5" spans="1:20">
      <c r="A484" s="222">
        <v>483</v>
      </c>
      <c r="B484" s="35">
        <v>155</v>
      </c>
      <c r="C484" s="35">
        <v>14</v>
      </c>
      <c r="F484" s="224"/>
      <c r="G484" s="224"/>
      <c r="H484" s="223" t="s">
        <v>3768</v>
      </c>
      <c r="I484" s="223" t="s">
        <v>3743</v>
      </c>
      <c r="J484" s="223" t="s">
        <v>3769</v>
      </c>
      <c r="K484" s="223" t="s">
        <v>3770</v>
      </c>
      <c r="L484" s="228">
        <v>39694</v>
      </c>
      <c r="M484" s="228">
        <v>0</v>
      </c>
      <c r="N484" s="223" t="s">
        <v>3771</v>
      </c>
      <c r="O484" s="229" t="str">
        <f t="shared" si="14"/>
        <v>EBS1_39694_0</v>
      </c>
      <c r="P484" s="229" t="s">
        <v>3772</v>
      </c>
      <c r="Q484" s="227"/>
      <c r="R484" s="227">
        <v>483</v>
      </c>
      <c r="S484" s="227"/>
      <c r="T484" s="229" t="str">
        <f t="shared" si="15"/>
        <v>3969400:Var_ui_ErrNo:=483;</v>
      </c>
    </row>
    <row r="485" ht="16.5" spans="1:20">
      <c r="A485" s="222">
        <v>484</v>
      </c>
      <c r="B485" s="35">
        <v>150</v>
      </c>
      <c r="C485" s="35">
        <v>170</v>
      </c>
      <c r="F485" s="224"/>
      <c r="G485" s="224"/>
      <c r="H485" s="223" t="s">
        <v>3773</v>
      </c>
      <c r="I485" s="223" t="s">
        <v>3774</v>
      </c>
      <c r="J485" s="223" t="s">
        <v>3775</v>
      </c>
      <c r="K485" s="223" t="s">
        <v>3776</v>
      </c>
      <c r="L485" s="228">
        <v>38570</v>
      </c>
      <c r="M485" s="228">
        <v>0</v>
      </c>
      <c r="N485" s="223" t="s">
        <v>3777</v>
      </c>
      <c r="O485" s="229" t="str">
        <f t="shared" si="14"/>
        <v>EBS1_38570_0</v>
      </c>
      <c r="P485" s="229" t="s">
        <v>3778</v>
      </c>
      <c r="Q485" s="227"/>
      <c r="R485" s="227">
        <v>484</v>
      </c>
      <c r="S485" s="227"/>
      <c r="T485" s="229" t="str">
        <f t="shared" si="15"/>
        <v>3857000:Var_ui_ErrNo:=484;</v>
      </c>
    </row>
    <row r="486" ht="16.5" spans="1:20">
      <c r="A486" s="222">
        <v>485</v>
      </c>
      <c r="B486" s="35">
        <v>150</v>
      </c>
      <c r="C486" s="35">
        <v>171</v>
      </c>
      <c r="F486" s="224"/>
      <c r="G486" s="224"/>
      <c r="H486" s="223" t="s">
        <v>3773</v>
      </c>
      <c r="I486" s="223" t="s">
        <v>3774</v>
      </c>
      <c r="J486" s="223" t="s">
        <v>3779</v>
      </c>
      <c r="K486" s="223" t="s">
        <v>3780</v>
      </c>
      <c r="L486" s="228">
        <v>38571</v>
      </c>
      <c r="M486" s="228">
        <v>0</v>
      </c>
      <c r="N486" s="223" t="s">
        <v>3777</v>
      </c>
      <c r="O486" s="229" t="str">
        <f t="shared" si="14"/>
        <v>EBS1_38571_0</v>
      </c>
      <c r="P486" s="229" t="s">
        <v>3781</v>
      </c>
      <c r="Q486" s="227"/>
      <c r="R486" s="227">
        <v>485</v>
      </c>
      <c r="S486" s="227"/>
      <c r="T486" s="229" t="str">
        <f t="shared" si="15"/>
        <v>3857100:Var_ui_ErrNo:=485;</v>
      </c>
    </row>
    <row r="487" ht="16.5" spans="1:20">
      <c r="A487" s="222">
        <v>486</v>
      </c>
      <c r="B487" s="35">
        <v>150</v>
      </c>
      <c r="C487" s="35">
        <v>172</v>
      </c>
      <c r="F487" s="224"/>
      <c r="G487" s="224"/>
      <c r="H487" s="223" t="s">
        <v>3773</v>
      </c>
      <c r="I487" s="223" t="s">
        <v>3774</v>
      </c>
      <c r="J487" s="223" t="s">
        <v>3782</v>
      </c>
      <c r="K487" s="223" t="s">
        <v>3783</v>
      </c>
      <c r="L487" s="228">
        <v>38572</v>
      </c>
      <c r="M487" s="228">
        <v>0</v>
      </c>
      <c r="N487" s="223" t="s">
        <v>3777</v>
      </c>
      <c r="O487" s="229" t="str">
        <f t="shared" si="14"/>
        <v>EBS1_38572_0</v>
      </c>
      <c r="P487" s="229" t="s">
        <v>3784</v>
      </c>
      <c r="Q487" s="227"/>
      <c r="R487" s="227">
        <v>486</v>
      </c>
      <c r="S487" s="227"/>
      <c r="T487" s="229" t="str">
        <f t="shared" si="15"/>
        <v>3857200:Var_ui_ErrNo:=486;</v>
      </c>
    </row>
    <row r="488" ht="16.5" spans="1:20">
      <c r="A488" s="222">
        <v>487</v>
      </c>
      <c r="B488" s="35">
        <v>150</v>
      </c>
      <c r="C488" s="35">
        <v>173</v>
      </c>
      <c r="F488" s="224"/>
      <c r="G488" s="224"/>
      <c r="H488" s="223" t="s">
        <v>3773</v>
      </c>
      <c r="I488" s="223" t="s">
        <v>3774</v>
      </c>
      <c r="J488" s="223" t="s">
        <v>3785</v>
      </c>
      <c r="K488" s="223" t="s">
        <v>3786</v>
      </c>
      <c r="L488" s="228">
        <v>38573</v>
      </c>
      <c r="M488" s="228">
        <v>0</v>
      </c>
      <c r="N488" s="223" t="s">
        <v>3777</v>
      </c>
      <c r="O488" s="229" t="str">
        <f t="shared" si="14"/>
        <v>EBS1_38573_0</v>
      </c>
      <c r="P488" s="229" t="s">
        <v>3787</v>
      </c>
      <c r="Q488" s="227"/>
      <c r="R488" s="227">
        <v>487</v>
      </c>
      <c r="S488" s="227"/>
      <c r="T488" s="229" t="str">
        <f t="shared" si="15"/>
        <v>3857300:Var_ui_ErrNo:=487;</v>
      </c>
    </row>
    <row r="489" ht="16.5" spans="1:20">
      <c r="A489" s="222">
        <v>488</v>
      </c>
      <c r="B489" s="35">
        <v>150</v>
      </c>
      <c r="C489" s="35">
        <v>174</v>
      </c>
      <c r="F489" s="224"/>
      <c r="G489" s="224"/>
      <c r="H489" s="223" t="s">
        <v>3773</v>
      </c>
      <c r="I489" s="223" t="s">
        <v>3774</v>
      </c>
      <c r="J489" s="223" t="s">
        <v>3788</v>
      </c>
      <c r="K489" s="223" t="s">
        <v>3789</v>
      </c>
      <c r="L489" s="228">
        <v>38574</v>
      </c>
      <c r="M489" s="228">
        <v>0</v>
      </c>
      <c r="N489" s="223" t="s">
        <v>3777</v>
      </c>
      <c r="O489" s="229" t="str">
        <f t="shared" si="14"/>
        <v>EBS1_38574_0</v>
      </c>
      <c r="P489" s="229" t="s">
        <v>3790</v>
      </c>
      <c r="Q489" s="227"/>
      <c r="R489" s="227">
        <v>488</v>
      </c>
      <c r="S489" s="227"/>
      <c r="T489" s="229" t="str">
        <f t="shared" si="15"/>
        <v>3857400:Var_ui_ErrNo:=488;</v>
      </c>
    </row>
    <row r="490" ht="16.5" spans="1:20">
      <c r="A490" s="222">
        <v>489</v>
      </c>
      <c r="B490" s="35">
        <v>150</v>
      </c>
      <c r="C490" s="35">
        <v>175</v>
      </c>
      <c r="F490" s="224"/>
      <c r="G490" s="224"/>
      <c r="H490" s="223" t="s">
        <v>3773</v>
      </c>
      <c r="I490" s="223" t="s">
        <v>3774</v>
      </c>
      <c r="J490" s="223" t="s">
        <v>3791</v>
      </c>
      <c r="K490" s="223" t="s">
        <v>3792</v>
      </c>
      <c r="L490" s="228">
        <v>38575</v>
      </c>
      <c r="M490" s="228">
        <v>0</v>
      </c>
      <c r="N490" s="223" t="s">
        <v>3777</v>
      </c>
      <c r="O490" s="229" t="str">
        <f t="shared" si="14"/>
        <v>EBS1_38575_0</v>
      </c>
      <c r="P490" s="229" t="s">
        <v>3793</v>
      </c>
      <c r="Q490" s="227"/>
      <c r="R490" s="227">
        <v>489</v>
      </c>
      <c r="S490" s="227"/>
      <c r="T490" s="229" t="str">
        <f t="shared" si="15"/>
        <v>3857500:Var_ui_ErrNo:=489;</v>
      </c>
    </row>
    <row r="491" ht="16.5" spans="1:20">
      <c r="A491" s="222">
        <v>490</v>
      </c>
      <c r="B491" s="35">
        <v>150</v>
      </c>
      <c r="C491" s="35">
        <v>176</v>
      </c>
      <c r="F491" s="224"/>
      <c r="G491" s="224"/>
      <c r="H491" s="223" t="s">
        <v>3773</v>
      </c>
      <c r="I491" s="223" t="s">
        <v>3774</v>
      </c>
      <c r="J491" s="223" t="s">
        <v>3794</v>
      </c>
      <c r="K491" s="223" t="s">
        <v>3795</v>
      </c>
      <c r="L491" s="228">
        <v>38576</v>
      </c>
      <c r="M491" s="228">
        <v>0</v>
      </c>
      <c r="N491" s="223" t="s">
        <v>3777</v>
      </c>
      <c r="O491" s="229" t="str">
        <f t="shared" si="14"/>
        <v>EBS1_38576_0</v>
      </c>
      <c r="P491" s="229" t="s">
        <v>3796</v>
      </c>
      <c r="Q491" s="227"/>
      <c r="R491" s="227">
        <v>490</v>
      </c>
      <c r="S491" s="227"/>
      <c r="T491" s="229" t="str">
        <f t="shared" si="15"/>
        <v>3857600:Var_ui_ErrNo:=490;</v>
      </c>
    </row>
    <row r="492" ht="16.5" spans="1:20">
      <c r="A492" s="222">
        <v>491</v>
      </c>
      <c r="B492" s="35">
        <v>150</v>
      </c>
      <c r="C492" s="35">
        <v>177</v>
      </c>
      <c r="F492" s="224"/>
      <c r="G492" s="224"/>
      <c r="H492" s="223" t="s">
        <v>3773</v>
      </c>
      <c r="I492" s="223" t="s">
        <v>3774</v>
      </c>
      <c r="J492" s="223" t="s">
        <v>3797</v>
      </c>
      <c r="K492" s="223" t="s">
        <v>3798</v>
      </c>
      <c r="L492" s="228">
        <v>38577</v>
      </c>
      <c r="M492" s="228">
        <v>0</v>
      </c>
      <c r="N492" s="223" t="s">
        <v>3777</v>
      </c>
      <c r="O492" s="229" t="str">
        <f t="shared" si="14"/>
        <v>EBS1_38577_0</v>
      </c>
      <c r="P492" s="229" t="s">
        <v>3799</v>
      </c>
      <c r="Q492" s="227"/>
      <c r="R492" s="227">
        <v>491</v>
      </c>
      <c r="S492" s="227"/>
      <c r="T492" s="229" t="str">
        <f t="shared" si="15"/>
        <v>3857700:Var_ui_ErrNo:=491;</v>
      </c>
    </row>
    <row r="493" ht="16.5" spans="1:20">
      <c r="A493" s="222">
        <v>492</v>
      </c>
      <c r="B493" s="35">
        <v>151</v>
      </c>
      <c r="C493" s="35">
        <v>170</v>
      </c>
      <c r="F493" s="224"/>
      <c r="G493" s="224"/>
      <c r="H493" s="223" t="s">
        <v>3800</v>
      </c>
      <c r="I493" s="223" t="s">
        <v>3774</v>
      </c>
      <c r="J493" s="223" t="s">
        <v>3801</v>
      </c>
      <c r="K493" s="223" t="s">
        <v>3802</v>
      </c>
      <c r="L493" s="228">
        <v>38826</v>
      </c>
      <c r="M493" s="228">
        <v>0</v>
      </c>
      <c r="N493" s="223" t="s">
        <v>3803</v>
      </c>
      <c r="O493" s="229" t="str">
        <f t="shared" si="14"/>
        <v>EBS1_38826_0</v>
      </c>
      <c r="P493" s="229" t="s">
        <v>3804</v>
      </c>
      <c r="Q493" s="227"/>
      <c r="R493" s="227">
        <v>492</v>
      </c>
      <c r="S493" s="227"/>
      <c r="T493" s="229" t="str">
        <f t="shared" si="15"/>
        <v>3882600:Var_ui_ErrNo:=492;</v>
      </c>
    </row>
    <row r="494" ht="16.5" spans="1:20">
      <c r="A494" s="222">
        <v>493</v>
      </c>
      <c r="B494" s="35">
        <v>151</v>
      </c>
      <c r="C494" s="35">
        <v>171</v>
      </c>
      <c r="F494" s="224"/>
      <c r="G494" s="224"/>
      <c r="H494" s="223" t="s">
        <v>3800</v>
      </c>
      <c r="I494" s="223" t="s">
        <v>3774</v>
      </c>
      <c r="J494" s="223" t="s">
        <v>3805</v>
      </c>
      <c r="K494" s="223" t="s">
        <v>3806</v>
      </c>
      <c r="L494" s="228">
        <v>38827</v>
      </c>
      <c r="M494" s="228">
        <v>0</v>
      </c>
      <c r="N494" s="223" t="s">
        <v>3803</v>
      </c>
      <c r="O494" s="229" t="str">
        <f t="shared" si="14"/>
        <v>EBS1_38827_0</v>
      </c>
      <c r="P494" s="229" t="s">
        <v>3807</v>
      </c>
      <c r="Q494" s="227"/>
      <c r="R494" s="227">
        <v>493</v>
      </c>
      <c r="S494" s="227"/>
      <c r="T494" s="229" t="str">
        <f t="shared" si="15"/>
        <v>3882700:Var_ui_ErrNo:=493;</v>
      </c>
    </row>
    <row r="495" ht="16.5" spans="1:20">
      <c r="A495" s="222">
        <v>494</v>
      </c>
      <c r="B495" s="35">
        <v>151</v>
      </c>
      <c r="C495" s="35">
        <v>172</v>
      </c>
      <c r="F495" s="224"/>
      <c r="G495" s="224"/>
      <c r="H495" s="223" t="s">
        <v>3800</v>
      </c>
      <c r="I495" s="223" t="s">
        <v>3774</v>
      </c>
      <c r="J495" s="223" t="s">
        <v>3808</v>
      </c>
      <c r="K495" s="223" t="s">
        <v>3809</v>
      </c>
      <c r="L495" s="228">
        <v>38828</v>
      </c>
      <c r="M495" s="228">
        <v>0</v>
      </c>
      <c r="N495" s="223" t="s">
        <v>3803</v>
      </c>
      <c r="O495" s="229" t="str">
        <f t="shared" si="14"/>
        <v>EBS1_38828_0</v>
      </c>
      <c r="P495" s="229" t="s">
        <v>3810</v>
      </c>
      <c r="Q495" s="227"/>
      <c r="R495" s="227">
        <v>494</v>
      </c>
      <c r="S495" s="227"/>
      <c r="T495" s="229" t="str">
        <f t="shared" si="15"/>
        <v>3882800:Var_ui_ErrNo:=494;</v>
      </c>
    </row>
    <row r="496" ht="16.5" spans="1:20">
      <c r="A496" s="222">
        <v>495</v>
      </c>
      <c r="B496" s="35">
        <v>151</v>
      </c>
      <c r="C496" s="35">
        <v>173</v>
      </c>
      <c r="F496" s="224"/>
      <c r="G496" s="224"/>
      <c r="H496" s="223" t="s">
        <v>3800</v>
      </c>
      <c r="I496" s="223" t="s">
        <v>3774</v>
      </c>
      <c r="J496" s="223" t="s">
        <v>3811</v>
      </c>
      <c r="K496" s="223" t="s">
        <v>3812</v>
      </c>
      <c r="L496" s="228">
        <v>38829</v>
      </c>
      <c r="M496" s="228">
        <v>0</v>
      </c>
      <c r="N496" s="223" t="s">
        <v>3803</v>
      </c>
      <c r="O496" s="229" t="str">
        <f t="shared" si="14"/>
        <v>EBS1_38829_0</v>
      </c>
      <c r="P496" s="229" t="s">
        <v>3813</v>
      </c>
      <c r="Q496" s="227"/>
      <c r="R496" s="227">
        <v>495</v>
      </c>
      <c r="S496" s="227"/>
      <c r="T496" s="229" t="str">
        <f t="shared" si="15"/>
        <v>3882900:Var_ui_ErrNo:=495;</v>
      </c>
    </row>
    <row r="497" ht="16.5" spans="1:20">
      <c r="A497" s="222">
        <v>496</v>
      </c>
      <c r="B497" s="35">
        <v>151</v>
      </c>
      <c r="C497" s="35">
        <v>174</v>
      </c>
      <c r="F497" s="224"/>
      <c r="G497" s="224"/>
      <c r="H497" s="223" t="s">
        <v>3800</v>
      </c>
      <c r="I497" s="223" t="s">
        <v>3774</v>
      </c>
      <c r="J497" s="223" t="s">
        <v>3814</v>
      </c>
      <c r="K497" s="223" t="s">
        <v>3815</v>
      </c>
      <c r="L497" s="228">
        <v>38830</v>
      </c>
      <c r="M497" s="228">
        <v>0</v>
      </c>
      <c r="N497" s="223" t="s">
        <v>3803</v>
      </c>
      <c r="O497" s="229" t="str">
        <f t="shared" si="14"/>
        <v>EBS1_38830_0</v>
      </c>
      <c r="P497" s="229" t="s">
        <v>3816</v>
      </c>
      <c r="Q497" s="227"/>
      <c r="R497" s="227">
        <v>496</v>
      </c>
      <c r="S497" s="227"/>
      <c r="T497" s="229" t="str">
        <f t="shared" si="15"/>
        <v>3883000:Var_ui_ErrNo:=496;</v>
      </c>
    </row>
    <row r="498" ht="16.5" spans="1:20">
      <c r="A498" s="222">
        <v>497</v>
      </c>
      <c r="B498" s="35">
        <v>151</v>
      </c>
      <c r="C498" s="35">
        <v>175</v>
      </c>
      <c r="F498" s="224"/>
      <c r="G498" s="224"/>
      <c r="H498" s="223" t="s">
        <v>3800</v>
      </c>
      <c r="I498" s="223" t="s">
        <v>3774</v>
      </c>
      <c r="J498" s="223" t="s">
        <v>3817</v>
      </c>
      <c r="K498" s="223" t="s">
        <v>3818</v>
      </c>
      <c r="L498" s="228">
        <v>38831</v>
      </c>
      <c r="M498" s="228">
        <v>0</v>
      </c>
      <c r="N498" s="223" t="s">
        <v>3803</v>
      </c>
      <c r="O498" s="229" t="str">
        <f t="shared" si="14"/>
        <v>EBS1_38831_0</v>
      </c>
      <c r="P498" s="229" t="s">
        <v>3819</v>
      </c>
      <c r="Q498" s="227"/>
      <c r="R498" s="227">
        <v>497</v>
      </c>
      <c r="S498" s="227"/>
      <c r="T498" s="229" t="str">
        <f t="shared" si="15"/>
        <v>3883100:Var_ui_ErrNo:=497;</v>
      </c>
    </row>
    <row r="499" ht="16.5" spans="1:20">
      <c r="A499" s="222">
        <v>498</v>
      </c>
      <c r="B499" s="35">
        <v>151</v>
      </c>
      <c r="C499" s="35">
        <v>176</v>
      </c>
      <c r="F499" s="224"/>
      <c r="G499" s="224"/>
      <c r="H499" s="223" t="s">
        <v>3800</v>
      </c>
      <c r="I499" s="223" t="s">
        <v>3774</v>
      </c>
      <c r="J499" s="223" t="s">
        <v>3820</v>
      </c>
      <c r="K499" s="223" t="s">
        <v>3821</v>
      </c>
      <c r="L499" s="228">
        <v>38832</v>
      </c>
      <c r="M499" s="228">
        <v>0</v>
      </c>
      <c r="N499" s="223" t="s">
        <v>3803</v>
      </c>
      <c r="O499" s="229" t="str">
        <f t="shared" si="14"/>
        <v>EBS1_38832_0</v>
      </c>
      <c r="P499" s="229" t="s">
        <v>3822</v>
      </c>
      <c r="Q499" s="227"/>
      <c r="R499" s="227">
        <v>498</v>
      </c>
      <c r="S499" s="227"/>
      <c r="T499" s="229" t="str">
        <f t="shared" si="15"/>
        <v>3883200:Var_ui_ErrNo:=498;</v>
      </c>
    </row>
    <row r="500" ht="16.5" spans="1:20">
      <c r="A500" s="222">
        <v>499</v>
      </c>
      <c r="B500" s="35">
        <v>151</v>
      </c>
      <c r="C500" s="35">
        <v>177</v>
      </c>
      <c r="F500" s="224"/>
      <c r="G500" s="224"/>
      <c r="H500" s="223" t="s">
        <v>3800</v>
      </c>
      <c r="I500" s="223" t="s">
        <v>3774</v>
      </c>
      <c r="J500" s="223" t="s">
        <v>3823</v>
      </c>
      <c r="K500" s="223" t="s">
        <v>3824</v>
      </c>
      <c r="L500" s="228">
        <v>38833</v>
      </c>
      <c r="M500" s="228">
        <v>0</v>
      </c>
      <c r="N500" s="223" t="s">
        <v>3803</v>
      </c>
      <c r="O500" s="229" t="str">
        <f t="shared" si="14"/>
        <v>EBS1_38833_0</v>
      </c>
      <c r="P500" s="229" t="s">
        <v>3825</v>
      </c>
      <c r="Q500" s="227"/>
      <c r="R500" s="227">
        <v>499</v>
      </c>
      <c r="S500" s="227"/>
      <c r="T500" s="229" t="str">
        <f t="shared" si="15"/>
        <v>3883300:Var_ui_ErrNo:=499;</v>
      </c>
    </row>
    <row r="501" ht="16.5" spans="1:20">
      <c r="A501" s="222">
        <v>500</v>
      </c>
      <c r="B501" s="35">
        <v>152</v>
      </c>
      <c r="C501" s="35">
        <v>170</v>
      </c>
      <c r="F501" s="224"/>
      <c r="G501" s="224"/>
      <c r="H501" s="223" t="s">
        <v>3826</v>
      </c>
      <c r="I501" s="223" t="s">
        <v>3774</v>
      </c>
      <c r="J501" s="223" t="s">
        <v>3827</v>
      </c>
      <c r="K501" s="223" t="s">
        <v>3828</v>
      </c>
      <c r="L501" s="228">
        <v>39082</v>
      </c>
      <c r="M501" s="228">
        <v>0</v>
      </c>
      <c r="N501" s="223" t="s">
        <v>3829</v>
      </c>
      <c r="O501" s="229" t="str">
        <f t="shared" si="14"/>
        <v>EBS1_39082_0</v>
      </c>
      <c r="P501" s="229" t="s">
        <v>3830</v>
      </c>
      <c r="Q501" s="227"/>
      <c r="R501" s="227">
        <v>500</v>
      </c>
      <c r="S501" s="227"/>
      <c r="T501" s="229" t="str">
        <f t="shared" si="15"/>
        <v>3908200:Var_ui_ErrNo:=500;</v>
      </c>
    </row>
    <row r="502" ht="16.5" spans="1:20">
      <c r="A502" s="222">
        <v>501</v>
      </c>
      <c r="B502" s="35">
        <v>152</v>
      </c>
      <c r="C502" s="35">
        <v>171</v>
      </c>
      <c r="F502" s="224"/>
      <c r="G502" s="224"/>
      <c r="H502" s="223" t="s">
        <v>3826</v>
      </c>
      <c r="I502" s="223" t="s">
        <v>3774</v>
      </c>
      <c r="J502" s="223" t="s">
        <v>3831</v>
      </c>
      <c r="K502" s="223" t="s">
        <v>3832</v>
      </c>
      <c r="L502" s="228">
        <v>39083</v>
      </c>
      <c r="M502" s="228">
        <v>0</v>
      </c>
      <c r="N502" s="223" t="s">
        <v>3829</v>
      </c>
      <c r="O502" s="229" t="str">
        <f t="shared" si="14"/>
        <v>EBS1_39083_0</v>
      </c>
      <c r="P502" s="229" t="s">
        <v>3833</v>
      </c>
      <c r="Q502" s="227"/>
      <c r="R502" s="227">
        <v>501</v>
      </c>
      <c r="S502" s="227"/>
      <c r="T502" s="229" t="str">
        <f t="shared" si="15"/>
        <v>3908300:Var_ui_ErrNo:=501;</v>
      </c>
    </row>
    <row r="503" ht="16.5" spans="1:20">
      <c r="A503" s="222">
        <v>502</v>
      </c>
      <c r="B503" s="35">
        <v>152</v>
      </c>
      <c r="C503" s="35">
        <v>172</v>
      </c>
      <c r="F503" s="224"/>
      <c r="G503" s="224"/>
      <c r="H503" s="223" t="s">
        <v>3826</v>
      </c>
      <c r="I503" s="223" t="s">
        <v>3774</v>
      </c>
      <c r="J503" s="223" t="s">
        <v>3834</v>
      </c>
      <c r="K503" s="223" t="s">
        <v>3835</v>
      </c>
      <c r="L503" s="228">
        <v>39084</v>
      </c>
      <c r="M503" s="228">
        <v>0</v>
      </c>
      <c r="N503" s="223" t="s">
        <v>3829</v>
      </c>
      <c r="O503" s="229" t="str">
        <f t="shared" si="14"/>
        <v>EBS1_39084_0</v>
      </c>
      <c r="P503" s="229" t="s">
        <v>3836</v>
      </c>
      <c r="Q503" s="227"/>
      <c r="R503" s="227">
        <v>502</v>
      </c>
      <c r="S503" s="227"/>
      <c r="T503" s="229" t="str">
        <f t="shared" si="15"/>
        <v>3908400:Var_ui_ErrNo:=502;</v>
      </c>
    </row>
    <row r="504" ht="16.5" spans="1:20">
      <c r="A504" s="222">
        <v>503</v>
      </c>
      <c r="B504" s="35">
        <v>152</v>
      </c>
      <c r="C504" s="35">
        <v>173</v>
      </c>
      <c r="F504" s="224"/>
      <c r="G504" s="224"/>
      <c r="H504" s="223" t="s">
        <v>3826</v>
      </c>
      <c r="I504" s="223" t="s">
        <v>3774</v>
      </c>
      <c r="J504" s="223" t="s">
        <v>3837</v>
      </c>
      <c r="K504" s="223" t="s">
        <v>3838</v>
      </c>
      <c r="L504" s="228">
        <v>39085</v>
      </c>
      <c r="M504" s="228">
        <v>0</v>
      </c>
      <c r="N504" s="223" t="s">
        <v>3829</v>
      </c>
      <c r="O504" s="229" t="str">
        <f t="shared" si="14"/>
        <v>EBS1_39085_0</v>
      </c>
      <c r="P504" s="229" t="s">
        <v>3839</v>
      </c>
      <c r="Q504" s="227"/>
      <c r="R504" s="227">
        <v>503</v>
      </c>
      <c r="S504" s="227"/>
      <c r="T504" s="229" t="str">
        <f t="shared" si="15"/>
        <v>3908500:Var_ui_ErrNo:=503;</v>
      </c>
    </row>
    <row r="505" ht="16.5" spans="1:20">
      <c r="A505" s="222">
        <v>504</v>
      </c>
      <c r="B505" s="35">
        <v>152</v>
      </c>
      <c r="C505" s="35">
        <v>174</v>
      </c>
      <c r="F505" s="224"/>
      <c r="G505" s="224"/>
      <c r="H505" s="223" t="s">
        <v>3826</v>
      </c>
      <c r="I505" s="223" t="s">
        <v>3774</v>
      </c>
      <c r="J505" s="223" t="s">
        <v>3840</v>
      </c>
      <c r="K505" s="223" t="s">
        <v>3841</v>
      </c>
      <c r="L505" s="228">
        <v>39086</v>
      </c>
      <c r="M505" s="228">
        <v>0</v>
      </c>
      <c r="N505" s="223" t="s">
        <v>3829</v>
      </c>
      <c r="O505" s="229" t="str">
        <f t="shared" si="14"/>
        <v>EBS1_39086_0</v>
      </c>
      <c r="P505" s="229" t="s">
        <v>3842</v>
      </c>
      <c r="Q505" s="227"/>
      <c r="R505" s="227">
        <v>504</v>
      </c>
      <c r="S505" s="227"/>
      <c r="T505" s="229" t="str">
        <f t="shared" si="15"/>
        <v>3908600:Var_ui_ErrNo:=504;</v>
      </c>
    </row>
    <row r="506" ht="16.5" spans="1:20">
      <c r="A506" s="222">
        <v>505</v>
      </c>
      <c r="B506" s="35">
        <v>152</v>
      </c>
      <c r="C506" s="35">
        <v>175</v>
      </c>
      <c r="F506" s="224"/>
      <c r="G506" s="224"/>
      <c r="H506" s="223" t="s">
        <v>3826</v>
      </c>
      <c r="I506" s="223" t="s">
        <v>3774</v>
      </c>
      <c r="J506" s="223" t="s">
        <v>3843</v>
      </c>
      <c r="K506" s="223" t="s">
        <v>3844</v>
      </c>
      <c r="L506" s="228">
        <v>39087</v>
      </c>
      <c r="M506" s="228">
        <v>0</v>
      </c>
      <c r="N506" s="223" t="s">
        <v>3829</v>
      </c>
      <c r="O506" s="229" t="str">
        <f t="shared" si="14"/>
        <v>EBS1_39087_0</v>
      </c>
      <c r="P506" s="229" t="s">
        <v>3845</v>
      </c>
      <c r="Q506" s="227"/>
      <c r="R506" s="227">
        <v>505</v>
      </c>
      <c r="S506" s="227"/>
      <c r="T506" s="229" t="str">
        <f t="shared" si="15"/>
        <v>3908700:Var_ui_ErrNo:=505;</v>
      </c>
    </row>
    <row r="507" ht="16.5" spans="1:20">
      <c r="A507" s="222">
        <v>506</v>
      </c>
      <c r="B507" s="35">
        <v>152</v>
      </c>
      <c r="C507" s="35">
        <v>176</v>
      </c>
      <c r="F507" s="224"/>
      <c r="G507" s="224"/>
      <c r="H507" s="223" t="s">
        <v>3826</v>
      </c>
      <c r="I507" s="223" t="s">
        <v>3774</v>
      </c>
      <c r="J507" s="223" t="s">
        <v>3846</v>
      </c>
      <c r="K507" s="223" t="s">
        <v>3847</v>
      </c>
      <c r="L507" s="228">
        <v>39088</v>
      </c>
      <c r="M507" s="228">
        <v>0</v>
      </c>
      <c r="N507" s="223" t="s">
        <v>3829</v>
      </c>
      <c r="O507" s="229" t="str">
        <f t="shared" si="14"/>
        <v>EBS1_39088_0</v>
      </c>
      <c r="P507" s="229" t="s">
        <v>3848</v>
      </c>
      <c r="Q507" s="227"/>
      <c r="R507" s="227">
        <v>506</v>
      </c>
      <c r="S507" s="227"/>
      <c r="T507" s="229" t="str">
        <f t="shared" si="15"/>
        <v>3908800:Var_ui_ErrNo:=506;</v>
      </c>
    </row>
    <row r="508" ht="16.5" spans="1:20">
      <c r="A508" s="222">
        <v>507</v>
      </c>
      <c r="B508" s="35">
        <v>152</v>
      </c>
      <c r="C508" s="35">
        <v>177</v>
      </c>
      <c r="F508" s="224"/>
      <c r="G508" s="224"/>
      <c r="H508" s="223" t="s">
        <v>3826</v>
      </c>
      <c r="I508" s="223" t="s">
        <v>3774</v>
      </c>
      <c r="J508" s="223" t="s">
        <v>3849</v>
      </c>
      <c r="K508" s="223" t="s">
        <v>3850</v>
      </c>
      <c r="L508" s="228">
        <v>39089</v>
      </c>
      <c r="M508" s="228">
        <v>0</v>
      </c>
      <c r="N508" s="223" t="s">
        <v>3829</v>
      </c>
      <c r="O508" s="229" t="str">
        <f t="shared" si="14"/>
        <v>EBS1_39089_0</v>
      </c>
      <c r="P508" s="229" t="s">
        <v>3851</v>
      </c>
      <c r="Q508" s="227"/>
      <c r="R508" s="227">
        <v>507</v>
      </c>
      <c r="S508" s="227"/>
      <c r="T508" s="229" t="str">
        <f t="shared" si="15"/>
        <v>3908900:Var_ui_ErrNo:=507;</v>
      </c>
    </row>
    <row r="509" ht="16.5" spans="1:20">
      <c r="A509" s="222">
        <v>508</v>
      </c>
      <c r="B509" s="35">
        <v>153</v>
      </c>
      <c r="C509" s="35">
        <v>170</v>
      </c>
      <c r="F509" s="224"/>
      <c r="G509" s="224"/>
      <c r="H509" s="223" t="s">
        <v>3852</v>
      </c>
      <c r="I509" s="223" t="s">
        <v>3774</v>
      </c>
      <c r="J509" s="223" t="s">
        <v>3853</v>
      </c>
      <c r="K509" s="223" t="s">
        <v>3854</v>
      </c>
      <c r="L509" s="228">
        <v>39338</v>
      </c>
      <c r="M509" s="228">
        <v>0</v>
      </c>
      <c r="N509" s="223" t="s">
        <v>3855</v>
      </c>
      <c r="O509" s="229" t="str">
        <f t="shared" si="14"/>
        <v>EBS1_39338_0</v>
      </c>
      <c r="P509" s="229" t="s">
        <v>3856</v>
      </c>
      <c r="Q509" s="227"/>
      <c r="R509" s="227">
        <v>508</v>
      </c>
      <c r="S509" s="227"/>
      <c r="T509" s="229" t="str">
        <f t="shared" si="15"/>
        <v>3933800:Var_ui_ErrNo:=508;</v>
      </c>
    </row>
    <row r="510" ht="16.5" spans="1:20">
      <c r="A510" s="222">
        <v>509</v>
      </c>
      <c r="B510" s="35">
        <v>153</v>
      </c>
      <c r="C510" s="35">
        <v>171</v>
      </c>
      <c r="F510" s="224"/>
      <c r="G510" s="224"/>
      <c r="H510" s="223" t="s">
        <v>3852</v>
      </c>
      <c r="I510" s="223" t="s">
        <v>3774</v>
      </c>
      <c r="J510" s="223" t="s">
        <v>3857</v>
      </c>
      <c r="K510" s="223" t="s">
        <v>3858</v>
      </c>
      <c r="L510" s="228">
        <v>39339</v>
      </c>
      <c r="M510" s="228">
        <v>0</v>
      </c>
      <c r="N510" s="223" t="s">
        <v>3855</v>
      </c>
      <c r="O510" s="229" t="str">
        <f t="shared" si="14"/>
        <v>EBS1_39339_0</v>
      </c>
      <c r="P510" s="229" t="s">
        <v>3859</v>
      </c>
      <c r="Q510" s="227"/>
      <c r="R510" s="227">
        <v>509</v>
      </c>
      <c r="S510" s="227"/>
      <c r="T510" s="229" t="str">
        <f t="shared" si="15"/>
        <v>3933900:Var_ui_ErrNo:=509;</v>
      </c>
    </row>
    <row r="511" ht="16.5" spans="1:20">
      <c r="A511" s="222">
        <v>510</v>
      </c>
      <c r="B511" s="35">
        <v>153</v>
      </c>
      <c r="C511" s="35">
        <v>172</v>
      </c>
      <c r="F511" s="224"/>
      <c r="G511" s="224"/>
      <c r="H511" s="223" t="s">
        <v>3852</v>
      </c>
      <c r="I511" s="223" t="s">
        <v>3774</v>
      </c>
      <c r="J511" s="223" t="s">
        <v>3860</v>
      </c>
      <c r="K511" s="223" t="s">
        <v>3861</v>
      </c>
      <c r="L511" s="228">
        <v>39340</v>
      </c>
      <c r="M511" s="228">
        <v>0</v>
      </c>
      <c r="N511" s="223" t="s">
        <v>3855</v>
      </c>
      <c r="O511" s="229" t="str">
        <f t="shared" si="14"/>
        <v>EBS1_39340_0</v>
      </c>
      <c r="P511" s="229" t="s">
        <v>3862</v>
      </c>
      <c r="Q511" s="227"/>
      <c r="R511" s="227">
        <v>510</v>
      </c>
      <c r="S511" s="227"/>
      <c r="T511" s="229" t="str">
        <f t="shared" si="15"/>
        <v>3934000:Var_ui_ErrNo:=510;</v>
      </c>
    </row>
    <row r="512" ht="16.5" spans="1:20">
      <c r="A512" s="222">
        <v>511</v>
      </c>
      <c r="B512" s="35">
        <v>153</v>
      </c>
      <c r="C512" s="35">
        <v>173</v>
      </c>
      <c r="F512" s="224"/>
      <c r="G512" s="224"/>
      <c r="H512" s="223" t="s">
        <v>3852</v>
      </c>
      <c r="I512" s="223" t="s">
        <v>3774</v>
      </c>
      <c r="J512" s="223" t="s">
        <v>3863</v>
      </c>
      <c r="K512" s="223" t="s">
        <v>3864</v>
      </c>
      <c r="L512" s="228">
        <v>39341</v>
      </c>
      <c r="M512" s="228">
        <v>0</v>
      </c>
      <c r="N512" s="223" t="s">
        <v>3855</v>
      </c>
      <c r="O512" s="229" t="str">
        <f t="shared" si="14"/>
        <v>EBS1_39341_0</v>
      </c>
      <c r="P512" s="229" t="s">
        <v>3865</v>
      </c>
      <c r="Q512" s="227"/>
      <c r="R512" s="227">
        <v>511</v>
      </c>
      <c r="S512" s="227"/>
      <c r="T512" s="229" t="str">
        <f t="shared" si="15"/>
        <v>3934100:Var_ui_ErrNo:=511;</v>
      </c>
    </row>
    <row r="513" ht="16.5" spans="1:20">
      <c r="A513" s="222">
        <v>512</v>
      </c>
      <c r="B513" s="35">
        <v>153</v>
      </c>
      <c r="C513" s="35">
        <v>174</v>
      </c>
      <c r="F513" s="224"/>
      <c r="G513" s="224"/>
      <c r="H513" s="223" t="s">
        <v>3852</v>
      </c>
      <c r="I513" s="223" t="s">
        <v>3774</v>
      </c>
      <c r="J513" s="223" t="s">
        <v>3866</v>
      </c>
      <c r="K513" s="223" t="s">
        <v>3867</v>
      </c>
      <c r="L513" s="228">
        <v>39342</v>
      </c>
      <c r="M513" s="228">
        <v>0</v>
      </c>
      <c r="N513" s="223" t="s">
        <v>3855</v>
      </c>
      <c r="O513" s="229" t="str">
        <f t="shared" si="14"/>
        <v>EBS1_39342_0</v>
      </c>
      <c r="P513" s="229" t="s">
        <v>3868</v>
      </c>
      <c r="Q513" s="227"/>
      <c r="R513" s="227">
        <v>512</v>
      </c>
      <c r="S513" s="227"/>
      <c r="T513" s="229" t="str">
        <f t="shared" si="15"/>
        <v>3934200:Var_ui_ErrNo:=512;</v>
      </c>
    </row>
    <row r="514" ht="16.5" spans="1:20">
      <c r="A514" s="222">
        <v>513</v>
      </c>
      <c r="B514" s="35">
        <v>153</v>
      </c>
      <c r="C514" s="35">
        <v>175</v>
      </c>
      <c r="F514" s="224"/>
      <c r="G514" s="224"/>
      <c r="H514" s="223" t="s">
        <v>3852</v>
      </c>
      <c r="I514" s="223" t="s">
        <v>3774</v>
      </c>
      <c r="J514" s="223" t="s">
        <v>3869</v>
      </c>
      <c r="K514" s="223" t="s">
        <v>3870</v>
      </c>
      <c r="L514" s="228">
        <v>39343</v>
      </c>
      <c r="M514" s="228">
        <v>0</v>
      </c>
      <c r="N514" s="223" t="s">
        <v>3855</v>
      </c>
      <c r="O514" s="229" t="str">
        <f t="shared" ref="O514:O577" si="16">"EBS1_"&amp;L514&amp;"_"&amp;M514</f>
        <v>EBS1_39343_0</v>
      </c>
      <c r="P514" s="229" t="s">
        <v>3871</v>
      </c>
      <c r="Q514" s="227"/>
      <c r="R514" s="227">
        <v>513</v>
      </c>
      <c r="S514" s="227"/>
      <c r="T514" s="229" t="str">
        <f t="shared" si="15"/>
        <v>3934300:Var_ui_ErrNo:=513;</v>
      </c>
    </row>
    <row r="515" ht="16.5" spans="1:20">
      <c r="A515" s="222">
        <v>514</v>
      </c>
      <c r="B515" s="35">
        <v>153</v>
      </c>
      <c r="C515" s="35">
        <v>176</v>
      </c>
      <c r="F515" s="224"/>
      <c r="G515" s="224"/>
      <c r="H515" s="223" t="s">
        <v>3852</v>
      </c>
      <c r="I515" s="223" t="s">
        <v>3774</v>
      </c>
      <c r="J515" s="223" t="s">
        <v>3872</v>
      </c>
      <c r="K515" s="223" t="s">
        <v>3873</v>
      </c>
      <c r="L515" s="228">
        <v>39344</v>
      </c>
      <c r="M515" s="228">
        <v>0</v>
      </c>
      <c r="N515" s="223" t="s">
        <v>3855</v>
      </c>
      <c r="O515" s="229" t="str">
        <f t="shared" si="16"/>
        <v>EBS1_39344_0</v>
      </c>
      <c r="P515" s="229" t="s">
        <v>3874</v>
      </c>
      <c r="Q515" s="227"/>
      <c r="R515" s="227">
        <v>514</v>
      </c>
      <c r="S515" s="227"/>
      <c r="T515" s="229" t="str">
        <f t="shared" ref="T515:T578" si="17">P515&amp;$Q$2&amp;R515&amp;$S$2</f>
        <v>3934400:Var_ui_ErrNo:=514;</v>
      </c>
    </row>
    <row r="516" ht="16.5" spans="1:20">
      <c r="A516" s="222">
        <v>515</v>
      </c>
      <c r="B516" s="35">
        <v>153</v>
      </c>
      <c r="C516" s="35">
        <v>177</v>
      </c>
      <c r="F516" s="224"/>
      <c r="G516" s="224"/>
      <c r="H516" s="223" t="s">
        <v>3852</v>
      </c>
      <c r="I516" s="223" t="s">
        <v>3774</v>
      </c>
      <c r="J516" s="223" t="s">
        <v>3875</v>
      </c>
      <c r="K516" s="223" t="s">
        <v>3876</v>
      </c>
      <c r="L516" s="228">
        <v>39345</v>
      </c>
      <c r="M516" s="228">
        <v>0</v>
      </c>
      <c r="N516" s="223" t="s">
        <v>3855</v>
      </c>
      <c r="O516" s="229" t="str">
        <f t="shared" si="16"/>
        <v>EBS1_39345_0</v>
      </c>
      <c r="P516" s="229" t="s">
        <v>3877</v>
      </c>
      <c r="Q516" s="227"/>
      <c r="R516" s="227">
        <v>515</v>
      </c>
      <c r="S516" s="227"/>
      <c r="T516" s="229" t="str">
        <f t="shared" si="17"/>
        <v>3934500:Var_ui_ErrNo:=515;</v>
      </c>
    </row>
    <row r="517" ht="16.5" spans="1:20">
      <c r="A517" s="222">
        <v>516</v>
      </c>
      <c r="B517" s="35">
        <v>154</v>
      </c>
      <c r="C517" s="35">
        <v>170</v>
      </c>
      <c r="F517" s="224"/>
      <c r="G517" s="224"/>
      <c r="H517" s="223" t="s">
        <v>3878</v>
      </c>
      <c r="I517" s="223" t="s">
        <v>3774</v>
      </c>
      <c r="J517" s="223" t="s">
        <v>3879</v>
      </c>
      <c r="K517" s="223" t="s">
        <v>3880</v>
      </c>
      <c r="L517" s="228">
        <v>39594</v>
      </c>
      <c r="M517" s="228">
        <v>0</v>
      </c>
      <c r="N517" s="223" t="s">
        <v>3881</v>
      </c>
      <c r="O517" s="229" t="str">
        <f t="shared" si="16"/>
        <v>EBS1_39594_0</v>
      </c>
      <c r="P517" s="229" t="s">
        <v>3882</v>
      </c>
      <c r="Q517" s="227"/>
      <c r="R517" s="227">
        <v>516</v>
      </c>
      <c r="S517" s="227"/>
      <c r="T517" s="229" t="str">
        <f t="shared" si="17"/>
        <v>3959400:Var_ui_ErrNo:=516;</v>
      </c>
    </row>
    <row r="518" ht="16.5" spans="1:20">
      <c r="A518" s="222">
        <v>517</v>
      </c>
      <c r="B518" s="35">
        <v>154</v>
      </c>
      <c r="C518" s="35">
        <v>171</v>
      </c>
      <c r="F518" s="224"/>
      <c r="G518" s="224"/>
      <c r="H518" s="223" t="s">
        <v>3878</v>
      </c>
      <c r="I518" s="223" t="s">
        <v>3774</v>
      </c>
      <c r="J518" s="223" t="s">
        <v>3883</v>
      </c>
      <c r="K518" s="223" t="s">
        <v>3884</v>
      </c>
      <c r="L518" s="228">
        <v>39595</v>
      </c>
      <c r="M518" s="228">
        <v>0</v>
      </c>
      <c r="N518" s="223" t="s">
        <v>3881</v>
      </c>
      <c r="O518" s="229" t="str">
        <f t="shared" si="16"/>
        <v>EBS1_39595_0</v>
      </c>
      <c r="P518" s="229" t="s">
        <v>3885</v>
      </c>
      <c r="Q518" s="227"/>
      <c r="R518" s="227">
        <v>517</v>
      </c>
      <c r="S518" s="227"/>
      <c r="T518" s="229" t="str">
        <f t="shared" si="17"/>
        <v>3959500:Var_ui_ErrNo:=517;</v>
      </c>
    </row>
    <row r="519" ht="16.5" spans="1:20">
      <c r="A519" s="222">
        <v>518</v>
      </c>
      <c r="B519" s="35">
        <v>154</v>
      </c>
      <c r="C519" s="35">
        <v>172</v>
      </c>
      <c r="F519" s="224"/>
      <c r="G519" s="224"/>
      <c r="H519" s="223" t="s">
        <v>3878</v>
      </c>
      <c r="I519" s="223" t="s">
        <v>3774</v>
      </c>
      <c r="J519" s="223" t="s">
        <v>3886</v>
      </c>
      <c r="K519" s="223" t="s">
        <v>3887</v>
      </c>
      <c r="L519" s="228">
        <v>39596</v>
      </c>
      <c r="M519" s="228">
        <v>0</v>
      </c>
      <c r="N519" s="223" t="s">
        <v>3881</v>
      </c>
      <c r="O519" s="229" t="str">
        <f t="shared" si="16"/>
        <v>EBS1_39596_0</v>
      </c>
      <c r="P519" s="229" t="s">
        <v>3888</v>
      </c>
      <c r="Q519" s="227"/>
      <c r="R519" s="227">
        <v>518</v>
      </c>
      <c r="S519" s="227"/>
      <c r="T519" s="229" t="str">
        <f t="shared" si="17"/>
        <v>3959600:Var_ui_ErrNo:=518;</v>
      </c>
    </row>
    <row r="520" ht="16.5" spans="1:20">
      <c r="A520" s="222">
        <v>519</v>
      </c>
      <c r="B520" s="35">
        <v>154</v>
      </c>
      <c r="C520" s="35">
        <v>173</v>
      </c>
      <c r="F520" s="224"/>
      <c r="G520" s="224"/>
      <c r="H520" s="223" t="s">
        <v>3878</v>
      </c>
      <c r="I520" s="223" t="s">
        <v>3774</v>
      </c>
      <c r="J520" s="223" t="s">
        <v>3889</v>
      </c>
      <c r="K520" s="223" t="s">
        <v>3890</v>
      </c>
      <c r="L520" s="228">
        <v>39597</v>
      </c>
      <c r="M520" s="228">
        <v>0</v>
      </c>
      <c r="N520" s="223" t="s">
        <v>3881</v>
      </c>
      <c r="O520" s="229" t="str">
        <f t="shared" si="16"/>
        <v>EBS1_39597_0</v>
      </c>
      <c r="P520" s="229" t="s">
        <v>3891</v>
      </c>
      <c r="Q520" s="227"/>
      <c r="R520" s="227">
        <v>519</v>
      </c>
      <c r="S520" s="227"/>
      <c r="T520" s="229" t="str">
        <f t="shared" si="17"/>
        <v>3959700:Var_ui_ErrNo:=519;</v>
      </c>
    </row>
    <row r="521" ht="16.5" spans="1:20">
      <c r="A521" s="222">
        <v>520</v>
      </c>
      <c r="B521" s="35">
        <v>154</v>
      </c>
      <c r="C521" s="35">
        <v>174</v>
      </c>
      <c r="F521" s="224"/>
      <c r="G521" s="224"/>
      <c r="H521" s="223" t="s">
        <v>3878</v>
      </c>
      <c r="I521" s="223" t="s">
        <v>3774</v>
      </c>
      <c r="J521" s="223" t="s">
        <v>3892</v>
      </c>
      <c r="K521" s="223" t="s">
        <v>3893</v>
      </c>
      <c r="L521" s="228">
        <v>39598</v>
      </c>
      <c r="M521" s="228">
        <v>0</v>
      </c>
      <c r="N521" s="223" t="s">
        <v>3881</v>
      </c>
      <c r="O521" s="229" t="str">
        <f t="shared" si="16"/>
        <v>EBS1_39598_0</v>
      </c>
      <c r="P521" s="229" t="s">
        <v>3894</v>
      </c>
      <c r="Q521" s="227"/>
      <c r="R521" s="227">
        <v>520</v>
      </c>
      <c r="S521" s="227"/>
      <c r="T521" s="229" t="str">
        <f t="shared" si="17"/>
        <v>3959800:Var_ui_ErrNo:=520;</v>
      </c>
    </row>
    <row r="522" ht="16.5" spans="1:20">
      <c r="A522" s="222">
        <v>521</v>
      </c>
      <c r="B522" s="35">
        <v>154</v>
      </c>
      <c r="C522" s="35">
        <v>175</v>
      </c>
      <c r="F522" s="224"/>
      <c r="G522" s="224"/>
      <c r="H522" s="223" t="s">
        <v>3878</v>
      </c>
      <c r="I522" s="223" t="s">
        <v>3774</v>
      </c>
      <c r="J522" s="223" t="s">
        <v>3895</v>
      </c>
      <c r="K522" s="223" t="s">
        <v>3896</v>
      </c>
      <c r="L522" s="228">
        <v>39599</v>
      </c>
      <c r="M522" s="228">
        <v>0</v>
      </c>
      <c r="N522" s="223" t="s">
        <v>3881</v>
      </c>
      <c r="O522" s="229" t="str">
        <f t="shared" si="16"/>
        <v>EBS1_39599_0</v>
      </c>
      <c r="P522" s="229" t="s">
        <v>3897</v>
      </c>
      <c r="Q522" s="227"/>
      <c r="R522" s="227">
        <v>521</v>
      </c>
      <c r="S522" s="227"/>
      <c r="T522" s="229" t="str">
        <f t="shared" si="17"/>
        <v>3959900:Var_ui_ErrNo:=521;</v>
      </c>
    </row>
    <row r="523" ht="16.5" spans="1:20">
      <c r="A523" s="222">
        <v>522</v>
      </c>
      <c r="B523" s="35">
        <v>154</v>
      </c>
      <c r="C523" s="35">
        <v>176</v>
      </c>
      <c r="F523" s="224"/>
      <c r="G523" s="224"/>
      <c r="H523" s="223" t="s">
        <v>3878</v>
      </c>
      <c r="I523" s="223" t="s">
        <v>3774</v>
      </c>
      <c r="J523" s="223" t="s">
        <v>3898</v>
      </c>
      <c r="K523" s="223" t="s">
        <v>3899</v>
      </c>
      <c r="L523" s="228">
        <v>39600</v>
      </c>
      <c r="M523" s="228">
        <v>0</v>
      </c>
      <c r="N523" s="223" t="s">
        <v>3881</v>
      </c>
      <c r="O523" s="229" t="str">
        <f t="shared" si="16"/>
        <v>EBS1_39600_0</v>
      </c>
      <c r="P523" s="229" t="s">
        <v>3900</v>
      </c>
      <c r="Q523" s="227"/>
      <c r="R523" s="227">
        <v>522</v>
      </c>
      <c r="S523" s="227"/>
      <c r="T523" s="229" t="str">
        <f t="shared" si="17"/>
        <v>3960000:Var_ui_ErrNo:=522;</v>
      </c>
    </row>
    <row r="524" ht="16.5" spans="1:20">
      <c r="A524" s="222">
        <v>523</v>
      </c>
      <c r="B524" s="35">
        <v>154</v>
      </c>
      <c r="C524" s="35">
        <v>177</v>
      </c>
      <c r="F524" s="224"/>
      <c r="G524" s="224"/>
      <c r="H524" s="223" t="s">
        <v>3878</v>
      </c>
      <c r="I524" s="223" t="s">
        <v>3774</v>
      </c>
      <c r="J524" s="223" t="s">
        <v>3901</v>
      </c>
      <c r="K524" s="223" t="s">
        <v>3902</v>
      </c>
      <c r="L524" s="228">
        <v>39601</v>
      </c>
      <c r="M524" s="228">
        <v>0</v>
      </c>
      <c r="N524" s="223" t="s">
        <v>3881</v>
      </c>
      <c r="O524" s="229" t="str">
        <f t="shared" si="16"/>
        <v>EBS1_39601_0</v>
      </c>
      <c r="P524" s="229" t="s">
        <v>3903</v>
      </c>
      <c r="Q524" s="227"/>
      <c r="R524" s="227">
        <v>523</v>
      </c>
      <c r="S524" s="227"/>
      <c r="T524" s="229" t="str">
        <f t="shared" si="17"/>
        <v>3960100:Var_ui_ErrNo:=523;</v>
      </c>
    </row>
    <row r="525" ht="16.5" spans="1:20">
      <c r="A525" s="222">
        <v>524</v>
      </c>
      <c r="B525" s="35">
        <v>155</v>
      </c>
      <c r="C525" s="35">
        <v>170</v>
      </c>
      <c r="F525" s="224"/>
      <c r="G525" s="224"/>
      <c r="H525" s="223" t="s">
        <v>3904</v>
      </c>
      <c r="I525" s="223" t="s">
        <v>3774</v>
      </c>
      <c r="J525" s="223" t="s">
        <v>3905</v>
      </c>
      <c r="K525" s="223" t="s">
        <v>3906</v>
      </c>
      <c r="L525" s="228">
        <v>39850</v>
      </c>
      <c r="M525" s="228">
        <v>0</v>
      </c>
      <c r="N525" s="223" t="s">
        <v>3907</v>
      </c>
      <c r="O525" s="229" t="str">
        <f t="shared" si="16"/>
        <v>EBS1_39850_0</v>
      </c>
      <c r="P525" s="229" t="s">
        <v>3908</v>
      </c>
      <c r="Q525" s="227"/>
      <c r="R525" s="227">
        <v>524</v>
      </c>
      <c r="S525" s="227"/>
      <c r="T525" s="229" t="str">
        <f t="shared" si="17"/>
        <v>3985000:Var_ui_ErrNo:=524;</v>
      </c>
    </row>
    <row r="526" ht="16.5" spans="1:20">
      <c r="A526" s="222">
        <v>525</v>
      </c>
      <c r="B526" s="35">
        <v>155</v>
      </c>
      <c r="C526" s="35">
        <v>171</v>
      </c>
      <c r="F526" s="224"/>
      <c r="G526" s="224"/>
      <c r="H526" s="223" t="s">
        <v>3904</v>
      </c>
      <c r="I526" s="223" t="s">
        <v>3774</v>
      </c>
      <c r="J526" s="223" t="s">
        <v>3909</v>
      </c>
      <c r="K526" s="223" t="s">
        <v>3910</v>
      </c>
      <c r="L526" s="228">
        <v>39851</v>
      </c>
      <c r="M526" s="228">
        <v>0</v>
      </c>
      <c r="N526" s="223" t="s">
        <v>3907</v>
      </c>
      <c r="O526" s="229" t="str">
        <f t="shared" si="16"/>
        <v>EBS1_39851_0</v>
      </c>
      <c r="P526" s="229" t="s">
        <v>3911</v>
      </c>
      <c r="Q526" s="227"/>
      <c r="R526" s="227">
        <v>525</v>
      </c>
      <c r="S526" s="227"/>
      <c r="T526" s="229" t="str">
        <f t="shared" si="17"/>
        <v>3985100:Var_ui_ErrNo:=525;</v>
      </c>
    </row>
    <row r="527" ht="16.5" spans="1:20">
      <c r="A527" s="222">
        <v>526</v>
      </c>
      <c r="B527" s="35">
        <v>155</v>
      </c>
      <c r="C527" s="35">
        <v>172</v>
      </c>
      <c r="F527" s="224"/>
      <c r="G527" s="224"/>
      <c r="H527" s="223" t="s">
        <v>3904</v>
      </c>
      <c r="I527" s="223" t="s">
        <v>3774</v>
      </c>
      <c r="J527" s="223" t="s">
        <v>3912</v>
      </c>
      <c r="K527" s="223" t="s">
        <v>3913</v>
      </c>
      <c r="L527" s="228">
        <v>39852</v>
      </c>
      <c r="M527" s="228">
        <v>0</v>
      </c>
      <c r="N527" s="223" t="s">
        <v>3907</v>
      </c>
      <c r="O527" s="229" t="str">
        <f t="shared" si="16"/>
        <v>EBS1_39852_0</v>
      </c>
      <c r="P527" s="229" t="s">
        <v>3914</v>
      </c>
      <c r="Q527" s="227"/>
      <c r="R527" s="227">
        <v>526</v>
      </c>
      <c r="S527" s="227"/>
      <c r="T527" s="229" t="str">
        <f t="shared" si="17"/>
        <v>3985200:Var_ui_ErrNo:=526;</v>
      </c>
    </row>
    <row r="528" ht="16.5" spans="1:20">
      <c r="A528" s="222">
        <v>527</v>
      </c>
      <c r="B528" s="35">
        <v>155</v>
      </c>
      <c r="C528" s="35">
        <v>173</v>
      </c>
      <c r="F528" s="224"/>
      <c r="G528" s="224"/>
      <c r="H528" s="223" t="s">
        <v>3904</v>
      </c>
      <c r="I528" s="223" t="s">
        <v>3774</v>
      </c>
      <c r="J528" s="223" t="s">
        <v>3915</v>
      </c>
      <c r="K528" s="223" t="s">
        <v>3916</v>
      </c>
      <c r="L528" s="228">
        <v>39853</v>
      </c>
      <c r="M528" s="228">
        <v>0</v>
      </c>
      <c r="N528" s="223" t="s">
        <v>3907</v>
      </c>
      <c r="O528" s="229" t="str">
        <f t="shared" si="16"/>
        <v>EBS1_39853_0</v>
      </c>
      <c r="P528" s="229" t="s">
        <v>3917</v>
      </c>
      <c r="Q528" s="227"/>
      <c r="R528" s="227">
        <v>527</v>
      </c>
      <c r="S528" s="227"/>
      <c r="T528" s="229" t="str">
        <f t="shared" si="17"/>
        <v>3985300:Var_ui_ErrNo:=527;</v>
      </c>
    </row>
    <row r="529" ht="16.5" spans="1:20">
      <c r="A529" s="222">
        <v>528</v>
      </c>
      <c r="B529" s="35">
        <v>155</v>
      </c>
      <c r="C529" s="35">
        <v>174</v>
      </c>
      <c r="F529" s="224"/>
      <c r="G529" s="224"/>
      <c r="H529" s="223" t="s">
        <v>3904</v>
      </c>
      <c r="I529" s="223" t="s">
        <v>3774</v>
      </c>
      <c r="J529" s="223" t="s">
        <v>3918</v>
      </c>
      <c r="K529" s="223" t="s">
        <v>3919</v>
      </c>
      <c r="L529" s="228">
        <v>39854</v>
      </c>
      <c r="M529" s="228">
        <v>0</v>
      </c>
      <c r="N529" s="223" t="s">
        <v>3907</v>
      </c>
      <c r="O529" s="229" t="str">
        <f t="shared" si="16"/>
        <v>EBS1_39854_0</v>
      </c>
      <c r="P529" s="229" t="s">
        <v>3920</v>
      </c>
      <c r="Q529" s="227"/>
      <c r="R529" s="227">
        <v>528</v>
      </c>
      <c r="S529" s="227"/>
      <c r="T529" s="229" t="str">
        <f t="shared" si="17"/>
        <v>3985400:Var_ui_ErrNo:=528;</v>
      </c>
    </row>
    <row r="530" ht="16.5" spans="1:20">
      <c r="A530" s="222">
        <v>529</v>
      </c>
      <c r="B530" s="35">
        <v>155</v>
      </c>
      <c r="C530" s="35">
        <v>175</v>
      </c>
      <c r="F530" s="224"/>
      <c r="G530" s="224"/>
      <c r="H530" s="223" t="s">
        <v>3904</v>
      </c>
      <c r="I530" s="223" t="s">
        <v>3774</v>
      </c>
      <c r="J530" s="223" t="s">
        <v>3921</v>
      </c>
      <c r="K530" s="223" t="s">
        <v>3922</v>
      </c>
      <c r="L530" s="228">
        <v>39855</v>
      </c>
      <c r="M530" s="228">
        <v>0</v>
      </c>
      <c r="N530" s="223" t="s">
        <v>3907</v>
      </c>
      <c r="O530" s="229" t="str">
        <f t="shared" si="16"/>
        <v>EBS1_39855_0</v>
      </c>
      <c r="P530" s="229" t="s">
        <v>3923</v>
      </c>
      <c r="Q530" s="227"/>
      <c r="R530" s="227">
        <v>529</v>
      </c>
      <c r="S530" s="227"/>
      <c r="T530" s="229" t="str">
        <f t="shared" si="17"/>
        <v>3985500:Var_ui_ErrNo:=529;</v>
      </c>
    </row>
    <row r="531" ht="16.5" spans="1:20">
      <c r="A531" s="222">
        <v>530</v>
      </c>
      <c r="B531" s="35">
        <v>155</v>
      </c>
      <c r="C531" s="35">
        <v>176</v>
      </c>
      <c r="F531" s="224"/>
      <c r="G531" s="224"/>
      <c r="H531" s="223" t="s">
        <v>3904</v>
      </c>
      <c r="I531" s="223" t="s">
        <v>3774</v>
      </c>
      <c r="J531" s="223" t="s">
        <v>3924</v>
      </c>
      <c r="K531" s="223" t="s">
        <v>3925</v>
      </c>
      <c r="L531" s="228">
        <v>39856</v>
      </c>
      <c r="M531" s="228">
        <v>0</v>
      </c>
      <c r="N531" s="223" t="s">
        <v>3907</v>
      </c>
      <c r="O531" s="229" t="str">
        <f t="shared" si="16"/>
        <v>EBS1_39856_0</v>
      </c>
      <c r="P531" s="229" t="s">
        <v>3926</v>
      </c>
      <c r="Q531" s="227"/>
      <c r="R531" s="227">
        <v>530</v>
      </c>
      <c r="S531" s="227"/>
      <c r="T531" s="229" t="str">
        <f t="shared" si="17"/>
        <v>3985600:Var_ui_ErrNo:=530;</v>
      </c>
    </row>
    <row r="532" ht="16.5" spans="1:20">
      <c r="A532" s="222">
        <v>531</v>
      </c>
      <c r="B532" s="35">
        <v>155</v>
      </c>
      <c r="C532" s="35">
        <v>177</v>
      </c>
      <c r="F532" s="224"/>
      <c r="G532" s="224"/>
      <c r="H532" s="223" t="s">
        <v>3904</v>
      </c>
      <c r="I532" s="223" t="s">
        <v>3774</v>
      </c>
      <c r="J532" s="223" t="s">
        <v>3927</v>
      </c>
      <c r="K532" s="223" t="s">
        <v>3928</v>
      </c>
      <c r="L532" s="228">
        <v>39857</v>
      </c>
      <c r="M532" s="228">
        <v>0</v>
      </c>
      <c r="N532" s="223" t="s">
        <v>3907</v>
      </c>
      <c r="O532" s="229" t="str">
        <f t="shared" si="16"/>
        <v>EBS1_39857_0</v>
      </c>
      <c r="P532" s="229" t="s">
        <v>3929</v>
      </c>
      <c r="Q532" s="227"/>
      <c r="R532" s="227">
        <v>531</v>
      </c>
      <c r="S532" s="227"/>
      <c r="T532" s="229" t="str">
        <f t="shared" si="17"/>
        <v>3985700:Var_ui_ErrNo:=531;</v>
      </c>
    </row>
    <row r="533" ht="16.5" spans="1:20">
      <c r="A533" s="222">
        <v>532</v>
      </c>
      <c r="B533" s="35">
        <v>160</v>
      </c>
      <c r="C533" s="35">
        <v>22</v>
      </c>
      <c r="F533" s="224"/>
      <c r="G533" s="224"/>
      <c r="H533" s="223" t="s">
        <v>3930</v>
      </c>
      <c r="I533" s="223" t="s">
        <v>2962</v>
      </c>
      <c r="J533" s="223" t="s">
        <v>3931</v>
      </c>
      <c r="K533" s="223" t="s">
        <v>3932</v>
      </c>
      <c r="L533" s="228">
        <v>40982</v>
      </c>
      <c r="M533" s="228">
        <v>0</v>
      </c>
      <c r="N533" s="223" t="s">
        <v>3933</v>
      </c>
      <c r="O533" s="229" t="str">
        <f t="shared" si="16"/>
        <v>EBS1_40982_0</v>
      </c>
      <c r="P533" s="229" t="s">
        <v>3934</v>
      </c>
      <c r="Q533" s="227"/>
      <c r="R533" s="227">
        <v>532</v>
      </c>
      <c r="S533" s="227"/>
      <c r="T533" s="229" t="str">
        <f t="shared" si="17"/>
        <v>4098200:Var_ui_ErrNo:=532;</v>
      </c>
    </row>
    <row r="534" ht="16.5" spans="1:20">
      <c r="A534" s="222">
        <v>533</v>
      </c>
      <c r="B534" s="35">
        <v>161</v>
      </c>
      <c r="C534" s="35">
        <v>22</v>
      </c>
      <c r="F534" s="224"/>
      <c r="G534" s="224"/>
      <c r="H534" s="223" t="s">
        <v>3935</v>
      </c>
      <c r="I534" s="223" t="s">
        <v>2962</v>
      </c>
      <c r="J534" s="223" t="s">
        <v>3936</v>
      </c>
      <c r="K534" s="223" t="s">
        <v>3937</v>
      </c>
      <c r="L534" s="228">
        <v>41238</v>
      </c>
      <c r="M534" s="228">
        <v>0</v>
      </c>
      <c r="N534" s="223" t="s">
        <v>3938</v>
      </c>
      <c r="O534" s="229" t="str">
        <f t="shared" si="16"/>
        <v>EBS1_41238_0</v>
      </c>
      <c r="P534" s="229" t="s">
        <v>3939</v>
      </c>
      <c r="Q534" s="227"/>
      <c r="R534" s="227">
        <v>533</v>
      </c>
      <c r="S534" s="227"/>
      <c r="T534" s="229" t="str">
        <f t="shared" si="17"/>
        <v>4123800:Var_ui_ErrNo:=533;</v>
      </c>
    </row>
    <row r="535" ht="16.5" spans="1:20">
      <c r="A535" s="222">
        <v>534</v>
      </c>
      <c r="B535" s="35">
        <v>162</v>
      </c>
      <c r="C535" s="35">
        <v>22</v>
      </c>
      <c r="F535" s="224"/>
      <c r="G535" s="224"/>
      <c r="H535" s="223" t="s">
        <v>3940</v>
      </c>
      <c r="I535" s="223" t="s">
        <v>2962</v>
      </c>
      <c r="J535" s="223" t="s">
        <v>3941</v>
      </c>
      <c r="K535" s="223" t="s">
        <v>3942</v>
      </c>
      <c r="L535" s="228">
        <v>41494</v>
      </c>
      <c r="M535" s="228">
        <v>0</v>
      </c>
      <c r="N535" s="223" t="s">
        <v>3943</v>
      </c>
      <c r="O535" s="229" t="str">
        <f t="shared" si="16"/>
        <v>EBS1_41494_0</v>
      </c>
      <c r="P535" s="229" t="s">
        <v>3944</v>
      </c>
      <c r="Q535" s="227"/>
      <c r="R535" s="227">
        <v>534</v>
      </c>
      <c r="S535" s="227"/>
      <c r="T535" s="229" t="str">
        <f t="shared" si="17"/>
        <v>4149400:Var_ui_ErrNo:=534;</v>
      </c>
    </row>
    <row r="536" ht="16.5" spans="1:20">
      <c r="A536" s="222">
        <v>535</v>
      </c>
      <c r="B536" s="35">
        <v>163</v>
      </c>
      <c r="C536" s="35">
        <v>22</v>
      </c>
      <c r="F536" s="224"/>
      <c r="G536" s="224"/>
      <c r="H536" s="223" t="s">
        <v>3945</v>
      </c>
      <c r="I536" s="223" t="s">
        <v>2962</v>
      </c>
      <c r="J536" s="223" t="s">
        <v>3946</v>
      </c>
      <c r="K536" s="223" t="s">
        <v>3947</v>
      </c>
      <c r="L536" s="228">
        <v>41750</v>
      </c>
      <c r="M536" s="228">
        <v>0</v>
      </c>
      <c r="N536" s="223" t="s">
        <v>3948</v>
      </c>
      <c r="O536" s="229" t="str">
        <f t="shared" si="16"/>
        <v>EBS1_41750_0</v>
      </c>
      <c r="P536" s="229" t="s">
        <v>3949</v>
      </c>
      <c r="Q536" s="227"/>
      <c r="R536" s="227">
        <v>535</v>
      </c>
      <c r="S536" s="227"/>
      <c r="T536" s="229" t="str">
        <f t="shared" si="17"/>
        <v>4175000:Var_ui_ErrNo:=535;</v>
      </c>
    </row>
    <row r="537" ht="16.5" spans="1:20">
      <c r="A537" s="222">
        <v>536</v>
      </c>
      <c r="B537" s="35">
        <v>164</v>
      </c>
      <c r="C537" s="35">
        <v>22</v>
      </c>
      <c r="F537" s="224"/>
      <c r="G537" s="224"/>
      <c r="H537" s="223" t="s">
        <v>3950</v>
      </c>
      <c r="I537" s="223" t="s">
        <v>2962</v>
      </c>
      <c r="J537" s="223" t="s">
        <v>3951</v>
      </c>
      <c r="K537" s="223" t="s">
        <v>3952</v>
      </c>
      <c r="L537" s="228">
        <v>42006</v>
      </c>
      <c r="M537" s="228">
        <v>0</v>
      </c>
      <c r="N537" s="223" t="s">
        <v>3953</v>
      </c>
      <c r="O537" s="229" t="str">
        <f t="shared" si="16"/>
        <v>EBS1_42006_0</v>
      </c>
      <c r="P537" s="229" t="s">
        <v>3954</v>
      </c>
      <c r="Q537" s="227"/>
      <c r="R537" s="227">
        <v>536</v>
      </c>
      <c r="S537" s="227"/>
      <c r="T537" s="229" t="str">
        <f t="shared" si="17"/>
        <v>4200600:Var_ui_ErrNo:=536;</v>
      </c>
    </row>
    <row r="538" ht="16.5" spans="1:20">
      <c r="A538" s="222">
        <v>537</v>
      </c>
      <c r="B538" s="35">
        <v>165</v>
      </c>
      <c r="C538" s="35">
        <v>22</v>
      </c>
      <c r="F538" s="224"/>
      <c r="G538" s="224"/>
      <c r="H538" s="223" t="s">
        <v>3955</v>
      </c>
      <c r="I538" s="223" t="s">
        <v>2962</v>
      </c>
      <c r="J538" s="223" t="s">
        <v>3956</v>
      </c>
      <c r="K538" s="223" t="s">
        <v>3957</v>
      </c>
      <c r="L538" s="228">
        <v>42262</v>
      </c>
      <c r="M538" s="228">
        <v>0</v>
      </c>
      <c r="N538" s="223" t="s">
        <v>3958</v>
      </c>
      <c r="O538" s="229" t="str">
        <f t="shared" si="16"/>
        <v>EBS1_42262_0</v>
      </c>
      <c r="P538" s="229" t="s">
        <v>3959</v>
      </c>
      <c r="Q538" s="227"/>
      <c r="R538" s="227">
        <v>537</v>
      </c>
      <c r="S538" s="227"/>
      <c r="T538" s="229" t="str">
        <f t="shared" si="17"/>
        <v>4226200:Var_ui_ErrNo:=537;</v>
      </c>
    </row>
    <row r="539" ht="16.5" spans="1:20">
      <c r="A539" s="222">
        <v>538</v>
      </c>
      <c r="B539" s="35">
        <v>160</v>
      </c>
      <c r="C539" s="35">
        <v>30</v>
      </c>
      <c r="F539" s="224"/>
      <c r="G539" s="224"/>
      <c r="H539" s="223" t="s">
        <v>3960</v>
      </c>
      <c r="I539" s="223" t="s">
        <v>2962</v>
      </c>
      <c r="J539" s="223" t="s">
        <v>3961</v>
      </c>
      <c r="K539" s="223" t="s">
        <v>3962</v>
      </c>
      <c r="L539" s="228">
        <v>40990</v>
      </c>
      <c r="M539" s="228">
        <v>0</v>
      </c>
      <c r="N539" s="223" t="s">
        <v>3963</v>
      </c>
      <c r="O539" s="229" t="str">
        <f t="shared" si="16"/>
        <v>EBS1_40990_0</v>
      </c>
      <c r="P539" s="229" t="s">
        <v>3964</v>
      </c>
      <c r="Q539" s="227"/>
      <c r="R539" s="227">
        <v>538</v>
      </c>
      <c r="S539" s="227"/>
      <c r="T539" s="229" t="str">
        <f t="shared" si="17"/>
        <v>4099000:Var_ui_ErrNo:=538;</v>
      </c>
    </row>
    <row r="540" ht="16.5" spans="1:20">
      <c r="A540" s="222">
        <v>539</v>
      </c>
      <c r="B540" s="35">
        <v>161</v>
      </c>
      <c r="C540" s="35">
        <v>30</v>
      </c>
      <c r="F540" s="224"/>
      <c r="G540" s="224"/>
      <c r="H540" s="223" t="s">
        <v>3965</v>
      </c>
      <c r="I540" s="223" t="s">
        <v>2962</v>
      </c>
      <c r="J540" s="223" t="s">
        <v>3966</v>
      </c>
      <c r="K540" s="223" t="s">
        <v>3967</v>
      </c>
      <c r="L540" s="228">
        <v>41246</v>
      </c>
      <c r="M540" s="228">
        <v>0</v>
      </c>
      <c r="N540" s="223" t="s">
        <v>3968</v>
      </c>
      <c r="O540" s="229" t="str">
        <f t="shared" si="16"/>
        <v>EBS1_41246_0</v>
      </c>
      <c r="P540" s="229" t="s">
        <v>3969</v>
      </c>
      <c r="Q540" s="227"/>
      <c r="R540" s="227">
        <v>539</v>
      </c>
      <c r="S540" s="227"/>
      <c r="T540" s="229" t="str">
        <f t="shared" si="17"/>
        <v>4124600:Var_ui_ErrNo:=539;</v>
      </c>
    </row>
    <row r="541" ht="16.5" spans="1:20">
      <c r="A541" s="222">
        <v>540</v>
      </c>
      <c r="B541" s="35">
        <v>162</v>
      </c>
      <c r="C541" s="35">
        <v>30</v>
      </c>
      <c r="F541" s="224"/>
      <c r="G541" s="224"/>
      <c r="H541" s="223" t="s">
        <v>3970</v>
      </c>
      <c r="I541" s="223" t="s">
        <v>2962</v>
      </c>
      <c r="J541" s="223" t="s">
        <v>3971</v>
      </c>
      <c r="K541" s="223" t="s">
        <v>3972</v>
      </c>
      <c r="L541" s="228">
        <v>41502</v>
      </c>
      <c r="M541" s="228">
        <v>0</v>
      </c>
      <c r="N541" s="223" t="s">
        <v>3973</v>
      </c>
      <c r="O541" s="229" t="str">
        <f t="shared" si="16"/>
        <v>EBS1_41502_0</v>
      </c>
      <c r="P541" s="229" t="s">
        <v>3974</v>
      </c>
      <c r="Q541" s="227"/>
      <c r="R541" s="227">
        <v>540</v>
      </c>
      <c r="S541" s="227"/>
      <c r="T541" s="229" t="str">
        <f t="shared" si="17"/>
        <v>4150200:Var_ui_ErrNo:=540;</v>
      </c>
    </row>
    <row r="542" ht="16.5" spans="1:20">
      <c r="A542" s="222">
        <v>541</v>
      </c>
      <c r="B542" s="35">
        <v>163</v>
      </c>
      <c r="C542" s="35">
        <v>30</v>
      </c>
      <c r="F542" s="224"/>
      <c r="G542" s="224"/>
      <c r="H542" s="223" t="s">
        <v>3975</v>
      </c>
      <c r="I542" s="223" t="s">
        <v>2962</v>
      </c>
      <c r="J542" s="223" t="s">
        <v>3976</v>
      </c>
      <c r="K542" s="223" t="s">
        <v>3977</v>
      </c>
      <c r="L542" s="228">
        <v>41758</v>
      </c>
      <c r="M542" s="228">
        <v>0</v>
      </c>
      <c r="N542" s="223" t="s">
        <v>3978</v>
      </c>
      <c r="O542" s="229" t="str">
        <f t="shared" si="16"/>
        <v>EBS1_41758_0</v>
      </c>
      <c r="P542" s="229" t="s">
        <v>3979</v>
      </c>
      <c r="Q542" s="227"/>
      <c r="R542" s="227">
        <v>541</v>
      </c>
      <c r="S542" s="227"/>
      <c r="T542" s="229" t="str">
        <f t="shared" si="17"/>
        <v>4175800:Var_ui_ErrNo:=541;</v>
      </c>
    </row>
    <row r="543" ht="16.5" spans="1:20">
      <c r="A543" s="222">
        <v>542</v>
      </c>
      <c r="B543" s="35">
        <v>164</v>
      </c>
      <c r="C543" s="35">
        <v>30</v>
      </c>
      <c r="F543" s="224"/>
      <c r="G543" s="224"/>
      <c r="H543" s="223" t="s">
        <v>3980</v>
      </c>
      <c r="I543" s="223" t="s">
        <v>2962</v>
      </c>
      <c r="J543" s="223" t="s">
        <v>3981</v>
      </c>
      <c r="K543" s="223" t="s">
        <v>3982</v>
      </c>
      <c r="L543" s="228">
        <v>42014</v>
      </c>
      <c r="M543" s="228">
        <v>0</v>
      </c>
      <c r="N543" s="223" t="s">
        <v>3983</v>
      </c>
      <c r="O543" s="229" t="str">
        <f t="shared" si="16"/>
        <v>EBS1_42014_0</v>
      </c>
      <c r="P543" s="229" t="s">
        <v>3984</v>
      </c>
      <c r="Q543" s="227"/>
      <c r="R543" s="227">
        <v>542</v>
      </c>
      <c r="S543" s="227"/>
      <c r="T543" s="229" t="str">
        <f t="shared" si="17"/>
        <v>4201400:Var_ui_ErrNo:=542;</v>
      </c>
    </row>
    <row r="544" ht="16.5" spans="1:20">
      <c r="A544" s="222">
        <v>543</v>
      </c>
      <c r="B544" s="35">
        <v>165</v>
      </c>
      <c r="C544" s="35">
        <v>30</v>
      </c>
      <c r="F544" s="224"/>
      <c r="G544" s="224"/>
      <c r="H544" s="223" t="s">
        <v>3985</v>
      </c>
      <c r="I544" s="223" t="s">
        <v>2962</v>
      </c>
      <c r="J544" s="223" t="s">
        <v>3986</v>
      </c>
      <c r="K544" s="223" t="s">
        <v>3987</v>
      </c>
      <c r="L544" s="228">
        <v>42270</v>
      </c>
      <c r="M544" s="228">
        <v>0</v>
      </c>
      <c r="N544" s="223" t="s">
        <v>3988</v>
      </c>
      <c r="O544" s="229" t="str">
        <f t="shared" si="16"/>
        <v>EBS1_42270_0</v>
      </c>
      <c r="P544" s="229" t="s">
        <v>3989</v>
      </c>
      <c r="Q544" s="227"/>
      <c r="R544" s="227">
        <v>543</v>
      </c>
      <c r="S544" s="227"/>
      <c r="T544" s="229" t="str">
        <f t="shared" si="17"/>
        <v>4227000:Var_ui_ErrNo:=543;</v>
      </c>
    </row>
    <row r="545" ht="16.5" spans="1:20">
      <c r="A545" s="222">
        <v>544</v>
      </c>
      <c r="B545" s="35">
        <v>160</v>
      </c>
      <c r="C545" s="35">
        <v>32</v>
      </c>
      <c r="F545" s="224"/>
      <c r="G545" s="224"/>
      <c r="H545" s="223" t="s">
        <v>3990</v>
      </c>
      <c r="I545" s="223" t="s">
        <v>2962</v>
      </c>
      <c r="J545" s="223" t="s">
        <v>3991</v>
      </c>
      <c r="K545" s="223" t="s">
        <v>3992</v>
      </c>
      <c r="L545" s="228">
        <v>40992</v>
      </c>
      <c r="M545" s="228">
        <v>0</v>
      </c>
      <c r="N545" s="223" t="s">
        <v>3993</v>
      </c>
      <c r="O545" s="229" t="str">
        <f t="shared" si="16"/>
        <v>EBS1_40992_0</v>
      </c>
      <c r="P545" s="229" t="s">
        <v>3994</v>
      </c>
      <c r="Q545" s="227"/>
      <c r="R545" s="227">
        <v>544</v>
      </c>
      <c r="S545" s="227"/>
      <c r="T545" s="229" t="str">
        <f t="shared" si="17"/>
        <v>4099200:Var_ui_ErrNo:=544;</v>
      </c>
    </row>
    <row r="546" ht="16.5" spans="1:20">
      <c r="A546" s="222">
        <v>545</v>
      </c>
      <c r="B546" s="35">
        <v>161</v>
      </c>
      <c r="C546" s="35">
        <v>32</v>
      </c>
      <c r="F546" s="224"/>
      <c r="G546" s="224"/>
      <c r="H546" s="223" t="s">
        <v>3995</v>
      </c>
      <c r="I546" s="223" t="s">
        <v>2962</v>
      </c>
      <c r="J546" s="223" t="s">
        <v>3996</v>
      </c>
      <c r="K546" s="223" t="s">
        <v>3997</v>
      </c>
      <c r="L546" s="228">
        <v>41248</v>
      </c>
      <c r="M546" s="228">
        <v>0</v>
      </c>
      <c r="N546" s="223" t="s">
        <v>3998</v>
      </c>
      <c r="O546" s="229" t="str">
        <f t="shared" si="16"/>
        <v>EBS1_41248_0</v>
      </c>
      <c r="P546" s="229" t="s">
        <v>3999</v>
      </c>
      <c r="Q546" s="227"/>
      <c r="R546" s="227">
        <v>545</v>
      </c>
      <c r="S546" s="227"/>
      <c r="T546" s="229" t="str">
        <f t="shared" si="17"/>
        <v>4124800:Var_ui_ErrNo:=545;</v>
      </c>
    </row>
    <row r="547" ht="16.5" spans="1:20">
      <c r="A547" s="222">
        <v>546</v>
      </c>
      <c r="B547" s="35">
        <v>162</v>
      </c>
      <c r="C547" s="35">
        <v>32</v>
      </c>
      <c r="F547" s="224"/>
      <c r="G547" s="224"/>
      <c r="H547" s="223" t="s">
        <v>4000</v>
      </c>
      <c r="I547" s="223" t="s">
        <v>2962</v>
      </c>
      <c r="J547" s="223" t="s">
        <v>4001</v>
      </c>
      <c r="K547" s="223" t="s">
        <v>4002</v>
      </c>
      <c r="L547" s="228">
        <v>41504</v>
      </c>
      <c r="M547" s="228">
        <v>0</v>
      </c>
      <c r="N547" s="223" t="s">
        <v>4003</v>
      </c>
      <c r="O547" s="229" t="str">
        <f t="shared" si="16"/>
        <v>EBS1_41504_0</v>
      </c>
      <c r="P547" s="229" t="s">
        <v>4004</v>
      </c>
      <c r="Q547" s="227"/>
      <c r="R547" s="227">
        <v>546</v>
      </c>
      <c r="S547" s="227"/>
      <c r="T547" s="229" t="str">
        <f t="shared" si="17"/>
        <v>4150400:Var_ui_ErrNo:=546;</v>
      </c>
    </row>
    <row r="548" ht="16.5" spans="1:20">
      <c r="A548" s="222">
        <v>547</v>
      </c>
      <c r="B548" s="35">
        <v>163</v>
      </c>
      <c r="C548" s="35">
        <v>32</v>
      </c>
      <c r="F548" s="224"/>
      <c r="G548" s="224"/>
      <c r="H548" s="223" t="s">
        <v>4005</v>
      </c>
      <c r="I548" s="223" t="s">
        <v>2962</v>
      </c>
      <c r="J548" s="223" t="s">
        <v>4006</v>
      </c>
      <c r="K548" s="223" t="s">
        <v>4007</v>
      </c>
      <c r="L548" s="228">
        <v>41760</v>
      </c>
      <c r="M548" s="228">
        <v>0</v>
      </c>
      <c r="N548" s="223" t="s">
        <v>4008</v>
      </c>
      <c r="O548" s="229" t="str">
        <f t="shared" si="16"/>
        <v>EBS1_41760_0</v>
      </c>
      <c r="P548" s="229" t="s">
        <v>4009</v>
      </c>
      <c r="Q548" s="227"/>
      <c r="R548" s="227">
        <v>547</v>
      </c>
      <c r="S548" s="227"/>
      <c r="T548" s="229" t="str">
        <f t="shared" si="17"/>
        <v>4176000:Var_ui_ErrNo:=547;</v>
      </c>
    </row>
    <row r="549" ht="16.5" spans="1:20">
      <c r="A549" s="222">
        <v>548</v>
      </c>
      <c r="B549" s="35">
        <v>164</v>
      </c>
      <c r="C549" s="35">
        <v>32</v>
      </c>
      <c r="F549" s="224"/>
      <c r="G549" s="224"/>
      <c r="H549" s="223" t="s">
        <v>4010</v>
      </c>
      <c r="I549" s="223" t="s">
        <v>2962</v>
      </c>
      <c r="J549" s="223" t="s">
        <v>4011</v>
      </c>
      <c r="K549" s="223" t="s">
        <v>4012</v>
      </c>
      <c r="L549" s="228">
        <v>42016</v>
      </c>
      <c r="M549" s="228">
        <v>0</v>
      </c>
      <c r="N549" s="223" t="s">
        <v>4013</v>
      </c>
      <c r="O549" s="229" t="str">
        <f t="shared" si="16"/>
        <v>EBS1_42016_0</v>
      </c>
      <c r="P549" s="229" t="s">
        <v>4014</v>
      </c>
      <c r="Q549" s="227"/>
      <c r="R549" s="227">
        <v>548</v>
      </c>
      <c r="S549" s="227"/>
      <c r="T549" s="229" t="str">
        <f t="shared" si="17"/>
        <v>4201600:Var_ui_ErrNo:=548;</v>
      </c>
    </row>
    <row r="550" ht="16.5" spans="1:20">
      <c r="A550" s="222">
        <v>549</v>
      </c>
      <c r="B550" s="35">
        <v>165</v>
      </c>
      <c r="C550" s="35">
        <v>32</v>
      </c>
      <c r="F550" s="224"/>
      <c r="G550" s="224"/>
      <c r="H550" s="223" t="s">
        <v>4015</v>
      </c>
      <c r="I550" s="223" t="s">
        <v>2962</v>
      </c>
      <c r="J550" s="223" t="s">
        <v>4016</v>
      </c>
      <c r="K550" s="223" t="s">
        <v>4017</v>
      </c>
      <c r="L550" s="228">
        <v>42272</v>
      </c>
      <c r="M550" s="228">
        <v>0</v>
      </c>
      <c r="N550" s="223" t="s">
        <v>4018</v>
      </c>
      <c r="O550" s="229" t="str">
        <f t="shared" si="16"/>
        <v>EBS1_42272_0</v>
      </c>
      <c r="P550" s="229" t="s">
        <v>4019</v>
      </c>
      <c r="Q550" s="227"/>
      <c r="R550" s="227">
        <v>549</v>
      </c>
      <c r="S550" s="227"/>
      <c r="T550" s="229" t="str">
        <f t="shared" si="17"/>
        <v>4227200:Var_ui_ErrNo:=549;</v>
      </c>
    </row>
    <row r="551" ht="16.5" spans="1:20">
      <c r="A551" s="222">
        <v>550</v>
      </c>
      <c r="B551" s="35">
        <v>160</v>
      </c>
      <c r="C551" s="35">
        <v>33</v>
      </c>
      <c r="F551" s="224"/>
      <c r="G551" s="224"/>
      <c r="H551" s="223" t="s">
        <v>4020</v>
      </c>
      <c r="I551" s="223" t="s">
        <v>2962</v>
      </c>
      <c r="J551" s="223" t="s">
        <v>4021</v>
      </c>
      <c r="K551" s="223" t="s">
        <v>4022</v>
      </c>
      <c r="L551" s="228">
        <v>40993</v>
      </c>
      <c r="M551" s="228">
        <v>0</v>
      </c>
      <c r="N551" s="223" t="s">
        <v>4023</v>
      </c>
      <c r="O551" s="229" t="str">
        <f t="shared" si="16"/>
        <v>EBS1_40993_0</v>
      </c>
      <c r="P551" s="229" t="s">
        <v>4024</v>
      </c>
      <c r="Q551" s="227"/>
      <c r="R551" s="227">
        <v>550</v>
      </c>
      <c r="S551" s="227"/>
      <c r="T551" s="229" t="str">
        <f t="shared" si="17"/>
        <v>4099300:Var_ui_ErrNo:=550;</v>
      </c>
    </row>
    <row r="552" ht="16.5" spans="1:20">
      <c r="A552" s="222">
        <v>551</v>
      </c>
      <c r="B552" s="35">
        <v>161</v>
      </c>
      <c r="C552" s="35">
        <v>33</v>
      </c>
      <c r="F552" s="224"/>
      <c r="G552" s="224"/>
      <c r="H552" s="223" t="s">
        <v>4025</v>
      </c>
      <c r="I552" s="223" t="s">
        <v>2962</v>
      </c>
      <c r="J552" s="223" t="s">
        <v>4026</v>
      </c>
      <c r="K552" s="223" t="s">
        <v>4027</v>
      </c>
      <c r="L552" s="228">
        <v>41249</v>
      </c>
      <c r="M552" s="228">
        <v>0</v>
      </c>
      <c r="N552" s="223" t="s">
        <v>4028</v>
      </c>
      <c r="O552" s="229" t="str">
        <f t="shared" si="16"/>
        <v>EBS1_41249_0</v>
      </c>
      <c r="P552" s="229" t="s">
        <v>4029</v>
      </c>
      <c r="Q552" s="227"/>
      <c r="R552" s="227">
        <v>551</v>
      </c>
      <c r="S552" s="227"/>
      <c r="T552" s="229" t="str">
        <f t="shared" si="17"/>
        <v>4124900:Var_ui_ErrNo:=551;</v>
      </c>
    </row>
    <row r="553" ht="16.5" spans="1:20">
      <c r="A553" s="222">
        <v>552</v>
      </c>
      <c r="B553" s="35">
        <v>162</v>
      </c>
      <c r="C553" s="35">
        <v>33</v>
      </c>
      <c r="F553" s="224"/>
      <c r="G553" s="224"/>
      <c r="H553" s="223" t="s">
        <v>4030</v>
      </c>
      <c r="I553" s="223" t="s">
        <v>2962</v>
      </c>
      <c r="J553" s="223" t="s">
        <v>4031</v>
      </c>
      <c r="K553" s="223" t="s">
        <v>4032</v>
      </c>
      <c r="L553" s="228">
        <v>41505</v>
      </c>
      <c r="M553" s="228">
        <v>0</v>
      </c>
      <c r="N553" s="223" t="s">
        <v>4033</v>
      </c>
      <c r="O553" s="229" t="str">
        <f t="shared" si="16"/>
        <v>EBS1_41505_0</v>
      </c>
      <c r="P553" s="229" t="s">
        <v>4034</v>
      </c>
      <c r="Q553" s="227"/>
      <c r="R553" s="227">
        <v>552</v>
      </c>
      <c r="S553" s="227"/>
      <c r="T553" s="229" t="str">
        <f t="shared" si="17"/>
        <v>4150500:Var_ui_ErrNo:=552;</v>
      </c>
    </row>
    <row r="554" ht="16.5" spans="1:20">
      <c r="A554" s="222">
        <v>553</v>
      </c>
      <c r="B554" s="35">
        <v>163</v>
      </c>
      <c r="C554" s="35">
        <v>33</v>
      </c>
      <c r="F554" s="224"/>
      <c r="G554" s="224"/>
      <c r="H554" s="223" t="s">
        <v>4035</v>
      </c>
      <c r="I554" s="223" t="s">
        <v>2962</v>
      </c>
      <c r="J554" s="223" t="s">
        <v>4036</v>
      </c>
      <c r="K554" s="223" t="s">
        <v>4037</v>
      </c>
      <c r="L554" s="228">
        <v>41761</v>
      </c>
      <c r="M554" s="228">
        <v>0</v>
      </c>
      <c r="N554" s="223" t="s">
        <v>4038</v>
      </c>
      <c r="O554" s="229" t="str">
        <f t="shared" si="16"/>
        <v>EBS1_41761_0</v>
      </c>
      <c r="P554" s="229" t="s">
        <v>4039</v>
      </c>
      <c r="Q554" s="227"/>
      <c r="R554" s="227">
        <v>553</v>
      </c>
      <c r="S554" s="227"/>
      <c r="T554" s="229" t="str">
        <f t="shared" si="17"/>
        <v>4176100:Var_ui_ErrNo:=553;</v>
      </c>
    </row>
    <row r="555" ht="16.5" spans="1:20">
      <c r="A555" s="222">
        <v>554</v>
      </c>
      <c r="B555" s="35">
        <v>164</v>
      </c>
      <c r="C555" s="35">
        <v>33</v>
      </c>
      <c r="F555" s="224"/>
      <c r="G555" s="224"/>
      <c r="H555" s="223" t="s">
        <v>4040</v>
      </c>
      <c r="I555" s="223" t="s">
        <v>2962</v>
      </c>
      <c r="J555" s="223" t="s">
        <v>4041</v>
      </c>
      <c r="K555" s="223" t="s">
        <v>4042</v>
      </c>
      <c r="L555" s="228">
        <v>42017</v>
      </c>
      <c r="M555" s="228">
        <v>0</v>
      </c>
      <c r="N555" s="223" t="s">
        <v>4043</v>
      </c>
      <c r="O555" s="229" t="str">
        <f t="shared" si="16"/>
        <v>EBS1_42017_0</v>
      </c>
      <c r="P555" s="229" t="s">
        <v>4044</v>
      </c>
      <c r="Q555" s="227"/>
      <c r="R555" s="227">
        <v>554</v>
      </c>
      <c r="S555" s="227"/>
      <c r="T555" s="229" t="str">
        <f t="shared" si="17"/>
        <v>4201700:Var_ui_ErrNo:=554;</v>
      </c>
    </row>
    <row r="556" ht="16.5" spans="1:20">
      <c r="A556" s="222">
        <v>555</v>
      </c>
      <c r="B556" s="35">
        <v>165</v>
      </c>
      <c r="C556" s="35">
        <v>33</v>
      </c>
      <c r="F556" s="224"/>
      <c r="G556" s="224"/>
      <c r="H556" s="223" t="s">
        <v>4045</v>
      </c>
      <c r="I556" s="223" t="s">
        <v>2962</v>
      </c>
      <c r="J556" s="223" t="s">
        <v>4046</v>
      </c>
      <c r="K556" s="223" t="s">
        <v>4047</v>
      </c>
      <c r="L556" s="228">
        <v>42273</v>
      </c>
      <c r="M556" s="228">
        <v>0</v>
      </c>
      <c r="N556" s="223" t="s">
        <v>4048</v>
      </c>
      <c r="O556" s="229" t="str">
        <f t="shared" si="16"/>
        <v>EBS1_42273_0</v>
      </c>
      <c r="P556" s="229" t="s">
        <v>4049</v>
      </c>
      <c r="Q556" s="227"/>
      <c r="R556" s="227">
        <v>555</v>
      </c>
      <c r="S556" s="227"/>
      <c r="T556" s="229" t="str">
        <f t="shared" si="17"/>
        <v>4227300:Var_ui_ErrNo:=555;</v>
      </c>
    </row>
    <row r="557" ht="16.5" spans="1:20">
      <c r="A557" s="222">
        <v>556</v>
      </c>
      <c r="B557" s="35">
        <v>160</v>
      </c>
      <c r="C557" s="35">
        <v>43</v>
      </c>
      <c r="F557" s="224"/>
      <c r="G557" s="224"/>
      <c r="H557" s="223" t="s">
        <v>4050</v>
      </c>
      <c r="I557" s="223" t="s">
        <v>2962</v>
      </c>
      <c r="J557" s="223" t="s">
        <v>4051</v>
      </c>
      <c r="K557" s="223" t="s">
        <v>4052</v>
      </c>
      <c r="L557" s="228">
        <v>41003</v>
      </c>
      <c r="M557" s="228">
        <v>0</v>
      </c>
      <c r="N557" s="223" t="s">
        <v>4053</v>
      </c>
      <c r="O557" s="229" t="str">
        <f t="shared" si="16"/>
        <v>EBS1_41003_0</v>
      </c>
      <c r="P557" s="229" t="s">
        <v>4054</v>
      </c>
      <c r="Q557" s="227"/>
      <c r="R557" s="227">
        <v>556</v>
      </c>
      <c r="S557" s="227"/>
      <c r="T557" s="229" t="str">
        <f t="shared" si="17"/>
        <v>4100300:Var_ui_ErrNo:=556;</v>
      </c>
    </row>
    <row r="558" ht="16.5" spans="1:20">
      <c r="A558" s="222">
        <v>557</v>
      </c>
      <c r="B558" s="35">
        <v>161</v>
      </c>
      <c r="C558" s="35">
        <v>43</v>
      </c>
      <c r="F558" s="224"/>
      <c r="G558" s="224"/>
      <c r="H558" s="223" t="s">
        <v>4055</v>
      </c>
      <c r="I558" s="223" t="s">
        <v>2962</v>
      </c>
      <c r="J558" s="223" t="s">
        <v>4056</v>
      </c>
      <c r="K558" s="223" t="s">
        <v>4057</v>
      </c>
      <c r="L558" s="228">
        <v>41259</v>
      </c>
      <c r="M558" s="228">
        <v>0</v>
      </c>
      <c r="N558" s="223" t="s">
        <v>4058</v>
      </c>
      <c r="O558" s="229" t="str">
        <f t="shared" si="16"/>
        <v>EBS1_41259_0</v>
      </c>
      <c r="P558" s="229" t="s">
        <v>4059</v>
      </c>
      <c r="Q558" s="227"/>
      <c r="R558" s="227">
        <v>557</v>
      </c>
      <c r="S558" s="227"/>
      <c r="T558" s="229" t="str">
        <f t="shared" si="17"/>
        <v>4125900:Var_ui_ErrNo:=557;</v>
      </c>
    </row>
    <row r="559" ht="16.5" spans="1:20">
      <c r="A559" s="222">
        <v>558</v>
      </c>
      <c r="B559" s="35">
        <v>162</v>
      </c>
      <c r="C559" s="35">
        <v>43</v>
      </c>
      <c r="F559" s="224"/>
      <c r="G559" s="224"/>
      <c r="H559" s="223" t="s">
        <v>4060</v>
      </c>
      <c r="I559" s="223" t="s">
        <v>2962</v>
      </c>
      <c r="J559" s="223" t="s">
        <v>4061</v>
      </c>
      <c r="K559" s="223" t="s">
        <v>4062</v>
      </c>
      <c r="L559" s="228">
        <v>41515</v>
      </c>
      <c r="M559" s="228">
        <v>0</v>
      </c>
      <c r="N559" s="223" t="s">
        <v>4063</v>
      </c>
      <c r="O559" s="229" t="str">
        <f t="shared" si="16"/>
        <v>EBS1_41515_0</v>
      </c>
      <c r="P559" s="229" t="s">
        <v>4064</v>
      </c>
      <c r="Q559" s="227"/>
      <c r="R559" s="227">
        <v>558</v>
      </c>
      <c r="S559" s="227"/>
      <c r="T559" s="229" t="str">
        <f t="shared" si="17"/>
        <v>4151500:Var_ui_ErrNo:=558;</v>
      </c>
    </row>
    <row r="560" ht="16.5" spans="1:20">
      <c r="A560" s="222">
        <v>559</v>
      </c>
      <c r="B560" s="35">
        <v>163</v>
      </c>
      <c r="C560" s="35">
        <v>43</v>
      </c>
      <c r="F560" s="224"/>
      <c r="G560" s="224"/>
      <c r="H560" s="223" t="s">
        <v>4065</v>
      </c>
      <c r="I560" s="223" t="s">
        <v>2962</v>
      </c>
      <c r="J560" s="223" t="s">
        <v>4066</v>
      </c>
      <c r="K560" s="223" t="s">
        <v>4067</v>
      </c>
      <c r="L560" s="228">
        <v>41771</v>
      </c>
      <c r="M560" s="228">
        <v>0</v>
      </c>
      <c r="N560" s="223" t="s">
        <v>4068</v>
      </c>
      <c r="O560" s="229" t="str">
        <f t="shared" si="16"/>
        <v>EBS1_41771_0</v>
      </c>
      <c r="P560" s="229" t="s">
        <v>4069</v>
      </c>
      <c r="Q560" s="227"/>
      <c r="R560" s="227">
        <v>559</v>
      </c>
      <c r="S560" s="227"/>
      <c r="T560" s="229" t="str">
        <f t="shared" si="17"/>
        <v>4177100:Var_ui_ErrNo:=559;</v>
      </c>
    </row>
    <row r="561" ht="16.5" spans="1:20">
      <c r="A561" s="222">
        <v>560</v>
      </c>
      <c r="B561" s="35">
        <v>164</v>
      </c>
      <c r="C561" s="35">
        <v>43</v>
      </c>
      <c r="F561" s="224"/>
      <c r="G561" s="224"/>
      <c r="H561" s="223" t="s">
        <v>4070</v>
      </c>
      <c r="I561" s="223" t="s">
        <v>2962</v>
      </c>
      <c r="J561" s="223" t="s">
        <v>4071</v>
      </c>
      <c r="K561" s="223" t="s">
        <v>4072</v>
      </c>
      <c r="L561" s="228">
        <v>42027</v>
      </c>
      <c r="M561" s="228">
        <v>0</v>
      </c>
      <c r="N561" s="223" t="s">
        <v>4073</v>
      </c>
      <c r="O561" s="229" t="str">
        <f t="shared" si="16"/>
        <v>EBS1_42027_0</v>
      </c>
      <c r="P561" s="229" t="s">
        <v>4074</v>
      </c>
      <c r="Q561" s="227"/>
      <c r="R561" s="227">
        <v>560</v>
      </c>
      <c r="S561" s="227"/>
      <c r="T561" s="229" t="str">
        <f t="shared" si="17"/>
        <v>4202700:Var_ui_ErrNo:=560;</v>
      </c>
    </row>
    <row r="562" ht="16.5" spans="1:20">
      <c r="A562" s="222">
        <v>561</v>
      </c>
      <c r="B562" s="35">
        <v>165</v>
      </c>
      <c r="C562" s="35">
        <v>43</v>
      </c>
      <c r="F562" s="224"/>
      <c r="G562" s="224"/>
      <c r="H562" s="223" t="s">
        <v>4075</v>
      </c>
      <c r="I562" s="223" t="s">
        <v>2962</v>
      </c>
      <c r="J562" s="223" t="s">
        <v>4076</v>
      </c>
      <c r="K562" s="223" t="s">
        <v>4077</v>
      </c>
      <c r="L562" s="228">
        <v>42283</v>
      </c>
      <c r="M562" s="228">
        <v>0</v>
      </c>
      <c r="N562" s="223" t="s">
        <v>4078</v>
      </c>
      <c r="O562" s="229" t="str">
        <f t="shared" si="16"/>
        <v>EBS1_42283_0</v>
      </c>
      <c r="P562" s="229" t="s">
        <v>4079</v>
      </c>
      <c r="Q562" s="227"/>
      <c r="R562" s="227">
        <v>561</v>
      </c>
      <c r="S562" s="227"/>
      <c r="T562" s="229" t="str">
        <f t="shared" si="17"/>
        <v>4228300:Var_ui_ErrNo:=561;</v>
      </c>
    </row>
    <row r="563" ht="16.5" spans="1:20">
      <c r="A563" s="222">
        <v>562</v>
      </c>
      <c r="B563" s="35">
        <v>160</v>
      </c>
      <c r="C563" s="35">
        <v>44</v>
      </c>
      <c r="F563" s="224"/>
      <c r="G563" s="224"/>
      <c r="H563" s="223" t="s">
        <v>4080</v>
      </c>
      <c r="I563" s="223" t="s">
        <v>2962</v>
      </c>
      <c r="J563" s="223" t="s">
        <v>4081</v>
      </c>
      <c r="K563" s="223" t="s">
        <v>4082</v>
      </c>
      <c r="L563" s="228">
        <v>41004</v>
      </c>
      <c r="M563" s="228">
        <v>0</v>
      </c>
      <c r="N563" s="223" t="s">
        <v>4053</v>
      </c>
      <c r="O563" s="229" t="str">
        <f t="shared" si="16"/>
        <v>EBS1_41004_0</v>
      </c>
      <c r="P563" s="229" t="s">
        <v>4083</v>
      </c>
      <c r="Q563" s="227"/>
      <c r="R563" s="227">
        <v>562</v>
      </c>
      <c r="S563" s="227"/>
      <c r="T563" s="229" t="str">
        <f t="shared" si="17"/>
        <v>4100400:Var_ui_ErrNo:=562;</v>
      </c>
    </row>
    <row r="564" ht="16.5" spans="1:20">
      <c r="A564" s="222">
        <v>563</v>
      </c>
      <c r="B564" s="35">
        <v>161</v>
      </c>
      <c r="C564" s="35">
        <v>44</v>
      </c>
      <c r="F564" s="224"/>
      <c r="G564" s="224"/>
      <c r="H564" s="223" t="s">
        <v>4084</v>
      </c>
      <c r="I564" s="223" t="s">
        <v>2962</v>
      </c>
      <c r="J564" s="223" t="s">
        <v>4085</v>
      </c>
      <c r="K564" s="223" t="s">
        <v>4086</v>
      </c>
      <c r="L564" s="228">
        <v>41260</v>
      </c>
      <c r="M564" s="228">
        <v>0</v>
      </c>
      <c r="N564" s="223" t="s">
        <v>4058</v>
      </c>
      <c r="O564" s="229" t="str">
        <f t="shared" si="16"/>
        <v>EBS1_41260_0</v>
      </c>
      <c r="P564" s="229" t="s">
        <v>4087</v>
      </c>
      <c r="Q564" s="227"/>
      <c r="R564" s="227">
        <v>563</v>
      </c>
      <c r="S564" s="227"/>
      <c r="T564" s="229" t="str">
        <f t="shared" si="17"/>
        <v>4126000:Var_ui_ErrNo:=563;</v>
      </c>
    </row>
    <row r="565" ht="16.5" spans="1:20">
      <c r="A565" s="222">
        <v>564</v>
      </c>
      <c r="B565" s="35">
        <v>162</v>
      </c>
      <c r="C565" s="35">
        <v>44</v>
      </c>
      <c r="F565" s="224"/>
      <c r="G565" s="224"/>
      <c r="H565" s="223" t="s">
        <v>4088</v>
      </c>
      <c r="I565" s="223" t="s">
        <v>2962</v>
      </c>
      <c r="J565" s="223" t="s">
        <v>4089</v>
      </c>
      <c r="K565" s="223" t="s">
        <v>4090</v>
      </c>
      <c r="L565" s="228">
        <v>41516</v>
      </c>
      <c r="M565" s="228">
        <v>0</v>
      </c>
      <c r="N565" s="223" t="s">
        <v>4063</v>
      </c>
      <c r="O565" s="229" t="str">
        <f t="shared" si="16"/>
        <v>EBS1_41516_0</v>
      </c>
      <c r="P565" s="229" t="s">
        <v>4091</v>
      </c>
      <c r="Q565" s="227"/>
      <c r="R565" s="227">
        <v>564</v>
      </c>
      <c r="S565" s="227"/>
      <c r="T565" s="229" t="str">
        <f t="shared" si="17"/>
        <v>4151600:Var_ui_ErrNo:=564;</v>
      </c>
    </row>
    <row r="566" ht="16.5" spans="1:20">
      <c r="A566" s="222">
        <v>565</v>
      </c>
      <c r="B566" s="35">
        <v>163</v>
      </c>
      <c r="C566" s="35">
        <v>44</v>
      </c>
      <c r="F566" s="224"/>
      <c r="G566" s="224"/>
      <c r="H566" s="223" t="s">
        <v>4092</v>
      </c>
      <c r="I566" s="223" t="s">
        <v>2962</v>
      </c>
      <c r="J566" s="223" t="s">
        <v>4093</v>
      </c>
      <c r="K566" s="223" t="s">
        <v>4094</v>
      </c>
      <c r="L566" s="228">
        <v>41772</v>
      </c>
      <c r="M566" s="228">
        <v>0</v>
      </c>
      <c r="N566" s="223" t="s">
        <v>4068</v>
      </c>
      <c r="O566" s="229" t="str">
        <f t="shared" si="16"/>
        <v>EBS1_41772_0</v>
      </c>
      <c r="P566" s="229" t="s">
        <v>4095</v>
      </c>
      <c r="Q566" s="227"/>
      <c r="R566" s="227">
        <v>565</v>
      </c>
      <c r="S566" s="227"/>
      <c r="T566" s="229" t="str">
        <f t="shared" si="17"/>
        <v>4177200:Var_ui_ErrNo:=565;</v>
      </c>
    </row>
    <row r="567" ht="16.5" spans="1:20">
      <c r="A567" s="222">
        <v>566</v>
      </c>
      <c r="B567" s="35">
        <v>164</v>
      </c>
      <c r="C567" s="35">
        <v>44</v>
      </c>
      <c r="F567" s="224"/>
      <c r="G567" s="224"/>
      <c r="H567" s="223" t="s">
        <v>4096</v>
      </c>
      <c r="I567" s="223" t="s">
        <v>2962</v>
      </c>
      <c r="J567" s="223" t="s">
        <v>4097</v>
      </c>
      <c r="K567" s="223" t="s">
        <v>4098</v>
      </c>
      <c r="L567" s="228">
        <v>42028</v>
      </c>
      <c r="M567" s="228">
        <v>0</v>
      </c>
      <c r="N567" s="223" t="s">
        <v>4073</v>
      </c>
      <c r="O567" s="229" t="str">
        <f t="shared" si="16"/>
        <v>EBS1_42028_0</v>
      </c>
      <c r="P567" s="229" t="s">
        <v>4099</v>
      </c>
      <c r="Q567" s="227"/>
      <c r="R567" s="227">
        <v>566</v>
      </c>
      <c r="S567" s="227"/>
      <c r="T567" s="229" t="str">
        <f t="shared" si="17"/>
        <v>4202800:Var_ui_ErrNo:=566;</v>
      </c>
    </row>
    <row r="568" ht="16.5" spans="1:20">
      <c r="A568" s="222">
        <v>567</v>
      </c>
      <c r="B568" s="35">
        <v>165</v>
      </c>
      <c r="C568" s="35">
        <v>44</v>
      </c>
      <c r="F568" s="224"/>
      <c r="G568" s="224"/>
      <c r="H568" s="223" t="s">
        <v>4100</v>
      </c>
      <c r="I568" s="223" t="s">
        <v>2962</v>
      </c>
      <c r="J568" s="223" t="s">
        <v>4101</v>
      </c>
      <c r="K568" s="223" t="s">
        <v>4102</v>
      </c>
      <c r="L568" s="228">
        <v>42284</v>
      </c>
      <c r="M568" s="228">
        <v>0</v>
      </c>
      <c r="N568" s="223" t="s">
        <v>4078</v>
      </c>
      <c r="O568" s="229" t="str">
        <f t="shared" si="16"/>
        <v>EBS1_42284_0</v>
      </c>
      <c r="P568" s="229" t="s">
        <v>4103</v>
      </c>
      <c r="Q568" s="227"/>
      <c r="R568" s="227">
        <v>567</v>
      </c>
      <c r="S568" s="227"/>
      <c r="T568" s="229" t="str">
        <f t="shared" si="17"/>
        <v>4228400:Var_ui_ErrNo:=567;</v>
      </c>
    </row>
    <row r="569" ht="16.5" spans="1:20">
      <c r="A569" s="222">
        <v>568</v>
      </c>
      <c r="B569" s="35">
        <v>170</v>
      </c>
      <c r="C569" s="35">
        <v>22</v>
      </c>
      <c r="F569" s="224"/>
      <c r="G569" s="224"/>
      <c r="H569" s="223" t="s">
        <v>4104</v>
      </c>
      <c r="I569" s="223" t="s">
        <v>4105</v>
      </c>
      <c r="J569" s="223" t="s">
        <v>4106</v>
      </c>
      <c r="K569" s="223" t="s">
        <v>4107</v>
      </c>
      <c r="L569" s="228">
        <v>43542</v>
      </c>
      <c r="M569" s="228">
        <v>0</v>
      </c>
      <c r="N569" s="223" t="s">
        <v>4108</v>
      </c>
      <c r="O569" s="229" t="str">
        <f t="shared" si="16"/>
        <v>EBS1_43542_0</v>
      </c>
      <c r="P569" s="229" t="s">
        <v>4109</v>
      </c>
      <c r="Q569" s="227"/>
      <c r="R569" s="227">
        <v>568</v>
      </c>
      <c r="S569" s="227"/>
      <c r="T569" s="229" t="str">
        <f t="shared" si="17"/>
        <v>4354200:Var_ui_ErrNo:=568;</v>
      </c>
    </row>
    <row r="570" ht="16.5" spans="1:20">
      <c r="A570" s="222">
        <v>569</v>
      </c>
      <c r="B570" s="35">
        <v>171</v>
      </c>
      <c r="C570" s="35">
        <v>22</v>
      </c>
      <c r="F570" s="224"/>
      <c r="G570" s="224"/>
      <c r="H570" s="223" t="s">
        <v>4110</v>
      </c>
      <c r="I570" s="223" t="s">
        <v>4105</v>
      </c>
      <c r="J570" s="223" t="s">
        <v>4111</v>
      </c>
      <c r="K570" s="223" t="s">
        <v>4112</v>
      </c>
      <c r="L570" s="228">
        <v>43798</v>
      </c>
      <c r="M570" s="228">
        <v>0</v>
      </c>
      <c r="N570" s="223" t="s">
        <v>4113</v>
      </c>
      <c r="O570" s="229" t="str">
        <f t="shared" si="16"/>
        <v>EBS1_43798_0</v>
      </c>
      <c r="P570" s="229" t="s">
        <v>4114</v>
      </c>
      <c r="Q570" s="227"/>
      <c r="R570" s="227">
        <v>569</v>
      </c>
      <c r="S570" s="227"/>
      <c r="T570" s="229" t="str">
        <f t="shared" si="17"/>
        <v>4379800:Var_ui_ErrNo:=569;</v>
      </c>
    </row>
    <row r="571" ht="16.5" spans="1:20">
      <c r="A571" s="222">
        <v>570</v>
      </c>
      <c r="B571" s="35">
        <v>172</v>
      </c>
      <c r="C571" s="35">
        <v>22</v>
      </c>
      <c r="F571" s="224"/>
      <c r="G571" s="224"/>
      <c r="H571" s="223" t="s">
        <v>4115</v>
      </c>
      <c r="I571" s="223" t="s">
        <v>4105</v>
      </c>
      <c r="J571" s="223" t="s">
        <v>4116</v>
      </c>
      <c r="K571" s="223" t="s">
        <v>4117</v>
      </c>
      <c r="L571" s="228">
        <v>44054</v>
      </c>
      <c r="M571" s="228">
        <v>0</v>
      </c>
      <c r="N571" s="223" t="s">
        <v>4118</v>
      </c>
      <c r="O571" s="229" t="str">
        <f t="shared" si="16"/>
        <v>EBS1_44054_0</v>
      </c>
      <c r="P571" s="229" t="s">
        <v>4119</v>
      </c>
      <c r="Q571" s="227"/>
      <c r="R571" s="227">
        <v>570</v>
      </c>
      <c r="S571" s="227"/>
      <c r="T571" s="229" t="str">
        <f t="shared" si="17"/>
        <v>4405400:Var_ui_ErrNo:=570;</v>
      </c>
    </row>
    <row r="572" ht="16.5" spans="1:20">
      <c r="A572" s="222">
        <v>571</v>
      </c>
      <c r="B572" s="35">
        <v>173</v>
      </c>
      <c r="C572" s="35">
        <v>22</v>
      </c>
      <c r="F572" s="224"/>
      <c r="G572" s="224"/>
      <c r="H572" s="223" t="s">
        <v>4120</v>
      </c>
      <c r="I572" s="223" t="s">
        <v>4105</v>
      </c>
      <c r="J572" s="223" t="s">
        <v>4121</v>
      </c>
      <c r="K572" s="223" t="s">
        <v>4122</v>
      </c>
      <c r="L572" s="228">
        <v>44310</v>
      </c>
      <c r="M572" s="228">
        <v>0</v>
      </c>
      <c r="N572" s="223" t="s">
        <v>4123</v>
      </c>
      <c r="O572" s="229" t="str">
        <f t="shared" si="16"/>
        <v>EBS1_44310_0</v>
      </c>
      <c r="P572" s="229" t="s">
        <v>4124</v>
      </c>
      <c r="Q572" s="227"/>
      <c r="R572" s="227">
        <v>571</v>
      </c>
      <c r="S572" s="227"/>
      <c r="T572" s="229" t="str">
        <f t="shared" si="17"/>
        <v>4431000:Var_ui_ErrNo:=571;</v>
      </c>
    </row>
    <row r="573" ht="16.5" spans="1:20">
      <c r="A573" s="222">
        <v>572</v>
      </c>
      <c r="B573" s="35">
        <v>174</v>
      </c>
      <c r="C573" s="35">
        <v>22</v>
      </c>
      <c r="F573" s="224"/>
      <c r="G573" s="224"/>
      <c r="H573" s="223" t="s">
        <v>4125</v>
      </c>
      <c r="I573" s="223" t="s">
        <v>4105</v>
      </c>
      <c r="J573" s="223" t="s">
        <v>4126</v>
      </c>
      <c r="K573" s="223" t="s">
        <v>4127</v>
      </c>
      <c r="L573" s="228">
        <v>44566</v>
      </c>
      <c r="M573" s="228">
        <v>0</v>
      </c>
      <c r="N573" s="223" t="s">
        <v>4128</v>
      </c>
      <c r="O573" s="229" t="str">
        <f t="shared" si="16"/>
        <v>EBS1_44566_0</v>
      </c>
      <c r="P573" s="229" t="s">
        <v>4129</v>
      </c>
      <c r="Q573" s="227"/>
      <c r="R573" s="227">
        <v>572</v>
      </c>
      <c r="S573" s="227"/>
      <c r="T573" s="229" t="str">
        <f t="shared" si="17"/>
        <v>4456600:Var_ui_ErrNo:=572;</v>
      </c>
    </row>
    <row r="574" ht="16.5" spans="1:20">
      <c r="A574" s="222">
        <v>573</v>
      </c>
      <c r="B574" s="35">
        <v>175</v>
      </c>
      <c r="C574" s="35">
        <v>22</v>
      </c>
      <c r="F574" s="224"/>
      <c r="G574" s="224"/>
      <c r="H574" s="223" t="s">
        <v>4130</v>
      </c>
      <c r="I574" s="223" t="s">
        <v>4105</v>
      </c>
      <c r="J574" s="223" t="s">
        <v>4131</v>
      </c>
      <c r="K574" s="223" t="s">
        <v>4132</v>
      </c>
      <c r="L574" s="228">
        <v>44822</v>
      </c>
      <c r="M574" s="228">
        <v>0</v>
      </c>
      <c r="N574" s="223" t="s">
        <v>4133</v>
      </c>
      <c r="O574" s="229" t="str">
        <f t="shared" si="16"/>
        <v>EBS1_44822_0</v>
      </c>
      <c r="P574" s="229" t="s">
        <v>4134</v>
      </c>
      <c r="Q574" s="227"/>
      <c r="R574" s="227">
        <v>573</v>
      </c>
      <c r="S574" s="227"/>
      <c r="T574" s="229" t="str">
        <f t="shared" si="17"/>
        <v>4482200:Var_ui_ErrNo:=573;</v>
      </c>
    </row>
    <row r="575" ht="16.5" spans="1:20">
      <c r="A575" s="222">
        <v>574</v>
      </c>
      <c r="B575" s="35">
        <v>170</v>
      </c>
      <c r="C575" s="35">
        <v>30</v>
      </c>
      <c r="F575" s="224"/>
      <c r="G575" s="224"/>
      <c r="H575" s="223" t="s">
        <v>4135</v>
      </c>
      <c r="I575" s="223" t="s">
        <v>2962</v>
      </c>
      <c r="J575" s="223" t="s">
        <v>4136</v>
      </c>
      <c r="K575" s="223" t="s">
        <v>4137</v>
      </c>
      <c r="L575" s="228">
        <v>43550</v>
      </c>
      <c r="M575" s="228">
        <v>0</v>
      </c>
      <c r="N575" s="223" t="s">
        <v>4138</v>
      </c>
      <c r="O575" s="229" t="str">
        <f t="shared" si="16"/>
        <v>EBS1_43550_0</v>
      </c>
      <c r="P575" s="229" t="s">
        <v>4139</v>
      </c>
      <c r="Q575" s="227"/>
      <c r="R575" s="227">
        <v>574</v>
      </c>
      <c r="S575" s="227"/>
      <c r="T575" s="229" t="str">
        <f t="shared" si="17"/>
        <v>4355000:Var_ui_ErrNo:=574;</v>
      </c>
    </row>
    <row r="576" ht="16.5" spans="1:20">
      <c r="A576" s="222">
        <v>575</v>
      </c>
      <c r="B576" s="35">
        <v>171</v>
      </c>
      <c r="C576" s="35">
        <v>30</v>
      </c>
      <c r="F576" s="224"/>
      <c r="G576" s="224"/>
      <c r="H576" s="223" t="s">
        <v>4140</v>
      </c>
      <c r="I576" s="223" t="s">
        <v>2962</v>
      </c>
      <c r="J576" s="223" t="s">
        <v>4141</v>
      </c>
      <c r="K576" s="223" t="s">
        <v>4142</v>
      </c>
      <c r="L576" s="228">
        <v>43806</v>
      </c>
      <c r="M576" s="228">
        <v>0</v>
      </c>
      <c r="N576" s="223" t="s">
        <v>4143</v>
      </c>
      <c r="O576" s="229" t="str">
        <f t="shared" si="16"/>
        <v>EBS1_43806_0</v>
      </c>
      <c r="P576" s="229" t="s">
        <v>4144</v>
      </c>
      <c r="Q576" s="227"/>
      <c r="R576" s="227">
        <v>575</v>
      </c>
      <c r="S576" s="227"/>
      <c r="T576" s="229" t="str">
        <f t="shared" si="17"/>
        <v>4380600:Var_ui_ErrNo:=575;</v>
      </c>
    </row>
    <row r="577" ht="16.5" spans="1:20">
      <c r="A577" s="222">
        <v>576</v>
      </c>
      <c r="B577" s="35">
        <v>172</v>
      </c>
      <c r="C577" s="35">
        <v>30</v>
      </c>
      <c r="F577" s="224"/>
      <c r="G577" s="224"/>
      <c r="H577" s="223" t="s">
        <v>4145</v>
      </c>
      <c r="I577" s="223" t="s">
        <v>2962</v>
      </c>
      <c r="J577" s="223" t="s">
        <v>4146</v>
      </c>
      <c r="K577" s="223" t="s">
        <v>4147</v>
      </c>
      <c r="L577" s="228">
        <v>44062</v>
      </c>
      <c r="M577" s="228">
        <v>0</v>
      </c>
      <c r="N577" s="223" t="s">
        <v>4148</v>
      </c>
      <c r="O577" s="229" t="str">
        <f t="shared" si="16"/>
        <v>EBS1_44062_0</v>
      </c>
      <c r="P577" s="229" t="s">
        <v>4149</v>
      </c>
      <c r="Q577" s="227"/>
      <c r="R577" s="227">
        <v>576</v>
      </c>
      <c r="S577" s="227"/>
      <c r="T577" s="229" t="str">
        <f t="shared" si="17"/>
        <v>4406200:Var_ui_ErrNo:=576;</v>
      </c>
    </row>
    <row r="578" ht="16.5" spans="1:20">
      <c r="A578" s="222">
        <v>577</v>
      </c>
      <c r="B578" s="35">
        <v>173</v>
      </c>
      <c r="C578" s="35">
        <v>30</v>
      </c>
      <c r="F578" s="224"/>
      <c r="G578" s="224"/>
      <c r="H578" s="223" t="s">
        <v>4150</v>
      </c>
      <c r="I578" s="223" t="s">
        <v>2962</v>
      </c>
      <c r="J578" s="223" t="s">
        <v>4151</v>
      </c>
      <c r="K578" s="223" t="s">
        <v>4152</v>
      </c>
      <c r="L578" s="228">
        <v>44318</v>
      </c>
      <c r="M578" s="228">
        <v>0</v>
      </c>
      <c r="N578" s="223" t="s">
        <v>4153</v>
      </c>
      <c r="O578" s="229" t="str">
        <f t="shared" ref="O578:O641" si="18">"EBS1_"&amp;L578&amp;"_"&amp;M578</f>
        <v>EBS1_44318_0</v>
      </c>
      <c r="P578" s="229" t="s">
        <v>4154</v>
      </c>
      <c r="Q578" s="227"/>
      <c r="R578" s="227">
        <v>577</v>
      </c>
      <c r="S578" s="227"/>
      <c r="T578" s="229" t="str">
        <f t="shared" si="17"/>
        <v>4431800:Var_ui_ErrNo:=577;</v>
      </c>
    </row>
    <row r="579" ht="16.5" spans="1:20">
      <c r="A579" s="222">
        <v>578</v>
      </c>
      <c r="B579" s="35">
        <v>174</v>
      </c>
      <c r="C579" s="35">
        <v>30</v>
      </c>
      <c r="F579" s="224"/>
      <c r="G579" s="224"/>
      <c r="H579" s="223" t="s">
        <v>4155</v>
      </c>
      <c r="I579" s="223" t="s">
        <v>2962</v>
      </c>
      <c r="J579" s="223" t="s">
        <v>4156</v>
      </c>
      <c r="K579" s="223" t="s">
        <v>4157</v>
      </c>
      <c r="L579" s="228">
        <v>44574</v>
      </c>
      <c r="M579" s="228">
        <v>0</v>
      </c>
      <c r="N579" s="223" t="s">
        <v>4158</v>
      </c>
      <c r="O579" s="229" t="str">
        <f t="shared" si="18"/>
        <v>EBS1_44574_0</v>
      </c>
      <c r="P579" s="229" t="s">
        <v>4159</v>
      </c>
      <c r="Q579" s="227"/>
      <c r="R579" s="227">
        <v>578</v>
      </c>
      <c r="S579" s="227"/>
      <c r="T579" s="229" t="str">
        <f t="shared" ref="T579:T642" si="19">P579&amp;$Q$2&amp;R579&amp;$S$2</f>
        <v>4457400:Var_ui_ErrNo:=578;</v>
      </c>
    </row>
    <row r="580" ht="16.5" spans="1:20">
      <c r="A580" s="222">
        <v>579</v>
      </c>
      <c r="B580" s="35">
        <v>175</v>
      </c>
      <c r="C580" s="35">
        <v>30</v>
      </c>
      <c r="F580" s="224"/>
      <c r="G580" s="224"/>
      <c r="H580" s="223" t="s">
        <v>4160</v>
      </c>
      <c r="I580" s="223" t="s">
        <v>2962</v>
      </c>
      <c r="J580" s="223" t="s">
        <v>4161</v>
      </c>
      <c r="K580" s="223" t="s">
        <v>4162</v>
      </c>
      <c r="L580" s="228">
        <v>44830</v>
      </c>
      <c r="M580" s="228">
        <v>0</v>
      </c>
      <c r="N580" s="223" t="s">
        <v>4163</v>
      </c>
      <c r="O580" s="229" t="str">
        <f t="shared" si="18"/>
        <v>EBS1_44830_0</v>
      </c>
      <c r="P580" s="229" t="s">
        <v>4164</v>
      </c>
      <c r="Q580" s="227"/>
      <c r="R580" s="227">
        <v>579</v>
      </c>
      <c r="S580" s="227"/>
      <c r="T580" s="229" t="str">
        <f t="shared" si="19"/>
        <v>4483000:Var_ui_ErrNo:=579;</v>
      </c>
    </row>
    <row r="581" ht="16.5" spans="1:20">
      <c r="A581" s="222">
        <v>580</v>
      </c>
      <c r="B581" s="35">
        <v>170</v>
      </c>
      <c r="C581" s="35">
        <v>32</v>
      </c>
      <c r="F581" s="224"/>
      <c r="G581" s="224"/>
      <c r="H581" s="223" t="s">
        <v>4165</v>
      </c>
      <c r="I581" s="223" t="s">
        <v>2962</v>
      </c>
      <c r="J581" s="223" t="s">
        <v>4166</v>
      </c>
      <c r="K581" s="223" t="s">
        <v>4167</v>
      </c>
      <c r="L581" s="228">
        <v>43552</v>
      </c>
      <c r="M581" s="228">
        <v>0</v>
      </c>
      <c r="N581" s="223" t="s">
        <v>4168</v>
      </c>
      <c r="O581" s="229" t="str">
        <f t="shared" si="18"/>
        <v>EBS1_43552_0</v>
      </c>
      <c r="P581" s="229" t="s">
        <v>4169</v>
      </c>
      <c r="Q581" s="227"/>
      <c r="R581" s="227">
        <v>580</v>
      </c>
      <c r="S581" s="227"/>
      <c r="T581" s="229" t="str">
        <f t="shared" si="19"/>
        <v>4355200:Var_ui_ErrNo:=580;</v>
      </c>
    </row>
    <row r="582" ht="16.5" spans="1:20">
      <c r="A582" s="222">
        <v>581</v>
      </c>
      <c r="B582" s="35">
        <v>171</v>
      </c>
      <c r="C582" s="35">
        <v>32</v>
      </c>
      <c r="F582" s="224"/>
      <c r="G582" s="224"/>
      <c r="H582" s="223" t="s">
        <v>4170</v>
      </c>
      <c r="I582" s="223" t="s">
        <v>2962</v>
      </c>
      <c r="J582" s="223" t="s">
        <v>4171</v>
      </c>
      <c r="K582" s="223" t="s">
        <v>4172</v>
      </c>
      <c r="L582" s="228">
        <v>43808</v>
      </c>
      <c r="M582" s="228">
        <v>0</v>
      </c>
      <c r="N582" s="223" t="s">
        <v>4173</v>
      </c>
      <c r="O582" s="229" t="str">
        <f t="shared" si="18"/>
        <v>EBS1_43808_0</v>
      </c>
      <c r="P582" s="229" t="s">
        <v>4174</v>
      </c>
      <c r="Q582" s="227"/>
      <c r="R582" s="227">
        <v>581</v>
      </c>
      <c r="S582" s="227"/>
      <c r="T582" s="229" t="str">
        <f t="shared" si="19"/>
        <v>4380800:Var_ui_ErrNo:=581;</v>
      </c>
    </row>
    <row r="583" ht="16.5" spans="1:20">
      <c r="A583" s="222">
        <v>582</v>
      </c>
      <c r="B583" s="35">
        <v>172</v>
      </c>
      <c r="C583" s="35">
        <v>32</v>
      </c>
      <c r="F583" s="224"/>
      <c r="G583" s="224"/>
      <c r="H583" s="223" t="s">
        <v>4175</v>
      </c>
      <c r="I583" s="223" t="s">
        <v>2962</v>
      </c>
      <c r="J583" s="223" t="s">
        <v>4176</v>
      </c>
      <c r="K583" s="223" t="s">
        <v>4177</v>
      </c>
      <c r="L583" s="228">
        <v>44064</v>
      </c>
      <c r="M583" s="228">
        <v>0</v>
      </c>
      <c r="N583" s="223" t="s">
        <v>4178</v>
      </c>
      <c r="O583" s="229" t="str">
        <f t="shared" si="18"/>
        <v>EBS1_44064_0</v>
      </c>
      <c r="P583" s="229" t="s">
        <v>4179</v>
      </c>
      <c r="Q583" s="227"/>
      <c r="R583" s="227">
        <v>582</v>
      </c>
      <c r="S583" s="227"/>
      <c r="T583" s="229" t="str">
        <f t="shared" si="19"/>
        <v>4406400:Var_ui_ErrNo:=582;</v>
      </c>
    </row>
    <row r="584" ht="16.5" spans="1:20">
      <c r="A584" s="222">
        <v>583</v>
      </c>
      <c r="B584" s="35">
        <v>173</v>
      </c>
      <c r="C584" s="35">
        <v>32</v>
      </c>
      <c r="F584" s="224"/>
      <c r="G584" s="224"/>
      <c r="H584" s="223" t="s">
        <v>4180</v>
      </c>
      <c r="I584" s="223" t="s">
        <v>2962</v>
      </c>
      <c r="J584" s="223" t="s">
        <v>4181</v>
      </c>
      <c r="K584" s="223" t="s">
        <v>4182</v>
      </c>
      <c r="L584" s="228">
        <v>44320</v>
      </c>
      <c r="M584" s="228">
        <v>0</v>
      </c>
      <c r="N584" s="223" t="s">
        <v>4183</v>
      </c>
      <c r="O584" s="229" t="str">
        <f t="shared" si="18"/>
        <v>EBS1_44320_0</v>
      </c>
      <c r="P584" s="229" t="s">
        <v>4184</v>
      </c>
      <c r="Q584" s="227"/>
      <c r="R584" s="227">
        <v>583</v>
      </c>
      <c r="S584" s="227"/>
      <c r="T584" s="229" t="str">
        <f t="shared" si="19"/>
        <v>4432000:Var_ui_ErrNo:=583;</v>
      </c>
    </row>
    <row r="585" ht="16.5" spans="1:20">
      <c r="A585" s="222">
        <v>584</v>
      </c>
      <c r="B585" s="35">
        <v>174</v>
      </c>
      <c r="C585" s="35">
        <v>32</v>
      </c>
      <c r="F585" s="224"/>
      <c r="G585" s="224"/>
      <c r="H585" s="223" t="s">
        <v>4185</v>
      </c>
      <c r="I585" s="223" t="s">
        <v>2962</v>
      </c>
      <c r="J585" s="223" t="s">
        <v>4186</v>
      </c>
      <c r="K585" s="223" t="s">
        <v>4187</v>
      </c>
      <c r="L585" s="228">
        <v>44576</v>
      </c>
      <c r="M585" s="228">
        <v>0</v>
      </c>
      <c r="N585" s="223" t="s">
        <v>4188</v>
      </c>
      <c r="O585" s="229" t="str">
        <f t="shared" si="18"/>
        <v>EBS1_44576_0</v>
      </c>
      <c r="P585" s="229" t="s">
        <v>4189</v>
      </c>
      <c r="Q585" s="227"/>
      <c r="R585" s="227">
        <v>584</v>
      </c>
      <c r="S585" s="227"/>
      <c r="T585" s="229" t="str">
        <f t="shared" si="19"/>
        <v>4457600:Var_ui_ErrNo:=584;</v>
      </c>
    </row>
    <row r="586" ht="16.5" spans="1:20">
      <c r="A586" s="222">
        <v>585</v>
      </c>
      <c r="B586" s="35">
        <v>175</v>
      </c>
      <c r="C586" s="35">
        <v>32</v>
      </c>
      <c r="F586" s="224"/>
      <c r="G586" s="224"/>
      <c r="H586" s="223" t="s">
        <v>4190</v>
      </c>
      <c r="I586" s="223" t="s">
        <v>2962</v>
      </c>
      <c r="J586" s="223" t="s">
        <v>4191</v>
      </c>
      <c r="K586" s="223" t="s">
        <v>4192</v>
      </c>
      <c r="L586" s="228">
        <v>44832</v>
      </c>
      <c r="M586" s="228">
        <v>0</v>
      </c>
      <c r="N586" s="223" t="s">
        <v>4193</v>
      </c>
      <c r="O586" s="229" t="str">
        <f t="shared" si="18"/>
        <v>EBS1_44832_0</v>
      </c>
      <c r="P586" s="229" t="s">
        <v>4194</v>
      </c>
      <c r="Q586" s="227"/>
      <c r="R586" s="227">
        <v>585</v>
      </c>
      <c r="S586" s="227"/>
      <c r="T586" s="229" t="str">
        <f t="shared" si="19"/>
        <v>4483200:Var_ui_ErrNo:=585;</v>
      </c>
    </row>
    <row r="587" ht="16.5" spans="1:20">
      <c r="A587" s="222">
        <v>586</v>
      </c>
      <c r="B587" s="35">
        <v>170</v>
      </c>
      <c r="C587" s="35">
        <v>33</v>
      </c>
      <c r="F587" s="224"/>
      <c r="G587" s="224"/>
      <c r="H587" s="223" t="s">
        <v>4195</v>
      </c>
      <c r="I587" s="223" t="s">
        <v>2962</v>
      </c>
      <c r="J587" s="223" t="s">
        <v>4196</v>
      </c>
      <c r="K587" s="223" t="s">
        <v>4197</v>
      </c>
      <c r="L587" s="228">
        <v>43553</v>
      </c>
      <c r="M587" s="228">
        <v>0</v>
      </c>
      <c r="N587" s="223" t="s">
        <v>4198</v>
      </c>
      <c r="O587" s="229" t="str">
        <f t="shared" si="18"/>
        <v>EBS1_43553_0</v>
      </c>
      <c r="P587" s="229" t="s">
        <v>4199</v>
      </c>
      <c r="Q587" s="227"/>
      <c r="R587" s="227">
        <v>586</v>
      </c>
      <c r="S587" s="227"/>
      <c r="T587" s="229" t="str">
        <f t="shared" si="19"/>
        <v>4355300:Var_ui_ErrNo:=586;</v>
      </c>
    </row>
    <row r="588" ht="16.5" spans="1:20">
      <c r="A588" s="222">
        <v>587</v>
      </c>
      <c r="B588" s="35">
        <v>171</v>
      </c>
      <c r="C588" s="35">
        <v>33</v>
      </c>
      <c r="F588" s="224"/>
      <c r="G588" s="224"/>
      <c r="H588" s="223" t="s">
        <v>4200</v>
      </c>
      <c r="I588" s="223" t="s">
        <v>2962</v>
      </c>
      <c r="J588" s="223" t="s">
        <v>4201</v>
      </c>
      <c r="K588" s="223" t="s">
        <v>4202</v>
      </c>
      <c r="L588" s="228">
        <v>43809</v>
      </c>
      <c r="M588" s="228">
        <v>0</v>
      </c>
      <c r="N588" s="223" t="s">
        <v>4203</v>
      </c>
      <c r="O588" s="229" t="str">
        <f t="shared" si="18"/>
        <v>EBS1_43809_0</v>
      </c>
      <c r="P588" s="229" t="s">
        <v>4204</v>
      </c>
      <c r="Q588" s="227"/>
      <c r="R588" s="227">
        <v>587</v>
      </c>
      <c r="S588" s="227"/>
      <c r="T588" s="229" t="str">
        <f t="shared" si="19"/>
        <v>4380900:Var_ui_ErrNo:=587;</v>
      </c>
    </row>
    <row r="589" ht="16.5" spans="1:20">
      <c r="A589" s="222">
        <v>588</v>
      </c>
      <c r="B589" s="35">
        <v>172</v>
      </c>
      <c r="C589" s="35">
        <v>33</v>
      </c>
      <c r="F589" s="224"/>
      <c r="G589" s="224"/>
      <c r="H589" s="223" t="s">
        <v>4205</v>
      </c>
      <c r="I589" s="223" t="s">
        <v>2962</v>
      </c>
      <c r="J589" s="223" t="s">
        <v>4206</v>
      </c>
      <c r="K589" s="223" t="s">
        <v>4207</v>
      </c>
      <c r="L589" s="228">
        <v>44065</v>
      </c>
      <c r="M589" s="228">
        <v>0</v>
      </c>
      <c r="N589" s="223" t="s">
        <v>4208</v>
      </c>
      <c r="O589" s="229" t="str">
        <f t="shared" si="18"/>
        <v>EBS1_44065_0</v>
      </c>
      <c r="P589" s="229" t="s">
        <v>4209</v>
      </c>
      <c r="Q589" s="227"/>
      <c r="R589" s="227">
        <v>588</v>
      </c>
      <c r="S589" s="227"/>
      <c r="T589" s="229" t="str">
        <f t="shared" si="19"/>
        <v>4406500:Var_ui_ErrNo:=588;</v>
      </c>
    </row>
    <row r="590" ht="16.5" spans="1:20">
      <c r="A590" s="222">
        <v>589</v>
      </c>
      <c r="B590" s="35">
        <v>173</v>
      </c>
      <c r="C590" s="35">
        <v>33</v>
      </c>
      <c r="F590" s="224"/>
      <c r="G590" s="224"/>
      <c r="H590" s="223" t="s">
        <v>4210</v>
      </c>
      <c r="I590" s="223" t="s">
        <v>2962</v>
      </c>
      <c r="J590" s="223" t="s">
        <v>4211</v>
      </c>
      <c r="K590" s="223" t="s">
        <v>4212</v>
      </c>
      <c r="L590" s="228">
        <v>44321</v>
      </c>
      <c r="M590" s="228">
        <v>0</v>
      </c>
      <c r="N590" s="223" t="s">
        <v>4213</v>
      </c>
      <c r="O590" s="229" t="str">
        <f t="shared" si="18"/>
        <v>EBS1_44321_0</v>
      </c>
      <c r="P590" s="229" t="s">
        <v>4214</v>
      </c>
      <c r="Q590" s="227"/>
      <c r="R590" s="227">
        <v>589</v>
      </c>
      <c r="S590" s="227"/>
      <c r="T590" s="229" t="str">
        <f t="shared" si="19"/>
        <v>4432100:Var_ui_ErrNo:=589;</v>
      </c>
    </row>
    <row r="591" ht="16.5" spans="1:20">
      <c r="A591" s="222">
        <v>590</v>
      </c>
      <c r="B591" s="35">
        <v>174</v>
      </c>
      <c r="C591" s="35">
        <v>33</v>
      </c>
      <c r="F591" s="224"/>
      <c r="G591" s="224"/>
      <c r="H591" s="223" t="s">
        <v>4215</v>
      </c>
      <c r="I591" s="223" t="s">
        <v>2962</v>
      </c>
      <c r="J591" s="223" t="s">
        <v>4216</v>
      </c>
      <c r="K591" s="223" t="s">
        <v>4217</v>
      </c>
      <c r="L591" s="228">
        <v>44577</v>
      </c>
      <c r="M591" s="228">
        <v>0</v>
      </c>
      <c r="N591" s="223" t="s">
        <v>4218</v>
      </c>
      <c r="O591" s="229" t="str">
        <f t="shared" si="18"/>
        <v>EBS1_44577_0</v>
      </c>
      <c r="P591" s="229" t="s">
        <v>4219</v>
      </c>
      <c r="Q591" s="227"/>
      <c r="R591" s="227">
        <v>590</v>
      </c>
      <c r="S591" s="227"/>
      <c r="T591" s="229" t="str">
        <f t="shared" si="19"/>
        <v>4457700:Var_ui_ErrNo:=590;</v>
      </c>
    </row>
    <row r="592" ht="16.5" spans="1:20">
      <c r="A592" s="222">
        <v>591</v>
      </c>
      <c r="B592" s="35">
        <v>175</v>
      </c>
      <c r="C592" s="35">
        <v>33</v>
      </c>
      <c r="F592" s="224"/>
      <c r="G592" s="224"/>
      <c r="H592" s="223" t="s">
        <v>4220</v>
      </c>
      <c r="I592" s="223" t="s">
        <v>2962</v>
      </c>
      <c r="J592" s="223" t="s">
        <v>4221</v>
      </c>
      <c r="K592" s="223" t="s">
        <v>4222</v>
      </c>
      <c r="L592" s="228">
        <v>44833</v>
      </c>
      <c r="M592" s="228">
        <v>0</v>
      </c>
      <c r="N592" s="223" t="s">
        <v>4223</v>
      </c>
      <c r="O592" s="229" t="str">
        <f t="shared" si="18"/>
        <v>EBS1_44833_0</v>
      </c>
      <c r="P592" s="229" t="s">
        <v>4224</v>
      </c>
      <c r="Q592" s="227"/>
      <c r="R592" s="227">
        <v>591</v>
      </c>
      <c r="S592" s="227"/>
      <c r="T592" s="229" t="str">
        <f t="shared" si="19"/>
        <v>4483300:Var_ui_ErrNo:=591;</v>
      </c>
    </row>
    <row r="593" ht="16.5" spans="1:20">
      <c r="A593" s="222">
        <v>592</v>
      </c>
      <c r="B593" s="35">
        <v>170</v>
      </c>
      <c r="C593" s="35">
        <v>43</v>
      </c>
      <c r="F593" s="224"/>
      <c r="G593" s="224"/>
      <c r="H593" s="223" t="s">
        <v>4225</v>
      </c>
      <c r="I593" s="223" t="s">
        <v>2962</v>
      </c>
      <c r="J593" s="223" t="s">
        <v>4226</v>
      </c>
      <c r="K593" s="223" t="s">
        <v>4227</v>
      </c>
      <c r="L593" s="228">
        <v>43563</v>
      </c>
      <c r="M593" s="228">
        <v>0</v>
      </c>
      <c r="N593" s="223" t="s">
        <v>4228</v>
      </c>
      <c r="O593" s="229" t="str">
        <f t="shared" si="18"/>
        <v>EBS1_43563_0</v>
      </c>
      <c r="P593" s="229" t="s">
        <v>4229</v>
      </c>
      <c r="Q593" s="227"/>
      <c r="R593" s="227">
        <v>592</v>
      </c>
      <c r="S593" s="227"/>
      <c r="T593" s="229" t="str">
        <f t="shared" si="19"/>
        <v>4356300:Var_ui_ErrNo:=592;</v>
      </c>
    </row>
    <row r="594" ht="16.5" spans="1:20">
      <c r="A594" s="222">
        <v>593</v>
      </c>
      <c r="B594" s="35">
        <v>171</v>
      </c>
      <c r="C594" s="35">
        <v>43</v>
      </c>
      <c r="F594" s="224"/>
      <c r="G594" s="224"/>
      <c r="H594" s="223" t="s">
        <v>4230</v>
      </c>
      <c r="I594" s="223" t="s">
        <v>2962</v>
      </c>
      <c r="J594" s="223" t="s">
        <v>4231</v>
      </c>
      <c r="K594" s="223" t="s">
        <v>4232</v>
      </c>
      <c r="L594" s="228">
        <v>43819</v>
      </c>
      <c r="M594" s="228">
        <v>0</v>
      </c>
      <c r="N594" s="223" t="s">
        <v>4233</v>
      </c>
      <c r="O594" s="229" t="str">
        <f t="shared" si="18"/>
        <v>EBS1_43819_0</v>
      </c>
      <c r="P594" s="229" t="s">
        <v>4234</v>
      </c>
      <c r="Q594" s="227"/>
      <c r="R594" s="227">
        <v>593</v>
      </c>
      <c r="S594" s="227"/>
      <c r="T594" s="229" t="str">
        <f t="shared" si="19"/>
        <v>4381900:Var_ui_ErrNo:=593;</v>
      </c>
    </row>
    <row r="595" ht="16.5" spans="1:20">
      <c r="A595" s="222">
        <v>594</v>
      </c>
      <c r="B595" s="35">
        <v>172</v>
      </c>
      <c r="C595" s="35">
        <v>43</v>
      </c>
      <c r="F595" s="224"/>
      <c r="G595" s="224"/>
      <c r="H595" s="223" t="s">
        <v>4235</v>
      </c>
      <c r="I595" s="223" t="s">
        <v>2962</v>
      </c>
      <c r="J595" s="223" t="s">
        <v>4236</v>
      </c>
      <c r="K595" s="223" t="s">
        <v>4237</v>
      </c>
      <c r="L595" s="228">
        <v>44075</v>
      </c>
      <c r="M595" s="228">
        <v>0</v>
      </c>
      <c r="N595" s="223" t="s">
        <v>4238</v>
      </c>
      <c r="O595" s="229" t="str">
        <f t="shared" si="18"/>
        <v>EBS1_44075_0</v>
      </c>
      <c r="P595" s="229" t="s">
        <v>4239</v>
      </c>
      <c r="Q595" s="227"/>
      <c r="R595" s="227">
        <v>594</v>
      </c>
      <c r="S595" s="227"/>
      <c r="T595" s="229" t="str">
        <f t="shared" si="19"/>
        <v>4407500:Var_ui_ErrNo:=594;</v>
      </c>
    </row>
    <row r="596" ht="16.5" spans="1:20">
      <c r="A596" s="222">
        <v>595</v>
      </c>
      <c r="B596" s="35">
        <v>173</v>
      </c>
      <c r="C596" s="35">
        <v>43</v>
      </c>
      <c r="F596" s="224"/>
      <c r="G596" s="224"/>
      <c r="H596" s="223" t="s">
        <v>4240</v>
      </c>
      <c r="I596" s="223" t="s">
        <v>2962</v>
      </c>
      <c r="J596" s="223" t="s">
        <v>4241</v>
      </c>
      <c r="K596" s="223" t="s">
        <v>4242</v>
      </c>
      <c r="L596" s="228">
        <v>44331</v>
      </c>
      <c r="M596" s="228">
        <v>0</v>
      </c>
      <c r="N596" s="223" t="s">
        <v>4243</v>
      </c>
      <c r="O596" s="229" t="str">
        <f t="shared" si="18"/>
        <v>EBS1_44331_0</v>
      </c>
      <c r="P596" s="229" t="s">
        <v>4244</v>
      </c>
      <c r="Q596" s="227"/>
      <c r="R596" s="227">
        <v>595</v>
      </c>
      <c r="S596" s="227"/>
      <c r="T596" s="229" t="str">
        <f t="shared" si="19"/>
        <v>4433100:Var_ui_ErrNo:=595;</v>
      </c>
    </row>
    <row r="597" ht="16.5" spans="1:20">
      <c r="A597" s="222">
        <v>596</v>
      </c>
      <c r="B597" s="35">
        <v>174</v>
      </c>
      <c r="C597" s="35">
        <v>43</v>
      </c>
      <c r="F597" s="224"/>
      <c r="G597" s="224"/>
      <c r="H597" s="223" t="s">
        <v>4245</v>
      </c>
      <c r="I597" s="223" t="s">
        <v>2962</v>
      </c>
      <c r="J597" s="223" t="s">
        <v>4246</v>
      </c>
      <c r="K597" s="223" t="s">
        <v>4247</v>
      </c>
      <c r="L597" s="228">
        <v>44587</v>
      </c>
      <c r="M597" s="228">
        <v>0</v>
      </c>
      <c r="N597" s="223" t="s">
        <v>4248</v>
      </c>
      <c r="O597" s="229" t="str">
        <f t="shared" si="18"/>
        <v>EBS1_44587_0</v>
      </c>
      <c r="P597" s="229" t="s">
        <v>4249</v>
      </c>
      <c r="Q597" s="227"/>
      <c r="R597" s="227">
        <v>596</v>
      </c>
      <c r="S597" s="227"/>
      <c r="T597" s="229" t="str">
        <f t="shared" si="19"/>
        <v>4458700:Var_ui_ErrNo:=596;</v>
      </c>
    </row>
    <row r="598" ht="16.5" spans="1:20">
      <c r="A598" s="222">
        <v>597</v>
      </c>
      <c r="B598" s="35">
        <v>175</v>
      </c>
      <c r="C598" s="35">
        <v>43</v>
      </c>
      <c r="F598" s="224"/>
      <c r="G598" s="224"/>
      <c r="H598" s="223" t="s">
        <v>4250</v>
      </c>
      <c r="I598" s="223" t="s">
        <v>2962</v>
      </c>
      <c r="J598" s="223" t="s">
        <v>4251</v>
      </c>
      <c r="K598" s="223" t="s">
        <v>4252</v>
      </c>
      <c r="L598" s="228">
        <v>44843</v>
      </c>
      <c r="M598" s="228">
        <v>0</v>
      </c>
      <c r="N598" s="223" t="s">
        <v>4253</v>
      </c>
      <c r="O598" s="229" t="str">
        <f t="shared" si="18"/>
        <v>EBS1_44843_0</v>
      </c>
      <c r="P598" s="229" t="s">
        <v>4254</v>
      </c>
      <c r="Q598" s="227"/>
      <c r="R598" s="227">
        <v>597</v>
      </c>
      <c r="S598" s="227"/>
      <c r="T598" s="229" t="str">
        <f t="shared" si="19"/>
        <v>4484300:Var_ui_ErrNo:=597;</v>
      </c>
    </row>
    <row r="599" ht="16.5" spans="1:20">
      <c r="A599" s="222">
        <v>598</v>
      </c>
      <c r="B599" s="35">
        <v>170</v>
      </c>
      <c r="C599" s="35">
        <v>44</v>
      </c>
      <c r="F599" s="224"/>
      <c r="G599" s="224"/>
      <c r="H599" s="223" t="s">
        <v>4255</v>
      </c>
      <c r="I599" s="223" t="s">
        <v>2962</v>
      </c>
      <c r="J599" s="223" t="s">
        <v>4256</v>
      </c>
      <c r="K599" s="223" t="s">
        <v>4257</v>
      </c>
      <c r="L599" s="228">
        <v>43564</v>
      </c>
      <c r="M599" s="228">
        <v>0</v>
      </c>
      <c r="N599" s="223" t="s">
        <v>4228</v>
      </c>
      <c r="O599" s="229" t="str">
        <f t="shared" si="18"/>
        <v>EBS1_43564_0</v>
      </c>
      <c r="P599" s="229" t="s">
        <v>4258</v>
      </c>
      <c r="Q599" s="227"/>
      <c r="R599" s="227">
        <v>598</v>
      </c>
      <c r="S599" s="227"/>
      <c r="T599" s="229" t="str">
        <f t="shared" si="19"/>
        <v>4356400:Var_ui_ErrNo:=598;</v>
      </c>
    </row>
    <row r="600" ht="16.5" spans="1:20">
      <c r="A600" s="222">
        <v>599</v>
      </c>
      <c r="B600" s="35">
        <v>171</v>
      </c>
      <c r="C600" s="35">
        <v>44</v>
      </c>
      <c r="F600" s="224"/>
      <c r="G600" s="224"/>
      <c r="H600" s="223" t="s">
        <v>4259</v>
      </c>
      <c r="I600" s="223" t="s">
        <v>2962</v>
      </c>
      <c r="J600" s="223" t="s">
        <v>4260</v>
      </c>
      <c r="K600" s="223" t="s">
        <v>4261</v>
      </c>
      <c r="L600" s="228">
        <v>43820</v>
      </c>
      <c r="M600" s="228">
        <v>0</v>
      </c>
      <c r="N600" s="223" t="s">
        <v>4233</v>
      </c>
      <c r="O600" s="229" t="str">
        <f t="shared" si="18"/>
        <v>EBS1_43820_0</v>
      </c>
      <c r="P600" s="229" t="s">
        <v>4262</v>
      </c>
      <c r="Q600" s="227"/>
      <c r="R600" s="227">
        <v>599</v>
      </c>
      <c r="S600" s="227"/>
      <c r="T600" s="229" t="str">
        <f t="shared" si="19"/>
        <v>4382000:Var_ui_ErrNo:=599;</v>
      </c>
    </row>
    <row r="601" ht="16.5" spans="1:20">
      <c r="A601" s="222">
        <v>600</v>
      </c>
      <c r="B601" s="35">
        <v>172</v>
      </c>
      <c r="C601" s="35">
        <v>44</v>
      </c>
      <c r="F601" s="224"/>
      <c r="G601" s="224"/>
      <c r="H601" s="223" t="s">
        <v>4263</v>
      </c>
      <c r="I601" s="223" t="s">
        <v>2962</v>
      </c>
      <c r="J601" s="223" t="s">
        <v>4264</v>
      </c>
      <c r="K601" s="223" t="s">
        <v>4265</v>
      </c>
      <c r="L601" s="228">
        <v>44076</v>
      </c>
      <c r="M601" s="228">
        <v>0</v>
      </c>
      <c r="N601" s="223" t="s">
        <v>4238</v>
      </c>
      <c r="O601" s="229" t="str">
        <f t="shared" si="18"/>
        <v>EBS1_44076_0</v>
      </c>
      <c r="P601" s="229" t="s">
        <v>4266</v>
      </c>
      <c r="Q601" s="227"/>
      <c r="R601" s="227">
        <v>600</v>
      </c>
      <c r="S601" s="227"/>
      <c r="T601" s="229" t="str">
        <f t="shared" si="19"/>
        <v>4407600:Var_ui_ErrNo:=600;</v>
      </c>
    </row>
    <row r="602" ht="16.5" spans="1:20">
      <c r="A602" s="222">
        <v>601</v>
      </c>
      <c r="B602" s="35">
        <v>173</v>
      </c>
      <c r="C602" s="35">
        <v>44</v>
      </c>
      <c r="F602" s="224"/>
      <c r="G602" s="224"/>
      <c r="H602" s="223" t="s">
        <v>4267</v>
      </c>
      <c r="I602" s="223" t="s">
        <v>2962</v>
      </c>
      <c r="J602" s="223" t="s">
        <v>4268</v>
      </c>
      <c r="K602" s="223" t="s">
        <v>4269</v>
      </c>
      <c r="L602" s="228">
        <v>44332</v>
      </c>
      <c r="M602" s="228">
        <v>0</v>
      </c>
      <c r="N602" s="223" t="s">
        <v>4243</v>
      </c>
      <c r="O602" s="229" t="str">
        <f t="shared" si="18"/>
        <v>EBS1_44332_0</v>
      </c>
      <c r="P602" s="229" t="s">
        <v>4270</v>
      </c>
      <c r="Q602" s="227"/>
      <c r="R602" s="227">
        <v>601</v>
      </c>
      <c r="S602" s="227"/>
      <c r="T602" s="229" t="str">
        <f t="shared" si="19"/>
        <v>4433200:Var_ui_ErrNo:=601;</v>
      </c>
    </row>
    <row r="603" ht="16.5" spans="1:20">
      <c r="A603" s="222">
        <v>602</v>
      </c>
      <c r="B603" s="35">
        <v>174</v>
      </c>
      <c r="C603" s="35">
        <v>44</v>
      </c>
      <c r="F603" s="224"/>
      <c r="G603" s="224"/>
      <c r="H603" s="223" t="s">
        <v>4271</v>
      </c>
      <c r="I603" s="223" t="s">
        <v>2962</v>
      </c>
      <c r="J603" s="223" t="s">
        <v>4272</v>
      </c>
      <c r="K603" s="223" t="s">
        <v>4273</v>
      </c>
      <c r="L603" s="228">
        <v>44588</v>
      </c>
      <c r="M603" s="228">
        <v>0</v>
      </c>
      <c r="N603" s="223" t="s">
        <v>4248</v>
      </c>
      <c r="O603" s="229" t="str">
        <f t="shared" si="18"/>
        <v>EBS1_44588_0</v>
      </c>
      <c r="P603" s="229" t="s">
        <v>4274</v>
      </c>
      <c r="Q603" s="227"/>
      <c r="R603" s="227">
        <v>602</v>
      </c>
      <c r="S603" s="227"/>
      <c r="T603" s="229" t="str">
        <f t="shared" si="19"/>
        <v>4458800:Var_ui_ErrNo:=602;</v>
      </c>
    </row>
    <row r="604" ht="16.5" spans="1:20">
      <c r="A604" s="222">
        <v>603</v>
      </c>
      <c r="B604" s="35">
        <v>175</v>
      </c>
      <c r="C604" s="35">
        <v>44</v>
      </c>
      <c r="F604" s="224"/>
      <c r="G604" s="224"/>
      <c r="H604" s="223" t="s">
        <v>4275</v>
      </c>
      <c r="I604" s="223" t="s">
        <v>2962</v>
      </c>
      <c r="J604" s="223" t="s">
        <v>4276</v>
      </c>
      <c r="K604" s="223" t="s">
        <v>4277</v>
      </c>
      <c r="L604" s="228">
        <v>44844</v>
      </c>
      <c r="M604" s="228">
        <v>0</v>
      </c>
      <c r="N604" s="223" t="s">
        <v>4253</v>
      </c>
      <c r="O604" s="229" t="str">
        <f t="shared" si="18"/>
        <v>EBS1_44844_0</v>
      </c>
      <c r="P604" s="229" t="s">
        <v>4278</v>
      </c>
      <c r="Q604" s="227"/>
      <c r="R604" s="227">
        <v>603</v>
      </c>
      <c r="S604" s="227"/>
      <c r="T604" s="229" t="str">
        <f t="shared" si="19"/>
        <v>4484400:Var_ui_ErrNo:=603;</v>
      </c>
    </row>
    <row r="605" ht="16.5" spans="1:20">
      <c r="A605" s="222">
        <v>604</v>
      </c>
      <c r="B605" s="35">
        <v>180</v>
      </c>
      <c r="C605" s="35">
        <v>22</v>
      </c>
      <c r="F605" s="224"/>
      <c r="G605" s="224"/>
      <c r="H605" s="223" t="s">
        <v>4279</v>
      </c>
      <c r="I605" s="223" t="s">
        <v>4280</v>
      </c>
      <c r="J605" s="223" t="s">
        <v>4281</v>
      </c>
      <c r="K605" s="223" t="s">
        <v>4282</v>
      </c>
      <c r="L605" s="228">
        <v>46102</v>
      </c>
      <c r="M605" s="228">
        <v>0</v>
      </c>
      <c r="N605" s="223" t="s">
        <v>4283</v>
      </c>
      <c r="O605" s="229" t="str">
        <f t="shared" si="18"/>
        <v>EBS1_46102_0</v>
      </c>
      <c r="P605" s="229" t="s">
        <v>4284</v>
      </c>
      <c r="Q605" s="227"/>
      <c r="R605" s="227">
        <v>604</v>
      </c>
      <c r="S605" s="227"/>
      <c r="T605" s="229" t="str">
        <f t="shared" si="19"/>
        <v>4610200:Var_ui_ErrNo:=604;</v>
      </c>
    </row>
    <row r="606" ht="16.5" spans="1:20">
      <c r="A606" s="222">
        <v>605</v>
      </c>
      <c r="B606" s="35">
        <v>181</v>
      </c>
      <c r="C606" s="35">
        <v>22</v>
      </c>
      <c r="F606" s="224"/>
      <c r="G606" s="224"/>
      <c r="H606" s="223" t="s">
        <v>4285</v>
      </c>
      <c r="I606" s="223" t="s">
        <v>4280</v>
      </c>
      <c r="J606" s="223" t="s">
        <v>4286</v>
      </c>
      <c r="K606" s="223" t="s">
        <v>4287</v>
      </c>
      <c r="L606" s="228">
        <v>46358</v>
      </c>
      <c r="M606" s="228">
        <v>0</v>
      </c>
      <c r="N606" s="223" t="s">
        <v>4288</v>
      </c>
      <c r="O606" s="229" t="str">
        <f t="shared" si="18"/>
        <v>EBS1_46358_0</v>
      </c>
      <c r="P606" s="229" t="s">
        <v>4289</v>
      </c>
      <c r="Q606" s="227"/>
      <c r="R606" s="227">
        <v>605</v>
      </c>
      <c r="S606" s="227"/>
      <c r="T606" s="229" t="str">
        <f t="shared" si="19"/>
        <v>4635800:Var_ui_ErrNo:=605;</v>
      </c>
    </row>
    <row r="607" ht="16.5" spans="1:20">
      <c r="A607" s="222">
        <v>606</v>
      </c>
      <c r="B607" s="35">
        <v>182</v>
      </c>
      <c r="C607" s="35">
        <v>22</v>
      </c>
      <c r="F607" s="224"/>
      <c r="G607" s="224"/>
      <c r="H607" s="223" t="s">
        <v>4290</v>
      </c>
      <c r="I607" s="223" t="s">
        <v>4280</v>
      </c>
      <c r="J607" s="223" t="s">
        <v>4291</v>
      </c>
      <c r="K607" s="223" t="s">
        <v>4292</v>
      </c>
      <c r="L607" s="228">
        <v>46614</v>
      </c>
      <c r="M607" s="228">
        <v>0</v>
      </c>
      <c r="N607" s="223" t="s">
        <v>4293</v>
      </c>
      <c r="O607" s="229" t="str">
        <f t="shared" si="18"/>
        <v>EBS1_46614_0</v>
      </c>
      <c r="P607" s="229" t="s">
        <v>4294</v>
      </c>
      <c r="Q607" s="227"/>
      <c r="R607" s="227">
        <v>606</v>
      </c>
      <c r="S607" s="227"/>
      <c r="T607" s="229" t="str">
        <f t="shared" si="19"/>
        <v>4661400:Var_ui_ErrNo:=606;</v>
      </c>
    </row>
    <row r="608" ht="16.5" spans="1:20">
      <c r="A608" s="222">
        <v>607</v>
      </c>
      <c r="B608" s="35">
        <v>183</v>
      </c>
      <c r="C608" s="35">
        <v>22</v>
      </c>
      <c r="F608" s="224"/>
      <c r="G608" s="224"/>
      <c r="H608" s="223" t="s">
        <v>4295</v>
      </c>
      <c r="I608" s="223" t="s">
        <v>4280</v>
      </c>
      <c r="J608" s="223" t="s">
        <v>4296</v>
      </c>
      <c r="K608" s="223" t="s">
        <v>4297</v>
      </c>
      <c r="L608" s="228">
        <v>46870</v>
      </c>
      <c r="M608" s="228">
        <v>0</v>
      </c>
      <c r="N608" s="223" t="s">
        <v>4298</v>
      </c>
      <c r="O608" s="229" t="str">
        <f t="shared" si="18"/>
        <v>EBS1_46870_0</v>
      </c>
      <c r="P608" s="229" t="s">
        <v>4299</v>
      </c>
      <c r="Q608" s="227"/>
      <c r="R608" s="227">
        <v>607</v>
      </c>
      <c r="S608" s="227"/>
      <c r="T608" s="229" t="str">
        <f t="shared" si="19"/>
        <v>4687000:Var_ui_ErrNo:=607;</v>
      </c>
    </row>
    <row r="609" ht="16.5" spans="1:20">
      <c r="A609" s="222">
        <v>608</v>
      </c>
      <c r="B609" s="35">
        <v>184</v>
      </c>
      <c r="C609" s="35">
        <v>22</v>
      </c>
      <c r="F609" s="224"/>
      <c r="G609" s="224"/>
      <c r="H609" s="223" t="s">
        <v>4300</v>
      </c>
      <c r="I609" s="223" t="s">
        <v>4280</v>
      </c>
      <c r="J609" s="223" t="s">
        <v>4301</v>
      </c>
      <c r="K609" s="223" t="s">
        <v>4302</v>
      </c>
      <c r="L609" s="228">
        <v>47126</v>
      </c>
      <c r="M609" s="228">
        <v>0</v>
      </c>
      <c r="N609" s="223" t="s">
        <v>4303</v>
      </c>
      <c r="O609" s="229" t="str">
        <f t="shared" si="18"/>
        <v>EBS1_47126_0</v>
      </c>
      <c r="P609" s="229" t="s">
        <v>4304</v>
      </c>
      <c r="Q609" s="227"/>
      <c r="R609" s="227">
        <v>608</v>
      </c>
      <c r="S609" s="227"/>
      <c r="T609" s="229" t="str">
        <f t="shared" si="19"/>
        <v>4712600:Var_ui_ErrNo:=608;</v>
      </c>
    </row>
    <row r="610" ht="16.5" spans="1:20">
      <c r="A610" s="222">
        <v>609</v>
      </c>
      <c r="B610" s="35">
        <v>185</v>
      </c>
      <c r="C610" s="35">
        <v>22</v>
      </c>
      <c r="F610" s="224"/>
      <c r="G610" s="224"/>
      <c r="H610" s="223" t="s">
        <v>4305</v>
      </c>
      <c r="I610" s="223" t="s">
        <v>4280</v>
      </c>
      <c r="J610" s="223" t="s">
        <v>4306</v>
      </c>
      <c r="K610" s="223" t="s">
        <v>4307</v>
      </c>
      <c r="L610" s="228">
        <v>47382</v>
      </c>
      <c r="M610" s="228">
        <v>0</v>
      </c>
      <c r="N610" s="223" t="s">
        <v>4308</v>
      </c>
      <c r="O610" s="229" t="str">
        <f t="shared" si="18"/>
        <v>EBS1_47382_0</v>
      </c>
      <c r="P610" s="229" t="s">
        <v>4309</v>
      </c>
      <c r="Q610" s="227"/>
      <c r="R610" s="227">
        <v>609</v>
      </c>
      <c r="S610" s="227"/>
      <c r="T610" s="229" t="str">
        <f t="shared" si="19"/>
        <v>4738200:Var_ui_ErrNo:=609;</v>
      </c>
    </row>
    <row r="611" ht="16.5" spans="1:20">
      <c r="A611" s="222">
        <v>610</v>
      </c>
      <c r="B611" s="35">
        <v>180</v>
      </c>
      <c r="C611" s="35">
        <v>30</v>
      </c>
      <c r="F611" s="224"/>
      <c r="G611" s="224"/>
      <c r="H611" s="223" t="s">
        <v>4310</v>
      </c>
      <c r="I611" s="223" t="s">
        <v>2962</v>
      </c>
      <c r="J611" s="223" t="s">
        <v>4311</v>
      </c>
      <c r="K611" s="223" t="s">
        <v>4312</v>
      </c>
      <c r="L611" s="228">
        <v>46110</v>
      </c>
      <c r="M611" s="228">
        <v>0</v>
      </c>
      <c r="N611" s="223" t="s">
        <v>4313</v>
      </c>
      <c r="O611" s="229" t="str">
        <f t="shared" si="18"/>
        <v>EBS1_46110_0</v>
      </c>
      <c r="P611" s="229" t="s">
        <v>4314</v>
      </c>
      <c r="Q611" s="227"/>
      <c r="R611" s="227">
        <v>610</v>
      </c>
      <c r="S611" s="227"/>
      <c r="T611" s="229" t="str">
        <f t="shared" si="19"/>
        <v>4611000:Var_ui_ErrNo:=610;</v>
      </c>
    </row>
    <row r="612" ht="16.5" spans="1:20">
      <c r="A612" s="222">
        <v>611</v>
      </c>
      <c r="B612" s="35">
        <v>181</v>
      </c>
      <c r="C612" s="35">
        <v>30</v>
      </c>
      <c r="F612" s="224"/>
      <c r="G612" s="224"/>
      <c r="H612" s="223" t="s">
        <v>4315</v>
      </c>
      <c r="I612" s="223" t="s">
        <v>2962</v>
      </c>
      <c r="J612" s="223" t="s">
        <v>4316</v>
      </c>
      <c r="K612" s="223" t="s">
        <v>4317</v>
      </c>
      <c r="L612" s="228">
        <v>46366</v>
      </c>
      <c r="M612" s="228">
        <v>0</v>
      </c>
      <c r="N612" s="223" t="s">
        <v>4318</v>
      </c>
      <c r="O612" s="229" t="str">
        <f t="shared" si="18"/>
        <v>EBS1_46366_0</v>
      </c>
      <c r="P612" s="229" t="s">
        <v>4319</v>
      </c>
      <c r="Q612" s="227"/>
      <c r="R612" s="227">
        <v>611</v>
      </c>
      <c r="S612" s="227"/>
      <c r="T612" s="229" t="str">
        <f t="shared" si="19"/>
        <v>4636600:Var_ui_ErrNo:=611;</v>
      </c>
    </row>
    <row r="613" ht="16.5" spans="1:20">
      <c r="A613" s="222">
        <v>612</v>
      </c>
      <c r="B613" s="35">
        <v>182</v>
      </c>
      <c r="C613" s="35">
        <v>30</v>
      </c>
      <c r="F613" s="224"/>
      <c r="G613" s="224"/>
      <c r="H613" s="223" t="s">
        <v>4320</v>
      </c>
      <c r="I613" s="223" t="s">
        <v>2962</v>
      </c>
      <c r="J613" s="223" t="s">
        <v>4321</v>
      </c>
      <c r="K613" s="223" t="s">
        <v>4322</v>
      </c>
      <c r="L613" s="228">
        <v>46622</v>
      </c>
      <c r="M613" s="228">
        <v>0</v>
      </c>
      <c r="N613" s="223" t="s">
        <v>4323</v>
      </c>
      <c r="O613" s="229" t="str">
        <f t="shared" si="18"/>
        <v>EBS1_46622_0</v>
      </c>
      <c r="P613" s="229" t="s">
        <v>4324</v>
      </c>
      <c r="Q613" s="227"/>
      <c r="R613" s="227">
        <v>612</v>
      </c>
      <c r="S613" s="227"/>
      <c r="T613" s="229" t="str">
        <f t="shared" si="19"/>
        <v>4662200:Var_ui_ErrNo:=612;</v>
      </c>
    </row>
    <row r="614" ht="16.5" spans="1:20">
      <c r="A614" s="222">
        <v>613</v>
      </c>
      <c r="B614" s="35">
        <v>183</v>
      </c>
      <c r="C614" s="35">
        <v>30</v>
      </c>
      <c r="F614" s="224"/>
      <c r="G614" s="224"/>
      <c r="H614" s="223" t="s">
        <v>4325</v>
      </c>
      <c r="I614" s="223" t="s">
        <v>2962</v>
      </c>
      <c r="J614" s="223" t="s">
        <v>4326</v>
      </c>
      <c r="K614" s="223" t="s">
        <v>4327</v>
      </c>
      <c r="L614" s="228">
        <v>46878</v>
      </c>
      <c r="M614" s="228">
        <v>0</v>
      </c>
      <c r="N614" s="223" t="s">
        <v>4328</v>
      </c>
      <c r="O614" s="229" t="str">
        <f t="shared" si="18"/>
        <v>EBS1_46878_0</v>
      </c>
      <c r="P614" s="229" t="s">
        <v>4329</v>
      </c>
      <c r="Q614" s="227"/>
      <c r="R614" s="227">
        <v>613</v>
      </c>
      <c r="S614" s="227"/>
      <c r="T614" s="229" t="str">
        <f t="shared" si="19"/>
        <v>4687800:Var_ui_ErrNo:=613;</v>
      </c>
    </row>
    <row r="615" ht="16.5" spans="1:20">
      <c r="A615" s="222">
        <v>614</v>
      </c>
      <c r="B615" s="35">
        <v>184</v>
      </c>
      <c r="C615" s="35">
        <v>30</v>
      </c>
      <c r="F615" s="224"/>
      <c r="G615" s="224"/>
      <c r="H615" s="223" t="s">
        <v>4330</v>
      </c>
      <c r="I615" s="223" t="s">
        <v>2962</v>
      </c>
      <c r="J615" s="223" t="s">
        <v>4331</v>
      </c>
      <c r="K615" s="223" t="s">
        <v>4332</v>
      </c>
      <c r="L615" s="228">
        <v>47134</v>
      </c>
      <c r="M615" s="228">
        <v>0</v>
      </c>
      <c r="N615" s="223" t="s">
        <v>4333</v>
      </c>
      <c r="O615" s="229" t="str">
        <f t="shared" si="18"/>
        <v>EBS1_47134_0</v>
      </c>
      <c r="P615" s="229" t="s">
        <v>4334</v>
      </c>
      <c r="Q615" s="227"/>
      <c r="R615" s="227">
        <v>614</v>
      </c>
      <c r="S615" s="227"/>
      <c r="T615" s="229" t="str">
        <f t="shared" si="19"/>
        <v>4713400:Var_ui_ErrNo:=614;</v>
      </c>
    </row>
    <row r="616" ht="16.5" spans="1:20">
      <c r="A616" s="222">
        <v>615</v>
      </c>
      <c r="B616" s="35">
        <v>185</v>
      </c>
      <c r="C616" s="35">
        <v>30</v>
      </c>
      <c r="F616" s="224"/>
      <c r="G616" s="224"/>
      <c r="H616" s="223" t="s">
        <v>4335</v>
      </c>
      <c r="I616" s="223" t="s">
        <v>2962</v>
      </c>
      <c r="J616" s="223" t="s">
        <v>4336</v>
      </c>
      <c r="K616" s="223" t="s">
        <v>4337</v>
      </c>
      <c r="L616" s="228">
        <v>47390</v>
      </c>
      <c r="M616" s="228">
        <v>0</v>
      </c>
      <c r="N616" s="223" t="s">
        <v>4338</v>
      </c>
      <c r="O616" s="229" t="str">
        <f t="shared" si="18"/>
        <v>EBS1_47390_0</v>
      </c>
      <c r="P616" s="229" t="s">
        <v>4339</v>
      </c>
      <c r="Q616" s="227"/>
      <c r="R616" s="227">
        <v>615</v>
      </c>
      <c r="S616" s="227"/>
      <c r="T616" s="229" t="str">
        <f t="shared" si="19"/>
        <v>4739000:Var_ui_ErrNo:=615;</v>
      </c>
    </row>
    <row r="617" ht="16.5" spans="1:20">
      <c r="A617" s="222">
        <v>616</v>
      </c>
      <c r="B617" s="35">
        <v>180</v>
      </c>
      <c r="C617" s="35">
        <v>32</v>
      </c>
      <c r="F617" s="224"/>
      <c r="G617" s="224"/>
      <c r="H617" s="223" t="s">
        <v>4340</v>
      </c>
      <c r="I617" s="223" t="s">
        <v>2962</v>
      </c>
      <c r="J617" s="223" t="s">
        <v>4341</v>
      </c>
      <c r="K617" s="223" t="s">
        <v>4342</v>
      </c>
      <c r="L617" s="228">
        <v>46112</v>
      </c>
      <c r="M617" s="228">
        <v>0</v>
      </c>
      <c r="N617" s="223" t="s">
        <v>4343</v>
      </c>
      <c r="O617" s="229" t="str">
        <f t="shared" si="18"/>
        <v>EBS1_46112_0</v>
      </c>
      <c r="P617" s="229" t="s">
        <v>4344</v>
      </c>
      <c r="Q617" s="227"/>
      <c r="R617" s="227">
        <v>616</v>
      </c>
      <c r="S617" s="227"/>
      <c r="T617" s="229" t="str">
        <f t="shared" si="19"/>
        <v>4611200:Var_ui_ErrNo:=616;</v>
      </c>
    </row>
    <row r="618" ht="16.5" spans="1:20">
      <c r="A618" s="222">
        <v>617</v>
      </c>
      <c r="B618" s="35">
        <v>181</v>
      </c>
      <c r="C618" s="35">
        <v>32</v>
      </c>
      <c r="F618" s="224"/>
      <c r="G618" s="224"/>
      <c r="H618" s="223" t="s">
        <v>4345</v>
      </c>
      <c r="I618" s="223" t="s">
        <v>2962</v>
      </c>
      <c r="J618" s="223" t="s">
        <v>4346</v>
      </c>
      <c r="K618" s="223" t="s">
        <v>4347</v>
      </c>
      <c r="L618" s="228">
        <v>46368</v>
      </c>
      <c r="M618" s="228">
        <v>0</v>
      </c>
      <c r="N618" s="223" t="s">
        <v>4348</v>
      </c>
      <c r="O618" s="229" t="str">
        <f t="shared" si="18"/>
        <v>EBS1_46368_0</v>
      </c>
      <c r="P618" s="229" t="s">
        <v>4349</v>
      </c>
      <c r="Q618" s="227"/>
      <c r="R618" s="227">
        <v>617</v>
      </c>
      <c r="S618" s="227"/>
      <c r="T618" s="229" t="str">
        <f t="shared" si="19"/>
        <v>4636800:Var_ui_ErrNo:=617;</v>
      </c>
    </row>
    <row r="619" ht="16.5" spans="1:20">
      <c r="A619" s="222">
        <v>618</v>
      </c>
      <c r="B619" s="35">
        <v>182</v>
      </c>
      <c r="C619" s="35">
        <v>32</v>
      </c>
      <c r="F619" s="224"/>
      <c r="G619" s="224"/>
      <c r="H619" s="223" t="s">
        <v>4350</v>
      </c>
      <c r="I619" s="223" t="s">
        <v>2962</v>
      </c>
      <c r="J619" s="223" t="s">
        <v>4351</v>
      </c>
      <c r="K619" s="223" t="s">
        <v>4352</v>
      </c>
      <c r="L619" s="228">
        <v>46624</v>
      </c>
      <c r="M619" s="228">
        <v>0</v>
      </c>
      <c r="N619" s="223" t="s">
        <v>4353</v>
      </c>
      <c r="O619" s="229" t="str">
        <f t="shared" si="18"/>
        <v>EBS1_46624_0</v>
      </c>
      <c r="P619" s="229" t="s">
        <v>4354</v>
      </c>
      <c r="Q619" s="227"/>
      <c r="R619" s="227">
        <v>618</v>
      </c>
      <c r="S619" s="227"/>
      <c r="T619" s="229" t="str">
        <f t="shared" si="19"/>
        <v>4662400:Var_ui_ErrNo:=618;</v>
      </c>
    </row>
    <row r="620" ht="16.5" spans="1:20">
      <c r="A620" s="222">
        <v>619</v>
      </c>
      <c r="B620" s="35">
        <v>183</v>
      </c>
      <c r="C620" s="35">
        <v>32</v>
      </c>
      <c r="F620" s="224"/>
      <c r="G620" s="224"/>
      <c r="H620" s="223" t="s">
        <v>4355</v>
      </c>
      <c r="I620" s="223" t="s">
        <v>2962</v>
      </c>
      <c r="J620" s="223" t="s">
        <v>4356</v>
      </c>
      <c r="K620" s="223" t="s">
        <v>4357</v>
      </c>
      <c r="L620" s="228">
        <v>46880</v>
      </c>
      <c r="M620" s="228">
        <v>0</v>
      </c>
      <c r="N620" s="223" t="s">
        <v>4358</v>
      </c>
      <c r="O620" s="229" t="str">
        <f t="shared" si="18"/>
        <v>EBS1_46880_0</v>
      </c>
      <c r="P620" s="229" t="s">
        <v>4359</v>
      </c>
      <c r="Q620" s="227"/>
      <c r="R620" s="227">
        <v>619</v>
      </c>
      <c r="S620" s="227"/>
      <c r="T620" s="229" t="str">
        <f t="shared" si="19"/>
        <v>4688000:Var_ui_ErrNo:=619;</v>
      </c>
    </row>
    <row r="621" ht="16.5" spans="1:20">
      <c r="A621" s="222">
        <v>620</v>
      </c>
      <c r="B621" s="35">
        <v>184</v>
      </c>
      <c r="C621" s="35">
        <v>32</v>
      </c>
      <c r="F621" s="224"/>
      <c r="G621" s="224"/>
      <c r="H621" s="223" t="s">
        <v>4360</v>
      </c>
      <c r="I621" s="223" t="s">
        <v>2962</v>
      </c>
      <c r="J621" s="223" t="s">
        <v>4361</v>
      </c>
      <c r="K621" s="223" t="s">
        <v>4362</v>
      </c>
      <c r="L621" s="228">
        <v>47136</v>
      </c>
      <c r="M621" s="228">
        <v>0</v>
      </c>
      <c r="N621" s="223" t="s">
        <v>4363</v>
      </c>
      <c r="O621" s="229" t="str">
        <f t="shared" si="18"/>
        <v>EBS1_47136_0</v>
      </c>
      <c r="P621" s="229" t="s">
        <v>4364</v>
      </c>
      <c r="Q621" s="227"/>
      <c r="R621" s="227">
        <v>620</v>
      </c>
      <c r="S621" s="227"/>
      <c r="T621" s="229" t="str">
        <f t="shared" si="19"/>
        <v>4713600:Var_ui_ErrNo:=620;</v>
      </c>
    </row>
    <row r="622" ht="16.5" spans="1:20">
      <c r="A622" s="222">
        <v>621</v>
      </c>
      <c r="B622" s="35">
        <v>185</v>
      </c>
      <c r="C622" s="35">
        <v>32</v>
      </c>
      <c r="F622" s="224"/>
      <c r="G622" s="224"/>
      <c r="H622" s="223" t="s">
        <v>4365</v>
      </c>
      <c r="I622" s="223" t="s">
        <v>2962</v>
      </c>
      <c r="J622" s="223" t="s">
        <v>4366</v>
      </c>
      <c r="K622" s="223" t="s">
        <v>4367</v>
      </c>
      <c r="L622" s="228">
        <v>47392</v>
      </c>
      <c r="M622" s="228">
        <v>0</v>
      </c>
      <c r="N622" s="223" t="s">
        <v>4368</v>
      </c>
      <c r="O622" s="229" t="str">
        <f t="shared" si="18"/>
        <v>EBS1_47392_0</v>
      </c>
      <c r="P622" s="229" t="s">
        <v>4369</v>
      </c>
      <c r="Q622" s="227"/>
      <c r="R622" s="227">
        <v>621</v>
      </c>
      <c r="S622" s="227"/>
      <c r="T622" s="229" t="str">
        <f t="shared" si="19"/>
        <v>4739200:Var_ui_ErrNo:=621;</v>
      </c>
    </row>
    <row r="623" ht="16.5" spans="1:20">
      <c r="A623" s="222">
        <v>622</v>
      </c>
      <c r="B623" s="35">
        <v>180</v>
      </c>
      <c r="C623" s="35">
        <v>33</v>
      </c>
      <c r="F623" s="224"/>
      <c r="G623" s="224"/>
      <c r="H623" s="223" t="s">
        <v>4370</v>
      </c>
      <c r="I623" s="223" t="s">
        <v>2962</v>
      </c>
      <c r="J623" s="223" t="s">
        <v>4371</v>
      </c>
      <c r="K623" s="223" t="s">
        <v>4372</v>
      </c>
      <c r="L623" s="228">
        <v>46113</v>
      </c>
      <c r="M623" s="228">
        <v>0</v>
      </c>
      <c r="N623" s="223" t="s">
        <v>4373</v>
      </c>
      <c r="O623" s="229" t="str">
        <f t="shared" si="18"/>
        <v>EBS1_46113_0</v>
      </c>
      <c r="P623" s="229" t="s">
        <v>4374</v>
      </c>
      <c r="Q623" s="227"/>
      <c r="R623" s="227">
        <v>622</v>
      </c>
      <c r="S623" s="227"/>
      <c r="T623" s="229" t="str">
        <f t="shared" si="19"/>
        <v>4611300:Var_ui_ErrNo:=622;</v>
      </c>
    </row>
    <row r="624" ht="16.5" spans="1:20">
      <c r="A624" s="222">
        <v>623</v>
      </c>
      <c r="B624" s="35">
        <v>181</v>
      </c>
      <c r="C624" s="35">
        <v>33</v>
      </c>
      <c r="F624" s="224"/>
      <c r="G624" s="224"/>
      <c r="H624" s="223" t="s">
        <v>4375</v>
      </c>
      <c r="I624" s="223" t="s">
        <v>2962</v>
      </c>
      <c r="J624" s="223" t="s">
        <v>4376</v>
      </c>
      <c r="K624" s="223" t="s">
        <v>4377</v>
      </c>
      <c r="L624" s="228">
        <v>46369</v>
      </c>
      <c r="M624" s="228">
        <v>0</v>
      </c>
      <c r="N624" s="223" t="s">
        <v>4378</v>
      </c>
      <c r="O624" s="229" t="str">
        <f t="shared" si="18"/>
        <v>EBS1_46369_0</v>
      </c>
      <c r="P624" s="229" t="s">
        <v>4379</v>
      </c>
      <c r="Q624" s="227"/>
      <c r="R624" s="227">
        <v>623</v>
      </c>
      <c r="S624" s="227"/>
      <c r="T624" s="229" t="str">
        <f t="shared" si="19"/>
        <v>4636900:Var_ui_ErrNo:=623;</v>
      </c>
    </row>
    <row r="625" ht="16.5" spans="1:20">
      <c r="A625" s="222">
        <v>624</v>
      </c>
      <c r="B625" s="35">
        <v>182</v>
      </c>
      <c r="C625" s="35">
        <v>33</v>
      </c>
      <c r="F625" s="224"/>
      <c r="G625" s="224"/>
      <c r="H625" s="223" t="s">
        <v>4380</v>
      </c>
      <c r="I625" s="223" t="s">
        <v>2962</v>
      </c>
      <c r="J625" s="223" t="s">
        <v>4381</v>
      </c>
      <c r="K625" s="223" t="s">
        <v>4382</v>
      </c>
      <c r="L625" s="228">
        <v>46625</v>
      </c>
      <c r="M625" s="228">
        <v>0</v>
      </c>
      <c r="N625" s="223" t="s">
        <v>4383</v>
      </c>
      <c r="O625" s="229" t="str">
        <f t="shared" si="18"/>
        <v>EBS1_46625_0</v>
      </c>
      <c r="P625" s="229" t="s">
        <v>4384</v>
      </c>
      <c r="Q625" s="227"/>
      <c r="R625" s="227">
        <v>624</v>
      </c>
      <c r="S625" s="227"/>
      <c r="T625" s="229" t="str">
        <f t="shared" si="19"/>
        <v>4662500:Var_ui_ErrNo:=624;</v>
      </c>
    </row>
    <row r="626" ht="16.5" spans="1:20">
      <c r="A626" s="222">
        <v>625</v>
      </c>
      <c r="B626" s="35">
        <v>183</v>
      </c>
      <c r="C626" s="35">
        <v>33</v>
      </c>
      <c r="F626" s="224"/>
      <c r="G626" s="224"/>
      <c r="H626" s="223" t="s">
        <v>4385</v>
      </c>
      <c r="I626" s="223" t="s">
        <v>2962</v>
      </c>
      <c r="J626" s="223" t="s">
        <v>4386</v>
      </c>
      <c r="K626" s="223" t="s">
        <v>4387</v>
      </c>
      <c r="L626" s="228">
        <v>46881</v>
      </c>
      <c r="M626" s="228">
        <v>0</v>
      </c>
      <c r="N626" s="223" t="s">
        <v>4388</v>
      </c>
      <c r="O626" s="229" t="str">
        <f t="shared" si="18"/>
        <v>EBS1_46881_0</v>
      </c>
      <c r="P626" s="229" t="s">
        <v>4389</v>
      </c>
      <c r="Q626" s="227"/>
      <c r="R626" s="227">
        <v>625</v>
      </c>
      <c r="S626" s="227"/>
      <c r="T626" s="229" t="str">
        <f t="shared" si="19"/>
        <v>4688100:Var_ui_ErrNo:=625;</v>
      </c>
    </row>
    <row r="627" ht="16.5" spans="1:20">
      <c r="A627" s="222">
        <v>626</v>
      </c>
      <c r="B627" s="35">
        <v>184</v>
      </c>
      <c r="C627" s="35">
        <v>33</v>
      </c>
      <c r="F627" s="224"/>
      <c r="G627" s="224"/>
      <c r="H627" s="223" t="s">
        <v>4390</v>
      </c>
      <c r="I627" s="223" t="s">
        <v>2962</v>
      </c>
      <c r="J627" s="223" t="s">
        <v>4391</v>
      </c>
      <c r="K627" s="223" t="s">
        <v>4392</v>
      </c>
      <c r="L627" s="228">
        <v>47137</v>
      </c>
      <c r="M627" s="228">
        <v>0</v>
      </c>
      <c r="N627" s="223" t="s">
        <v>4393</v>
      </c>
      <c r="O627" s="229" t="str">
        <f t="shared" si="18"/>
        <v>EBS1_47137_0</v>
      </c>
      <c r="P627" s="229" t="s">
        <v>4394</v>
      </c>
      <c r="Q627" s="227"/>
      <c r="R627" s="227">
        <v>626</v>
      </c>
      <c r="S627" s="227"/>
      <c r="T627" s="229" t="str">
        <f t="shared" si="19"/>
        <v>4713700:Var_ui_ErrNo:=626;</v>
      </c>
    </row>
    <row r="628" ht="16.5" spans="1:20">
      <c r="A628" s="222">
        <v>627</v>
      </c>
      <c r="B628" s="35">
        <v>185</v>
      </c>
      <c r="C628" s="35">
        <v>33</v>
      </c>
      <c r="F628" s="224"/>
      <c r="G628" s="224"/>
      <c r="H628" s="223" t="s">
        <v>4395</v>
      </c>
      <c r="I628" s="223" t="s">
        <v>2962</v>
      </c>
      <c r="J628" s="223" t="s">
        <v>4396</v>
      </c>
      <c r="K628" s="223" t="s">
        <v>4397</v>
      </c>
      <c r="L628" s="228">
        <v>47393</v>
      </c>
      <c r="M628" s="228">
        <v>0</v>
      </c>
      <c r="N628" s="223" t="s">
        <v>4398</v>
      </c>
      <c r="O628" s="229" t="str">
        <f t="shared" si="18"/>
        <v>EBS1_47393_0</v>
      </c>
      <c r="P628" s="229" t="s">
        <v>4399</v>
      </c>
      <c r="Q628" s="227"/>
      <c r="R628" s="227">
        <v>627</v>
      </c>
      <c r="S628" s="227"/>
      <c r="T628" s="229" t="str">
        <f t="shared" si="19"/>
        <v>4739300:Var_ui_ErrNo:=627;</v>
      </c>
    </row>
    <row r="629" ht="16.5" spans="1:20">
      <c r="A629" s="222">
        <v>628</v>
      </c>
      <c r="B629" s="35">
        <v>180</v>
      </c>
      <c r="C629" s="35">
        <v>43</v>
      </c>
      <c r="F629" s="224"/>
      <c r="G629" s="224"/>
      <c r="H629" s="223" t="s">
        <v>4400</v>
      </c>
      <c r="I629" s="223" t="s">
        <v>2962</v>
      </c>
      <c r="J629" s="223" t="s">
        <v>4401</v>
      </c>
      <c r="K629" s="223" t="s">
        <v>4402</v>
      </c>
      <c r="L629" s="228">
        <v>46123</v>
      </c>
      <c r="M629" s="228">
        <v>0</v>
      </c>
      <c r="N629" s="223" t="s">
        <v>4403</v>
      </c>
      <c r="O629" s="229" t="str">
        <f t="shared" si="18"/>
        <v>EBS1_46123_0</v>
      </c>
      <c r="P629" s="229" t="s">
        <v>4404</v>
      </c>
      <c r="Q629" s="227"/>
      <c r="R629" s="227">
        <v>628</v>
      </c>
      <c r="S629" s="227"/>
      <c r="T629" s="229" t="str">
        <f t="shared" si="19"/>
        <v>4612300:Var_ui_ErrNo:=628;</v>
      </c>
    </row>
    <row r="630" ht="16.5" spans="1:20">
      <c r="A630" s="222">
        <v>629</v>
      </c>
      <c r="B630" s="35">
        <v>181</v>
      </c>
      <c r="C630" s="35">
        <v>43</v>
      </c>
      <c r="F630" s="224"/>
      <c r="G630" s="224"/>
      <c r="H630" s="223" t="s">
        <v>4405</v>
      </c>
      <c r="I630" s="223" t="s">
        <v>2962</v>
      </c>
      <c r="J630" s="223" t="s">
        <v>4406</v>
      </c>
      <c r="K630" s="223" t="s">
        <v>4407</v>
      </c>
      <c r="L630" s="228">
        <v>46379</v>
      </c>
      <c r="M630" s="228">
        <v>0</v>
      </c>
      <c r="N630" s="223" t="s">
        <v>4408</v>
      </c>
      <c r="O630" s="229" t="str">
        <f t="shared" si="18"/>
        <v>EBS1_46379_0</v>
      </c>
      <c r="P630" s="229" t="s">
        <v>4409</v>
      </c>
      <c r="Q630" s="227"/>
      <c r="R630" s="227">
        <v>629</v>
      </c>
      <c r="S630" s="227"/>
      <c r="T630" s="229" t="str">
        <f t="shared" si="19"/>
        <v>4637900:Var_ui_ErrNo:=629;</v>
      </c>
    </row>
    <row r="631" ht="16.5" spans="1:20">
      <c r="A631" s="222">
        <v>630</v>
      </c>
      <c r="B631" s="35">
        <v>182</v>
      </c>
      <c r="C631" s="35">
        <v>43</v>
      </c>
      <c r="F631" s="224"/>
      <c r="G631" s="224"/>
      <c r="H631" s="223" t="s">
        <v>4410</v>
      </c>
      <c r="I631" s="223" t="s">
        <v>2962</v>
      </c>
      <c r="J631" s="223" t="s">
        <v>4411</v>
      </c>
      <c r="K631" s="223" t="s">
        <v>4412</v>
      </c>
      <c r="L631" s="228">
        <v>46635</v>
      </c>
      <c r="M631" s="228">
        <v>0</v>
      </c>
      <c r="N631" s="223" t="s">
        <v>4413</v>
      </c>
      <c r="O631" s="229" t="str">
        <f t="shared" si="18"/>
        <v>EBS1_46635_0</v>
      </c>
      <c r="P631" s="229" t="s">
        <v>4414</v>
      </c>
      <c r="Q631" s="227"/>
      <c r="R631" s="227">
        <v>630</v>
      </c>
      <c r="S631" s="227"/>
      <c r="T631" s="229" t="str">
        <f t="shared" si="19"/>
        <v>4663500:Var_ui_ErrNo:=630;</v>
      </c>
    </row>
    <row r="632" ht="16.5" spans="1:20">
      <c r="A632" s="222">
        <v>631</v>
      </c>
      <c r="B632" s="35">
        <v>183</v>
      </c>
      <c r="C632" s="35">
        <v>43</v>
      </c>
      <c r="F632" s="224"/>
      <c r="G632" s="224"/>
      <c r="H632" s="223" t="s">
        <v>4415</v>
      </c>
      <c r="I632" s="223" t="s">
        <v>2962</v>
      </c>
      <c r="J632" s="223" t="s">
        <v>4416</v>
      </c>
      <c r="K632" s="223" t="s">
        <v>4417</v>
      </c>
      <c r="L632" s="228">
        <v>46891</v>
      </c>
      <c r="M632" s="228">
        <v>0</v>
      </c>
      <c r="N632" s="223" t="s">
        <v>4418</v>
      </c>
      <c r="O632" s="229" t="str">
        <f t="shared" si="18"/>
        <v>EBS1_46891_0</v>
      </c>
      <c r="P632" s="229" t="s">
        <v>4419</v>
      </c>
      <c r="Q632" s="227"/>
      <c r="R632" s="227">
        <v>631</v>
      </c>
      <c r="S632" s="227"/>
      <c r="T632" s="229" t="str">
        <f t="shared" si="19"/>
        <v>4689100:Var_ui_ErrNo:=631;</v>
      </c>
    </row>
    <row r="633" ht="16.5" spans="1:20">
      <c r="A633" s="222">
        <v>632</v>
      </c>
      <c r="B633" s="35">
        <v>184</v>
      </c>
      <c r="C633" s="35">
        <v>43</v>
      </c>
      <c r="F633" s="224"/>
      <c r="G633" s="224"/>
      <c r="H633" s="223" t="s">
        <v>4420</v>
      </c>
      <c r="I633" s="223" t="s">
        <v>2962</v>
      </c>
      <c r="J633" s="223" t="s">
        <v>4421</v>
      </c>
      <c r="K633" s="223" t="s">
        <v>4422</v>
      </c>
      <c r="L633" s="228">
        <v>47147</v>
      </c>
      <c r="M633" s="228">
        <v>0</v>
      </c>
      <c r="N633" s="223" t="s">
        <v>4423</v>
      </c>
      <c r="O633" s="229" t="str">
        <f t="shared" si="18"/>
        <v>EBS1_47147_0</v>
      </c>
      <c r="P633" s="229" t="s">
        <v>4424</v>
      </c>
      <c r="Q633" s="227"/>
      <c r="R633" s="227">
        <v>632</v>
      </c>
      <c r="S633" s="227"/>
      <c r="T633" s="229" t="str">
        <f t="shared" si="19"/>
        <v>4714700:Var_ui_ErrNo:=632;</v>
      </c>
    </row>
    <row r="634" ht="16.5" spans="1:20">
      <c r="A634" s="222">
        <v>633</v>
      </c>
      <c r="B634" s="35">
        <v>185</v>
      </c>
      <c r="C634" s="35">
        <v>43</v>
      </c>
      <c r="F634" s="224"/>
      <c r="G634" s="224"/>
      <c r="H634" s="223" t="s">
        <v>4425</v>
      </c>
      <c r="I634" s="223" t="s">
        <v>2962</v>
      </c>
      <c r="J634" s="223" t="s">
        <v>4426</v>
      </c>
      <c r="K634" s="223" t="s">
        <v>4427</v>
      </c>
      <c r="L634" s="228">
        <v>47403</v>
      </c>
      <c r="M634" s="228">
        <v>0</v>
      </c>
      <c r="N634" s="223" t="s">
        <v>4428</v>
      </c>
      <c r="O634" s="229" t="str">
        <f t="shared" si="18"/>
        <v>EBS1_47403_0</v>
      </c>
      <c r="P634" s="229" t="s">
        <v>4429</v>
      </c>
      <c r="Q634" s="227"/>
      <c r="R634" s="227">
        <v>633</v>
      </c>
      <c r="S634" s="227"/>
      <c r="T634" s="229" t="str">
        <f t="shared" si="19"/>
        <v>4740300:Var_ui_ErrNo:=633;</v>
      </c>
    </row>
    <row r="635" ht="16.5" spans="1:20">
      <c r="A635" s="222">
        <v>634</v>
      </c>
      <c r="B635" s="35">
        <v>190</v>
      </c>
      <c r="C635" s="35">
        <v>22</v>
      </c>
      <c r="F635" s="224"/>
      <c r="G635" s="224"/>
      <c r="H635" s="223" t="s">
        <v>4430</v>
      </c>
      <c r="I635" s="223" t="s">
        <v>2962</v>
      </c>
      <c r="J635" s="223" t="s">
        <v>4431</v>
      </c>
      <c r="K635" s="223" t="s">
        <v>4432</v>
      </c>
      <c r="L635" s="228">
        <v>48662</v>
      </c>
      <c r="M635" s="228">
        <v>0</v>
      </c>
      <c r="N635" s="223" t="s">
        <v>4433</v>
      </c>
      <c r="O635" s="229" t="str">
        <f t="shared" si="18"/>
        <v>EBS1_48662_0</v>
      </c>
      <c r="P635" s="229" t="s">
        <v>4434</v>
      </c>
      <c r="Q635" s="227"/>
      <c r="R635" s="227">
        <v>634</v>
      </c>
      <c r="S635" s="227"/>
      <c r="T635" s="229" t="str">
        <f t="shared" si="19"/>
        <v>4866200:Var_ui_ErrNo:=634;</v>
      </c>
    </row>
    <row r="636" ht="16.5" spans="1:20">
      <c r="A636" s="222">
        <v>635</v>
      </c>
      <c r="B636" s="35">
        <v>191</v>
      </c>
      <c r="C636" s="35">
        <v>22</v>
      </c>
      <c r="F636" s="224"/>
      <c r="G636" s="224"/>
      <c r="H636" s="223" t="s">
        <v>4435</v>
      </c>
      <c r="I636" s="223" t="s">
        <v>2962</v>
      </c>
      <c r="J636" s="223" t="s">
        <v>4436</v>
      </c>
      <c r="K636" s="223" t="s">
        <v>4437</v>
      </c>
      <c r="L636" s="228">
        <v>48918</v>
      </c>
      <c r="M636" s="228">
        <v>0</v>
      </c>
      <c r="N636" s="223" t="s">
        <v>4438</v>
      </c>
      <c r="O636" s="229" t="str">
        <f t="shared" si="18"/>
        <v>EBS1_48918_0</v>
      </c>
      <c r="P636" s="229" t="s">
        <v>4439</v>
      </c>
      <c r="Q636" s="227"/>
      <c r="R636" s="227">
        <v>635</v>
      </c>
      <c r="S636" s="227"/>
      <c r="T636" s="229" t="str">
        <f t="shared" si="19"/>
        <v>4891800:Var_ui_ErrNo:=635;</v>
      </c>
    </row>
    <row r="637" ht="16.5" spans="1:20">
      <c r="A637" s="222">
        <v>636</v>
      </c>
      <c r="B637" s="35">
        <v>192</v>
      </c>
      <c r="C637" s="35">
        <v>22</v>
      </c>
      <c r="F637" s="224"/>
      <c r="G637" s="224"/>
      <c r="H637" s="223" t="s">
        <v>4440</v>
      </c>
      <c r="I637" s="223" t="s">
        <v>2962</v>
      </c>
      <c r="J637" s="223" t="s">
        <v>4441</v>
      </c>
      <c r="K637" s="223" t="s">
        <v>4442</v>
      </c>
      <c r="L637" s="228">
        <v>49174</v>
      </c>
      <c r="M637" s="228">
        <v>0</v>
      </c>
      <c r="N637" s="223" t="s">
        <v>4443</v>
      </c>
      <c r="O637" s="229" t="str">
        <f t="shared" si="18"/>
        <v>EBS1_49174_0</v>
      </c>
      <c r="P637" s="229" t="s">
        <v>4444</v>
      </c>
      <c r="Q637" s="227"/>
      <c r="R637" s="227">
        <v>636</v>
      </c>
      <c r="S637" s="227"/>
      <c r="T637" s="229" t="str">
        <f t="shared" si="19"/>
        <v>4917400:Var_ui_ErrNo:=636;</v>
      </c>
    </row>
    <row r="638" ht="16.5" spans="1:20">
      <c r="A638" s="222">
        <v>637</v>
      </c>
      <c r="B638" s="35">
        <v>193</v>
      </c>
      <c r="C638" s="35">
        <v>22</v>
      </c>
      <c r="F638" s="224"/>
      <c r="G638" s="224"/>
      <c r="H638" s="223" t="s">
        <v>4445</v>
      </c>
      <c r="I638" s="223" t="s">
        <v>2962</v>
      </c>
      <c r="J638" s="223" t="s">
        <v>4446</v>
      </c>
      <c r="K638" s="223" t="s">
        <v>4447</v>
      </c>
      <c r="L638" s="228">
        <v>49430</v>
      </c>
      <c r="M638" s="228">
        <v>0</v>
      </c>
      <c r="N638" s="223" t="s">
        <v>4448</v>
      </c>
      <c r="O638" s="229" t="str">
        <f t="shared" si="18"/>
        <v>EBS1_49430_0</v>
      </c>
      <c r="P638" s="229" t="s">
        <v>4449</v>
      </c>
      <c r="Q638" s="227"/>
      <c r="R638" s="227">
        <v>637</v>
      </c>
      <c r="S638" s="227"/>
      <c r="T638" s="229" t="str">
        <f t="shared" si="19"/>
        <v>4943000:Var_ui_ErrNo:=637;</v>
      </c>
    </row>
    <row r="639" ht="16.5" spans="1:20">
      <c r="A639" s="222">
        <v>638</v>
      </c>
      <c r="B639" s="35">
        <v>194</v>
      </c>
      <c r="C639" s="35">
        <v>22</v>
      </c>
      <c r="F639" s="224"/>
      <c r="G639" s="224"/>
      <c r="H639" s="223" t="s">
        <v>4450</v>
      </c>
      <c r="I639" s="223" t="s">
        <v>2962</v>
      </c>
      <c r="J639" s="223" t="s">
        <v>4451</v>
      </c>
      <c r="K639" s="223" t="s">
        <v>4452</v>
      </c>
      <c r="L639" s="228">
        <v>49686</v>
      </c>
      <c r="M639" s="228">
        <v>0</v>
      </c>
      <c r="N639" s="223" t="s">
        <v>4453</v>
      </c>
      <c r="O639" s="229" t="str">
        <f t="shared" si="18"/>
        <v>EBS1_49686_0</v>
      </c>
      <c r="P639" s="229" t="s">
        <v>4454</v>
      </c>
      <c r="Q639" s="227"/>
      <c r="R639" s="227">
        <v>638</v>
      </c>
      <c r="S639" s="227"/>
      <c r="T639" s="229" t="str">
        <f t="shared" si="19"/>
        <v>4968600:Var_ui_ErrNo:=638;</v>
      </c>
    </row>
    <row r="640" ht="16.5" spans="1:20">
      <c r="A640" s="222">
        <v>639</v>
      </c>
      <c r="B640" s="35">
        <v>195</v>
      </c>
      <c r="C640" s="35">
        <v>22</v>
      </c>
      <c r="F640" s="224"/>
      <c r="G640" s="224"/>
      <c r="H640" s="223" t="s">
        <v>4455</v>
      </c>
      <c r="I640" s="223" t="s">
        <v>2962</v>
      </c>
      <c r="J640" s="223" t="s">
        <v>4456</v>
      </c>
      <c r="K640" s="223" t="s">
        <v>4457</v>
      </c>
      <c r="L640" s="228">
        <v>49942</v>
      </c>
      <c r="M640" s="228">
        <v>0</v>
      </c>
      <c r="N640" s="223" t="s">
        <v>4458</v>
      </c>
      <c r="O640" s="229" t="str">
        <f t="shared" si="18"/>
        <v>EBS1_49942_0</v>
      </c>
      <c r="P640" s="229" t="s">
        <v>4459</v>
      </c>
      <c r="Q640" s="227"/>
      <c r="R640" s="227">
        <v>639</v>
      </c>
      <c r="S640" s="227"/>
      <c r="T640" s="229" t="str">
        <f t="shared" si="19"/>
        <v>4994200:Var_ui_ErrNo:=639;</v>
      </c>
    </row>
    <row r="641" ht="16.5" spans="1:20">
      <c r="A641" s="222">
        <v>640</v>
      </c>
      <c r="B641" s="35">
        <v>190</v>
      </c>
      <c r="C641" s="35">
        <v>23</v>
      </c>
      <c r="F641" s="224"/>
      <c r="G641" s="224"/>
      <c r="H641" s="223" t="s">
        <v>4460</v>
      </c>
      <c r="I641" s="223" t="s">
        <v>2962</v>
      </c>
      <c r="J641" s="223" t="s">
        <v>4461</v>
      </c>
      <c r="K641" s="223" t="s">
        <v>4462</v>
      </c>
      <c r="L641" s="228">
        <v>48663</v>
      </c>
      <c r="M641" s="228">
        <v>0</v>
      </c>
      <c r="N641" s="223" t="s">
        <v>4463</v>
      </c>
      <c r="O641" s="229" t="str">
        <f t="shared" si="18"/>
        <v>EBS1_48663_0</v>
      </c>
      <c r="P641" s="229" t="s">
        <v>4464</v>
      </c>
      <c r="Q641" s="227"/>
      <c r="R641" s="227">
        <v>640</v>
      </c>
      <c r="S641" s="227"/>
      <c r="T641" s="229" t="str">
        <f t="shared" si="19"/>
        <v>4866300:Var_ui_ErrNo:=640;</v>
      </c>
    </row>
    <row r="642" ht="16.5" spans="1:20">
      <c r="A642" s="222">
        <v>641</v>
      </c>
      <c r="B642" s="35">
        <v>191</v>
      </c>
      <c r="C642" s="35">
        <v>23</v>
      </c>
      <c r="F642" s="224"/>
      <c r="G642" s="224"/>
      <c r="H642" s="223" t="s">
        <v>4465</v>
      </c>
      <c r="I642" s="223" t="s">
        <v>2962</v>
      </c>
      <c r="J642" s="223" t="s">
        <v>4466</v>
      </c>
      <c r="K642" s="223" t="s">
        <v>4467</v>
      </c>
      <c r="L642" s="228">
        <v>48919</v>
      </c>
      <c r="M642" s="228">
        <v>0</v>
      </c>
      <c r="N642" s="223" t="s">
        <v>4468</v>
      </c>
      <c r="O642" s="229" t="str">
        <f t="shared" ref="O642:O705" si="20">"EBS1_"&amp;L642&amp;"_"&amp;M642</f>
        <v>EBS1_48919_0</v>
      </c>
      <c r="P642" s="229" t="s">
        <v>4469</v>
      </c>
      <c r="Q642" s="227"/>
      <c r="R642" s="227">
        <v>641</v>
      </c>
      <c r="S642" s="227"/>
      <c r="T642" s="229" t="str">
        <f t="shared" si="19"/>
        <v>4891900:Var_ui_ErrNo:=641;</v>
      </c>
    </row>
    <row r="643" ht="16.5" spans="1:20">
      <c r="A643" s="222">
        <v>642</v>
      </c>
      <c r="B643" s="35">
        <v>192</v>
      </c>
      <c r="C643" s="35">
        <v>23</v>
      </c>
      <c r="F643" s="224"/>
      <c r="G643" s="224"/>
      <c r="H643" s="223" t="s">
        <v>4470</v>
      </c>
      <c r="I643" s="223" t="s">
        <v>2962</v>
      </c>
      <c r="J643" s="223" t="s">
        <v>4471</v>
      </c>
      <c r="K643" s="223" t="s">
        <v>4472</v>
      </c>
      <c r="L643" s="228">
        <v>49175</v>
      </c>
      <c r="M643" s="228">
        <v>0</v>
      </c>
      <c r="N643" s="223" t="s">
        <v>4473</v>
      </c>
      <c r="O643" s="229" t="str">
        <f t="shared" si="20"/>
        <v>EBS1_49175_0</v>
      </c>
      <c r="P643" s="229" t="s">
        <v>4474</v>
      </c>
      <c r="Q643" s="227"/>
      <c r="R643" s="227">
        <v>642</v>
      </c>
      <c r="S643" s="227"/>
      <c r="T643" s="229" t="str">
        <f t="shared" ref="T643:T706" si="21">P643&amp;$Q$2&amp;R643&amp;$S$2</f>
        <v>4917500:Var_ui_ErrNo:=642;</v>
      </c>
    </row>
    <row r="644" ht="16.5" spans="1:20">
      <c r="A644" s="222">
        <v>643</v>
      </c>
      <c r="B644" s="35">
        <v>193</v>
      </c>
      <c r="C644" s="35">
        <v>23</v>
      </c>
      <c r="F644" s="224"/>
      <c r="G644" s="224"/>
      <c r="H644" s="223" t="s">
        <v>4475</v>
      </c>
      <c r="I644" s="223" t="s">
        <v>2962</v>
      </c>
      <c r="J644" s="223" t="s">
        <v>4476</v>
      </c>
      <c r="K644" s="223" t="s">
        <v>4477</v>
      </c>
      <c r="L644" s="228">
        <v>49431</v>
      </c>
      <c r="M644" s="228">
        <v>0</v>
      </c>
      <c r="N644" s="223" t="s">
        <v>4478</v>
      </c>
      <c r="O644" s="229" t="str">
        <f t="shared" si="20"/>
        <v>EBS1_49431_0</v>
      </c>
      <c r="P644" s="229" t="s">
        <v>4479</v>
      </c>
      <c r="Q644" s="227"/>
      <c r="R644" s="227">
        <v>643</v>
      </c>
      <c r="S644" s="227"/>
      <c r="T644" s="229" t="str">
        <f t="shared" si="21"/>
        <v>4943100:Var_ui_ErrNo:=643;</v>
      </c>
    </row>
    <row r="645" ht="16.5" spans="1:20">
      <c r="A645" s="222">
        <v>644</v>
      </c>
      <c r="B645" s="35">
        <v>194</v>
      </c>
      <c r="C645" s="35">
        <v>23</v>
      </c>
      <c r="F645" s="224"/>
      <c r="G645" s="224"/>
      <c r="H645" s="223" t="s">
        <v>4480</v>
      </c>
      <c r="I645" s="223" t="s">
        <v>2962</v>
      </c>
      <c r="J645" s="223" t="s">
        <v>4481</v>
      </c>
      <c r="K645" s="223" t="s">
        <v>4482</v>
      </c>
      <c r="L645" s="228">
        <v>49687</v>
      </c>
      <c r="M645" s="228">
        <v>0</v>
      </c>
      <c r="N645" s="223" t="s">
        <v>4483</v>
      </c>
      <c r="O645" s="229" t="str">
        <f t="shared" si="20"/>
        <v>EBS1_49687_0</v>
      </c>
      <c r="P645" s="229" t="s">
        <v>4484</v>
      </c>
      <c r="Q645" s="227"/>
      <c r="R645" s="227">
        <v>644</v>
      </c>
      <c r="S645" s="227"/>
      <c r="T645" s="229" t="str">
        <f t="shared" si="21"/>
        <v>4968700:Var_ui_ErrNo:=644;</v>
      </c>
    </row>
    <row r="646" ht="16.5" spans="1:20">
      <c r="A646" s="222">
        <v>645</v>
      </c>
      <c r="B646" s="35">
        <v>195</v>
      </c>
      <c r="C646" s="35">
        <v>23</v>
      </c>
      <c r="F646" s="224"/>
      <c r="G646" s="224"/>
      <c r="H646" s="223" t="s">
        <v>4485</v>
      </c>
      <c r="I646" s="223" t="s">
        <v>2962</v>
      </c>
      <c r="J646" s="223" t="s">
        <v>4486</v>
      </c>
      <c r="K646" s="223" t="s">
        <v>4487</v>
      </c>
      <c r="L646" s="228">
        <v>49943</v>
      </c>
      <c r="M646" s="228">
        <v>0</v>
      </c>
      <c r="N646" s="223" t="s">
        <v>4488</v>
      </c>
      <c r="O646" s="229" t="str">
        <f t="shared" si="20"/>
        <v>EBS1_49943_0</v>
      </c>
      <c r="P646" s="229" t="s">
        <v>4489</v>
      </c>
      <c r="Q646" s="227"/>
      <c r="R646" s="227">
        <v>645</v>
      </c>
      <c r="S646" s="227"/>
      <c r="T646" s="229" t="str">
        <f t="shared" si="21"/>
        <v>4994300:Var_ui_ErrNo:=645;</v>
      </c>
    </row>
    <row r="647" ht="16.5" spans="1:20">
      <c r="A647" s="222">
        <v>646</v>
      </c>
      <c r="B647" s="35">
        <v>190</v>
      </c>
      <c r="C647" s="35">
        <v>27</v>
      </c>
      <c r="F647" s="224"/>
      <c r="G647" s="224"/>
      <c r="H647" s="223" t="s">
        <v>4490</v>
      </c>
      <c r="I647" s="223" t="s">
        <v>2962</v>
      </c>
      <c r="J647" s="223" t="s">
        <v>4491</v>
      </c>
      <c r="K647" s="223" t="s">
        <v>4492</v>
      </c>
      <c r="L647" s="228">
        <v>48667</v>
      </c>
      <c r="M647" s="228">
        <v>0</v>
      </c>
      <c r="N647" s="223" t="s">
        <v>4493</v>
      </c>
      <c r="O647" s="229" t="str">
        <f t="shared" si="20"/>
        <v>EBS1_48667_0</v>
      </c>
      <c r="P647" s="229" t="s">
        <v>4494</v>
      </c>
      <c r="Q647" s="227"/>
      <c r="R647" s="227">
        <v>646</v>
      </c>
      <c r="S647" s="227"/>
      <c r="T647" s="229" t="str">
        <f t="shared" si="21"/>
        <v>4866700:Var_ui_ErrNo:=646;</v>
      </c>
    </row>
    <row r="648" ht="16.5" spans="1:20">
      <c r="A648" s="222">
        <v>647</v>
      </c>
      <c r="B648" s="35">
        <v>191</v>
      </c>
      <c r="C648" s="35">
        <v>27</v>
      </c>
      <c r="F648" s="224"/>
      <c r="G648" s="224"/>
      <c r="H648" s="223" t="s">
        <v>4495</v>
      </c>
      <c r="I648" s="223" t="s">
        <v>2962</v>
      </c>
      <c r="J648" s="223" t="s">
        <v>4496</v>
      </c>
      <c r="K648" s="223" t="s">
        <v>4497</v>
      </c>
      <c r="L648" s="228">
        <v>48923</v>
      </c>
      <c r="M648" s="228">
        <v>0</v>
      </c>
      <c r="N648" s="223" t="s">
        <v>4498</v>
      </c>
      <c r="O648" s="229" t="str">
        <f t="shared" si="20"/>
        <v>EBS1_48923_0</v>
      </c>
      <c r="P648" s="229" t="s">
        <v>4499</v>
      </c>
      <c r="Q648" s="227"/>
      <c r="R648" s="227">
        <v>647</v>
      </c>
      <c r="S648" s="227"/>
      <c r="T648" s="229" t="str">
        <f t="shared" si="21"/>
        <v>4892300:Var_ui_ErrNo:=647;</v>
      </c>
    </row>
    <row r="649" ht="16.5" spans="1:20">
      <c r="A649" s="222">
        <v>648</v>
      </c>
      <c r="B649" s="35">
        <v>192</v>
      </c>
      <c r="C649" s="35">
        <v>27</v>
      </c>
      <c r="F649" s="224"/>
      <c r="G649" s="224"/>
      <c r="H649" s="223" t="s">
        <v>4500</v>
      </c>
      <c r="I649" s="223" t="s">
        <v>2962</v>
      </c>
      <c r="J649" s="223" t="s">
        <v>4501</v>
      </c>
      <c r="K649" s="223" t="s">
        <v>4502</v>
      </c>
      <c r="L649" s="228">
        <v>49179</v>
      </c>
      <c r="M649" s="228">
        <v>0</v>
      </c>
      <c r="N649" s="223" t="s">
        <v>4503</v>
      </c>
      <c r="O649" s="229" t="str">
        <f t="shared" si="20"/>
        <v>EBS1_49179_0</v>
      </c>
      <c r="P649" s="229" t="s">
        <v>4504</v>
      </c>
      <c r="Q649" s="227"/>
      <c r="R649" s="227">
        <v>648</v>
      </c>
      <c r="S649" s="227"/>
      <c r="T649" s="229" t="str">
        <f t="shared" si="21"/>
        <v>4917900:Var_ui_ErrNo:=648;</v>
      </c>
    </row>
    <row r="650" ht="16.5" spans="1:20">
      <c r="A650" s="222">
        <v>649</v>
      </c>
      <c r="B650" s="35">
        <v>193</v>
      </c>
      <c r="C650" s="35">
        <v>27</v>
      </c>
      <c r="F650" s="224"/>
      <c r="G650" s="224"/>
      <c r="H650" s="223" t="s">
        <v>4505</v>
      </c>
      <c r="I650" s="223" t="s">
        <v>2962</v>
      </c>
      <c r="J650" s="223" t="s">
        <v>4506</v>
      </c>
      <c r="K650" s="223" t="s">
        <v>4507</v>
      </c>
      <c r="L650" s="228">
        <v>49435</v>
      </c>
      <c r="M650" s="228">
        <v>0</v>
      </c>
      <c r="N650" s="223" t="s">
        <v>4508</v>
      </c>
      <c r="O650" s="229" t="str">
        <f t="shared" si="20"/>
        <v>EBS1_49435_0</v>
      </c>
      <c r="P650" s="229" t="s">
        <v>4509</v>
      </c>
      <c r="Q650" s="227"/>
      <c r="R650" s="227">
        <v>649</v>
      </c>
      <c r="S650" s="227"/>
      <c r="T650" s="229" t="str">
        <f t="shared" si="21"/>
        <v>4943500:Var_ui_ErrNo:=649;</v>
      </c>
    </row>
    <row r="651" ht="16.5" spans="1:20">
      <c r="A651" s="222">
        <v>650</v>
      </c>
      <c r="B651" s="35">
        <v>194</v>
      </c>
      <c r="C651" s="35">
        <v>27</v>
      </c>
      <c r="F651" s="224"/>
      <c r="G651" s="224"/>
      <c r="H651" s="223" t="s">
        <v>4510</v>
      </c>
      <c r="I651" s="223" t="s">
        <v>2962</v>
      </c>
      <c r="J651" s="223" t="s">
        <v>4511</v>
      </c>
      <c r="K651" s="223" t="s">
        <v>4512</v>
      </c>
      <c r="L651" s="228">
        <v>49691</v>
      </c>
      <c r="M651" s="228">
        <v>0</v>
      </c>
      <c r="N651" s="223" t="s">
        <v>4513</v>
      </c>
      <c r="O651" s="229" t="str">
        <f t="shared" si="20"/>
        <v>EBS1_49691_0</v>
      </c>
      <c r="P651" s="229" t="s">
        <v>4514</v>
      </c>
      <c r="Q651" s="227"/>
      <c r="R651" s="227">
        <v>650</v>
      </c>
      <c r="S651" s="227"/>
      <c r="T651" s="229" t="str">
        <f t="shared" si="21"/>
        <v>4969100:Var_ui_ErrNo:=650;</v>
      </c>
    </row>
    <row r="652" ht="16.5" spans="1:20">
      <c r="A652" s="222">
        <v>651</v>
      </c>
      <c r="B652" s="35">
        <v>195</v>
      </c>
      <c r="C652" s="35">
        <v>27</v>
      </c>
      <c r="F652" s="224"/>
      <c r="G652" s="224"/>
      <c r="H652" s="223" t="s">
        <v>4515</v>
      </c>
      <c r="I652" s="223" t="s">
        <v>2962</v>
      </c>
      <c r="J652" s="223" t="s">
        <v>4516</v>
      </c>
      <c r="K652" s="223" t="s">
        <v>4517</v>
      </c>
      <c r="L652" s="228">
        <v>49947</v>
      </c>
      <c r="M652" s="228">
        <v>0</v>
      </c>
      <c r="N652" s="223" t="s">
        <v>4518</v>
      </c>
      <c r="O652" s="229" t="str">
        <f t="shared" si="20"/>
        <v>EBS1_49947_0</v>
      </c>
      <c r="P652" s="229" t="s">
        <v>4519</v>
      </c>
      <c r="Q652" s="227"/>
      <c r="R652" s="227">
        <v>651</v>
      </c>
      <c r="S652" s="227"/>
      <c r="T652" s="229" t="str">
        <f t="shared" si="21"/>
        <v>4994700:Var_ui_ErrNo:=651;</v>
      </c>
    </row>
    <row r="653" ht="16.5" spans="1:20">
      <c r="A653" s="222">
        <v>652</v>
      </c>
      <c r="B653" s="35">
        <v>190</v>
      </c>
      <c r="C653" s="35">
        <v>28</v>
      </c>
      <c r="F653" s="224"/>
      <c r="G653" s="224"/>
      <c r="H653" s="223" t="s">
        <v>4520</v>
      </c>
      <c r="I653" s="223" t="s">
        <v>4521</v>
      </c>
      <c r="J653" s="223" t="s">
        <v>4522</v>
      </c>
      <c r="K653" s="223" t="s">
        <v>4523</v>
      </c>
      <c r="L653" s="228">
        <v>48668</v>
      </c>
      <c r="M653" s="228">
        <v>0</v>
      </c>
      <c r="N653" s="223" t="s">
        <v>4524</v>
      </c>
      <c r="O653" s="229" t="str">
        <f t="shared" si="20"/>
        <v>EBS1_48668_0</v>
      </c>
      <c r="P653" s="229" t="s">
        <v>4525</v>
      </c>
      <c r="Q653" s="227"/>
      <c r="R653" s="227">
        <v>652</v>
      </c>
      <c r="S653" s="227"/>
      <c r="T653" s="229" t="str">
        <f t="shared" si="21"/>
        <v>4866800:Var_ui_ErrNo:=652;</v>
      </c>
    </row>
    <row r="654" ht="16.5" spans="1:20">
      <c r="A654" s="222">
        <v>653</v>
      </c>
      <c r="B654" s="35">
        <v>191</v>
      </c>
      <c r="C654" s="35">
        <v>28</v>
      </c>
      <c r="F654" s="224"/>
      <c r="G654" s="224"/>
      <c r="H654" s="223" t="s">
        <v>4526</v>
      </c>
      <c r="I654" s="223" t="s">
        <v>4521</v>
      </c>
      <c r="J654" s="223" t="s">
        <v>4527</v>
      </c>
      <c r="K654" s="223" t="s">
        <v>4528</v>
      </c>
      <c r="L654" s="228">
        <v>48924</v>
      </c>
      <c r="M654" s="228">
        <v>0</v>
      </c>
      <c r="N654" s="223" t="s">
        <v>4529</v>
      </c>
      <c r="O654" s="229" t="str">
        <f t="shared" si="20"/>
        <v>EBS1_48924_0</v>
      </c>
      <c r="P654" s="229" t="s">
        <v>4530</v>
      </c>
      <c r="Q654" s="227"/>
      <c r="R654" s="227">
        <v>653</v>
      </c>
      <c r="S654" s="227"/>
      <c r="T654" s="229" t="str">
        <f t="shared" si="21"/>
        <v>4892400:Var_ui_ErrNo:=653;</v>
      </c>
    </row>
    <row r="655" ht="16.5" spans="1:20">
      <c r="A655" s="222">
        <v>654</v>
      </c>
      <c r="B655" s="35">
        <v>192</v>
      </c>
      <c r="C655" s="35">
        <v>28</v>
      </c>
      <c r="F655" s="224"/>
      <c r="G655" s="224"/>
      <c r="H655" s="223" t="s">
        <v>4531</v>
      </c>
      <c r="I655" s="223" t="s">
        <v>4521</v>
      </c>
      <c r="J655" s="223" t="s">
        <v>4532</v>
      </c>
      <c r="K655" s="223" t="s">
        <v>4533</v>
      </c>
      <c r="L655" s="228">
        <v>49180</v>
      </c>
      <c r="M655" s="228">
        <v>0</v>
      </c>
      <c r="N655" s="223" t="s">
        <v>4534</v>
      </c>
      <c r="O655" s="229" t="str">
        <f t="shared" si="20"/>
        <v>EBS1_49180_0</v>
      </c>
      <c r="P655" s="229" t="s">
        <v>4535</v>
      </c>
      <c r="Q655" s="227"/>
      <c r="R655" s="227">
        <v>654</v>
      </c>
      <c r="S655" s="227"/>
      <c r="T655" s="229" t="str">
        <f t="shared" si="21"/>
        <v>4918000:Var_ui_ErrNo:=654;</v>
      </c>
    </row>
    <row r="656" ht="16.5" spans="1:20">
      <c r="A656" s="222">
        <v>655</v>
      </c>
      <c r="B656" s="35">
        <v>193</v>
      </c>
      <c r="C656" s="35">
        <v>28</v>
      </c>
      <c r="F656" s="224"/>
      <c r="G656" s="224"/>
      <c r="H656" s="223" t="s">
        <v>4536</v>
      </c>
      <c r="I656" s="223" t="s">
        <v>4521</v>
      </c>
      <c r="J656" s="223" t="s">
        <v>4537</v>
      </c>
      <c r="K656" s="223" t="s">
        <v>4538</v>
      </c>
      <c r="L656" s="228">
        <v>49436</v>
      </c>
      <c r="M656" s="228">
        <v>0</v>
      </c>
      <c r="N656" s="223" t="s">
        <v>4539</v>
      </c>
      <c r="O656" s="229" t="str">
        <f t="shared" si="20"/>
        <v>EBS1_49436_0</v>
      </c>
      <c r="P656" s="229" t="s">
        <v>4540</v>
      </c>
      <c r="Q656" s="227"/>
      <c r="R656" s="227">
        <v>655</v>
      </c>
      <c r="S656" s="227"/>
      <c r="T656" s="229" t="str">
        <f t="shared" si="21"/>
        <v>4943600:Var_ui_ErrNo:=655;</v>
      </c>
    </row>
    <row r="657" ht="16.5" spans="1:20">
      <c r="A657" s="222">
        <v>656</v>
      </c>
      <c r="B657" s="35">
        <v>194</v>
      </c>
      <c r="C657" s="35">
        <v>28</v>
      </c>
      <c r="F657" s="224"/>
      <c r="G657" s="224"/>
      <c r="H657" s="223" t="s">
        <v>4541</v>
      </c>
      <c r="I657" s="223" t="s">
        <v>4521</v>
      </c>
      <c r="J657" s="223" t="s">
        <v>4542</v>
      </c>
      <c r="K657" s="223" t="s">
        <v>4543</v>
      </c>
      <c r="L657" s="228">
        <v>49692</v>
      </c>
      <c r="M657" s="228">
        <v>0</v>
      </c>
      <c r="N657" s="223" t="s">
        <v>4544</v>
      </c>
      <c r="O657" s="229" t="str">
        <f t="shared" si="20"/>
        <v>EBS1_49692_0</v>
      </c>
      <c r="P657" s="229" t="s">
        <v>4545</v>
      </c>
      <c r="Q657" s="227"/>
      <c r="R657" s="227">
        <v>656</v>
      </c>
      <c r="S657" s="227"/>
      <c r="T657" s="229" t="str">
        <f t="shared" si="21"/>
        <v>4969200:Var_ui_ErrNo:=656;</v>
      </c>
    </row>
    <row r="658" ht="16.5" spans="1:20">
      <c r="A658" s="222">
        <v>657</v>
      </c>
      <c r="B658" s="35">
        <v>195</v>
      </c>
      <c r="C658" s="35">
        <v>28</v>
      </c>
      <c r="F658" s="224"/>
      <c r="G658" s="224"/>
      <c r="H658" s="223" t="s">
        <v>4546</v>
      </c>
      <c r="I658" s="223" t="s">
        <v>4521</v>
      </c>
      <c r="J658" s="223" t="s">
        <v>4547</v>
      </c>
      <c r="K658" s="223" t="s">
        <v>4548</v>
      </c>
      <c r="L658" s="228">
        <v>49948</v>
      </c>
      <c r="M658" s="228">
        <v>0</v>
      </c>
      <c r="N658" s="223" t="s">
        <v>4549</v>
      </c>
      <c r="O658" s="229" t="str">
        <f t="shared" si="20"/>
        <v>EBS1_49948_0</v>
      </c>
      <c r="P658" s="229" t="s">
        <v>4550</v>
      </c>
      <c r="Q658" s="227"/>
      <c r="R658" s="227">
        <v>657</v>
      </c>
      <c r="S658" s="227"/>
      <c r="T658" s="229" t="str">
        <f t="shared" si="21"/>
        <v>4994800:Var_ui_ErrNo:=657;</v>
      </c>
    </row>
    <row r="659" ht="16.5" spans="1:20">
      <c r="A659" s="222">
        <v>658</v>
      </c>
      <c r="B659" s="35">
        <v>200</v>
      </c>
      <c r="C659" s="35">
        <v>60</v>
      </c>
      <c r="F659" s="224"/>
      <c r="G659" s="224"/>
      <c r="H659" s="223" t="s">
        <v>4551</v>
      </c>
      <c r="I659" s="223" t="s">
        <v>4552</v>
      </c>
      <c r="J659" s="223" t="s">
        <v>4553</v>
      </c>
      <c r="K659" s="223" t="s">
        <v>4554</v>
      </c>
      <c r="L659" s="228">
        <v>51260</v>
      </c>
      <c r="M659" s="228">
        <v>0</v>
      </c>
      <c r="N659" s="223" t="s">
        <v>4555</v>
      </c>
      <c r="O659" s="229" t="str">
        <f t="shared" si="20"/>
        <v>EBS1_51260_0</v>
      </c>
      <c r="P659" s="229" t="s">
        <v>4556</v>
      </c>
      <c r="Q659" s="227"/>
      <c r="R659" s="227">
        <v>658</v>
      </c>
      <c r="S659" s="227"/>
      <c r="T659" s="229" t="str">
        <f t="shared" si="21"/>
        <v>5126000:Var_ui_ErrNo:=658;</v>
      </c>
    </row>
    <row r="660" ht="16.5" spans="1:20">
      <c r="A660" s="222">
        <v>659</v>
      </c>
      <c r="B660" s="35">
        <v>201</v>
      </c>
      <c r="C660" s="35">
        <v>60</v>
      </c>
      <c r="F660" s="224"/>
      <c r="G660" s="224"/>
      <c r="H660" s="223" t="s">
        <v>4557</v>
      </c>
      <c r="I660" s="223" t="s">
        <v>4552</v>
      </c>
      <c r="J660" s="223" t="s">
        <v>4558</v>
      </c>
      <c r="K660" s="223" t="s">
        <v>4559</v>
      </c>
      <c r="L660" s="228">
        <v>51516</v>
      </c>
      <c r="M660" s="228">
        <v>0</v>
      </c>
      <c r="N660" s="223" t="s">
        <v>4560</v>
      </c>
      <c r="O660" s="229" t="str">
        <f t="shared" si="20"/>
        <v>EBS1_51516_0</v>
      </c>
      <c r="P660" s="229" t="s">
        <v>4561</v>
      </c>
      <c r="Q660" s="227"/>
      <c r="R660" s="227">
        <v>659</v>
      </c>
      <c r="S660" s="227"/>
      <c r="T660" s="229" t="str">
        <f t="shared" si="21"/>
        <v>5151600:Var_ui_ErrNo:=659;</v>
      </c>
    </row>
    <row r="661" ht="16.5" spans="1:20">
      <c r="A661" s="222">
        <v>660</v>
      </c>
      <c r="B661" s="35">
        <v>202</v>
      </c>
      <c r="C661" s="35">
        <v>60</v>
      </c>
      <c r="F661" s="224"/>
      <c r="G661" s="224"/>
      <c r="H661" s="223" t="s">
        <v>4562</v>
      </c>
      <c r="I661" s="223" t="s">
        <v>4552</v>
      </c>
      <c r="J661" s="223" t="s">
        <v>4563</v>
      </c>
      <c r="K661" s="223" t="s">
        <v>4564</v>
      </c>
      <c r="L661" s="228">
        <v>51772</v>
      </c>
      <c r="M661" s="228">
        <v>0</v>
      </c>
      <c r="N661" s="223" t="s">
        <v>4565</v>
      </c>
      <c r="O661" s="229" t="str">
        <f t="shared" si="20"/>
        <v>EBS1_51772_0</v>
      </c>
      <c r="P661" s="229" t="s">
        <v>4566</v>
      </c>
      <c r="Q661" s="227"/>
      <c r="R661" s="227">
        <v>660</v>
      </c>
      <c r="S661" s="227"/>
      <c r="T661" s="229" t="str">
        <f t="shared" si="21"/>
        <v>5177200:Var_ui_ErrNo:=660;</v>
      </c>
    </row>
    <row r="662" ht="16.5" spans="1:20">
      <c r="A662" s="222">
        <v>661</v>
      </c>
      <c r="B662" s="35">
        <v>203</v>
      </c>
      <c r="C662" s="35">
        <v>60</v>
      </c>
      <c r="F662" s="224"/>
      <c r="G662" s="224"/>
      <c r="H662" s="223" t="s">
        <v>4567</v>
      </c>
      <c r="I662" s="223" t="s">
        <v>4552</v>
      </c>
      <c r="J662" s="223" t="s">
        <v>4568</v>
      </c>
      <c r="K662" s="223" t="s">
        <v>4569</v>
      </c>
      <c r="L662" s="228">
        <v>52028</v>
      </c>
      <c r="M662" s="228">
        <v>0</v>
      </c>
      <c r="N662" s="223" t="s">
        <v>4570</v>
      </c>
      <c r="O662" s="229" t="str">
        <f t="shared" si="20"/>
        <v>EBS1_52028_0</v>
      </c>
      <c r="P662" s="229" t="s">
        <v>4571</v>
      </c>
      <c r="Q662" s="227"/>
      <c r="R662" s="227">
        <v>661</v>
      </c>
      <c r="S662" s="227"/>
      <c r="T662" s="229" t="str">
        <f t="shared" si="21"/>
        <v>5202800:Var_ui_ErrNo:=661;</v>
      </c>
    </row>
    <row r="663" ht="16.5" spans="1:20">
      <c r="A663" s="222">
        <v>662</v>
      </c>
      <c r="B663" s="35">
        <v>204</v>
      </c>
      <c r="C663" s="35">
        <v>60</v>
      </c>
      <c r="F663" s="224"/>
      <c r="G663" s="224"/>
      <c r="H663" s="223" t="s">
        <v>4572</v>
      </c>
      <c r="I663" s="223" t="s">
        <v>4552</v>
      </c>
      <c r="J663" s="223" t="s">
        <v>4573</v>
      </c>
      <c r="K663" s="223" t="s">
        <v>4574</v>
      </c>
      <c r="L663" s="228">
        <v>52284</v>
      </c>
      <c r="M663" s="228">
        <v>0</v>
      </c>
      <c r="N663" s="223" t="s">
        <v>4575</v>
      </c>
      <c r="O663" s="229" t="str">
        <f t="shared" si="20"/>
        <v>EBS1_52284_0</v>
      </c>
      <c r="P663" s="229" t="s">
        <v>4576</v>
      </c>
      <c r="Q663" s="227"/>
      <c r="R663" s="227">
        <v>662</v>
      </c>
      <c r="S663" s="227"/>
      <c r="T663" s="229" t="str">
        <f t="shared" si="21"/>
        <v>5228400:Var_ui_ErrNo:=662;</v>
      </c>
    </row>
    <row r="664" ht="16.5" spans="1:20">
      <c r="A664" s="222">
        <v>663</v>
      </c>
      <c r="B664" s="35">
        <v>205</v>
      </c>
      <c r="C664" s="35">
        <v>60</v>
      </c>
      <c r="F664" s="224"/>
      <c r="G664" s="224"/>
      <c r="H664" s="223" t="s">
        <v>4577</v>
      </c>
      <c r="I664" s="223" t="s">
        <v>4552</v>
      </c>
      <c r="J664" s="223" t="s">
        <v>4578</v>
      </c>
      <c r="K664" s="223" t="s">
        <v>4579</v>
      </c>
      <c r="L664" s="228">
        <v>52540</v>
      </c>
      <c r="M664" s="228">
        <v>0</v>
      </c>
      <c r="N664" s="223" t="s">
        <v>4580</v>
      </c>
      <c r="O664" s="229" t="str">
        <f t="shared" si="20"/>
        <v>EBS1_52540_0</v>
      </c>
      <c r="P664" s="229" t="s">
        <v>4581</v>
      </c>
      <c r="Q664" s="227"/>
      <c r="R664" s="227">
        <v>663</v>
      </c>
      <c r="S664" s="227"/>
      <c r="T664" s="229" t="str">
        <f t="shared" si="21"/>
        <v>5254000:Var_ui_ErrNo:=663;</v>
      </c>
    </row>
    <row r="665" ht="16.5" spans="1:20">
      <c r="A665" s="222">
        <v>664</v>
      </c>
      <c r="B665" s="35">
        <v>200</v>
      </c>
      <c r="C665" s="35">
        <v>61</v>
      </c>
      <c r="F665" s="224"/>
      <c r="G665" s="224"/>
      <c r="H665" s="223" t="s">
        <v>4582</v>
      </c>
      <c r="I665" s="223" t="s">
        <v>4583</v>
      </c>
      <c r="J665" s="223" t="s">
        <v>4584</v>
      </c>
      <c r="K665" s="223" t="s">
        <v>4585</v>
      </c>
      <c r="L665" s="228">
        <v>51261</v>
      </c>
      <c r="M665" s="228">
        <v>0</v>
      </c>
      <c r="N665" s="223" t="s">
        <v>4586</v>
      </c>
      <c r="O665" s="229" t="str">
        <f t="shared" si="20"/>
        <v>EBS1_51261_0</v>
      </c>
      <c r="P665" s="229" t="s">
        <v>4587</v>
      </c>
      <c r="Q665" s="227"/>
      <c r="R665" s="227">
        <v>664</v>
      </c>
      <c r="S665" s="227"/>
      <c r="T665" s="229" t="str">
        <f t="shared" si="21"/>
        <v>5126100:Var_ui_ErrNo:=664;</v>
      </c>
    </row>
    <row r="666" ht="16.5" spans="1:20">
      <c r="A666" s="222">
        <v>665</v>
      </c>
      <c r="B666" s="35">
        <v>201</v>
      </c>
      <c r="C666" s="35">
        <v>61</v>
      </c>
      <c r="F666" s="224"/>
      <c r="G666" s="224"/>
      <c r="H666" s="223" t="s">
        <v>4588</v>
      </c>
      <c r="I666" s="223" t="s">
        <v>4583</v>
      </c>
      <c r="J666" s="223" t="s">
        <v>4589</v>
      </c>
      <c r="K666" s="223" t="s">
        <v>4590</v>
      </c>
      <c r="L666" s="228">
        <v>51517</v>
      </c>
      <c r="M666" s="228">
        <v>0</v>
      </c>
      <c r="N666" s="223" t="s">
        <v>4591</v>
      </c>
      <c r="O666" s="229" t="str">
        <f t="shared" si="20"/>
        <v>EBS1_51517_0</v>
      </c>
      <c r="P666" s="229" t="s">
        <v>4592</v>
      </c>
      <c r="Q666" s="227"/>
      <c r="R666" s="227">
        <v>665</v>
      </c>
      <c r="S666" s="227"/>
      <c r="T666" s="229" t="str">
        <f t="shared" si="21"/>
        <v>5151700:Var_ui_ErrNo:=665;</v>
      </c>
    </row>
    <row r="667" ht="16.5" spans="1:20">
      <c r="A667" s="222">
        <v>666</v>
      </c>
      <c r="B667" s="35">
        <v>202</v>
      </c>
      <c r="C667" s="35">
        <v>61</v>
      </c>
      <c r="F667" s="224"/>
      <c r="G667" s="224"/>
      <c r="H667" s="223" t="s">
        <v>4593</v>
      </c>
      <c r="I667" s="223" t="s">
        <v>4583</v>
      </c>
      <c r="J667" s="223" t="s">
        <v>4594</v>
      </c>
      <c r="K667" s="223" t="s">
        <v>4595</v>
      </c>
      <c r="L667" s="228">
        <v>51773</v>
      </c>
      <c r="M667" s="228">
        <v>0</v>
      </c>
      <c r="N667" s="223" t="s">
        <v>4596</v>
      </c>
      <c r="O667" s="229" t="str">
        <f t="shared" si="20"/>
        <v>EBS1_51773_0</v>
      </c>
      <c r="P667" s="229" t="s">
        <v>4597</v>
      </c>
      <c r="Q667" s="227"/>
      <c r="R667" s="227">
        <v>666</v>
      </c>
      <c r="S667" s="227"/>
      <c r="T667" s="229" t="str">
        <f t="shared" si="21"/>
        <v>5177300:Var_ui_ErrNo:=666;</v>
      </c>
    </row>
    <row r="668" ht="16.5" spans="1:20">
      <c r="A668" s="222">
        <v>667</v>
      </c>
      <c r="B668" s="35">
        <v>203</v>
      </c>
      <c r="C668" s="35">
        <v>61</v>
      </c>
      <c r="F668" s="224"/>
      <c r="G668" s="224"/>
      <c r="H668" s="223" t="s">
        <v>4598</v>
      </c>
      <c r="I668" s="223" t="s">
        <v>4583</v>
      </c>
      <c r="J668" s="223" t="s">
        <v>4599</v>
      </c>
      <c r="K668" s="223" t="s">
        <v>4600</v>
      </c>
      <c r="L668" s="228">
        <v>52029</v>
      </c>
      <c r="M668" s="228">
        <v>0</v>
      </c>
      <c r="N668" s="223" t="s">
        <v>4601</v>
      </c>
      <c r="O668" s="229" t="str">
        <f t="shared" si="20"/>
        <v>EBS1_52029_0</v>
      </c>
      <c r="P668" s="229" t="s">
        <v>4602</v>
      </c>
      <c r="Q668" s="227"/>
      <c r="R668" s="227">
        <v>667</v>
      </c>
      <c r="S668" s="227"/>
      <c r="T668" s="229" t="str">
        <f t="shared" si="21"/>
        <v>5202900:Var_ui_ErrNo:=667;</v>
      </c>
    </row>
    <row r="669" ht="16.5" spans="1:20">
      <c r="A669" s="222">
        <v>668</v>
      </c>
      <c r="B669" s="35">
        <v>204</v>
      </c>
      <c r="C669" s="35">
        <v>61</v>
      </c>
      <c r="F669" s="224"/>
      <c r="G669" s="224"/>
      <c r="H669" s="223" t="s">
        <v>4603</v>
      </c>
      <c r="I669" s="223" t="s">
        <v>4583</v>
      </c>
      <c r="J669" s="223" t="s">
        <v>4604</v>
      </c>
      <c r="K669" s="223" t="s">
        <v>4605</v>
      </c>
      <c r="L669" s="228">
        <v>52285</v>
      </c>
      <c r="M669" s="228">
        <v>0</v>
      </c>
      <c r="N669" s="223" t="s">
        <v>4606</v>
      </c>
      <c r="O669" s="229" t="str">
        <f t="shared" si="20"/>
        <v>EBS1_52285_0</v>
      </c>
      <c r="P669" s="229" t="s">
        <v>4607</v>
      </c>
      <c r="Q669" s="227"/>
      <c r="R669" s="227">
        <v>668</v>
      </c>
      <c r="S669" s="227"/>
      <c r="T669" s="229" t="str">
        <f t="shared" si="21"/>
        <v>5228500:Var_ui_ErrNo:=668;</v>
      </c>
    </row>
    <row r="670" ht="16.5" spans="1:20">
      <c r="A670" s="222">
        <v>669</v>
      </c>
      <c r="B670" s="35">
        <v>205</v>
      </c>
      <c r="C670" s="35">
        <v>61</v>
      </c>
      <c r="F670" s="224"/>
      <c r="G670" s="224"/>
      <c r="H670" s="223" t="s">
        <v>4608</v>
      </c>
      <c r="I670" s="223" t="s">
        <v>4583</v>
      </c>
      <c r="J670" s="223" t="s">
        <v>4609</v>
      </c>
      <c r="K670" s="223" t="s">
        <v>4610</v>
      </c>
      <c r="L670" s="228">
        <v>52541</v>
      </c>
      <c r="M670" s="228">
        <v>0</v>
      </c>
      <c r="N670" s="223" t="s">
        <v>4611</v>
      </c>
      <c r="O670" s="229" t="str">
        <f t="shared" si="20"/>
        <v>EBS1_52541_0</v>
      </c>
      <c r="P670" s="229" t="s">
        <v>4612</v>
      </c>
      <c r="Q670" s="227"/>
      <c r="R670" s="227">
        <v>669</v>
      </c>
      <c r="S670" s="227"/>
      <c r="T670" s="229" t="str">
        <f t="shared" si="21"/>
        <v>5254100:Var_ui_ErrNo:=669;</v>
      </c>
    </row>
    <row r="671" ht="16.5" spans="1:20">
      <c r="A671" s="222">
        <v>670</v>
      </c>
      <c r="B671" s="35">
        <v>200</v>
      </c>
      <c r="C671" s="35">
        <v>62</v>
      </c>
      <c r="F671" s="224"/>
      <c r="G671" s="224"/>
      <c r="H671" s="223" t="s">
        <v>4613</v>
      </c>
      <c r="I671" s="223" t="s">
        <v>4614</v>
      </c>
      <c r="J671" s="223" t="s">
        <v>4615</v>
      </c>
      <c r="K671" s="223" t="s">
        <v>4616</v>
      </c>
      <c r="L671" s="228">
        <v>51262</v>
      </c>
      <c r="M671" s="228">
        <v>0</v>
      </c>
      <c r="N671" s="223" t="s">
        <v>4617</v>
      </c>
      <c r="O671" s="229" t="str">
        <f t="shared" si="20"/>
        <v>EBS1_51262_0</v>
      </c>
      <c r="P671" s="229" t="s">
        <v>4618</v>
      </c>
      <c r="Q671" s="227"/>
      <c r="R671" s="227">
        <v>670</v>
      </c>
      <c r="S671" s="227"/>
      <c r="T671" s="229" t="str">
        <f t="shared" si="21"/>
        <v>5126200:Var_ui_ErrNo:=670;</v>
      </c>
    </row>
    <row r="672" ht="16.5" spans="1:20">
      <c r="A672" s="222">
        <v>671</v>
      </c>
      <c r="B672" s="35">
        <v>201</v>
      </c>
      <c r="C672" s="35">
        <v>62</v>
      </c>
      <c r="F672" s="224"/>
      <c r="G672" s="224"/>
      <c r="H672" s="223" t="s">
        <v>4619</v>
      </c>
      <c r="I672" s="223" t="s">
        <v>4614</v>
      </c>
      <c r="J672" s="223" t="s">
        <v>4620</v>
      </c>
      <c r="K672" s="223" t="s">
        <v>4621</v>
      </c>
      <c r="L672" s="228">
        <v>51518</v>
      </c>
      <c r="M672" s="228">
        <v>0</v>
      </c>
      <c r="N672" s="223" t="s">
        <v>4622</v>
      </c>
      <c r="O672" s="229" t="str">
        <f t="shared" si="20"/>
        <v>EBS1_51518_0</v>
      </c>
      <c r="P672" s="229" t="s">
        <v>4623</v>
      </c>
      <c r="Q672" s="227"/>
      <c r="R672" s="227">
        <v>671</v>
      </c>
      <c r="S672" s="227"/>
      <c r="T672" s="229" t="str">
        <f t="shared" si="21"/>
        <v>5151800:Var_ui_ErrNo:=671;</v>
      </c>
    </row>
    <row r="673" ht="16.5" spans="1:20">
      <c r="A673" s="222">
        <v>672</v>
      </c>
      <c r="B673" s="35">
        <v>202</v>
      </c>
      <c r="C673" s="35">
        <v>62</v>
      </c>
      <c r="F673" s="224"/>
      <c r="G673" s="224"/>
      <c r="H673" s="223" t="s">
        <v>4624</v>
      </c>
      <c r="I673" s="223" t="s">
        <v>4614</v>
      </c>
      <c r="J673" s="223" t="s">
        <v>4625</v>
      </c>
      <c r="K673" s="223" t="s">
        <v>4626</v>
      </c>
      <c r="L673" s="228">
        <v>51774</v>
      </c>
      <c r="M673" s="228">
        <v>0</v>
      </c>
      <c r="N673" s="223" t="s">
        <v>4627</v>
      </c>
      <c r="O673" s="229" t="str">
        <f t="shared" si="20"/>
        <v>EBS1_51774_0</v>
      </c>
      <c r="P673" s="229" t="s">
        <v>4628</v>
      </c>
      <c r="Q673" s="227"/>
      <c r="R673" s="227">
        <v>672</v>
      </c>
      <c r="S673" s="227"/>
      <c r="T673" s="229" t="str">
        <f t="shared" si="21"/>
        <v>5177400:Var_ui_ErrNo:=672;</v>
      </c>
    </row>
    <row r="674" ht="16.5" spans="1:20">
      <c r="A674" s="222">
        <v>673</v>
      </c>
      <c r="B674" s="35">
        <v>203</v>
      </c>
      <c r="C674" s="35">
        <v>62</v>
      </c>
      <c r="F674" s="224"/>
      <c r="G674" s="224"/>
      <c r="H674" s="223" t="s">
        <v>4629</v>
      </c>
      <c r="I674" s="223" t="s">
        <v>4614</v>
      </c>
      <c r="J674" s="223" t="s">
        <v>4630</v>
      </c>
      <c r="K674" s="223" t="s">
        <v>4631</v>
      </c>
      <c r="L674" s="228">
        <v>52030</v>
      </c>
      <c r="M674" s="228">
        <v>0</v>
      </c>
      <c r="N674" s="223" t="s">
        <v>4632</v>
      </c>
      <c r="O674" s="229" t="str">
        <f t="shared" si="20"/>
        <v>EBS1_52030_0</v>
      </c>
      <c r="P674" s="229" t="s">
        <v>4633</v>
      </c>
      <c r="Q674" s="227"/>
      <c r="R674" s="227">
        <v>673</v>
      </c>
      <c r="S674" s="227"/>
      <c r="T674" s="229" t="str">
        <f t="shared" si="21"/>
        <v>5203000:Var_ui_ErrNo:=673;</v>
      </c>
    </row>
    <row r="675" ht="16.5" spans="1:20">
      <c r="A675" s="222">
        <v>674</v>
      </c>
      <c r="B675" s="35">
        <v>204</v>
      </c>
      <c r="C675" s="35">
        <v>62</v>
      </c>
      <c r="F675" s="224"/>
      <c r="G675" s="224"/>
      <c r="H675" s="223" t="s">
        <v>4634</v>
      </c>
      <c r="I675" s="223" t="s">
        <v>4614</v>
      </c>
      <c r="J675" s="223" t="s">
        <v>4635</v>
      </c>
      <c r="K675" s="223" t="s">
        <v>4636</v>
      </c>
      <c r="L675" s="228">
        <v>52286</v>
      </c>
      <c r="M675" s="228">
        <v>0</v>
      </c>
      <c r="N675" s="223" t="s">
        <v>4637</v>
      </c>
      <c r="O675" s="229" t="str">
        <f t="shared" si="20"/>
        <v>EBS1_52286_0</v>
      </c>
      <c r="P675" s="229" t="s">
        <v>4638</v>
      </c>
      <c r="Q675" s="227"/>
      <c r="R675" s="227">
        <v>674</v>
      </c>
      <c r="S675" s="227"/>
      <c r="T675" s="229" t="str">
        <f t="shared" si="21"/>
        <v>5228600:Var_ui_ErrNo:=674;</v>
      </c>
    </row>
    <row r="676" ht="16.5" spans="1:20">
      <c r="A676" s="222">
        <v>675</v>
      </c>
      <c r="B676" s="35">
        <v>205</v>
      </c>
      <c r="C676" s="35">
        <v>62</v>
      </c>
      <c r="F676" s="224"/>
      <c r="G676" s="224"/>
      <c r="H676" s="223" t="s">
        <v>4639</v>
      </c>
      <c r="I676" s="223" t="s">
        <v>4614</v>
      </c>
      <c r="J676" s="223" t="s">
        <v>4640</v>
      </c>
      <c r="K676" s="223" t="s">
        <v>4641</v>
      </c>
      <c r="L676" s="228">
        <v>52542</v>
      </c>
      <c r="M676" s="228">
        <v>0</v>
      </c>
      <c r="N676" s="223" t="s">
        <v>4642</v>
      </c>
      <c r="O676" s="229" t="str">
        <f t="shared" si="20"/>
        <v>EBS1_52542_0</v>
      </c>
      <c r="P676" s="229" t="s">
        <v>4643</v>
      </c>
      <c r="Q676" s="227"/>
      <c r="R676" s="227">
        <v>675</v>
      </c>
      <c r="S676" s="227"/>
      <c r="T676" s="229" t="str">
        <f t="shared" si="21"/>
        <v>5254200:Var_ui_ErrNo:=675;</v>
      </c>
    </row>
    <row r="677" ht="16.5" spans="1:20">
      <c r="A677" s="222">
        <v>676</v>
      </c>
      <c r="B677" s="35">
        <v>200</v>
      </c>
      <c r="C677" s="35">
        <v>63</v>
      </c>
      <c r="F677" s="224"/>
      <c r="G677" s="224"/>
      <c r="H677" s="223" t="s">
        <v>4644</v>
      </c>
      <c r="I677" s="223" t="s">
        <v>4645</v>
      </c>
      <c r="J677" s="223" t="s">
        <v>4646</v>
      </c>
      <c r="K677" s="223" t="s">
        <v>4647</v>
      </c>
      <c r="L677" s="228">
        <v>51263</v>
      </c>
      <c r="M677" s="228">
        <v>0</v>
      </c>
      <c r="N677" s="223" t="s">
        <v>4648</v>
      </c>
      <c r="O677" s="229" t="str">
        <f t="shared" si="20"/>
        <v>EBS1_51263_0</v>
      </c>
      <c r="P677" s="229" t="s">
        <v>4649</v>
      </c>
      <c r="Q677" s="227"/>
      <c r="R677" s="227">
        <v>676</v>
      </c>
      <c r="S677" s="227"/>
      <c r="T677" s="229" t="str">
        <f t="shared" si="21"/>
        <v>5126300:Var_ui_ErrNo:=676;</v>
      </c>
    </row>
    <row r="678" ht="16.5" spans="1:20">
      <c r="A678" s="222">
        <v>677</v>
      </c>
      <c r="B678" s="35">
        <v>201</v>
      </c>
      <c r="C678" s="35">
        <v>63</v>
      </c>
      <c r="F678" s="224"/>
      <c r="G678" s="224"/>
      <c r="H678" s="223" t="s">
        <v>4650</v>
      </c>
      <c r="I678" s="223" t="s">
        <v>4645</v>
      </c>
      <c r="J678" s="223" t="s">
        <v>4651</v>
      </c>
      <c r="K678" s="223" t="s">
        <v>4652</v>
      </c>
      <c r="L678" s="228">
        <v>51519</v>
      </c>
      <c r="M678" s="228">
        <v>0</v>
      </c>
      <c r="N678" s="223" t="s">
        <v>4653</v>
      </c>
      <c r="O678" s="229" t="str">
        <f t="shared" si="20"/>
        <v>EBS1_51519_0</v>
      </c>
      <c r="P678" s="229" t="s">
        <v>4654</v>
      </c>
      <c r="Q678" s="227"/>
      <c r="R678" s="227">
        <v>677</v>
      </c>
      <c r="S678" s="227"/>
      <c r="T678" s="229" t="str">
        <f t="shared" si="21"/>
        <v>5151900:Var_ui_ErrNo:=677;</v>
      </c>
    </row>
    <row r="679" ht="16.5" spans="1:20">
      <c r="A679" s="222">
        <v>678</v>
      </c>
      <c r="B679" s="35">
        <v>202</v>
      </c>
      <c r="C679" s="35">
        <v>63</v>
      </c>
      <c r="F679" s="224"/>
      <c r="G679" s="224"/>
      <c r="H679" s="223" t="s">
        <v>4655</v>
      </c>
      <c r="I679" s="223" t="s">
        <v>4645</v>
      </c>
      <c r="J679" s="223" t="s">
        <v>4656</v>
      </c>
      <c r="K679" s="223" t="s">
        <v>4657</v>
      </c>
      <c r="L679" s="228">
        <v>51775</v>
      </c>
      <c r="M679" s="228">
        <v>0</v>
      </c>
      <c r="N679" s="223" t="s">
        <v>4658</v>
      </c>
      <c r="O679" s="229" t="str">
        <f t="shared" si="20"/>
        <v>EBS1_51775_0</v>
      </c>
      <c r="P679" s="229" t="s">
        <v>4659</v>
      </c>
      <c r="Q679" s="227"/>
      <c r="R679" s="227">
        <v>678</v>
      </c>
      <c r="S679" s="227"/>
      <c r="T679" s="229" t="str">
        <f t="shared" si="21"/>
        <v>5177500:Var_ui_ErrNo:=678;</v>
      </c>
    </row>
    <row r="680" ht="16.5" spans="1:20">
      <c r="A680" s="222">
        <v>679</v>
      </c>
      <c r="B680" s="35">
        <v>203</v>
      </c>
      <c r="C680" s="35">
        <v>63</v>
      </c>
      <c r="F680" s="224"/>
      <c r="G680" s="224"/>
      <c r="H680" s="223" t="s">
        <v>4660</v>
      </c>
      <c r="I680" s="223" t="s">
        <v>4645</v>
      </c>
      <c r="J680" s="223" t="s">
        <v>4661</v>
      </c>
      <c r="K680" s="223" t="s">
        <v>4662</v>
      </c>
      <c r="L680" s="228">
        <v>52031</v>
      </c>
      <c r="M680" s="228">
        <v>0</v>
      </c>
      <c r="N680" s="223" t="s">
        <v>4663</v>
      </c>
      <c r="O680" s="229" t="str">
        <f t="shared" si="20"/>
        <v>EBS1_52031_0</v>
      </c>
      <c r="P680" s="229" t="s">
        <v>4664</v>
      </c>
      <c r="Q680" s="227"/>
      <c r="R680" s="227">
        <v>679</v>
      </c>
      <c r="S680" s="227"/>
      <c r="T680" s="229" t="str">
        <f t="shared" si="21"/>
        <v>5203100:Var_ui_ErrNo:=679;</v>
      </c>
    </row>
    <row r="681" ht="16.5" spans="1:20">
      <c r="A681" s="222">
        <v>680</v>
      </c>
      <c r="B681" s="35">
        <v>204</v>
      </c>
      <c r="C681" s="35">
        <v>63</v>
      </c>
      <c r="F681" s="224"/>
      <c r="G681" s="224"/>
      <c r="H681" s="223" t="s">
        <v>4665</v>
      </c>
      <c r="I681" s="223" t="s">
        <v>4645</v>
      </c>
      <c r="J681" s="223" t="s">
        <v>4666</v>
      </c>
      <c r="K681" s="223" t="s">
        <v>4667</v>
      </c>
      <c r="L681" s="228">
        <v>52287</v>
      </c>
      <c r="M681" s="228">
        <v>0</v>
      </c>
      <c r="N681" s="223" t="s">
        <v>4668</v>
      </c>
      <c r="O681" s="229" t="str">
        <f t="shared" si="20"/>
        <v>EBS1_52287_0</v>
      </c>
      <c r="P681" s="229" t="s">
        <v>4669</v>
      </c>
      <c r="Q681" s="227"/>
      <c r="R681" s="227">
        <v>680</v>
      </c>
      <c r="S681" s="227"/>
      <c r="T681" s="229" t="str">
        <f t="shared" si="21"/>
        <v>5228700:Var_ui_ErrNo:=680;</v>
      </c>
    </row>
    <row r="682" ht="16.5" spans="1:20">
      <c r="A682" s="222">
        <v>681</v>
      </c>
      <c r="B682" s="35">
        <v>205</v>
      </c>
      <c r="C682" s="35">
        <v>63</v>
      </c>
      <c r="F682" s="224"/>
      <c r="G682" s="224"/>
      <c r="H682" s="223" t="s">
        <v>4670</v>
      </c>
      <c r="I682" s="223" t="s">
        <v>4645</v>
      </c>
      <c r="J682" s="223" t="s">
        <v>4671</v>
      </c>
      <c r="K682" s="223" t="s">
        <v>4672</v>
      </c>
      <c r="L682" s="228">
        <v>52543</v>
      </c>
      <c r="M682" s="228">
        <v>0</v>
      </c>
      <c r="N682" s="223" t="s">
        <v>4673</v>
      </c>
      <c r="O682" s="229" t="str">
        <f t="shared" si="20"/>
        <v>EBS1_52543_0</v>
      </c>
      <c r="P682" s="229" t="s">
        <v>4674</v>
      </c>
      <c r="Q682" s="227"/>
      <c r="R682" s="227">
        <v>681</v>
      </c>
      <c r="S682" s="227"/>
      <c r="T682" s="229" t="str">
        <f t="shared" si="21"/>
        <v>5254300:Var_ui_ErrNo:=681;</v>
      </c>
    </row>
    <row r="683" ht="16.5" spans="1:20">
      <c r="A683" s="222">
        <v>682</v>
      </c>
      <c r="B683" s="35">
        <v>200</v>
      </c>
      <c r="C683" s="35">
        <v>64</v>
      </c>
      <c r="F683" s="224"/>
      <c r="G683" s="224"/>
      <c r="H683" s="223" t="s">
        <v>4675</v>
      </c>
      <c r="I683" s="223" t="s">
        <v>4676</v>
      </c>
      <c r="J683" s="223" t="s">
        <v>4677</v>
      </c>
      <c r="K683" s="223" t="s">
        <v>4678</v>
      </c>
      <c r="L683" s="228">
        <v>51264</v>
      </c>
      <c r="M683" s="228">
        <v>0</v>
      </c>
      <c r="N683" s="223" t="s">
        <v>4679</v>
      </c>
      <c r="O683" s="229" t="str">
        <f t="shared" si="20"/>
        <v>EBS1_51264_0</v>
      </c>
      <c r="P683" s="229" t="s">
        <v>4680</v>
      </c>
      <c r="Q683" s="227"/>
      <c r="R683" s="227">
        <v>682</v>
      </c>
      <c r="S683" s="227"/>
      <c r="T683" s="229" t="str">
        <f t="shared" si="21"/>
        <v>5126400:Var_ui_ErrNo:=682;</v>
      </c>
    </row>
    <row r="684" ht="16.5" spans="1:20">
      <c r="A684" s="222">
        <v>683</v>
      </c>
      <c r="B684" s="35">
        <v>201</v>
      </c>
      <c r="C684" s="35">
        <v>64</v>
      </c>
      <c r="F684" s="224"/>
      <c r="G684" s="224"/>
      <c r="H684" s="223" t="s">
        <v>4681</v>
      </c>
      <c r="I684" s="223" t="s">
        <v>4676</v>
      </c>
      <c r="J684" s="223" t="s">
        <v>4682</v>
      </c>
      <c r="K684" s="223" t="s">
        <v>4683</v>
      </c>
      <c r="L684" s="228">
        <v>51520</v>
      </c>
      <c r="M684" s="228">
        <v>0</v>
      </c>
      <c r="N684" s="223" t="s">
        <v>4684</v>
      </c>
      <c r="O684" s="229" t="str">
        <f t="shared" si="20"/>
        <v>EBS1_51520_0</v>
      </c>
      <c r="P684" s="229" t="s">
        <v>4685</v>
      </c>
      <c r="Q684" s="227"/>
      <c r="R684" s="227">
        <v>683</v>
      </c>
      <c r="S684" s="227"/>
      <c r="T684" s="229" t="str">
        <f t="shared" si="21"/>
        <v>5152000:Var_ui_ErrNo:=683;</v>
      </c>
    </row>
    <row r="685" ht="16.5" spans="1:20">
      <c r="A685" s="222">
        <v>684</v>
      </c>
      <c r="B685" s="35">
        <v>202</v>
      </c>
      <c r="C685" s="35">
        <v>64</v>
      </c>
      <c r="F685" s="224"/>
      <c r="G685" s="224"/>
      <c r="H685" s="223" t="s">
        <v>4686</v>
      </c>
      <c r="I685" s="223" t="s">
        <v>4676</v>
      </c>
      <c r="J685" s="223" t="s">
        <v>4687</v>
      </c>
      <c r="K685" s="223" t="s">
        <v>4688</v>
      </c>
      <c r="L685" s="228">
        <v>51776</v>
      </c>
      <c r="M685" s="228">
        <v>0</v>
      </c>
      <c r="N685" s="223" t="s">
        <v>4689</v>
      </c>
      <c r="O685" s="229" t="str">
        <f t="shared" si="20"/>
        <v>EBS1_51776_0</v>
      </c>
      <c r="P685" s="229" t="s">
        <v>4690</v>
      </c>
      <c r="Q685" s="227"/>
      <c r="R685" s="227">
        <v>684</v>
      </c>
      <c r="S685" s="227"/>
      <c r="T685" s="229" t="str">
        <f t="shared" si="21"/>
        <v>5177600:Var_ui_ErrNo:=684;</v>
      </c>
    </row>
    <row r="686" ht="16.5" spans="1:20">
      <c r="A686" s="222">
        <v>685</v>
      </c>
      <c r="B686" s="35">
        <v>203</v>
      </c>
      <c r="C686" s="35">
        <v>64</v>
      </c>
      <c r="F686" s="224"/>
      <c r="G686" s="224"/>
      <c r="H686" s="223" t="s">
        <v>4691</v>
      </c>
      <c r="I686" s="223" t="s">
        <v>4676</v>
      </c>
      <c r="J686" s="223" t="s">
        <v>4692</v>
      </c>
      <c r="K686" s="223" t="s">
        <v>4693</v>
      </c>
      <c r="L686" s="228">
        <v>52032</v>
      </c>
      <c r="M686" s="228">
        <v>0</v>
      </c>
      <c r="N686" s="223" t="s">
        <v>4694</v>
      </c>
      <c r="O686" s="229" t="str">
        <f t="shared" si="20"/>
        <v>EBS1_52032_0</v>
      </c>
      <c r="P686" s="229" t="s">
        <v>4695</v>
      </c>
      <c r="Q686" s="227"/>
      <c r="R686" s="227">
        <v>685</v>
      </c>
      <c r="S686" s="227"/>
      <c r="T686" s="229" t="str">
        <f t="shared" si="21"/>
        <v>5203200:Var_ui_ErrNo:=685;</v>
      </c>
    </row>
    <row r="687" ht="16.5" spans="1:20">
      <c r="A687" s="222">
        <v>686</v>
      </c>
      <c r="B687" s="35">
        <v>204</v>
      </c>
      <c r="C687" s="35">
        <v>64</v>
      </c>
      <c r="F687" s="224"/>
      <c r="G687" s="224"/>
      <c r="H687" s="223" t="s">
        <v>4696</v>
      </c>
      <c r="I687" s="223" t="s">
        <v>4676</v>
      </c>
      <c r="J687" s="223" t="s">
        <v>4697</v>
      </c>
      <c r="K687" s="223" t="s">
        <v>4698</v>
      </c>
      <c r="L687" s="228">
        <v>52288</v>
      </c>
      <c r="M687" s="228">
        <v>0</v>
      </c>
      <c r="N687" s="223" t="s">
        <v>4699</v>
      </c>
      <c r="O687" s="229" t="str">
        <f t="shared" si="20"/>
        <v>EBS1_52288_0</v>
      </c>
      <c r="P687" s="229" t="s">
        <v>4700</v>
      </c>
      <c r="Q687" s="227"/>
      <c r="R687" s="227">
        <v>686</v>
      </c>
      <c r="S687" s="227"/>
      <c r="T687" s="229" t="str">
        <f t="shared" si="21"/>
        <v>5228800:Var_ui_ErrNo:=686;</v>
      </c>
    </row>
    <row r="688" ht="16.5" spans="1:20">
      <c r="A688" s="222">
        <v>687</v>
      </c>
      <c r="B688" s="35">
        <v>205</v>
      </c>
      <c r="C688" s="35">
        <v>64</v>
      </c>
      <c r="F688" s="224"/>
      <c r="G688" s="224"/>
      <c r="H688" s="223" t="s">
        <v>4701</v>
      </c>
      <c r="I688" s="223" t="s">
        <v>4676</v>
      </c>
      <c r="J688" s="223" t="s">
        <v>4702</v>
      </c>
      <c r="K688" s="223" t="s">
        <v>4703</v>
      </c>
      <c r="L688" s="228">
        <v>52544</v>
      </c>
      <c r="M688" s="228">
        <v>0</v>
      </c>
      <c r="N688" s="223" t="s">
        <v>4704</v>
      </c>
      <c r="O688" s="229" t="str">
        <f t="shared" si="20"/>
        <v>EBS1_52544_0</v>
      </c>
      <c r="P688" s="229" t="s">
        <v>4705</v>
      </c>
      <c r="Q688" s="227"/>
      <c r="R688" s="227">
        <v>687</v>
      </c>
      <c r="S688" s="227"/>
      <c r="T688" s="229" t="str">
        <f t="shared" si="21"/>
        <v>5254400:Var_ui_ErrNo:=687;</v>
      </c>
    </row>
    <row r="689" ht="16.5" spans="1:20">
      <c r="A689" s="222">
        <v>688</v>
      </c>
      <c r="B689" s="35">
        <v>200</v>
      </c>
      <c r="C689" s="35">
        <v>65</v>
      </c>
      <c r="F689" s="224"/>
      <c r="G689" s="224"/>
      <c r="H689" s="223" t="s">
        <v>4706</v>
      </c>
      <c r="I689" s="223" t="s">
        <v>4707</v>
      </c>
      <c r="J689" s="223" t="s">
        <v>4708</v>
      </c>
      <c r="K689" s="223" t="s">
        <v>4709</v>
      </c>
      <c r="L689" s="228">
        <v>51265</v>
      </c>
      <c r="M689" s="228">
        <v>0</v>
      </c>
      <c r="N689" s="223" t="s">
        <v>4710</v>
      </c>
      <c r="O689" s="229" t="str">
        <f t="shared" si="20"/>
        <v>EBS1_51265_0</v>
      </c>
      <c r="P689" s="229" t="s">
        <v>4711</v>
      </c>
      <c r="Q689" s="227"/>
      <c r="R689" s="227">
        <v>688</v>
      </c>
      <c r="S689" s="227"/>
      <c r="T689" s="229" t="str">
        <f t="shared" si="21"/>
        <v>5126500:Var_ui_ErrNo:=688;</v>
      </c>
    </row>
    <row r="690" ht="16.5" spans="1:20">
      <c r="A690" s="222">
        <v>689</v>
      </c>
      <c r="B690" s="35">
        <v>201</v>
      </c>
      <c r="C690" s="35">
        <v>65</v>
      </c>
      <c r="F690" s="224"/>
      <c r="G690" s="224"/>
      <c r="H690" s="223" t="s">
        <v>4712</v>
      </c>
      <c r="I690" s="223" t="s">
        <v>4707</v>
      </c>
      <c r="J690" s="223" t="s">
        <v>4713</v>
      </c>
      <c r="K690" s="223" t="s">
        <v>4714</v>
      </c>
      <c r="L690" s="228">
        <v>51521</v>
      </c>
      <c r="M690" s="228">
        <v>0</v>
      </c>
      <c r="N690" s="223" t="s">
        <v>4715</v>
      </c>
      <c r="O690" s="229" t="str">
        <f t="shared" si="20"/>
        <v>EBS1_51521_0</v>
      </c>
      <c r="P690" s="229" t="s">
        <v>4716</v>
      </c>
      <c r="Q690" s="227"/>
      <c r="R690" s="227">
        <v>689</v>
      </c>
      <c r="S690" s="227"/>
      <c r="T690" s="229" t="str">
        <f t="shared" si="21"/>
        <v>5152100:Var_ui_ErrNo:=689;</v>
      </c>
    </row>
    <row r="691" ht="16.5" spans="1:20">
      <c r="A691" s="222">
        <v>690</v>
      </c>
      <c r="B691" s="35">
        <v>202</v>
      </c>
      <c r="C691" s="35">
        <v>65</v>
      </c>
      <c r="F691" s="224"/>
      <c r="G691" s="224"/>
      <c r="H691" s="223" t="s">
        <v>4717</v>
      </c>
      <c r="I691" s="223" t="s">
        <v>4707</v>
      </c>
      <c r="J691" s="223" t="s">
        <v>4718</v>
      </c>
      <c r="K691" s="223" t="s">
        <v>4719</v>
      </c>
      <c r="L691" s="228">
        <v>51777</v>
      </c>
      <c r="M691" s="228">
        <v>0</v>
      </c>
      <c r="N691" s="223" t="s">
        <v>4720</v>
      </c>
      <c r="O691" s="229" t="str">
        <f t="shared" si="20"/>
        <v>EBS1_51777_0</v>
      </c>
      <c r="P691" s="229" t="s">
        <v>4721</v>
      </c>
      <c r="Q691" s="227"/>
      <c r="R691" s="227">
        <v>690</v>
      </c>
      <c r="S691" s="227"/>
      <c r="T691" s="229" t="str">
        <f t="shared" si="21"/>
        <v>5177700:Var_ui_ErrNo:=690;</v>
      </c>
    </row>
    <row r="692" ht="16.5" spans="1:20">
      <c r="A692" s="222">
        <v>691</v>
      </c>
      <c r="B692" s="35">
        <v>203</v>
      </c>
      <c r="C692" s="35">
        <v>65</v>
      </c>
      <c r="F692" s="224"/>
      <c r="G692" s="224"/>
      <c r="H692" s="223" t="s">
        <v>4722</v>
      </c>
      <c r="I692" s="223" t="s">
        <v>4707</v>
      </c>
      <c r="J692" s="223" t="s">
        <v>4723</v>
      </c>
      <c r="K692" s="223" t="s">
        <v>4724</v>
      </c>
      <c r="L692" s="228">
        <v>52033</v>
      </c>
      <c r="M692" s="228">
        <v>0</v>
      </c>
      <c r="N692" s="223" t="s">
        <v>4725</v>
      </c>
      <c r="O692" s="229" t="str">
        <f t="shared" si="20"/>
        <v>EBS1_52033_0</v>
      </c>
      <c r="P692" s="229" t="s">
        <v>4726</v>
      </c>
      <c r="Q692" s="227"/>
      <c r="R692" s="227">
        <v>691</v>
      </c>
      <c r="S692" s="227"/>
      <c r="T692" s="229" t="str">
        <f t="shared" si="21"/>
        <v>5203300:Var_ui_ErrNo:=691;</v>
      </c>
    </row>
    <row r="693" ht="16.5" spans="1:20">
      <c r="A693" s="222">
        <v>692</v>
      </c>
      <c r="B693" s="35">
        <v>204</v>
      </c>
      <c r="C693" s="35">
        <v>65</v>
      </c>
      <c r="F693" s="224"/>
      <c r="G693" s="224"/>
      <c r="H693" s="223" t="s">
        <v>4727</v>
      </c>
      <c r="I693" s="223" t="s">
        <v>4707</v>
      </c>
      <c r="J693" s="223" t="s">
        <v>4728</v>
      </c>
      <c r="K693" s="223" t="s">
        <v>4729</v>
      </c>
      <c r="L693" s="228">
        <v>52289</v>
      </c>
      <c r="M693" s="228">
        <v>0</v>
      </c>
      <c r="N693" s="223" t="s">
        <v>4730</v>
      </c>
      <c r="O693" s="229" t="str">
        <f t="shared" si="20"/>
        <v>EBS1_52289_0</v>
      </c>
      <c r="P693" s="229" t="s">
        <v>4731</v>
      </c>
      <c r="Q693" s="227"/>
      <c r="R693" s="227">
        <v>692</v>
      </c>
      <c r="S693" s="227"/>
      <c r="T693" s="229" t="str">
        <f t="shared" si="21"/>
        <v>5228900:Var_ui_ErrNo:=692;</v>
      </c>
    </row>
    <row r="694" ht="16.5" spans="1:20">
      <c r="A694" s="222">
        <v>693</v>
      </c>
      <c r="B694" s="35">
        <v>205</v>
      </c>
      <c r="C694" s="35">
        <v>65</v>
      </c>
      <c r="F694" s="224"/>
      <c r="G694" s="224"/>
      <c r="H694" s="223" t="s">
        <v>4732</v>
      </c>
      <c r="I694" s="223" t="s">
        <v>4707</v>
      </c>
      <c r="J694" s="223" t="s">
        <v>4733</v>
      </c>
      <c r="K694" s="223" t="s">
        <v>4734</v>
      </c>
      <c r="L694" s="228">
        <v>52545</v>
      </c>
      <c r="M694" s="228">
        <v>0</v>
      </c>
      <c r="N694" s="223" t="s">
        <v>4735</v>
      </c>
      <c r="O694" s="229" t="str">
        <f t="shared" si="20"/>
        <v>EBS1_52545_0</v>
      </c>
      <c r="P694" s="229" t="s">
        <v>4736</v>
      </c>
      <c r="Q694" s="227"/>
      <c r="R694" s="227">
        <v>693</v>
      </c>
      <c r="S694" s="227"/>
      <c r="T694" s="229" t="str">
        <f t="shared" si="21"/>
        <v>5254500:Var_ui_ErrNo:=693;</v>
      </c>
    </row>
    <row r="695" ht="16.5" spans="1:20">
      <c r="A695" s="222">
        <v>694</v>
      </c>
      <c r="B695" s="35">
        <v>200</v>
      </c>
      <c r="C695" s="35">
        <v>66</v>
      </c>
      <c r="F695" s="224"/>
      <c r="G695" s="224"/>
      <c r="H695" s="223" t="s">
        <v>4737</v>
      </c>
      <c r="I695" s="223" t="s">
        <v>4738</v>
      </c>
      <c r="J695" s="223" t="s">
        <v>4739</v>
      </c>
      <c r="K695" s="223" t="s">
        <v>4740</v>
      </c>
      <c r="L695" s="228">
        <v>51266</v>
      </c>
      <c r="M695" s="228">
        <v>0</v>
      </c>
      <c r="N695" s="223" t="s">
        <v>4741</v>
      </c>
      <c r="O695" s="229" t="str">
        <f t="shared" si="20"/>
        <v>EBS1_51266_0</v>
      </c>
      <c r="P695" s="229" t="s">
        <v>4742</v>
      </c>
      <c r="Q695" s="227"/>
      <c r="R695" s="227">
        <v>694</v>
      </c>
      <c r="S695" s="227"/>
      <c r="T695" s="229" t="str">
        <f t="shared" si="21"/>
        <v>5126600:Var_ui_ErrNo:=694;</v>
      </c>
    </row>
    <row r="696" ht="16.5" spans="1:20">
      <c r="A696" s="222">
        <v>695</v>
      </c>
      <c r="B696" s="35">
        <v>201</v>
      </c>
      <c r="C696" s="35">
        <v>66</v>
      </c>
      <c r="F696" s="224"/>
      <c r="G696" s="224"/>
      <c r="H696" s="223" t="s">
        <v>4743</v>
      </c>
      <c r="I696" s="223" t="s">
        <v>4738</v>
      </c>
      <c r="J696" s="223" t="s">
        <v>4744</v>
      </c>
      <c r="K696" s="223" t="s">
        <v>4745</v>
      </c>
      <c r="L696" s="228">
        <v>51522</v>
      </c>
      <c r="M696" s="228">
        <v>0</v>
      </c>
      <c r="N696" s="223" t="s">
        <v>4746</v>
      </c>
      <c r="O696" s="229" t="str">
        <f t="shared" si="20"/>
        <v>EBS1_51522_0</v>
      </c>
      <c r="P696" s="229" t="s">
        <v>4747</v>
      </c>
      <c r="Q696" s="227"/>
      <c r="R696" s="227">
        <v>695</v>
      </c>
      <c r="S696" s="227"/>
      <c r="T696" s="229" t="str">
        <f t="shared" si="21"/>
        <v>5152200:Var_ui_ErrNo:=695;</v>
      </c>
    </row>
    <row r="697" ht="16.5" spans="1:20">
      <c r="A697" s="222">
        <v>696</v>
      </c>
      <c r="B697" s="35">
        <v>202</v>
      </c>
      <c r="C697" s="35">
        <v>66</v>
      </c>
      <c r="F697" s="224"/>
      <c r="G697" s="224"/>
      <c r="H697" s="223" t="s">
        <v>4748</v>
      </c>
      <c r="I697" s="223" t="s">
        <v>4738</v>
      </c>
      <c r="J697" s="223" t="s">
        <v>4749</v>
      </c>
      <c r="K697" s="223" t="s">
        <v>4750</v>
      </c>
      <c r="L697" s="228">
        <v>51778</v>
      </c>
      <c r="M697" s="228">
        <v>0</v>
      </c>
      <c r="N697" s="223" t="s">
        <v>4751</v>
      </c>
      <c r="O697" s="229" t="str">
        <f t="shared" si="20"/>
        <v>EBS1_51778_0</v>
      </c>
      <c r="P697" s="229" t="s">
        <v>4752</v>
      </c>
      <c r="Q697" s="227"/>
      <c r="R697" s="227">
        <v>696</v>
      </c>
      <c r="S697" s="227"/>
      <c r="T697" s="229" t="str">
        <f t="shared" si="21"/>
        <v>5177800:Var_ui_ErrNo:=696;</v>
      </c>
    </row>
    <row r="698" ht="16.5" spans="1:20">
      <c r="A698" s="222">
        <v>697</v>
      </c>
      <c r="B698" s="35">
        <v>203</v>
      </c>
      <c r="C698" s="35">
        <v>66</v>
      </c>
      <c r="F698" s="224"/>
      <c r="G698" s="224"/>
      <c r="H698" s="223" t="s">
        <v>4753</v>
      </c>
      <c r="I698" s="223" t="s">
        <v>4738</v>
      </c>
      <c r="J698" s="223" t="s">
        <v>4754</v>
      </c>
      <c r="K698" s="223" t="s">
        <v>4755</v>
      </c>
      <c r="L698" s="228">
        <v>52034</v>
      </c>
      <c r="M698" s="228">
        <v>0</v>
      </c>
      <c r="N698" s="223" t="s">
        <v>4756</v>
      </c>
      <c r="O698" s="229" t="str">
        <f t="shared" si="20"/>
        <v>EBS1_52034_0</v>
      </c>
      <c r="P698" s="229" t="s">
        <v>4757</v>
      </c>
      <c r="Q698" s="227"/>
      <c r="R698" s="227">
        <v>697</v>
      </c>
      <c r="S698" s="227"/>
      <c r="T698" s="229" t="str">
        <f t="shared" si="21"/>
        <v>5203400:Var_ui_ErrNo:=697;</v>
      </c>
    </row>
    <row r="699" ht="16.5" spans="1:20">
      <c r="A699" s="222">
        <v>698</v>
      </c>
      <c r="B699" s="35">
        <v>204</v>
      </c>
      <c r="C699" s="35">
        <v>66</v>
      </c>
      <c r="F699" s="224"/>
      <c r="G699" s="224"/>
      <c r="H699" s="223" t="s">
        <v>4758</v>
      </c>
      <c r="I699" s="223" t="s">
        <v>4738</v>
      </c>
      <c r="J699" s="223" t="s">
        <v>4759</v>
      </c>
      <c r="K699" s="223" t="s">
        <v>4760</v>
      </c>
      <c r="L699" s="228">
        <v>52290</v>
      </c>
      <c r="M699" s="228">
        <v>0</v>
      </c>
      <c r="N699" s="223" t="s">
        <v>4761</v>
      </c>
      <c r="O699" s="229" t="str">
        <f t="shared" si="20"/>
        <v>EBS1_52290_0</v>
      </c>
      <c r="P699" s="229" t="s">
        <v>4762</v>
      </c>
      <c r="Q699" s="227"/>
      <c r="R699" s="227">
        <v>698</v>
      </c>
      <c r="S699" s="227"/>
      <c r="T699" s="229" t="str">
        <f t="shared" si="21"/>
        <v>5229000:Var_ui_ErrNo:=698;</v>
      </c>
    </row>
    <row r="700" ht="16.5" spans="1:20">
      <c r="A700" s="222">
        <v>699</v>
      </c>
      <c r="B700" s="35">
        <v>205</v>
      </c>
      <c r="C700" s="35">
        <v>66</v>
      </c>
      <c r="F700" s="224"/>
      <c r="G700" s="224"/>
      <c r="H700" s="223" t="s">
        <v>4763</v>
      </c>
      <c r="I700" s="223" t="s">
        <v>4738</v>
      </c>
      <c r="J700" s="223" t="s">
        <v>4764</v>
      </c>
      <c r="K700" s="223" t="s">
        <v>4765</v>
      </c>
      <c r="L700" s="228">
        <v>52546</v>
      </c>
      <c r="M700" s="228">
        <v>0</v>
      </c>
      <c r="N700" s="223" t="s">
        <v>4766</v>
      </c>
      <c r="O700" s="229" t="str">
        <f t="shared" si="20"/>
        <v>EBS1_52546_0</v>
      </c>
      <c r="P700" s="229" t="s">
        <v>4767</v>
      </c>
      <c r="Q700" s="227"/>
      <c r="R700" s="227">
        <v>699</v>
      </c>
      <c r="S700" s="227"/>
      <c r="T700" s="229" t="str">
        <f t="shared" si="21"/>
        <v>5254600:Var_ui_ErrNo:=699;</v>
      </c>
    </row>
    <row r="701" ht="16.5" spans="1:20">
      <c r="A701" s="222">
        <v>700</v>
      </c>
      <c r="B701" s="35">
        <v>200</v>
      </c>
      <c r="C701" s="35">
        <v>67</v>
      </c>
      <c r="F701" s="224"/>
      <c r="G701" s="224"/>
      <c r="H701" s="223" t="s">
        <v>4768</v>
      </c>
      <c r="I701" s="223" t="s">
        <v>4769</v>
      </c>
      <c r="J701" s="223" t="s">
        <v>4770</v>
      </c>
      <c r="K701" s="223" t="s">
        <v>4771</v>
      </c>
      <c r="L701" s="228">
        <v>51267</v>
      </c>
      <c r="M701" s="228">
        <v>0</v>
      </c>
      <c r="N701" s="223" t="s">
        <v>4772</v>
      </c>
      <c r="O701" s="229" t="str">
        <f t="shared" si="20"/>
        <v>EBS1_51267_0</v>
      </c>
      <c r="P701" s="229" t="s">
        <v>4773</v>
      </c>
      <c r="Q701" s="227"/>
      <c r="R701" s="227">
        <v>700</v>
      </c>
      <c r="S701" s="227"/>
      <c r="T701" s="229" t="str">
        <f t="shared" si="21"/>
        <v>5126700:Var_ui_ErrNo:=700;</v>
      </c>
    </row>
    <row r="702" ht="16.5" spans="1:20">
      <c r="A702" s="222">
        <v>701</v>
      </c>
      <c r="B702" s="35">
        <v>201</v>
      </c>
      <c r="C702" s="35">
        <v>67</v>
      </c>
      <c r="F702" s="224"/>
      <c r="G702" s="224"/>
      <c r="H702" s="223" t="s">
        <v>4774</v>
      </c>
      <c r="I702" s="223" t="s">
        <v>4769</v>
      </c>
      <c r="J702" s="223" t="s">
        <v>4775</v>
      </c>
      <c r="K702" s="223" t="s">
        <v>4776</v>
      </c>
      <c r="L702" s="228">
        <v>51523</v>
      </c>
      <c r="M702" s="228">
        <v>0</v>
      </c>
      <c r="N702" s="223" t="s">
        <v>4777</v>
      </c>
      <c r="O702" s="229" t="str">
        <f t="shared" si="20"/>
        <v>EBS1_51523_0</v>
      </c>
      <c r="P702" s="229" t="s">
        <v>4778</v>
      </c>
      <c r="Q702" s="227"/>
      <c r="R702" s="227">
        <v>701</v>
      </c>
      <c r="S702" s="227"/>
      <c r="T702" s="229" t="str">
        <f t="shared" si="21"/>
        <v>5152300:Var_ui_ErrNo:=701;</v>
      </c>
    </row>
    <row r="703" ht="16.5" spans="1:20">
      <c r="A703" s="222">
        <v>702</v>
      </c>
      <c r="B703" s="35">
        <v>202</v>
      </c>
      <c r="C703" s="35">
        <v>67</v>
      </c>
      <c r="F703" s="224"/>
      <c r="G703" s="224"/>
      <c r="H703" s="223" t="s">
        <v>4779</v>
      </c>
      <c r="I703" s="223" t="s">
        <v>4769</v>
      </c>
      <c r="J703" s="223" t="s">
        <v>4780</v>
      </c>
      <c r="K703" s="223" t="s">
        <v>4781</v>
      </c>
      <c r="L703" s="228">
        <v>51779</v>
      </c>
      <c r="M703" s="228">
        <v>0</v>
      </c>
      <c r="N703" s="223" t="s">
        <v>4782</v>
      </c>
      <c r="O703" s="229" t="str">
        <f t="shared" si="20"/>
        <v>EBS1_51779_0</v>
      </c>
      <c r="P703" s="229" t="s">
        <v>4783</v>
      </c>
      <c r="Q703" s="227"/>
      <c r="R703" s="227">
        <v>702</v>
      </c>
      <c r="S703" s="227"/>
      <c r="T703" s="229" t="str">
        <f t="shared" si="21"/>
        <v>5177900:Var_ui_ErrNo:=702;</v>
      </c>
    </row>
    <row r="704" ht="16.5" spans="1:20">
      <c r="A704" s="222">
        <v>703</v>
      </c>
      <c r="B704" s="35">
        <v>203</v>
      </c>
      <c r="C704" s="35">
        <v>67</v>
      </c>
      <c r="F704" s="224"/>
      <c r="G704" s="224"/>
      <c r="H704" s="223" t="s">
        <v>4784</v>
      </c>
      <c r="I704" s="223" t="s">
        <v>4769</v>
      </c>
      <c r="J704" s="223" t="s">
        <v>4785</v>
      </c>
      <c r="K704" s="223" t="s">
        <v>4786</v>
      </c>
      <c r="L704" s="228">
        <v>52035</v>
      </c>
      <c r="M704" s="228">
        <v>0</v>
      </c>
      <c r="N704" s="223" t="s">
        <v>4787</v>
      </c>
      <c r="O704" s="229" t="str">
        <f t="shared" si="20"/>
        <v>EBS1_52035_0</v>
      </c>
      <c r="P704" s="229" t="s">
        <v>4788</v>
      </c>
      <c r="Q704" s="227"/>
      <c r="R704" s="227">
        <v>703</v>
      </c>
      <c r="S704" s="227"/>
      <c r="T704" s="229" t="str">
        <f t="shared" si="21"/>
        <v>5203500:Var_ui_ErrNo:=703;</v>
      </c>
    </row>
    <row r="705" ht="16.5" spans="1:20">
      <c r="A705" s="222">
        <v>704</v>
      </c>
      <c r="B705" s="35">
        <v>204</v>
      </c>
      <c r="C705" s="35">
        <v>67</v>
      </c>
      <c r="F705" s="224"/>
      <c r="G705" s="224"/>
      <c r="H705" s="223" t="s">
        <v>4789</v>
      </c>
      <c r="I705" s="223" t="s">
        <v>4769</v>
      </c>
      <c r="J705" s="223" t="s">
        <v>4790</v>
      </c>
      <c r="K705" s="223" t="s">
        <v>4791</v>
      </c>
      <c r="L705" s="228">
        <v>52291</v>
      </c>
      <c r="M705" s="228">
        <v>0</v>
      </c>
      <c r="N705" s="223" t="s">
        <v>4792</v>
      </c>
      <c r="O705" s="229" t="str">
        <f t="shared" si="20"/>
        <v>EBS1_52291_0</v>
      </c>
      <c r="P705" s="229" t="s">
        <v>4793</v>
      </c>
      <c r="Q705" s="227"/>
      <c r="R705" s="227">
        <v>704</v>
      </c>
      <c r="S705" s="227"/>
      <c r="T705" s="229" t="str">
        <f t="shared" si="21"/>
        <v>5229100:Var_ui_ErrNo:=704;</v>
      </c>
    </row>
    <row r="706" ht="16.5" spans="1:20">
      <c r="A706" s="222">
        <v>705</v>
      </c>
      <c r="B706" s="35">
        <v>205</v>
      </c>
      <c r="C706" s="35">
        <v>67</v>
      </c>
      <c r="F706" s="224"/>
      <c r="G706" s="224"/>
      <c r="H706" s="223" t="s">
        <v>4794</v>
      </c>
      <c r="I706" s="223" t="s">
        <v>4769</v>
      </c>
      <c r="J706" s="223" t="s">
        <v>4795</v>
      </c>
      <c r="K706" s="223" t="s">
        <v>4796</v>
      </c>
      <c r="L706" s="228">
        <v>52547</v>
      </c>
      <c r="M706" s="228">
        <v>0</v>
      </c>
      <c r="N706" s="223" t="s">
        <v>4797</v>
      </c>
      <c r="O706" s="229" t="str">
        <f t="shared" ref="O706:O769" si="22">"EBS1_"&amp;L706&amp;"_"&amp;M706</f>
        <v>EBS1_52547_0</v>
      </c>
      <c r="P706" s="229" t="s">
        <v>4798</v>
      </c>
      <c r="Q706" s="227"/>
      <c r="R706" s="227">
        <v>705</v>
      </c>
      <c r="S706" s="227"/>
      <c r="T706" s="229" t="str">
        <f t="shared" si="21"/>
        <v>5254700:Var_ui_ErrNo:=705;</v>
      </c>
    </row>
    <row r="707" ht="16.5" spans="1:20">
      <c r="A707" s="222">
        <v>706</v>
      </c>
      <c r="B707" s="35">
        <v>200</v>
      </c>
      <c r="C707" s="35">
        <v>68</v>
      </c>
      <c r="F707" s="224"/>
      <c r="G707" s="224"/>
      <c r="H707" s="223" t="s">
        <v>4799</v>
      </c>
      <c r="I707" s="223" t="s">
        <v>4800</v>
      </c>
      <c r="J707" s="223" t="s">
        <v>4801</v>
      </c>
      <c r="K707" s="223" t="s">
        <v>4802</v>
      </c>
      <c r="L707" s="228">
        <v>51268</v>
      </c>
      <c r="M707" s="228">
        <v>0</v>
      </c>
      <c r="N707" s="223" t="s">
        <v>4803</v>
      </c>
      <c r="O707" s="229" t="str">
        <f t="shared" si="22"/>
        <v>EBS1_51268_0</v>
      </c>
      <c r="P707" s="229" t="s">
        <v>4804</v>
      </c>
      <c r="Q707" s="227"/>
      <c r="R707" s="227">
        <v>706</v>
      </c>
      <c r="S707" s="227"/>
      <c r="T707" s="229" t="str">
        <f t="shared" ref="T707:T770" si="23">P707&amp;$Q$2&amp;R707&amp;$S$2</f>
        <v>5126800:Var_ui_ErrNo:=706;</v>
      </c>
    </row>
    <row r="708" ht="16.5" spans="1:20">
      <c r="A708" s="222">
        <v>707</v>
      </c>
      <c r="B708" s="35">
        <v>201</v>
      </c>
      <c r="C708" s="35">
        <v>68</v>
      </c>
      <c r="F708" s="224"/>
      <c r="G708" s="224"/>
      <c r="H708" s="223" t="s">
        <v>4805</v>
      </c>
      <c r="I708" s="223" t="s">
        <v>4800</v>
      </c>
      <c r="J708" s="223" t="s">
        <v>4806</v>
      </c>
      <c r="K708" s="223" t="s">
        <v>4807</v>
      </c>
      <c r="L708" s="228">
        <v>51524</v>
      </c>
      <c r="M708" s="228">
        <v>0</v>
      </c>
      <c r="N708" s="223" t="s">
        <v>4808</v>
      </c>
      <c r="O708" s="229" t="str">
        <f t="shared" si="22"/>
        <v>EBS1_51524_0</v>
      </c>
      <c r="P708" s="229" t="s">
        <v>4809</v>
      </c>
      <c r="Q708" s="227"/>
      <c r="R708" s="227">
        <v>707</v>
      </c>
      <c r="S708" s="227"/>
      <c r="T708" s="229" t="str">
        <f t="shared" si="23"/>
        <v>5152400:Var_ui_ErrNo:=707;</v>
      </c>
    </row>
    <row r="709" ht="16.5" spans="1:20">
      <c r="A709" s="222">
        <v>708</v>
      </c>
      <c r="B709" s="35">
        <v>202</v>
      </c>
      <c r="C709" s="35">
        <v>68</v>
      </c>
      <c r="F709" s="224"/>
      <c r="G709" s="224"/>
      <c r="H709" s="223" t="s">
        <v>4810</v>
      </c>
      <c r="I709" s="223" t="s">
        <v>4800</v>
      </c>
      <c r="J709" s="223" t="s">
        <v>4811</v>
      </c>
      <c r="K709" s="223" t="s">
        <v>4812</v>
      </c>
      <c r="L709" s="228">
        <v>51780</v>
      </c>
      <c r="M709" s="228">
        <v>0</v>
      </c>
      <c r="N709" s="223" t="s">
        <v>4813</v>
      </c>
      <c r="O709" s="229" t="str">
        <f t="shared" si="22"/>
        <v>EBS1_51780_0</v>
      </c>
      <c r="P709" s="229" t="s">
        <v>4814</v>
      </c>
      <c r="Q709" s="227"/>
      <c r="R709" s="227">
        <v>708</v>
      </c>
      <c r="S709" s="227"/>
      <c r="T709" s="229" t="str">
        <f t="shared" si="23"/>
        <v>5178000:Var_ui_ErrNo:=708;</v>
      </c>
    </row>
    <row r="710" ht="16.5" spans="1:20">
      <c r="A710" s="222">
        <v>709</v>
      </c>
      <c r="B710" s="35">
        <v>203</v>
      </c>
      <c r="C710" s="35">
        <v>68</v>
      </c>
      <c r="F710" s="224"/>
      <c r="G710" s="224"/>
      <c r="H710" s="223" t="s">
        <v>4815</v>
      </c>
      <c r="I710" s="223" t="s">
        <v>4800</v>
      </c>
      <c r="J710" s="223" t="s">
        <v>4816</v>
      </c>
      <c r="K710" s="223" t="s">
        <v>4817</v>
      </c>
      <c r="L710" s="228">
        <v>52036</v>
      </c>
      <c r="M710" s="228">
        <v>0</v>
      </c>
      <c r="N710" s="223" t="s">
        <v>4818</v>
      </c>
      <c r="O710" s="229" t="str">
        <f t="shared" si="22"/>
        <v>EBS1_52036_0</v>
      </c>
      <c r="P710" s="229" t="s">
        <v>4819</v>
      </c>
      <c r="Q710" s="227"/>
      <c r="R710" s="227">
        <v>709</v>
      </c>
      <c r="S710" s="227"/>
      <c r="T710" s="229" t="str">
        <f t="shared" si="23"/>
        <v>5203600:Var_ui_ErrNo:=709;</v>
      </c>
    </row>
    <row r="711" ht="16.5" spans="1:20">
      <c r="A711" s="222">
        <v>710</v>
      </c>
      <c r="B711" s="35">
        <v>204</v>
      </c>
      <c r="C711" s="35">
        <v>68</v>
      </c>
      <c r="F711" s="224"/>
      <c r="G711" s="224"/>
      <c r="H711" s="223" t="s">
        <v>4820</v>
      </c>
      <c r="I711" s="223" t="s">
        <v>4800</v>
      </c>
      <c r="J711" s="223" t="s">
        <v>4821</v>
      </c>
      <c r="K711" s="223" t="s">
        <v>4822</v>
      </c>
      <c r="L711" s="228">
        <v>52292</v>
      </c>
      <c r="M711" s="228">
        <v>0</v>
      </c>
      <c r="N711" s="223" t="s">
        <v>4823</v>
      </c>
      <c r="O711" s="229" t="str">
        <f t="shared" si="22"/>
        <v>EBS1_52292_0</v>
      </c>
      <c r="P711" s="229" t="s">
        <v>4824</v>
      </c>
      <c r="Q711" s="227"/>
      <c r="R711" s="227">
        <v>710</v>
      </c>
      <c r="S711" s="227"/>
      <c r="T711" s="229" t="str">
        <f t="shared" si="23"/>
        <v>5229200:Var_ui_ErrNo:=710;</v>
      </c>
    </row>
    <row r="712" ht="16.5" spans="1:20">
      <c r="A712" s="222">
        <v>711</v>
      </c>
      <c r="B712" s="35">
        <v>205</v>
      </c>
      <c r="C712" s="35">
        <v>68</v>
      </c>
      <c r="F712" s="224"/>
      <c r="G712" s="224"/>
      <c r="H712" s="223" t="s">
        <v>4825</v>
      </c>
      <c r="I712" s="223" t="s">
        <v>4800</v>
      </c>
      <c r="J712" s="223" t="s">
        <v>4826</v>
      </c>
      <c r="K712" s="223" t="s">
        <v>4827</v>
      </c>
      <c r="L712" s="228">
        <v>52548</v>
      </c>
      <c r="M712" s="228">
        <v>0</v>
      </c>
      <c r="N712" s="223" t="s">
        <v>4828</v>
      </c>
      <c r="O712" s="229" t="str">
        <f t="shared" si="22"/>
        <v>EBS1_52548_0</v>
      </c>
      <c r="P712" s="229" t="s">
        <v>4829</v>
      </c>
      <c r="Q712" s="227"/>
      <c r="R712" s="227">
        <v>711</v>
      </c>
      <c r="S712" s="227"/>
      <c r="T712" s="229" t="str">
        <f t="shared" si="23"/>
        <v>5254800:Var_ui_ErrNo:=711;</v>
      </c>
    </row>
    <row r="713" ht="16.5" spans="1:20">
      <c r="A713" s="222">
        <v>712</v>
      </c>
      <c r="B713" s="35">
        <v>200</v>
      </c>
      <c r="C713" s="35">
        <v>69</v>
      </c>
      <c r="F713" s="224"/>
      <c r="G713" s="224"/>
      <c r="H713" s="223" t="s">
        <v>4830</v>
      </c>
      <c r="I713" s="223" t="s">
        <v>4552</v>
      </c>
      <c r="J713" s="223" t="s">
        <v>4831</v>
      </c>
      <c r="K713" s="223" t="s">
        <v>4832</v>
      </c>
      <c r="L713" s="228">
        <v>51269</v>
      </c>
      <c r="M713" s="228">
        <v>0</v>
      </c>
      <c r="N713" s="223" t="s">
        <v>4833</v>
      </c>
      <c r="O713" s="229" t="str">
        <f t="shared" si="22"/>
        <v>EBS1_51269_0</v>
      </c>
      <c r="P713" s="229" t="s">
        <v>4834</v>
      </c>
      <c r="Q713" s="227"/>
      <c r="R713" s="227">
        <v>712</v>
      </c>
      <c r="S713" s="227"/>
      <c r="T713" s="229" t="str">
        <f t="shared" si="23"/>
        <v>5126900:Var_ui_ErrNo:=712;</v>
      </c>
    </row>
    <row r="714" ht="16.5" spans="1:20">
      <c r="A714" s="222">
        <v>713</v>
      </c>
      <c r="B714" s="35">
        <v>201</v>
      </c>
      <c r="C714" s="35">
        <v>69</v>
      </c>
      <c r="F714" s="224"/>
      <c r="G714" s="224"/>
      <c r="H714" s="223" t="s">
        <v>4835</v>
      </c>
      <c r="I714" s="223" t="s">
        <v>4552</v>
      </c>
      <c r="J714" s="223" t="s">
        <v>4836</v>
      </c>
      <c r="K714" s="223" t="s">
        <v>4837</v>
      </c>
      <c r="L714" s="228">
        <v>51525</v>
      </c>
      <c r="M714" s="228">
        <v>0</v>
      </c>
      <c r="N714" s="223" t="s">
        <v>4838</v>
      </c>
      <c r="O714" s="229" t="str">
        <f t="shared" si="22"/>
        <v>EBS1_51525_0</v>
      </c>
      <c r="P714" s="229" t="s">
        <v>4839</v>
      </c>
      <c r="Q714" s="227"/>
      <c r="R714" s="227">
        <v>713</v>
      </c>
      <c r="S714" s="227"/>
      <c r="T714" s="229" t="str">
        <f t="shared" si="23"/>
        <v>5152500:Var_ui_ErrNo:=713;</v>
      </c>
    </row>
    <row r="715" ht="16.5" spans="1:20">
      <c r="A715" s="222">
        <v>714</v>
      </c>
      <c r="B715" s="35">
        <v>202</v>
      </c>
      <c r="C715" s="35">
        <v>69</v>
      </c>
      <c r="F715" s="224"/>
      <c r="G715" s="224"/>
      <c r="H715" s="223" t="s">
        <v>4840</v>
      </c>
      <c r="I715" s="223" t="s">
        <v>4552</v>
      </c>
      <c r="J715" s="223" t="s">
        <v>4841</v>
      </c>
      <c r="K715" s="223" t="s">
        <v>4842</v>
      </c>
      <c r="L715" s="228">
        <v>51781</v>
      </c>
      <c r="M715" s="228">
        <v>0</v>
      </c>
      <c r="N715" s="223" t="s">
        <v>4843</v>
      </c>
      <c r="O715" s="229" t="str">
        <f t="shared" si="22"/>
        <v>EBS1_51781_0</v>
      </c>
      <c r="P715" s="229" t="s">
        <v>4844</v>
      </c>
      <c r="Q715" s="227"/>
      <c r="R715" s="227">
        <v>714</v>
      </c>
      <c r="S715" s="227"/>
      <c r="T715" s="229" t="str">
        <f t="shared" si="23"/>
        <v>5178100:Var_ui_ErrNo:=714;</v>
      </c>
    </row>
    <row r="716" ht="16.5" spans="1:20">
      <c r="A716" s="222">
        <v>715</v>
      </c>
      <c r="B716" s="35">
        <v>203</v>
      </c>
      <c r="C716" s="35">
        <v>69</v>
      </c>
      <c r="F716" s="224"/>
      <c r="G716" s="224"/>
      <c r="H716" s="223" t="s">
        <v>4845</v>
      </c>
      <c r="I716" s="223" t="s">
        <v>4552</v>
      </c>
      <c r="J716" s="223" t="s">
        <v>4846</v>
      </c>
      <c r="K716" s="223" t="s">
        <v>4847</v>
      </c>
      <c r="L716" s="228">
        <v>52037</v>
      </c>
      <c r="M716" s="228">
        <v>0</v>
      </c>
      <c r="N716" s="223" t="s">
        <v>4848</v>
      </c>
      <c r="O716" s="229" t="str">
        <f t="shared" si="22"/>
        <v>EBS1_52037_0</v>
      </c>
      <c r="P716" s="229" t="s">
        <v>4849</v>
      </c>
      <c r="Q716" s="227"/>
      <c r="R716" s="227">
        <v>715</v>
      </c>
      <c r="S716" s="227"/>
      <c r="T716" s="229" t="str">
        <f t="shared" si="23"/>
        <v>5203700:Var_ui_ErrNo:=715;</v>
      </c>
    </row>
    <row r="717" ht="16.5" spans="1:20">
      <c r="A717" s="222">
        <v>716</v>
      </c>
      <c r="B717" s="35">
        <v>204</v>
      </c>
      <c r="C717" s="35">
        <v>69</v>
      </c>
      <c r="F717" s="224"/>
      <c r="G717" s="224"/>
      <c r="H717" s="223" t="s">
        <v>4850</v>
      </c>
      <c r="I717" s="223" t="s">
        <v>4552</v>
      </c>
      <c r="J717" s="223" t="s">
        <v>4851</v>
      </c>
      <c r="K717" s="223" t="s">
        <v>4852</v>
      </c>
      <c r="L717" s="228">
        <v>52293</v>
      </c>
      <c r="M717" s="228">
        <v>0</v>
      </c>
      <c r="N717" s="223" t="s">
        <v>4853</v>
      </c>
      <c r="O717" s="229" t="str">
        <f t="shared" si="22"/>
        <v>EBS1_52293_0</v>
      </c>
      <c r="P717" s="229" t="s">
        <v>4854</v>
      </c>
      <c r="Q717" s="227"/>
      <c r="R717" s="227">
        <v>716</v>
      </c>
      <c r="S717" s="227"/>
      <c r="T717" s="229" t="str">
        <f t="shared" si="23"/>
        <v>5229300:Var_ui_ErrNo:=716;</v>
      </c>
    </row>
    <row r="718" ht="16.5" spans="1:20">
      <c r="A718" s="222">
        <v>717</v>
      </c>
      <c r="B718" s="35">
        <v>205</v>
      </c>
      <c r="C718" s="35">
        <v>69</v>
      </c>
      <c r="F718" s="224"/>
      <c r="G718" s="224"/>
      <c r="H718" s="223" t="s">
        <v>4855</v>
      </c>
      <c r="I718" s="223" t="s">
        <v>4552</v>
      </c>
      <c r="J718" s="223" t="s">
        <v>4856</v>
      </c>
      <c r="K718" s="223" t="s">
        <v>4857</v>
      </c>
      <c r="L718" s="228">
        <v>52549</v>
      </c>
      <c r="M718" s="228">
        <v>0</v>
      </c>
      <c r="N718" s="223" t="s">
        <v>4858</v>
      </c>
      <c r="O718" s="229" t="str">
        <f t="shared" si="22"/>
        <v>EBS1_52549_0</v>
      </c>
      <c r="P718" s="229" t="s">
        <v>4859</v>
      </c>
      <c r="Q718" s="227"/>
      <c r="R718" s="227">
        <v>717</v>
      </c>
      <c r="S718" s="227"/>
      <c r="T718" s="229" t="str">
        <f t="shared" si="23"/>
        <v>5254900:Var_ui_ErrNo:=717;</v>
      </c>
    </row>
    <row r="719" ht="16.5" spans="1:20">
      <c r="A719" s="222">
        <v>718</v>
      </c>
      <c r="B719" s="35">
        <v>200</v>
      </c>
      <c r="C719" s="35">
        <v>70</v>
      </c>
      <c r="F719" s="224"/>
      <c r="G719" s="224"/>
      <c r="H719" s="223" t="s">
        <v>4860</v>
      </c>
      <c r="I719" s="223" t="s">
        <v>4583</v>
      </c>
      <c r="J719" s="223" t="s">
        <v>4861</v>
      </c>
      <c r="K719" s="223" t="s">
        <v>4862</v>
      </c>
      <c r="L719" s="228">
        <v>51270</v>
      </c>
      <c r="M719" s="228">
        <v>0</v>
      </c>
      <c r="N719" s="223" t="s">
        <v>4863</v>
      </c>
      <c r="O719" s="229" t="str">
        <f t="shared" si="22"/>
        <v>EBS1_51270_0</v>
      </c>
      <c r="P719" s="229" t="s">
        <v>4864</v>
      </c>
      <c r="Q719" s="227"/>
      <c r="R719" s="227">
        <v>718</v>
      </c>
      <c r="S719" s="227"/>
      <c r="T719" s="229" t="str">
        <f t="shared" si="23"/>
        <v>5127000:Var_ui_ErrNo:=718;</v>
      </c>
    </row>
    <row r="720" ht="16.5" spans="1:20">
      <c r="A720" s="222">
        <v>719</v>
      </c>
      <c r="B720" s="35">
        <v>201</v>
      </c>
      <c r="C720" s="35">
        <v>70</v>
      </c>
      <c r="F720" s="224"/>
      <c r="G720" s="224"/>
      <c r="H720" s="223" t="s">
        <v>4865</v>
      </c>
      <c r="I720" s="223" t="s">
        <v>4583</v>
      </c>
      <c r="J720" s="223" t="s">
        <v>4866</v>
      </c>
      <c r="K720" s="223" t="s">
        <v>4867</v>
      </c>
      <c r="L720" s="228">
        <v>51526</v>
      </c>
      <c r="M720" s="228">
        <v>0</v>
      </c>
      <c r="N720" s="223" t="s">
        <v>4868</v>
      </c>
      <c r="O720" s="229" t="str">
        <f t="shared" si="22"/>
        <v>EBS1_51526_0</v>
      </c>
      <c r="P720" s="229" t="s">
        <v>4869</v>
      </c>
      <c r="Q720" s="227"/>
      <c r="R720" s="227">
        <v>719</v>
      </c>
      <c r="S720" s="227"/>
      <c r="T720" s="229" t="str">
        <f t="shared" si="23"/>
        <v>5152600:Var_ui_ErrNo:=719;</v>
      </c>
    </row>
    <row r="721" ht="16.5" spans="1:20">
      <c r="A721" s="222">
        <v>720</v>
      </c>
      <c r="B721" s="35">
        <v>202</v>
      </c>
      <c r="C721" s="35">
        <v>70</v>
      </c>
      <c r="F721" s="224"/>
      <c r="G721" s="224"/>
      <c r="H721" s="223" t="s">
        <v>4870</v>
      </c>
      <c r="I721" s="223" t="s">
        <v>4583</v>
      </c>
      <c r="J721" s="223" t="s">
        <v>4871</v>
      </c>
      <c r="K721" s="223" t="s">
        <v>4872</v>
      </c>
      <c r="L721" s="228">
        <v>51782</v>
      </c>
      <c r="M721" s="228">
        <v>0</v>
      </c>
      <c r="N721" s="223" t="s">
        <v>4873</v>
      </c>
      <c r="O721" s="229" t="str">
        <f t="shared" si="22"/>
        <v>EBS1_51782_0</v>
      </c>
      <c r="P721" s="229" t="s">
        <v>4874</v>
      </c>
      <c r="Q721" s="227"/>
      <c r="R721" s="227">
        <v>720</v>
      </c>
      <c r="S721" s="227"/>
      <c r="T721" s="229" t="str">
        <f t="shared" si="23"/>
        <v>5178200:Var_ui_ErrNo:=720;</v>
      </c>
    </row>
    <row r="722" ht="16.5" spans="1:20">
      <c r="A722" s="222">
        <v>721</v>
      </c>
      <c r="B722" s="35">
        <v>203</v>
      </c>
      <c r="C722" s="35">
        <v>70</v>
      </c>
      <c r="F722" s="224"/>
      <c r="G722" s="224"/>
      <c r="H722" s="223" t="s">
        <v>4875</v>
      </c>
      <c r="I722" s="223" t="s">
        <v>4583</v>
      </c>
      <c r="J722" s="223" t="s">
        <v>4876</v>
      </c>
      <c r="K722" s="223" t="s">
        <v>4877</v>
      </c>
      <c r="L722" s="228">
        <v>52038</v>
      </c>
      <c r="M722" s="228">
        <v>0</v>
      </c>
      <c r="N722" s="223" t="s">
        <v>4878</v>
      </c>
      <c r="O722" s="229" t="str">
        <f t="shared" si="22"/>
        <v>EBS1_52038_0</v>
      </c>
      <c r="P722" s="229" t="s">
        <v>4879</v>
      </c>
      <c r="Q722" s="227"/>
      <c r="R722" s="227">
        <v>721</v>
      </c>
      <c r="S722" s="227"/>
      <c r="T722" s="229" t="str">
        <f t="shared" si="23"/>
        <v>5203800:Var_ui_ErrNo:=721;</v>
      </c>
    </row>
    <row r="723" ht="16.5" spans="1:20">
      <c r="A723" s="222">
        <v>722</v>
      </c>
      <c r="B723" s="35">
        <v>204</v>
      </c>
      <c r="C723" s="35">
        <v>70</v>
      </c>
      <c r="F723" s="224"/>
      <c r="G723" s="224"/>
      <c r="H723" s="223" t="s">
        <v>4880</v>
      </c>
      <c r="I723" s="223" t="s">
        <v>4583</v>
      </c>
      <c r="J723" s="223" t="s">
        <v>4881</v>
      </c>
      <c r="K723" s="223" t="s">
        <v>4882</v>
      </c>
      <c r="L723" s="228">
        <v>52294</v>
      </c>
      <c r="M723" s="228">
        <v>0</v>
      </c>
      <c r="N723" s="223" t="s">
        <v>4883</v>
      </c>
      <c r="O723" s="229" t="str">
        <f t="shared" si="22"/>
        <v>EBS1_52294_0</v>
      </c>
      <c r="P723" s="229" t="s">
        <v>4884</v>
      </c>
      <c r="Q723" s="227"/>
      <c r="R723" s="227">
        <v>722</v>
      </c>
      <c r="S723" s="227"/>
      <c r="T723" s="229" t="str">
        <f t="shared" si="23"/>
        <v>5229400:Var_ui_ErrNo:=722;</v>
      </c>
    </row>
    <row r="724" ht="16.5" spans="1:20">
      <c r="A724" s="222">
        <v>723</v>
      </c>
      <c r="B724" s="35">
        <v>205</v>
      </c>
      <c r="C724" s="35">
        <v>70</v>
      </c>
      <c r="F724" s="224"/>
      <c r="G724" s="224"/>
      <c r="H724" s="223" t="s">
        <v>4885</v>
      </c>
      <c r="I724" s="223" t="s">
        <v>4583</v>
      </c>
      <c r="J724" s="223" t="s">
        <v>4886</v>
      </c>
      <c r="K724" s="223" t="s">
        <v>4887</v>
      </c>
      <c r="L724" s="228">
        <v>52550</v>
      </c>
      <c r="M724" s="228">
        <v>0</v>
      </c>
      <c r="N724" s="223" t="s">
        <v>4888</v>
      </c>
      <c r="O724" s="229" t="str">
        <f t="shared" si="22"/>
        <v>EBS1_52550_0</v>
      </c>
      <c r="P724" s="229" t="s">
        <v>4889</v>
      </c>
      <c r="Q724" s="227"/>
      <c r="R724" s="227">
        <v>723</v>
      </c>
      <c r="S724" s="227"/>
      <c r="T724" s="229" t="str">
        <f t="shared" si="23"/>
        <v>5255000:Var_ui_ErrNo:=723;</v>
      </c>
    </row>
    <row r="725" ht="16.5" spans="1:20">
      <c r="A725" s="222">
        <v>724</v>
      </c>
      <c r="B725" s="35">
        <v>200</v>
      </c>
      <c r="C725" s="35">
        <v>71</v>
      </c>
      <c r="F725" s="224"/>
      <c r="G725" s="224"/>
      <c r="H725" s="223" t="s">
        <v>4890</v>
      </c>
      <c r="I725" s="223" t="s">
        <v>4891</v>
      </c>
      <c r="J725" s="223" t="s">
        <v>4892</v>
      </c>
      <c r="K725" s="223" t="s">
        <v>4893</v>
      </c>
      <c r="L725" s="228">
        <v>51271</v>
      </c>
      <c r="M725" s="228">
        <v>0</v>
      </c>
      <c r="N725" s="223" t="s">
        <v>4894</v>
      </c>
      <c r="O725" s="229" t="str">
        <f t="shared" si="22"/>
        <v>EBS1_51271_0</v>
      </c>
      <c r="P725" s="229" t="s">
        <v>4895</v>
      </c>
      <c r="Q725" s="227"/>
      <c r="R725" s="227">
        <v>724</v>
      </c>
      <c r="S725" s="227"/>
      <c r="T725" s="229" t="str">
        <f t="shared" si="23"/>
        <v>5127100:Var_ui_ErrNo:=724;</v>
      </c>
    </row>
    <row r="726" ht="16.5" spans="1:20">
      <c r="A726" s="222">
        <v>725</v>
      </c>
      <c r="B726" s="35">
        <v>201</v>
      </c>
      <c r="C726" s="35">
        <v>71</v>
      </c>
      <c r="F726" s="224"/>
      <c r="G726" s="224"/>
      <c r="H726" s="223" t="s">
        <v>4896</v>
      </c>
      <c r="I726" s="223" t="s">
        <v>4891</v>
      </c>
      <c r="J726" s="223" t="s">
        <v>4897</v>
      </c>
      <c r="K726" s="223" t="s">
        <v>4898</v>
      </c>
      <c r="L726" s="228">
        <v>51527</v>
      </c>
      <c r="M726" s="228">
        <v>0</v>
      </c>
      <c r="N726" s="223" t="s">
        <v>4899</v>
      </c>
      <c r="O726" s="229" t="str">
        <f t="shared" si="22"/>
        <v>EBS1_51527_0</v>
      </c>
      <c r="P726" s="229" t="s">
        <v>4900</v>
      </c>
      <c r="Q726" s="227"/>
      <c r="R726" s="227">
        <v>725</v>
      </c>
      <c r="S726" s="227"/>
      <c r="T726" s="229" t="str">
        <f t="shared" si="23"/>
        <v>5152700:Var_ui_ErrNo:=725;</v>
      </c>
    </row>
    <row r="727" ht="16.5" spans="1:20">
      <c r="A727" s="222">
        <v>726</v>
      </c>
      <c r="B727" s="35">
        <v>202</v>
      </c>
      <c r="C727" s="35">
        <v>71</v>
      </c>
      <c r="F727" s="224"/>
      <c r="G727" s="224"/>
      <c r="H727" s="223" t="s">
        <v>4901</v>
      </c>
      <c r="I727" s="223" t="s">
        <v>4891</v>
      </c>
      <c r="J727" s="223" t="s">
        <v>4902</v>
      </c>
      <c r="K727" s="223" t="s">
        <v>4903</v>
      </c>
      <c r="L727" s="228">
        <v>51783</v>
      </c>
      <c r="M727" s="228">
        <v>0</v>
      </c>
      <c r="N727" s="223" t="s">
        <v>4904</v>
      </c>
      <c r="O727" s="229" t="str">
        <f t="shared" si="22"/>
        <v>EBS1_51783_0</v>
      </c>
      <c r="P727" s="229" t="s">
        <v>4905</v>
      </c>
      <c r="Q727" s="227"/>
      <c r="R727" s="227">
        <v>726</v>
      </c>
      <c r="S727" s="227"/>
      <c r="T727" s="229" t="str">
        <f t="shared" si="23"/>
        <v>5178300:Var_ui_ErrNo:=726;</v>
      </c>
    </row>
    <row r="728" ht="16.5" spans="1:20">
      <c r="A728" s="222">
        <v>727</v>
      </c>
      <c r="B728" s="35">
        <v>203</v>
      </c>
      <c r="C728" s="35">
        <v>71</v>
      </c>
      <c r="F728" s="224"/>
      <c r="G728" s="224"/>
      <c r="H728" s="223" t="s">
        <v>4906</v>
      </c>
      <c r="I728" s="223" t="s">
        <v>4891</v>
      </c>
      <c r="J728" s="223" t="s">
        <v>4907</v>
      </c>
      <c r="K728" s="223" t="s">
        <v>4908</v>
      </c>
      <c r="L728" s="228">
        <v>52039</v>
      </c>
      <c r="M728" s="228">
        <v>0</v>
      </c>
      <c r="N728" s="223" t="s">
        <v>4909</v>
      </c>
      <c r="O728" s="229" t="str">
        <f t="shared" si="22"/>
        <v>EBS1_52039_0</v>
      </c>
      <c r="P728" s="229" t="s">
        <v>4910</v>
      </c>
      <c r="Q728" s="227"/>
      <c r="R728" s="227">
        <v>727</v>
      </c>
      <c r="S728" s="227"/>
      <c r="T728" s="229" t="str">
        <f t="shared" si="23"/>
        <v>5203900:Var_ui_ErrNo:=727;</v>
      </c>
    </row>
    <row r="729" ht="16.5" spans="1:20">
      <c r="A729" s="222">
        <v>728</v>
      </c>
      <c r="B729" s="35">
        <v>204</v>
      </c>
      <c r="C729" s="35">
        <v>71</v>
      </c>
      <c r="F729" s="224"/>
      <c r="G729" s="224"/>
      <c r="H729" s="223" t="s">
        <v>4911</v>
      </c>
      <c r="I729" s="223" t="s">
        <v>4891</v>
      </c>
      <c r="J729" s="223" t="s">
        <v>4912</v>
      </c>
      <c r="K729" s="223" t="s">
        <v>4913</v>
      </c>
      <c r="L729" s="228">
        <v>52295</v>
      </c>
      <c r="M729" s="228">
        <v>0</v>
      </c>
      <c r="N729" s="223" t="s">
        <v>4914</v>
      </c>
      <c r="O729" s="229" t="str">
        <f t="shared" si="22"/>
        <v>EBS1_52295_0</v>
      </c>
      <c r="P729" s="229" t="s">
        <v>4915</v>
      </c>
      <c r="Q729" s="227"/>
      <c r="R729" s="227">
        <v>728</v>
      </c>
      <c r="S729" s="227"/>
      <c r="T729" s="229" t="str">
        <f t="shared" si="23"/>
        <v>5229500:Var_ui_ErrNo:=728;</v>
      </c>
    </row>
    <row r="730" ht="16.5" spans="1:20">
      <c r="A730" s="222">
        <v>729</v>
      </c>
      <c r="B730" s="35">
        <v>205</v>
      </c>
      <c r="C730" s="35">
        <v>71</v>
      </c>
      <c r="F730" s="224"/>
      <c r="G730" s="224"/>
      <c r="H730" s="223" t="s">
        <v>4916</v>
      </c>
      <c r="I730" s="223" t="s">
        <v>4891</v>
      </c>
      <c r="J730" s="223" t="s">
        <v>4917</v>
      </c>
      <c r="K730" s="223" t="s">
        <v>4918</v>
      </c>
      <c r="L730" s="228">
        <v>52551</v>
      </c>
      <c r="M730" s="228">
        <v>0</v>
      </c>
      <c r="N730" s="223" t="s">
        <v>4919</v>
      </c>
      <c r="O730" s="229" t="str">
        <f t="shared" si="22"/>
        <v>EBS1_52551_0</v>
      </c>
      <c r="P730" s="229" t="s">
        <v>4920</v>
      </c>
      <c r="Q730" s="227"/>
      <c r="R730" s="227">
        <v>729</v>
      </c>
      <c r="S730" s="227"/>
      <c r="T730" s="229" t="str">
        <f t="shared" si="23"/>
        <v>5255100:Var_ui_ErrNo:=729;</v>
      </c>
    </row>
    <row r="731" ht="16.5" spans="1:20">
      <c r="A731" s="222">
        <v>730</v>
      </c>
      <c r="B731" s="35">
        <v>230</v>
      </c>
      <c r="C731" s="35">
        <v>19</v>
      </c>
      <c r="F731" s="224"/>
      <c r="G731" s="224"/>
      <c r="H731" s="223" t="s">
        <v>4921</v>
      </c>
      <c r="I731" s="223" t="s">
        <v>4922</v>
      </c>
      <c r="J731" s="223" t="s">
        <v>4923</v>
      </c>
      <c r="K731" s="223" t="s">
        <v>4924</v>
      </c>
      <c r="L731" s="228">
        <v>58899</v>
      </c>
      <c r="M731" s="228">
        <v>0</v>
      </c>
      <c r="N731" s="223" t="s">
        <v>4925</v>
      </c>
      <c r="O731" s="229" t="str">
        <f t="shared" si="22"/>
        <v>EBS1_58899_0</v>
      </c>
      <c r="P731" s="229" t="s">
        <v>4926</v>
      </c>
      <c r="Q731" s="227"/>
      <c r="R731" s="227">
        <v>730</v>
      </c>
      <c r="S731" s="227"/>
      <c r="T731" s="229" t="str">
        <f t="shared" si="23"/>
        <v>5889900:Var_ui_ErrNo:=730;</v>
      </c>
    </row>
    <row r="732" ht="16.5" spans="1:20">
      <c r="A732" s="222">
        <v>731</v>
      </c>
      <c r="B732" s="35">
        <v>231</v>
      </c>
      <c r="C732" s="35">
        <v>19</v>
      </c>
      <c r="F732" s="224"/>
      <c r="G732" s="224"/>
      <c r="H732" s="223" t="s">
        <v>4927</v>
      </c>
      <c r="I732" s="223" t="s">
        <v>4922</v>
      </c>
      <c r="J732" s="223" t="s">
        <v>4928</v>
      </c>
      <c r="K732" s="223" t="s">
        <v>4929</v>
      </c>
      <c r="L732" s="228">
        <v>59155</v>
      </c>
      <c r="M732" s="228">
        <v>0</v>
      </c>
      <c r="N732" s="223" t="s">
        <v>4930</v>
      </c>
      <c r="O732" s="229" t="str">
        <f t="shared" si="22"/>
        <v>EBS1_59155_0</v>
      </c>
      <c r="P732" s="229" t="s">
        <v>4931</v>
      </c>
      <c r="Q732" s="227"/>
      <c r="R732" s="227">
        <v>731</v>
      </c>
      <c r="S732" s="227"/>
      <c r="T732" s="229" t="str">
        <f t="shared" si="23"/>
        <v>5915500:Var_ui_ErrNo:=731;</v>
      </c>
    </row>
    <row r="733" ht="16.5" spans="1:20">
      <c r="A733" s="222">
        <v>732</v>
      </c>
      <c r="B733" s="35">
        <v>232</v>
      </c>
      <c r="C733" s="35">
        <v>19</v>
      </c>
      <c r="F733" s="224"/>
      <c r="G733" s="224"/>
      <c r="H733" s="223" t="s">
        <v>4932</v>
      </c>
      <c r="I733" s="223" t="s">
        <v>4922</v>
      </c>
      <c r="J733" s="223" t="s">
        <v>4933</v>
      </c>
      <c r="K733" s="223" t="s">
        <v>4934</v>
      </c>
      <c r="L733" s="228">
        <v>59411</v>
      </c>
      <c r="M733" s="228">
        <v>0</v>
      </c>
      <c r="N733" s="223" t="s">
        <v>4935</v>
      </c>
      <c r="O733" s="229" t="str">
        <f t="shared" si="22"/>
        <v>EBS1_59411_0</v>
      </c>
      <c r="P733" s="229" t="s">
        <v>4936</v>
      </c>
      <c r="Q733" s="227"/>
      <c r="R733" s="227">
        <v>732</v>
      </c>
      <c r="S733" s="227"/>
      <c r="T733" s="229" t="str">
        <f t="shared" si="23"/>
        <v>5941100:Var_ui_ErrNo:=732;</v>
      </c>
    </row>
    <row r="734" ht="16.5" spans="1:20">
      <c r="A734" s="222">
        <v>733</v>
      </c>
      <c r="B734" s="35">
        <v>233</v>
      </c>
      <c r="C734" s="35">
        <v>19</v>
      </c>
      <c r="F734" s="224"/>
      <c r="G734" s="224"/>
      <c r="H734" s="223" t="s">
        <v>4937</v>
      </c>
      <c r="I734" s="223" t="s">
        <v>4922</v>
      </c>
      <c r="J734" s="223" t="s">
        <v>4938</v>
      </c>
      <c r="K734" s="223" t="s">
        <v>4939</v>
      </c>
      <c r="L734" s="228">
        <v>59667</v>
      </c>
      <c r="M734" s="228">
        <v>0</v>
      </c>
      <c r="N734" s="223" t="s">
        <v>4940</v>
      </c>
      <c r="O734" s="229" t="str">
        <f t="shared" si="22"/>
        <v>EBS1_59667_0</v>
      </c>
      <c r="P734" s="229" t="s">
        <v>4941</v>
      </c>
      <c r="Q734" s="227"/>
      <c r="R734" s="227">
        <v>733</v>
      </c>
      <c r="S734" s="227"/>
      <c r="T734" s="229" t="str">
        <f t="shared" si="23"/>
        <v>5966700:Var_ui_ErrNo:=733;</v>
      </c>
    </row>
    <row r="735" ht="16.5" spans="1:20">
      <c r="A735" s="222">
        <v>734</v>
      </c>
      <c r="B735" s="35">
        <v>234</v>
      </c>
      <c r="C735" s="35">
        <v>19</v>
      </c>
      <c r="F735" s="224"/>
      <c r="G735" s="224"/>
      <c r="H735" s="223" t="s">
        <v>4942</v>
      </c>
      <c r="I735" s="223" t="s">
        <v>4922</v>
      </c>
      <c r="J735" s="223" t="s">
        <v>4943</v>
      </c>
      <c r="K735" s="223" t="s">
        <v>4944</v>
      </c>
      <c r="L735" s="228">
        <v>59923</v>
      </c>
      <c r="M735" s="228">
        <v>0</v>
      </c>
      <c r="N735" s="223" t="s">
        <v>4945</v>
      </c>
      <c r="O735" s="229" t="str">
        <f t="shared" si="22"/>
        <v>EBS1_59923_0</v>
      </c>
      <c r="P735" s="229" t="s">
        <v>4946</v>
      </c>
      <c r="Q735" s="227"/>
      <c r="R735" s="227">
        <v>734</v>
      </c>
      <c r="S735" s="227"/>
      <c r="T735" s="229" t="str">
        <f t="shared" si="23"/>
        <v>5992300:Var_ui_ErrNo:=734;</v>
      </c>
    </row>
    <row r="736" ht="16.5" spans="1:20">
      <c r="A736" s="222">
        <v>735</v>
      </c>
      <c r="B736" s="35">
        <v>235</v>
      </c>
      <c r="C736" s="35">
        <v>19</v>
      </c>
      <c r="F736" s="224"/>
      <c r="G736" s="224"/>
      <c r="H736" s="223" t="s">
        <v>4947</v>
      </c>
      <c r="I736" s="223" t="s">
        <v>4922</v>
      </c>
      <c r="J736" s="223" t="s">
        <v>4948</v>
      </c>
      <c r="K736" s="223" t="s">
        <v>4949</v>
      </c>
      <c r="L736" s="228">
        <v>60179</v>
      </c>
      <c r="M736" s="228">
        <v>0</v>
      </c>
      <c r="N736" s="223" t="s">
        <v>4950</v>
      </c>
      <c r="O736" s="229" t="str">
        <f t="shared" si="22"/>
        <v>EBS1_60179_0</v>
      </c>
      <c r="P736" s="229" t="s">
        <v>4951</v>
      </c>
      <c r="Q736" s="227"/>
      <c r="R736" s="227">
        <v>735</v>
      </c>
      <c r="S736" s="227"/>
      <c r="T736" s="229" t="str">
        <f t="shared" si="23"/>
        <v>6017900:Var_ui_ErrNo:=735;</v>
      </c>
    </row>
    <row r="737" ht="16.5" spans="1:20">
      <c r="A737" s="222">
        <v>736</v>
      </c>
      <c r="B737" s="35">
        <v>230</v>
      </c>
      <c r="C737" s="35">
        <v>45</v>
      </c>
      <c r="F737" s="224"/>
      <c r="G737" s="224"/>
      <c r="H737" s="223" t="s">
        <v>4952</v>
      </c>
      <c r="I737" s="223" t="s">
        <v>4953</v>
      </c>
      <c r="J737" s="223" t="s">
        <v>4954</v>
      </c>
      <c r="K737" s="223" t="s">
        <v>4955</v>
      </c>
      <c r="L737" s="228">
        <v>58925</v>
      </c>
      <c r="M737" s="228">
        <v>0</v>
      </c>
      <c r="N737" s="223" t="s">
        <v>4956</v>
      </c>
      <c r="O737" s="229" t="str">
        <f t="shared" si="22"/>
        <v>EBS1_58925_0</v>
      </c>
      <c r="P737" s="229" t="s">
        <v>4957</v>
      </c>
      <c r="Q737" s="227"/>
      <c r="R737" s="227">
        <v>736</v>
      </c>
      <c r="S737" s="227"/>
      <c r="T737" s="229" t="str">
        <f t="shared" si="23"/>
        <v>5892500:Var_ui_ErrNo:=736;</v>
      </c>
    </row>
    <row r="738" ht="16.5" spans="1:20">
      <c r="A738" s="222">
        <v>737</v>
      </c>
      <c r="B738" s="35">
        <v>231</v>
      </c>
      <c r="C738" s="35">
        <v>45</v>
      </c>
      <c r="F738" s="224"/>
      <c r="G738" s="224"/>
      <c r="H738" s="223" t="s">
        <v>4958</v>
      </c>
      <c r="I738" s="223" t="s">
        <v>4953</v>
      </c>
      <c r="J738" s="223" t="s">
        <v>4959</v>
      </c>
      <c r="K738" s="223" t="s">
        <v>4960</v>
      </c>
      <c r="L738" s="228">
        <v>59181</v>
      </c>
      <c r="M738" s="228">
        <v>0</v>
      </c>
      <c r="N738" s="223" t="s">
        <v>4961</v>
      </c>
      <c r="O738" s="229" t="str">
        <f t="shared" si="22"/>
        <v>EBS1_59181_0</v>
      </c>
      <c r="P738" s="229" t="s">
        <v>4962</v>
      </c>
      <c r="Q738" s="227"/>
      <c r="R738" s="227">
        <v>737</v>
      </c>
      <c r="S738" s="227"/>
      <c r="T738" s="229" t="str">
        <f t="shared" si="23"/>
        <v>5918100:Var_ui_ErrNo:=737;</v>
      </c>
    </row>
    <row r="739" ht="16.5" spans="1:20">
      <c r="A739" s="222">
        <v>738</v>
      </c>
      <c r="B739" s="35">
        <v>232</v>
      </c>
      <c r="C739" s="35">
        <v>45</v>
      </c>
      <c r="F739" s="224"/>
      <c r="G739" s="224"/>
      <c r="H739" s="223" t="s">
        <v>4963</v>
      </c>
      <c r="I739" s="223" t="s">
        <v>4953</v>
      </c>
      <c r="J739" s="223" t="s">
        <v>4964</v>
      </c>
      <c r="K739" s="223" t="s">
        <v>4965</v>
      </c>
      <c r="L739" s="228">
        <v>59437</v>
      </c>
      <c r="M739" s="228">
        <v>0</v>
      </c>
      <c r="N739" s="223" t="s">
        <v>4966</v>
      </c>
      <c r="O739" s="229" t="str">
        <f t="shared" si="22"/>
        <v>EBS1_59437_0</v>
      </c>
      <c r="P739" s="229" t="s">
        <v>4967</v>
      </c>
      <c r="Q739" s="227"/>
      <c r="R739" s="227">
        <v>738</v>
      </c>
      <c r="S739" s="227"/>
      <c r="T739" s="229" t="str">
        <f t="shared" si="23"/>
        <v>5943700:Var_ui_ErrNo:=738;</v>
      </c>
    </row>
    <row r="740" ht="16.5" spans="1:20">
      <c r="A740" s="222">
        <v>739</v>
      </c>
      <c r="B740" s="35">
        <v>233</v>
      </c>
      <c r="C740" s="35">
        <v>45</v>
      </c>
      <c r="F740" s="224"/>
      <c r="G740" s="224"/>
      <c r="H740" s="223" t="s">
        <v>4968</v>
      </c>
      <c r="I740" s="223" t="s">
        <v>4953</v>
      </c>
      <c r="J740" s="223" t="s">
        <v>4969</v>
      </c>
      <c r="K740" s="223" t="s">
        <v>4970</v>
      </c>
      <c r="L740" s="228">
        <v>59693</v>
      </c>
      <c r="M740" s="228">
        <v>0</v>
      </c>
      <c r="N740" s="223" t="s">
        <v>4971</v>
      </c>
      <c r="O740" s="229" t="str">
        <f t="shared" si="22"/>
        <v>EBS1_59693_0</v>
      </c>
      <c r="P740" s="229" t="s">
        <v>4972</v>
      </c>
      <c r="Q740" s="227"/>
      <c r="R740" s="227">
        <v>739</v>
      </c>
      <c r="S740" s="227"/>
      <c r="T740" s="229" t="str">
        <f t="shared" si="23"/>
        <v>5969300:Var_ui_ErrNo:=739;</v>
      </c>
    </row>
    <row r="741" ht="16.5" spans="1:20">
      <c r="A741" s="222">
        <v>740</v>
      </c>
      <c r="B741" s="35">
        <v>234</v>
      </c>
      <c r="C741" s="35">
        <v>45</v>
      </c>
      <c r="F741" s="224"/>
      <c r="G741" s="224"/>
      <c r="H741" s="223" t="s">
        <v>4973</v>
      </c>
      <c r="I741" s="223" t="s">
        <v>4953</v>
      </c>
      <c r="J741" s="223" t="s">
        <v>4974</v>
      </c>
      <c r="K741" s="223" t="s">
        <v>4975</v>
      </c>
      <c r="L741" s="228">
        <v>59949</v>
      </c>
      <c r="M741" s="228">
        <v>0</v>
      </c>
      <c r="N741" s="223" t="s">
        <v>4976</v>
      </c>
      <c r="O741" s="229" t="str">
        <f t="shared" si="22"/>
        <v>EBS1_59949_0</v>
      </c>
      <c r="P741" s="229" t="s">
        <v>4977</v>
      </c>
      <c r="Q741" s="227"/>
      <c r="R741" s="227">
        <v>740</v>
      </c>
      <c r="S741" s="227"/>
      <c r="T741" s="229" t="str">
        <f t="shared" si="23"/>
        <v>5994900:Var_ui_ErrNo:=740;</v>
      </c>
    </row>
    <row r="742" ht="16.5" spans="1:20">
      <c r="A742" s="222">
        <v>741</v>
      </c>
      <c r="B742" s="35">
        <v>235</v>
      </c>
      <c r="C742" s="35">
        <v>45</v>
      </c>
      <c r="F742" s="224"/>
      <c r="G742" s="224"/>
      <c r="H742" s="223" t="s">
        <v>4978</v>
      </c>
      <c r="I742" s="223" t="s">
        <v>4953</v>
      </c>
      <c r="J742" s="223" t="s">
        <v>4979</v>
      </c>
      <c r="K742" s="223" t="s">
        <v>4980</v>
      </c>
      <c r="L742" s="228">
        <v>60205</v>
      </c>
      <c r="M742" s="228">
        <v>0</v>
      </c>
      <c r="N742" s="223" t="s">
        <v>4981</v>
      </c>
      <c r="O742" s="229" t="str">
        <f t="shared" si="22"/>
        <v>EBS1_60205_0</v>
      </c>
      <c r="P742" s="229" t="s">
        <v>4982</v>
      </c>
      <c r="Q742" s="227"/>
      <c r="R742" s="227">
        <v>741</v>
      </c>
      <c r="S742" s="227"/>
      <c r="T742" s="229" t="str">
        <f t="shared" si="23"/>
        <v>6020500:Var_ui_ErrNo:=741;</v>
      </c>
    </row>
    <row r="743" ht="16.5" spans="1:20">
      <c r="A743" s="222">
        <v>742</v>
      </c>
      <c r="B743" s="35">
        <v>230</v>
      </c>
      <c r="C743" s="35">
        <v>55</v>
      </c>
      <c r="F743" s="224"/>
      <c r="G743" s="224"/>
      <c r="H743" s="223" t="s">
        <v>4983</v>
      </c>
      <c r="I743" s="223" t="s">
        <v>4984</v>
      </c>
      <c r="J743" s="223" t="s">
        <v>4985</v>
      </c>
      <c r="K743" s="223" t="s">
        <v>4986</v>
      </c>
      <c r="L743" s="228">
        <v>58935</v>
      </c>
      <c r="M743" s="228">
        <v>0</v>
      </c>
      <c r="N743" s="223" t="s">
        <v>4987</v>
      </c>
      <c r="O743" s="229" t="str">
        <f t="shared" si="22"/>
        <v>EBS1_58935_0</v>
      </c>
      <c r="P743" s="229" t="s">
        <v>4988</v>
      </c>
      <c r="Q743" s="227"/>
      <c r="R743" s="227">
        <v>742</v>
      </c>
      <c r="S743" s="227"/>
      <c r="T743" s="229" t="str">
        <f t="shared" si="23"/>
        <v>5893500:Var_ui_ErrNo:=742;</v>
      </c>
    </row>
    <row r="744" ht="16.5" spans="1:20">
      <c r="A744" s="222">
        <v>743</v>
      </c>
      <c r="B744" s="35">
        <v>231</v>
      </c>
      <c r="C744" s="35">
        <v>55</v>
      </c>
      <c r="F744" s="224"/>
      <c r="G744" s="224"/>
      <c r="H744" s="223" t="s">
        <v>4989</v>
      </c>
      <c r="I744" s="223" t="s">
        <v>4984</v>
      </c>
      <c r="J744" s="223" t="s">
        <v>4990</v>
      </c>
      <c r="K744" s="223" t="s">
        <v>4991</v>
      </c>
      <c r="L744" s="228">
        <v>59191</v>
      </c>
      <c r="M744" s="228">
        <v>0</v>
      </c>
      <c r="N744" s="223" t="s">
        <v>4992</v>
      </c>
      <c r="O744" s="229" t="str">
        <f t="shared" si="22"/>
        <v>EBS1_59191_0</v>
      </c>
      <c r="P744" s="229" t="s">
        <v>4993</v>
      </c>
      <c r="Q744" s="227"/>
      <c r="R744" s="227">
        <v>743</v>
      </c>
      <c r="S744" s="227"/>
      <c r="T744" s="229" t="str">
        <f t="shared" si="23"/>
        <v>5919100:Var_ui_ErrNo:=743;</v>
      </c>
    </row>
    <row r="745" ht="16.5" spans="1:20">
      <c r="A745" s="222">
        <v>744</v>
      </c>
      <c r="B745" s="35">
        <v>232</v>
      </c>
      <c r="C745" s="35">
        <v>55</v>
      </c>
      <c r="F745" s="224"/>
      <c r="G745" s="224"/>
      <c r="H745" s="223" t="s">
        <v>4994</v>
      </c>
      <c r="I745" s="223" t="s">
        <v>4984</v>
      </c>
      <c r="J745" s="223" t="s">
        <v>4995</v>
      </c>
      <c r="K745" s="223" t="s">
        <v>4996</v>
      </c>
      <c r="L745" s="228">
        <v>59447</v>
      </c>
      <c r="M745" s="228">
        <v>0</v>
      </c>
      <c r="N745" s="223" t="s">
        <v>4997</v>
      </c>
      <c r="O745" s="229" t="str">
        <f t="shared" si="22"/>
        <v>EBS1_59447_0</v>
      </c>
      <c r="P745" s="229" t="s">
        <v>4998</v>
      </c>
      <c r="Q745" s="227"/>
      <c r="R745" s="227">
        <v>744</v>
      </c>
      <c r="S745" s="227"/>
      <c r="T745" s="229" t="str">
        <f t="shared" si="23"/>
        <v>5944700:Var_ui_ErrNo:=744;</v>
      </c>
    </row>
    <row r="746" ht="16.5" spans="1:20">
      <c r="A746" s="222">
        <v>745</v>
      </c>
      <c r="B746" s="35">
        <v>233</v>
      </c>
      <c r="C746" s="35">
        <v>55</v>
      </c>
      <c r="F746" s="224"/>
      <c r="G746" s="224"/>
      <c r="H746" s="223" t="s">
        <v>4999</v>
      </c>
      <c r="I746" s="223" t="s">
        <v>4984</v>
      </c>
      <c r="J746" s="223" t="s">
        <v>5000</v>
      </c>
      <c r="K746" s="223" t="s">
        <v>5001</v>
      </c>
      <c r="L746" s="228">
        <v>59703</v>
      </c>
      <c r="M746" s="228">
        <v>0</v>
      </c>
      <c r="N746" s="223" t="s">
        <v>5002</v>
      </c>
      <c r="O746" s="229" t="str">
        <f t="shared" si="22"/>
        <v>EBS1_59703_0</v>
      </c>
      <c r="P746" s="229" t="s">
        <v>5003</v>
      </c>
      <c r="Q746" s="227"/>
      <c r="R746" s="227">
        <v>745</v>
      </c>
      <c r="S746" s="227"/>
      <c r="T746" s="229" t="str">
        <f t="shared" si="23"/>
        <v>5970300:Var_ui_ErrNo:=745;</v>
      </c>
    </row>
    <row r="747" ht="16.5" spans="1:20">
      <c r="A747" s="222">
        <v>746</v>
      </c>
      <c r="B747" s="35">
        <v>234</v>
      </c>
      <c r="C747" s="35">
        <v>55</v>
      </c>
      <c r="F747" s="224"/>
      <c r="G747" s="224"/>
      <c r="H747" s="223" t="s">
        <v>5004</v>
      </c>
      <c r="I747" s="223" t="s">
        <v>4984</v>
      </c>
      <c r="J747" s="223" t="s">
        <v>5005</v>
      </c>
      <c r="K747" s="223" t="s">
        <v>5006</v>
      </c>
      <c r="L747" s="228">
        <v>59959</v>
      </c>
      <c r="M747" s="228">
        <v>0</v>
      </c>
      <c r="N747" s="223" t="s">
        <v>5007</v>
      </c>
      <c r="O747" s="229" t="str">
        <f t="shared" si="22"/>
        <v>EBS1_59959_0</v>
      </c>
      <c r="P747" s="229" t="s">
        <v>5008</v>
      </c>
      <c r="Q747" s="227"/>
      <c r="R747" s="227">
        <v>746</v>
      </c>
      <c r="S747" s="227"/>
      <c r="T747" s="229" t="str">
        <f t="shared" si="23"/>
        <v>5995900:Var_ui_ErrNo:=746;</v>
      </c>
    </row>
    <row r="748" ht="16.5" spans="1:20">
      <c r="A748" s="222">
        <v>747</v>
      </c>
      <c r="B748" s="35">
        <v>235</v>
      </c>
      <c r="C748" s="35">
        <v>55</v>
      </c>
      <c r="F748" s="224"/>
      <c r="G748" s="224"/>
      <c r="H748" s="223" t="s">
        <v>5009</v>
      </c>
      <c r="I748" s="223" t="s">
        <v>4984</v>
      </c>
      <c r="J748" s="223" t="s">
        <v>5010</v>
      </c>
      <c r="K748" s="223" t="s">
        <v>5011</v>
      </c>
      <c r="L748" s="228">
        <v>60215</v>
      </c>
      <c r="M748" s="228">
        <v>0</v>
      </c>
      <c r="N748" s="223" t="s">
        <v>5012</v>
      </c>
      <c r="O748" s="229" t="str">
        <f t="shared" si="22"/>
        <v>EBS1_60215_0</v>
      </c>
      <c r="P748" s="229" t="s">
        <v>5013</v>
      </c>
      <c r="Q748" s="227"/>
      <c r="R748" s="227">
        <v>747</v>
      </c>
      <c r="S748" s="227"/>
      <c r="T748" s="229" t="str">
        <f t="shared" si="23"/>
        <v>6021500:Var_ui_ErrNo:=747;</v>
      </c>
    </row>
    <row r="749" ht="16.5" spans="1:20">
      <c r="A749" s="222">
        <v>748</v>
      </c>
      <c r="B749" s="35">
        <v>240</v>
      </c>
      <c r="C749" s="35">
        <v>52</v>
      </c>
      <c r="F749" s="224"/>
      <c r="G749" s="224"/>
      <c r="H749" s="223" t="s">
        <v>5014</v>
      </c>
      <c r="I749" s="223" t="s">
        <v>5015</v>
      </c>
      <c r="J749" s="223" t="s">
        <v>5016</v>
      </c>
      <c r="K749" s="223" t="s">
        <v>5017</v>
      </c>
      <c r="L749" s="228">
        <v>61492</v>
      </c>
      <c r="M749" s="228">
        <v>0</v>
      </c>
      <c r="N749" s="223" t="s">
        <v>5018</v>
      </c>
      <c r="O749" s="229" t="str">
        <f t="shared" si="22"/>
        <v>EBS1_61492_0</v>
      </c>
      <c r="P749" s="229" t="s">
        <v>5019</v>
      </c>
      <c r="Q749" s="227"/>
      <c r="R749" s="227">
        <v>748</v>
      </c>
      <c r="S749" s="227"/>
      <c r="T749" s="229" t="str">
        <f t="shared" si="23"/>
        <v>6149200:Var_ui_ErrNo:=748;</v>
      </c>
    </row>
    <row r="750" ht="16.5" spans="1:20">
      <c r="A750" s="222">
        <v>749</v>
      </c>
      <c r="B750" s="35">
        <v>241</v>
      </c>
      <c r="C750" s="35">
        <v>52</v>
      </c>
      <c r="F750" s="224"/>
      <c r="G750" s="224"/>
      <c r="H750" s="223" t="s">
        <v>5020</v>
      </c>
      <c r="I750" s="223" t="s">
        <v>5015</v>
      </c>
      <c r="J750" s="223" t="s">
        <v>5021</v>
      </c>
      <c r="K750" s="223" t="s">
        <v>5022</v>
      </c>
      <c r="L750" s="228">
        <v>61748</v>
      </c>
      <c r="M750" s="228">
        <v>0</v>
      </c>
      <c r="N750" s="223" t="s">
        <v>5023</v>
      </c>
      <c r="O750" s="229" t="str">
        <f t="shared" si="22"/>
        <v>EBS1_61748_0</v>
      </c>
      <c r="P750" s="229" t="s">
        <v>5024</v>
      </c>
      <c r="Q750" s="227"/>
      <c r="R750" s="227">
        <v>749</v>
      </c>
      <c r="S750" s="227"/>
      <c r="T750" s="229" t="str">
        <f t="shared" si="23"/>
        <v>6174800:Var_ui_ErrNo:=749;</v>
      </c>
    </row>
    <row r="751" ht="16.5" spans="1:20">
      <c r="A751" s="222">
        <v>750</v>
      </c>
      <c r="B751" s="35">
        <v>242</v>
      </c>
      <c r="C751" s="35">
        <v>52</v>
      </c>
      <c r="F751" s="224"/>
      <c r="G751" s="224"/>
      <c r="H751" s="223" t="s">
        <v>5025</v>
      </c>
      <c r="I751" s="223" t="s">
        <v>5015</v>
      </c>
      <c r="J751" s="223" t="s">
        <v>5026</v>
      </c>
      <c r="K751" s="223" t="s">
        <v>5027</v>
      </c>
      <c r="L751" s="228">
        <v>62004</v>
      </c>
      <c r="M751" s="228">
        <v>0</v>
      </c>
      <c r="N751" s="223" t="s">
        <v>5028</v>
      </c>
      <c r="O751" s="229" t="str">
        <f t="shared" si="22"/>
        <v>EBS1_62004_0</v>
      </c>
      <c r="P751" s="229" t="s">
        <v>5029</v>
      </c>
      <c r="Q751" s="227"/>
      <c r="R751" s="227">
        <v>750</v>
      </c>
      <c r="S751" s="227"/>
      <c r="T751" s="229" t="str">
        <f t="shared" si="23"/>
        <v>6200400:Var_ui_ErrNo:=750;</v>
      </c>
    </row>
    <row r="752" ht="16.5" spans="1:20">
      <c r="A752" s="222">
        <v>751</v>
      </c>
      <c r="B752" s="35">
        <v>243</v>
      </c>
      <c r="C752" s="35">
        <v>52</v>
      </c>
      <c r="F752" s="224"/>
      <c r="G752" s="224"/>
      <c r="H752" s="223" t="s">
        <v>5030</v>
      </c>
      <c r="I752" s="223" t="s">
        <v>5015</v>
      </c>
      <c r="J752" s="223" t="s">
        <v>5031</v>
      </c>
      <c r="K752" s="223" t="s">
        <v>5032</v>
      </c>
      <c r="L752" s="228">
        <v>62260</v>
      </c>
      <c r="M752" s="228">
        <v>0</v>
      </c>
      <c r="N752" s="223" t="s">
        <v>5033</v>
      </c>
      <c r="O752" s="229" t="str">
        <f t="shared" si="22"/>
        <v>EBS1_62260_0</v>
      </c>
      <c r="P752" s="229" t="s">
        <v>5034</v>
      </c>
      <c r="Q752" s="227"/>
      <c r="R752" s="227">
        <v>751</v>
      </c>
      <c r="S752" s="227"/>
      <c r="T752" s="229" t="str">
        <f t="shared" si="23"/>
        <v>6226000:Var_ui_ErrNo:=751;</v>
      </c>
    </row>
    <row r="753" ht="16.5" spans="1:20">
      <c r="A753" s="222">
        <v>752</v>
      </c>
      <c r="B753" s="35">
        <v>244</v>
      </c>
      <c r="C753" s="35">
        <v>52</v>
      </c>
      <c r="F753" s="224"/>
      <c r="G753" s="224"/>
      <c r="H753" s="223" t="s">
        <v>5035</v>
      </c>
      <c r="I753" s="223" t="s">
        <v>5015</v>
      </c>
      <c r="J753" s="223" t="s">
        <v>5036</v>
      </c>
      <c r="K753" s="223" t="s">
        <v>5037</v>
      </c>
      <c r="L753" s="228">
        <v>62516</v>
      </c>
      <c r="M753" s="228">
        <v>0</v>
      </c>
      <c r="N753" s="223" t="s">
        <v>5038</v>
      </c>
      <c r="O753" s="229" t="str">
        <f t="shared" si="22"/>
        <v>EBS1_62516_0</v>
      </c>
      <c r="P753" s="229" t="s">
        <v>5039</v>
      </c>
      <c r="Q753" s="227"/>
      <c r="R753" s="227">
        <v>752</v>
      </c>
      <c r="S753" s="227"/>
      <c r="T753" s="229" t="str">
        <f t="shared" si="23"/>
        <v>6251600:Var_ui_ErrNo:=752;</v>
      </c>
    </row>
    <row r="754" ht="16.5" spans="1:20">
      <c r="A754" s="222">
        <v>753</v>
      </c>
      <c r="B754" s="35">
        <v>245</v>
      </c>
      <c r="C754" s="35">
        <v>52</v>
      </c>
      <c r="F754" s="224"/>
      <c r="G754" s="224"/>
      <c r="H754" s="223" t="s">
        <v>5040</v>
      </c>
      <c r="I754" s="223" t="s">
        <v>5015</v>
      </c>
      <c r="J754" s="223" t="s">
        <v>5041</v>
      </c>
      <c r="K754" s="223" t="s">
        <v>5042</v>
      </c>
      <c r="L754" s="228">
        <v>62772</v>
      </c>
      <c r="M754" s="228">
        <v>0</v>
      </c>
      <c r="N754" s="223" t="s">
        <v>5043</v>
      </c>
      <c r="O754" s="229" t="str">
        <f t="shared" si="22"/>
        <v>EBS1_62772_0</v>
      </c>
      <c r="P754" s="229" t="s">
        <v>5044</v>
      </c>
      <c r="Q754" s="227"/>
      <c r="R754" s="227">
        <v>753</v>
      </c>
      <c r="S754" s="227"/>
      <c r="T754" s="229" t="str">
        <f t="shared" si="23"/>
        <v>6277200:Var_ui_ErrNo:=753;</v>
      </c>
    </row>
    <row r="755" ht="16.5" spans="1:20">
      <c r="A755" s="222">
        <v>754</v>
      </c>
      <c r="B755" s="35">
        <v>240</v>
      </c>
      <c r="C755" s="35">
        <v>53</v>
      </c>
      <c r="F755" s="224"/>
      <c r="G755" s="224"/>
      <c r="H755" s="223" t="s">
        <v>5045</v>
      </c>
      <c r="I755" s="223" t="s">
        <v>5046</v>
      </c>
      <c r="J755" s="223" t="s">
        <v>5047</v>
      </c>
      <c r="K755" s="223" t="s">
        <v>5048</v>
      </c>
      <c r="L755" s="228">
        <v>61493</v>
      </c>
      <c r="M755" s="228">
        <v>0</v>
      </c>
      <c r="N755" s="223" t="s">
        <v>5049</v>
      </c>
      <c r="O755" s="229" t="str">
        <f t="shared" si="22"/>
        <v>EBS1_61493_0</v>
      </c>
      <c r="P755" s="229" t="s">
        <v>5050</v>
      </c>
      <c r="Q755" s="227"/>
      <c r="R755" s="227">
        <v>754</v>
      </c>
      <c r="S755" s="227"/>
      <c r="T755" s="229" t="str">
        <f t="shared" si="23"/>
        <v>6149300:Var_ui_ErrNo:=754;</v>
      </c>
    </row>
    <row r="756" ht="16.5" spans="1:20">
      <c r="A756" s="222">
        <v>755</v>
      </c>
      <c r="B756" s="35">
        <v>241</v>
      </c>
      <c r="C756" s="35">
        <v>53</v>
      </c>
      <c r="F756" s="224"/>
      <c r="G756" s="224"/>
      <c r="H756" s="223" t="s">
        <v>5051</v>
      </c>
      <c r="I756" s="223" t="s">
        <v>5046</v>
      </c>
      <c r="J756" s="223" t="s">
        <v>5052</v>
      </c>
      <c r="K756" s="223" t="s">
        <v>5053</v>
      </c>
      <c r="L756" s="228">
        <v>61749</v>
      </c>
      <c r="M756" s="228">
        <v>0</v>
      </c>
      <c r="N756" s="223" t="s">
        <v>5054</v>
      </c>
      <c r="O756" s="229" t="str">
        <f t="shared" si="22"/>
        <v>EBS1_61749_0</v>
      </c>
      <c r="P756" s="229" t="s">
        <v>5055</v>
      </c>
      <c r="Q756" s="227"/>
      <c r="R756" s="227">
        <v>755</v>
      </c>
      <c r="S756" s="227"/>
      <c r="T756" s="229" t="str">
        <f t="shared" si="23"/>
        <v>6174900:Var_ui_ErrNo:=755;</v>
      </c>
    </row>
    <row r="757" ht="16.5" spans="1:20">
      <c r="A757" s="222">
        <v>756</v>
      </c>
      <c r="B757" s="35">
        <v>242</v>
      </c>
      <c r="C757" s="35">
        <v>53</v>
      </c>
      <c r="F757" s="224"/>
      <c r="G757" s="224"/>
      <c r="H757" s="223" t="s">
        <v>5056</v>
      </c>
      <c r="I757" s="223" t="s">
        <v>5046</v>
      </c>
      <c r="J757" s="223" t="s">
        <v>5057</v>
      </c>
      <c r="K757" s="223" t="s">
        <v>5058</v>
      </c>
      <c r="L757" s="228">
        <v>62005</v>
      </c>
      <c r="M757" s="228">
        <v>0</v>
      </c>
      <c r="N757" s="223" t="s">
        <v>5059</v>
      </c>
      <c r="O757" s="229" t="str">
        <f t="shared" si="22"/>
        <v>EBS1_62005_0</v>
      </c>
      <c r="P757" s="229" t="s">
        <v>5060</v>
      </c>
      <c r="Q757" s="227"/>
      <c r="R757" s="227">
        <v>756</v>
      </c>
      <c r="S757" s="227"/>
      <c r="T757" s="229" t="str">
        <f t="shared" si="23"/>
        <v>6200500:Var_ui_ErrNo:=756;</v>
      </c>
    </row>
    <row r="758" ht="16.5" spans="1:20">
      <c r="A758" s="222">
        <v>757</v>
      </c>
      <c r="B758" s="35">
        <v>243</v>
      </c>
      <c r="C758" s="35">
        <v>53</v>
      </c>
      <c r="F758" s="224"/>
      <c r="G758" s="224"/>
      <c r="H758" s="223" t="s">
        <v>5061</v>
      </c>
      <c r="I758" s="223" t="s">
        <v>5046</v>
      </c>
      <c r="J758" s="223" t="s">
        <v>5062</v>
      </c>
      <c r="K758" s="223" t="s">
        <v>5063</v>
      </c>
      <c r="L758" s="228">
        <v>62261</v>
      </c>
      <c r="M758" s="228">
        <v>0</v>
      </c>
      <c r="N758" s="223" t="s">
        <v>5064</v>
      </c>
      <c r="O758" s="229" t="str">
        <f t="shared" si="22"/>
        <v>EBS1_62261_0</v>
      </c>
      <c r="P758" s="229" t="s">
        <v>5065</v>
      </c>
      <c r="Q758" s="227"/>
      <c r="R758" s="227">
        <v>757</v>
      </c>
      <c r="S758" s="227"/>
      <c r="T758" s="229" t="str">
        <f t="shared" si="23"/>
        <v>6226100:Var_ui_ErrNo:=757;</v>
      </c>
    </row>
    <row r="759" ht="16.5" spans="1:20">
      <c r="A759" s="222">
        <v>758</v>
      </c>
      <c r="B759" s="35">
        <v>244</v>
      </c>
      <c r="C759" s="35">
        <v>53</v>
      </c>
      <c r="F759" s="224"/>
      <c r="G759" s="224"/>
      <c r="H759" s="223" t="s">
        <v>5066</v>
      </c>
      <c r="I759" s="223" t="s">
        <v>5046</v>
      </c>
      <c r="J759" s="223" t="s">
        <v>5067</v>
      </c>
      <c r="K759" s="223" t="s">
        <v>5068</v>
      </c>
      <c r="L759" s="228">
        <v>62517</v>
      </c>
      <c r="M759" s="228">
        <v>0</v>
      </c>
      <c r="N759" s="223" t="s">
        <v>5069</v>
      </c>
      <c r="O759" s="229" t="str">
        <f t="shared" si="22"/>
        <v>EBS1_62517_0</v>
      </c>
      <c r="P759" s="229" t="s">
        <v>5070</v>
      </c>
      <c r="Q759" s="227"/>
      <c r="R759" s="227">
        <v>758</v>
      </c>
      <c r="S759" s="227"/>
      <c r="T759" s="229" t="str">
        <f t="shared" si="23"/>
        <v>6251700:Var_ui_ErrNo:=758;</v>
      </c>
    </row>
    <row r="760" ht="16.5" spans="1:20">
      <c r="A760" s="222">
        <v>759</v>
      </c>
      <c r="B760" s="35">
        <v>245</v>
      </c>
      <c r="C760" s="35">
        <v>53</v>
      </c>
      <c r="F760" s="224"/>
      <c r="G760" s="224"/>
      <c r="H760" s="223" t="s">
        <v>5071</v>
      </c>
      <c r="I760" s="223" t="s">
        <v>5046</v>
      </c>
      <c r="J760" s="223" t="s">
        <v>5072</v>
      </c>
      <c r="K760" s="223" t="s">
        <v>5073</v>
      </c>
      <c r="L760" s="228">
        <v>62773</v>
      </c>
      <c r="M760" s="228">
        <v>0</v>
      </c>
      <c r="N760" s="223" t="s">
        <v>5074</v>
      </c>
      <c r="O760" s="229" t="str">
        <f t="shared" si="22"/>
        <v>EBS1_62773_0</v>
      </c>
      <c r="P760" s="229" t="s">
        <v>5075</v>
      </c>
      <c r="Q760" s="227"/>
      <c r="R760" s="227">
        <v>759</v>
      </c>
      <c r="S760" s="227"/>
      <c r="T760" s="229" t="str">
        <f t="shared" si="23"/>
        <v>6277300:Var_ui_ErrNo:=759;</v>
      </c>
    </row>
    <row r="761" ht="16.5" spans="1:20">
      <c r="A761" s="222">
        <v>760</v>
      </c>
      <c r="B761" s="35">
        <v>240</v>
      </c>
      <c r="C761" s="35">
        <v>54</v>
      </c>
      <c r="F761" s="224"/>
      <c r="G761" s="224"/>
      <c r="H761" s="223" t="s">
        <v>5076</v>
      </c>
      <c r="I761" s="223" t="s">
        <v>5077</v>
      </c>
      <c r="J761" s="223" t="s">
        <v>5078</v>
      </c>
      <c r="K761" s="223" t="s">
        <v>5079</v>
      </c>
      <c r="L761" s="228">
        <v>61494</v>
      </c>
      <c r="M761" s="228">
        <v>0</v>
      </c>
      <c r="N761" s="223" t="s">
        <v>5080</v>
      </c>
      <c r="O761" s="229" t="str">
        <f t="shared" si="22"/>
        <v>EBS1_61494_0</v>
      </c>
      <c r="P761" s="229" t="s">
        <v>5081</v>
      </c>
      <c r="Q761" s="227"/>
      <c r="R761" s="227">
        <v>760</v>
      </c>
      <c r="S761" s="227"/>
      <c r="T761" s="229" t="str">
        <f t="shared" si="23"/>
        <v>6149400:Var_ui_ErrNo:=760;</v>
      </c>
    </row>
    <row r="762" ht="16.5" spans="1:20">
      <c r="A762" s="222">
        <v>761</v>
      </c>
      <c r="B762" s="35">
        <v>241</v>
      </c>
      <c r="C762" s="35">
        <v>54</v>
      </c>
      <c r="F762" s="224"/>
      <c r="G762" s="224"/>
      <c r="H762" s="223" t="s">
        <v>5082</v>
      </c>
      <c r="I762" s="223" t="s">
        <v>5077</v>
      </c>
      <c r="J762" s="223" t="s">
        <v>5083</v>
      </c>
      <c r="K762" s="223" t="s">
        <v>5084</v>
      </c>
      <c r="L762" s="228">
        <v>61750</v>
      </c>
      <c r="M762" s="228">
        <v>0</v>
      </c>
      <c r="N762" s="223" t="s">
        <v>5085</v>
      </c>
      <c r="O762" s="229" t="str">
        <f t="shared" si="22"/>
        <v>EBS1_61750_0</v>
      </c>
      <c r="P762" s="229" t="s">
        <v>5086</v>
      </c>
      <c r="Q762" s="227"/>
      <c r="R762" s="227">
        <v>761</v>
      </c>
      <c r="S762" s="227"/>
      <c r="T762" s="229" t="str">
        <f t="shared" si="23"/>
        <v>6175000:Var_ui_ErrNo:=761;</v>
      </c>
    </row>
    <row r="763" ht="16.5" spans="1:20">
      <c r="A763" s="222">
        <v>762</v>
      </c>
      <c r="B763" s="35">
        <v>242</v>
      </c>
      <c r="C763" s="35">
        <v>54</v>
      </c>
      <c r="F763" s="224"/>
      <c r="G763" s="224"/>
      <c r="H763" s="223" t="s">
        <v>5087</v>
      </c>
      <c r="I763" s="223" t="s">
        <v>5077</v>
      </c>
      <c r="J763" s="223" t="s">
        <v>5088</v>
      </c>
      <c r="K763" s="223" t="s">
        <v>5089</v>
      </c>
      <c r="L763" s="228">
        <v>62006</v>
      </c>
      <c r="M763" s="228">
        <v>0</v>
      </c>
      <c r="N763" s="223" t="s">
        <v>5090</v>
      </c>
      <c r="O763" s="229" t="str">
        <f t="shared" si="22"/>
        <v>EBS1_62006_0</v>
      </c>
      <c r="P763" s="229" t="s">
        <v>5091</v>
      </c>
      <c r="Q763" s="227"/>
      <c r="R763" s="227">
        <v>762</v>
      </c>
      <c r="S763" s="227"/>
      <c r="T763" s="229" t="str">
        <f t="shared" si="23"/>
        <v>6200600:Var_ui_ErrNo:=762;</v>
      </c>
    </row>
    <row r="764" ht="16.5" spans="1:20">
      <c r="A764" s="222">
        <v>763</v>
      </c>
      <c r="B764" s="35">
        <v>243</v>
      </c>
      <c r="C764" s="35">
        <v>54</v>
      </c>
      <c r="F764" s="224"/>
      <c r="G764" s="224"/>
      <c r="H764" s="223" t="s">
        <v>5092</v>
      </c>
      <c r="I764" s="223" t="s">
        <v>5077</v>
      </c>
      <c r="J764" s="223" t="s">
        <v>5093</v>
      </c>
      <c r="K764" s="223" t="s">
        <v>5094</v>
      </c>
      <c r="L764" s="228">
        <v>62262</v>
      </c>
      <c r="M764" s="228">
        <v>0</v>
      </c>
      <c r="N764" s="223" t="s">
        <v>5095</v>
      </c>
      <c r="O764" s="229" t="str">
        <f t="shared" si="22"/>
        <v>EBS1_62262_0</v>
      </c>
      <c r="P764" s="229" t="s">
        <v>5096</v>
      </c>
      <c r="Q764" s="227"/>
      <c r="R764" s="227">
        <v>763</v>
      </c>
      <c r="S764" s="227"/>
      <c r="T764" s="229" t="str">
        <f t="shared" si="23"/>
        <v>6226200:Var_ui_ErrNo:=763;</v>
      </c>
    </row>
    <row r="765" ht="16.5" spans="1:20">
      <c r="A765" s="222">
        <v>764</v>
      </c>
      <c r="B765" s="35">
        <v>244</v>
      </c>
      <c r="C765" s="35">
        <v>54</v>
      </c>
      <c r="F765" s="224"/>
      <c r="G765" s="224"/>
      <c r="H765" s="223" t="s">
        <v>5097</v>
      </c>
      <c r="I765" s="223" t="s">
        <v>5077</v>
      </c>
      <c r="J765" s="223" t="s">
        <v>5098</v>
      </c>
      <c r="K765" s="223" t="s">
        <v>5099</v>
      </c>
      <c r="L765" s="228">
        <v>62518</v>
      </c>
      <c r="M765" s="228">
        <v>0</v>
      </c>
      <c r="N765" s="223" t="s">
        <v>5100</v>
      </c>
      <c r="O765" s="229" t="str">
        <f t="shared" si="22"/>
        <v>EBS1_62518_0</v>
      </c>
      <c r="P765" s="229" t="s">
        <v>5101</v>
      </c>
      <c r="Q765" s="227"/>
      <c r="R765" s="227">
        <v>764</v>
      </c>
      <c r="S765" s="227"/>
      <c r="T765" s="229" t="str">
        <f t="shared" si="23"/>
        <v>6251800:Var_ui_ErrNo:=764;</v>
      </c>
    </row>
    <row r="766" ht="16.5" spans="1:20">
      <c r="A766" s="222">
        <v>765</v>
      </c>
      <c r="B766" s="35">
        <v>245</v>
      </c>
      <c r="C766" s="35">
        <v>54</v>
      </c>
      <c r="F766" s="224"/>
      <c r="G766" s="224"/>
      <c r="H766" s="223" t="s">
        <v>5102</v>
      </c>
      <c r="I766" s="223" t="s">
        <v>5077</v>
      </c>
      <c r="J766" s="223" t="s">
        <v>5103</v>
      </c>
      <c r="K766" s="223" t="s">
        <v>5104</v>
      </c>
      <c r="L766" s="228">
        <v>62774</v>
      </c>
      <c r="M766" s="228">
        <v>0</v>
      </c>
      <c r="N766" s="223" t="s">
        <v>5105</v>
      </c>
      <c r="O766" s="229" t="str">
        <f t="shared" si="22"/>
        <v>EBS1_62774_0</v>
      </c>
      <c r="P766" s="229" t="s">
        <v>5106</v>
      </c>
      <c r="Q766" s="227"/>
      <c r="R766" s="227">
        <v>765</v>
      </c>
      <c r="S766" s="227"/>
      <c r="T766" s="229" t="str">
        <f t="shared" si="23"/>
        <v>6277400:Var_ui_ErrNo:=765;</v>
      </c>
    </row>
    <row r="767" ht="16.5" spans="1:20">
      <c r="A767" s="222">
        <v>766</v>
      </c>
      <c r="B767" s="35">
        <v>253</v>
      </c>
      <c r="C767" s="35">
        <v>201</v>
      </c>
      <c r="F767" s="224"/>
      <c r="G767" s="224"/>
      <c r="H767" s="223" t="s">
        <v>5107</v>
      </c>
      <c r="I767" s="223" t="s">
        <v>5108</v>
      </c>
      <c r="J767" s="223" t="s">
        <v>5109</v>
      </c>
      <c r="K767" s="223" t="s">
        <v>5110</v>
      </c>
      <c r="L767" s="228">
        <v>64969</v>
      </c>
      <c r="M767" s="228">
        <v>0</v>
      </c>
      <c r="N767" s="223" t="s">
        <v>5111</v>
      </c>
      <c r="O767" s="229" t="str">
        <f t="shared" si="22"/>
        <v>EBS1_64969_0</v>
      </c>
      <c r="P767" s="229" t="s">
        <v>5112</v>
      </c>
      <c r="Q767" s="227"/>
      <c r="R767" s="227">
        <v>766</v>
      </c>
      <c r="S767" s="227"/>
      <c r="T767" s="229" t="str">
        <f t="shared" si="23"/>
        <v>6496900:Var_ui_ErrNo:=766;</v>
      </c>
    </row>
    <row r="768" ht="16.5" spans="1:20">
      <c r="A768" s="222">
        <v>767</v>
      </c>
      <c r="B768" s="35">
        <v>255</v>
      </c>
      <c r="C768" s="35">
        <v>202</v>
      </c>
      <c r="F768" s="224"/>
      <c r="G768" s="224"/>
      <c r="H768" s="223" t="s">
        <v>1749</v>
      </c>
      <c r="I768" s="223" t="s">
        <v>5113</v>
      </c>
      <c r="J768" s="223" t="s">
        <v>5114</v>
      </c>
      <c r="K768" s="223" t="s">
        <v>5115</v>
      </c>
      <c r="L768" s="228">
        <v>65482</v>
      </c>
      <c r="M768" s="228">
        <v>0</v>
      </c>
      <c r="N768" s="223" t="s">
        <v>1753</v>
      </c>
      <c r="O768" s="229" t="str">
        <f t="shared" si="22"/>
        <v>EBS1_65482_0</v>
      </c>
      <c r="P768" s="229" t="s">
        <v>5116</v>
      </c>
      <c r="Q768" s="227"/>
      <c r="R768" s="227">
        <v>767</v>
      </c>
      <c r="S768" s="227"/>
      <c r="T768" s="229" t="str">
        <f t="shared" si="23"/>
        <v>6548200:Var_ui_ErrNo:=767;</v>
      </c>
    </row>
    <row r="769" ht="16.5" spans="1:20">
      <c r="A769" s="222">
        <v>768</v>
      </c>
      <c r="B769" s="35">
        <v>255</v>
      </c>
      <c r="C769" s="35">
        <v>203</v>
      </c>
      <c r="F769" s="224"/>
      <c r="G769" s="224"/>
      <c r="H769" s="223" t="s">
        <v>5117</v>
      </c>
      <c r="I769" s="223" t="s">
        <v>5118</v>
      </c>
      <c r="J769" s="223" t="s">
        <v>5119</v>
      </c>
      <c r="K769" s="223" t="s">
        <v>5120</v>
      </c>
      <c r="L769" s="228">
        <v>65483</v>
      </c>
      <c r="M769" s="228">
        <v>0</v>
      </c>
      <c r="N769" s="223" t="s">
        <v>1759</v>
      </c>
      <c r="O769" s="229" t="str">
        <f t="shared" si="22"/>
        <v>EBS1_65483_0</v>
      </c>
      <c r="P769" s="229" t="s">
        <v>5121</v>
      </c>
      <c r="Q769" s="227"/>
      <c r="R769" s="227">
        <v>768</v>
      </c>
      <c r="S769" s="227"/>
      <c r="T769" s="229" t="str">
        <f t="shared" si="23"/>
        <v>6548300:Var_ui_ErrNo:=768;</v>
      </c>
    </row>
    <row r="770" ht="16.5" spans="1:20">
      <c r="A770" s="222">
        <v>769</v>
      </c>
      <c r="B770" s="35">
        <v>255</v>
      </c>
      <c r="C770" s="35">
        <v>228</v>
      </c>
      <c r="F770" s="224"/>
      <c r="G770" s="224"/>
      <c r="H770" s="223" t="s">
        <v>1761</v>
      </c>
      <c r="I770" s="223" t="s">
        <v>5122</v>
      </c>
      <c r="J770" s="223" t="s">
        <v>5123</v>
      </c>
      <c r="K770" s="223" t="s">
        <v>5124</v>
      </c>
      <c r="L770" s="228">
        <v>65508</v>
      </c>
      <c r="M770" s="228">
        <v>0</v>
      </c>
      <c r="N770" s="223" t="s">
        <v>1765</v>
      </c>
      <c r="O770" s="229" t="str">
        <f t="shared" ref="O770:O787" si="24">"EBS1_"&amp;L770&amp;"_"&amp;M770</f>
        <v>EBS1_65508_0</v>
      </c>
      <c r="P770" s="229" t="s">
        <v>5125</v>
      </c>
      <c r="Q770" s="227"/>
      <c r="R770" s="227">
        <v>769</v>
      </c>
      <c r="S770" s="227"/>
      <c r="T770" s="229" t="str">
        <f t="shared" si="23"/>
        <v>6550800:Var_ui_ErrNo:=769;</v>
      </c>
    </row>
    <row r="771" ht="16.5" spans="1:20">
      <c r="A771" s="222">
        <v>770</v>
      </c>
      <c r="B771" s="35">
        <v>255</v>
      </c>
      <c r="C771" s="35">
        <v>230</v>
      </c>
      <c r="F771" s="224"/>
      <c r="G771" s="224"/>
      <c r="H771" s="223" t="s">
        <v>1773</v>
      </c>
      <c r="I771" s="223" t="s">
        <v>1774</v>
      </c>
      <c r="J771" s="223" t="s">
        <v>5126</v>
      </c>
      <c r="K771" s="223" t="s">
        <v>5127</v>
      </c>
      <c r="L771" s="228">
        <v>65510</v>
      </c>
      <c r="M771" s="228">
        <v>0</v>
      </c>
      <c r="N771" s="223" t="s">
        <v>1777</v>
      </c>
      <c r="O771" s="229" t="str">
        <f t="shared" si="24"/>
        <v>EBS1_65510_0</v>
      </c>
      <c r="P771" s="229" t="s">
        <v>5128</v>
      </c>
      <c r="Q771" s="227"/>
      <c r="R771" s="227">
        <v>770</v>
      </c>
      <c r="S771" s="227"/>
      <c r="T771" s="229" t="str">
        <f t="shared" ref="T771:T786" si="25">P771&amp;$Q$2&amp;R771&amp;$S$2</f>
        <v>6551000:Var_ui_ErrNo:=770;</v>
      </c>
    </row>
    <row r="772" ht="16.5" spans="1:20">
      <c r="A772" s="222">
        <v>771</v>
      </c>
      <c r="B772" s="35">
        <v>255</v>
      </c>
      <c r="C772" s="35">
        <v>231</v>
      </c>
      <c r="F772" s="224"/>
      <c r="G772" s="224"/>
      <c r="H772" s="223" t="s">
        <v>1779</v>
      </c>
      <c r="I772" s="223" t="s">
        <v>1780</v>
      </c>
      <c r="J772" s="223" t="s">
        <v>5129</v>
      </c>
      <c r="K772" s="223" t="s">
        <v>5130</v>
      </c>
      <c r="L772" s="228">
        <v>65511</v>
      </c>
      <c r="M772" s="228">
        <v>0</v>
      </c>
      <c r="N772" s="223" t="s">
        <v>1783</v>
      </c>
      <c r="O772" s="229" t="str">
        <f t="shared" si="24"/>
        <v>EBS1_65511_0</v>
      </c>
      <c r="P772" s="229" t="s">
        <v>5131</v>
      </c>
      <c r="Q772" s="227"/>
      <c r="R772" s="227">
        <v>771</v>
      </c>
      <c r="S772" s="227"/>
      <c r="T772" s="229" t="str">
        <f t="shared" si="25"/>
        <v>6551100:Var_ui_ErrNo:=771;</v>
      </c>
    </row>
    <row r="773" ht="16.5" spans="1:20">
      <c r="A773" s="222">
        <v>772</v>
      </c>
      <c r="B773" s="35">
        <v>255</v>
      </c>
      <c r="C773" s="35">
        <v>232</v>
      </c>
      <c r="F773" s="224"/>
      <c r="G773" s="224"/>
      <c r="H773" s="223" t="s">
        <v>5132</v>
      </c>
      <c r="I773" s="223" t="s">
        <v>5133</v>
      </c>
      <c r="J773" s="223" t="s">
        <v>5134</v>
      </c>
      <c r="K773" s="223" t="s">
        <v>5135</v>
      </c>
      <c r="L773" s="228">
        <v>65512</v>
      </c>
      <c r="M773" s="228">
        <v>0</v>
      </c>
      <c r="N773" s="223" t="s">
        <v>1789</v>
      </c>
      <c r="O773" s="229" t="str">
        <f t="shared" si="24"/>
        <v>EBS1_65512_0</v>
      </c>
      <c r="P773" s="229" t="s">
        <v>5136</v>
      </c>
      <c r="Q773" s="227"/>
      <c r="R773" s="227">
        <v>772</v>
      </c>
      <c r="S773" s="227"/>
      <c r="T773" s="229" t="str">
        <f t="shared" si="25"/>
        <v>6551200:Var_ui_ErrNo:=772;</v>
      </c>
    </row>
    <row r="774" ht="16.5" spans="1:20">
      <c r="A774" s="222">
        <v>773</v>
      </c>
      <c r="B774" s="35">
        <v>255</v>
      </c>
      <c r="C774" s="35">
        <v>233</v>
      </c>
      <c r="F774" s="224"/>
      <c r="G774" s="224"/>
      <c r="H774" s="223" t="s">
        <v>5137</v>
      </c>
      <c r="I774" s="223" t="s">
        <v>5138</v>
      </c>
      <c r="J774" s="223" t="s">
        <v>5139</v>
      </c>
      <c r="K774" s="223" t="s">
        <v>5140</v>
      </c>
      <c r="L774" s="228">
        <v>65513</v>
      </c>
      <c r="M774" s="228">
        <v>0</v>
      </c>
      <c r="N774" s="223" t="s">
        <v>1795</v>
      </c>
      <c r="O774" s="229" t="str">
        <f t="shared" si="24"/>
        <v>EBS1_65513_0</v>
      </c>
      <c r="P774" s="229" t="s">
        <v>5141</v>
      </c>
      <c r="Q774" s="227"/>
      <c r="R774" s="227">
        <v>773</v>
      </c>
      <c r="S774" s="227"/>
      <c r="T774" s="229" t="str">
        <f t="shared" si="25"/>
        <v>6551300:Var_ui_ErrNo:=773;</v>
      </c>
    </row>
    <row r="775" ht="16.5" spans="1:20">
      <c r="A775" s="222">
        <v>774</v>
      </c>
      <c r="B775" s="35">
        <v>255</v>
      </c>
      <c r="C775" s="35">
        <v>234</v>
      </c>
      <c r="F775" s="224"/>
      <c r="G775" s="224"/>
      <c r="H775" s="223" t="s">
        <v>1797</v>
      </c>
      <c r="I775" s="223" t="s">
        <v>1798</v>
      </c>
      <c r="J775" s="223" t="s">
        <v>5142</v>
      </c>
      <c r="K775" s="223" t="s">
        <v>5143</v>
      </c>
      <c r="L775" s="228">
        <v>65514</v>
      </c>
      <c r="M775" s="228">
        <v>0</v>
      </c>
      <c r="N775" s="223" t="s">
        <v>1801</v>
      </c>
      <c r="O775" s="229" t="str">
        <f t="shared" si="24"/>
        <v>EBS1_65514_0</v>
      </c>
      <c r="P775" s="229" t="s">
        <v>5144</v>
      </c>
      <c r="Q775" s="227"/>
      <c r="R775" s="227">
        <v>774</v>
      </c>
      <c r="S775" s="227"/>
      <c r="T775" s="229" t="str">
        <f t="shared" si="25"/>
        <v>6551400:Var_ui_ErrNo:=774;</v>
      </c>
    </row>
    <row r="776" ht="16.5" spans="1:20">
      <c r="A776" s="222">
        <v>775</v>
      </c>
      <c r="B776" s="35">
        <v>255</v>
      </c>
      <c r="C776" s="35">
        <v>235</v>
      </c>
      <c r="F776" s="224"/>
      <c r="G776" s="224"/>
      <c r="H776" s="223" t="s">
        <v>5145</v>
      </c>
      <c r="I776" s="223" t="s">
        <v>5146</v>
      </c>
      <c r="J776" s="223" t="s">
        <v>5147</v>
      </c>
      <c r="K776" s="223" t="s">
        <v>5148</v>
      </c>
      <c r="L776" s="228">
        <v>65515</v>
      </c>
      <c r="M776" s="228">
        <v>0</v>
      </c>
      <c r="N776" s="223" t="s">
        <v>1807</v>
      </c>
      <c r="O776" s="229" t="str">
        <f t="shared" si="24"/>
        <v>EBS1_65515_0</v>
      </c>
      <c r="P776" s="229" t="s">
        <v>5149</v>
      </c>
      <c r="Q776" s="227"/>
      <c r="R776" s="227">
        <v>775</v>
      </c>
      <c r="S776" s="227"/>
      <c r="T776" s="229" t="str">
        <f t="shared" si="25"/>
        <v>6551500:Var_ui_ErrNo:=775;</v>
      </c>
    </row>
    <row r="777" ht="16.5" spans="1:20">
      <c r="A777" s="222">
        <v>776</v>
      </c>
      <c r="B777" s="35">
        <v>255</v>
      </c>
      <c r="C777" s="35">
        <v>236</v>
      </c>
      <c r="F777" s="224"/>
      <c r="G777" s="224"/>
      <c r="H777" s="223" t="s">
        <v>1809</v>
      </c>
      <c r="I777" s="223" t="s">
        <v>1810</v>
      </c>
      <c r="J777" s="223" t="s">
        <v>5150</v>
      </c>
      <c r="K777" s="223" t="s">
        <v>5151</v>
      </c>
      <c r="L777" s="228">
        <v>65516</v>
      </c>
      <c r="M777" s="228">
        <v>0</v>
      </c>
      <c r="N777" s="223" t="s">
        <v>1813</v>
      </c>
      <c r="O777" s="229" t="str">
        <f t="shared" si="24"/>
        <v>EBS1_65516_0</v>
      </c>
      <c r="P777" s="229" t="s">
        <v>5152</v>
      </c>
      <c r="Q777" s="227"/>
      <c r="R777" s="227">
        <v>776</v>
      </c>
      <c r="S777" s="227"/>
      <c r="T777" s="229" t="str">
        <f t="shared" si="25"/>
        <v>6551600:Var_ui_ErrNo:=776;</v>
      </c>
    </row>
    <row r="778" ht="16.5" spans="1:20">
      <c r="A778" s="222">
        <v>777</v>
      </c>
      <c r="B778" s="35">
        <v>255</v>
      </c>
      <c r="C778" s="35">
        <v>237</v>
      </c>
      <c r="F778" s="224"/>
      <c r="G778" s="224"/>
      <c r="H778" s="223" t="s">
        <v>1815</v>
      </c>
      <c r="I778" s="223" t="s">
        <v>5153</v>
      </c>
      <c r="J778" s="223" t="s">
        <v>5154</v>
      </c>
      <c r="K778" s="223" t="s">
        <v>5155</v>
      </c>
      <c r="L778" s="228">
        <v>65517</v>
      </c>
      <c r="M778" s="228">
        <v>0</v>
      </c>
      <c r="N778" s="223" t="s">
        <v>1819</v>
      </c>
      <c r="O778" s="229" t="str">
        <f t="shared" si="24"/>
        <v>EBS1_65517_0</v>
      </c>
      <c r="P778" s="229" t="s">
        <v>5156</v>
      </c>
      <c r="Q778" s="227"/>
      <c r="R778" s="227">
        <v>777</v>
      </c>
      <c r="S778" s="227"/>
      <c r="T778" s="229" t="str">
        <f t="shared" si="25"/>
        <v>6551700:Var_ui_ErrNo:=777;</v>
      </c>
    </row>
    <row r="779" ht="16.5" spans="1:20">
      <c r="A779" s="222">
        <v>778</v>
      </c>
      <c r="B779" s="35">
        <v>255</v>
      </c>
      <c r="C779" s="35">
        <v>238</v>
      </c>
      <c r="F779" s="224"/>
      <c r="G779" s="224"/>
      <c r="H779" s="223" t="s">
        <v>5157</v>
      </c>
      <c r="I779" s="223" t="s">
        <v>5158</v>
      </c>
      <c r="J779" s="223" t="s">
        <v>5159</v>
      </c>
      <c r="K779" s="223" t="s">
        <v>5160</v>
      </c>
      <c r="L779" s="228">
        <v>65518</v>
      </c>
      <c r="M779" s="228">
        <v>0</v>
      </c>
      <c r="N779" s="223" t="s">
        <v>5161</v>
      </c>
      <c r="O779" s="229" t="str">
        <f t="shared" si="24"/>
        <v>EBS1_65518_0</v>
      </c>
      <c r="P779" s="229" t="s">
        <v>5162</v>
      </c>
      <c r="Q779" s="227"/>
      <c r="R779" s="227">
        <v>778</v>
      </c>
      <c r="S779" s="227"/>
      <c r="T779" s="229" t="str">
        <f t="shared" si="25"/>
        <v>6551800:Var_ui_ErrNo:=778;</v>
      </c>
    </row>
    <row r="780" ht="16.5" spans="1:20">
      <c r="A780" s="222">
        <v>779</v>
      </c>
      <c r="B780" s="35">
        <v>255</v>
      </c>
      <c r="C780" s="35">
        <v>239</v>
      </c>
      <c r="F780" s="224"/>
      <c r="G780" s="224"/>
      <c r="H780" s="223" t="s">
        <v>1821</v>
      </c>
      <c r="I780" s="223" t="s">
        <v>1822</v>
      </c>
      <c r="J780" s="223" t="s">
        <v>5163</v>
      </c>
      <c r="K780" s="223" t="s">
        <v>5164</v>
      </c>
      <c r="L780" s="228">
        <v>65519</v>
      </c>
      <c r="M780" s="228">
        <v>0</v>
      </c>
      <c r="N780" s="223" t="s">
        <v>1825</v>
      </c>
      <c r="O780" s="229" t="str">
        <f t="shared" si="24"/>
        <v>EBS1_65519_0</v>
      </c>
      <c r="P780" s="229" t="s">
        <v>5165</v>
      </c>
      <c r="Q780" s="227"/>
      <c r="R780" s="227">
        <v>779</v>
      </c>
      <c r="S780" s="227"/>
      <c r="T780" s="229" t="str">
        <f t="shared" si="25"/>
        <v>6551900:Var_ui_ErrNo:=779;</v>
      </c>
    </row>
    <row r="781" ht="16.5" spans="1:20">
      <c r="A781" s="222">
        <v>780</v>
      </c>
      <c r="B781" s="35">
        <v>255</v>
      </c>
      <c r="C781" s="35">
        <v>240</v>
      </c>
      <c r="F781" s="224"/>
      <c r="G781" s="224"/>
      <c r="H781" s="223" t="s">
        <v>5166</v>
      </c>
      <c r="I781" s="223" t="s">
        <v>5167</v>
      </c>
      <c r="J781" s="223" t="s">
        <v>5168</v>
      </c>
      <c r="K781" s="223" t="s">
        <v>5169</v>
      </c>
      <c r="L781" s="228">
        <v>65520</v>
      </c>
      <c r="M781" s="228">
        <v>0</v>
      </c>
      <c r="N781" s="223" t="s">
        <v>5170</v>
      </c>
      <c r="O781" s="229" t="str">
        <f t="shared" si="24"/>
        <v>EBS1_65520_0</v>
      </c>
      <c r="P781" s="229" t="s">
        <v>5171</v>
      </c>
      <c r="Q781" s="227"/>
      <c r="R781" s="227">
        <v>780</v>
      </c>
      <c r="S781" s="227"/>
      <c r="T781" s="229" t="str">
        <f t="shared" si="25"/>
        <v>6552000:Var_ui_ErrNo:=780;</v>
      </c>
    </row>
    <row r="782" ht="16.5" spans="1:20">
      <c r="A782" s="222">
        <v>781</v>
      </c>
      <c r="B782" s="35">
        <v>255</v>
      </c>
      <c r="C782" s="35">
        <v>241</v>
      </c>
      <c r="F782" s="224"/>
      <c r="G782" s="224"/>
      <c r="H782" s="223" t="s">
        <v>5172</v>
      </c>
      <c r="I782" s="223" t="s">
        <v>5173</v>
      </c>
      <c r="J782" s="223" t="s">
        <v>5174</v>
      </c>
      <c r="K782" s="223" t="s">
        <v>5175</v>
      </c>
      <c r="L782" s="228">
        <v>65521</v>
      </c>
      <c r="M782" s="228">
        <v>0</v>
      </c>
      <c r="N782" s="223" t="s">
        <v>5176</v>
      </c>
      <c r="O782" s="229" t="str">
        <f t="shared" si="24"/>
        <v>EBS1_65521_0</v>
      </c>
      <c r="P782" s="229" t="s">
        <v>5177</v>
      </c>
      <c r="Q782" s="227"/>
      <c r="R782" s="227">
        <v>781</v>
      </c>
      <c r="S782" s="227"/>
      <c r="T782" s="229" t="str">
        <f t="shared" si="25"/>
        <v>6552100:Var_ui_ErrNo:=781;</v>
      </c>
    </row>
    <row r="783" ht="16.5" spans="1:20">
      <c r="A783" s="222">
        <v>782</v>
      </c>
      <c r="B783" s="35">
        <v>255</v>
      </c>
      <c r="C783" s="35">
        <v>242</v>
      </c>
      <c r="F783" s="224"/>
      <c r="G783" s="224"/>
      <c r="H783" s="223" t="s">
        <v>5178</v>
      </c>
      <c r="I783" s="223" t="s">
        <v>5179</v>
      </c>
      <c r="J783" s="223" t="s">
        <v>5180</v>
      </c>
      <c r="K783" s="223" t="s">
        <v>5181</v>
      </c>
      <c r="L783" s="228">
        <v>65522</v>
      </c>
      <c r="M783" s="228">
        <v>0</v>
      </c>
      <c r="N783" s="223" t="s">
        <v>1837</v>
      </c>
      <c r="O783" s="229" t="str">
        <f t="shared" si="24"/>
        <v>EBS1_65522_0</v>
      </c>
      <c r="P783" s="229" t="s">
        <v>5182</v>
      </c>
      <c r="Q783" s="227"/>
      <c r="R783" s="227">
        <v>782</v>
      </c>
      <c r="S783" s="227"/>
      <c r="T783" s="229" t="str">
        <f t="shared" si="25"/>
        <v>6552200:Var_ui_ErrNo:=782;</v>
      </c>
    </row>
    <row r="784" ht="16.5" spans="1:20">
      <c r="A784" s="222">
        <v>783</v>
      </c>
      <c r="B784" s="35">
        <v>255</v>
      </c>
      <c r="C784" s="35">
        <v>244</v>
      </c>
      <c r="F784" s="224"/>
      <c r="G784" s="224"/>
      <c r="H784" s="223" t="s">
        <v>1833</v>
      </c>
      <c r="I784" s="223" t="s">
        <v>1834</v>
      </c>
      <c r="J784" s="223" t="s">
        <v>5183</v>
      </c>
      <c r="K784" s="223" t="s">
        <v>5184</v>
      </c>
      <c r="L784" s="228">
        <v>65524</v>
      </c>
      <c r="M784" s="228">
        <v>0</v>
      </c>
      <c r="N784" s="223" t="s">
        <v>1837</v>
      </c>
      <c r="O784" s="229" t="str">
        <f t="shared" si="24"/>
        <v>EBS1_65524_0</v>
      </c>
      <c r="P784" s="229" t="s">
        <v>5185</v>
      </c>
      <c r="Q784" s="227"/>
      <c r="R784" s="227">
        <v>783</v>
      </c>
      <c r="S784" s="227"/>
      <c r="T784" s="229" t="str">
        <f t="shared" si="25"/>
        <v>6552400:Var_ui_ErrNo:=783;</v>
      </c>
    </row>
    <row r="785" ht="16.5" spans="1:20">
      <c r="A785" s="222">
        <v>784</v>
      </c>
      <c r="B785" s="35">
        <v>255</v>
      </c>
      <c r="C785" s="35">
        <v>246</v>
      </c>
      <c r="F785" s="224"/>
      <c r="G785" s="224"/>
      <c r="H785" s="223" t="s">
        <v>5186</v>
      </c>
      <c r="I785" s="223" t="s">
        <v>5187</v>
      </c>
      <c r="J785" s="223" t="s">
        <v>5188</v>
      </c>
      <c r="K785" s="223" t="s">
        <v>5189</v>
      </c>
      <c r="L785" s="228">
        <v>65526</v>
      </c>
      <c r="M785" s="228">
        <v>0</v>
      </c>
      <c r="N785" s="223" t="s">
        <v>5190</v>
      </c>
      <c r="O785" s="229" t="str">
        <f t="shared" si="24"/>
        <v>EBS1_65526_0</v>
      </c>
      <c r="P785" s="229" t="s">
        <v>5191</v>
      </c>
      <c r="Q785" s="227"/>
      <c r="R785" s="227">
        <v>784</v>
      </c>
      <c r="S785" s="227"/>
      <c r="T785" s="229" t="str">
        <f t="shared" si="25"/>
        <v>6552600:Var_ui_ErrNo:=784;</v>
      </c>
    </row>
    <row r="786" ht="16.5" spans="1:20">
      <c r="A786" s="230">
        <v>785</v>
      </c>
      <c r="B786" s="231"/>
      <c r="C786" s="231"/>
      <c r="D786" s="232"/>
      <c r="E786" s="232"/>
      <c r="F786" s="233"/>
      <c r="G786" s="233"/>
      <c r="H786" s="233"/>
      <c r="I786" s="233"/>
      <c r="J786" s="234" t="s">
        <v>5192</v>
      </c>
      <c r="K786" s="233"/>
      <c r="L786" s="235">
        <v>2103</v>
      </c>
      <c r="M786" s="235">
        <v>0</v>
      </c>
      <c r="N786" s="233"/>
      <c r="O786" s="229" t="str">
        <f t="shared" si="24"/>
        <v>EBS1_2103_0</v>
      </c>
      <c r="P786" s="229" t="s">
        <v>5193</v>
      </c>
      <c r="Q786" s="227"/>
      <c r="R786" s="227">
        <v>785</v>
      </c>
      <c r="S786" s="227"/>
      <c r="T786" s="229" t="str">
        <f t="shared" si="25"/>
        <v>6553500:Var_ui_ErrNo:=785;</v>
      </c>
    </row>
    <row r="787" ht="16.5" spans="1:20">
      <c r="A787" s="230">
        <v>786</v>
      </c>
      <c r="B787" s="231"/>
      <c r="C787" s="231"/>
      <c r="D787" s="232"/>
      <c r="E787" s="232"/>
      <c r="F787" s="233"/>
      <c r="G787" s="233"/>
      <c r="H787" s="233"/>
      <c r="I787" s="233"/>
      <c r="J787" s="234" t="s">
        <v>5194</v>
      </c>
      <c r="K787" s="233"/>
      <c r="L787" s="235">
        <v>24832</v>
      </c>
      <c r="M787" s="235">
        <v>0</v>
      </c>
      <c r="N787" s="233"/>
      <c r="O787" s="229" t="str">
        <f t="shared" si="24"/>
        <v>EBS1_24832_0</v>
      </c>
      <c r="P787" s="227"/>
      <c r="Q787" s="227"/>
      <c r="R787" s="227"/>
      <c r="S787" s="227"/>
      <c r="T787" s="227"/>
    </row>
    <row r="788" ht="16.5" spans="1:20">
      <c r="A788" s="230">
        <v>787</v>
      </c>
      <c r="B788" s="231"/>
      <c r="C788" s="231"/>
      <c r="D788" s="232"/>
      <c r="E788" s="232"/>
      <c r="F788" s="233"/>
      <c r="G788" s="233"/>
      <c r="H788" s="233"/>
      <c r="I788" s="233"/>
      <c r="J788" s="234" t="s">
        <v>5195</v>
      </c>
      <c r="K788" s="233"/>
      <c r="L788" s="235">
        <v>24862</v>
      </c>
      <c r="M788" s="235">
        <v>0</v>
      </c>
      <c r="N788" s="233"/>
      <c r="O788" s="227"/>
      <c r="P788" s="227"/>
      <c r="Q788" s="227"/>
      <c r="R788" s="227"/>
      <c r="S788" s="227"/>
      <c r="T788" s="227"/>
    </row>
    <row r="789" ht="16.5" spans="1:20">
      <c r="A789" s="230">
        <v>788</v>
      </c>
      <c r="B789" s="231"/>
      <c r="C789" s="231"/>
      <c r="D789" s="232"/>
      <c r="E789" s="232"/>
      <c r="F789" s="233"/>
      <c r="G789" s="233"/>
      <c r="H789" s="233"/>
      <c r="I789" s="233"/>
      <c r="J789" s="234" t="s">
        <v>5196</v>
      </c>
      <c r="K789" s="233"/>
      <c r="L789" s="235">
        <v>24863</v>
      </c>
      <c r="M789" s="235">
        <v>0</v>
      </c>
      <c r="N789" s="233"/>
      <c r="O789" s="227"/>
      <c r="P789" s="227"/>
      <c r="Q789" s="227"/>
      <c r="R789" s="227"/>
      <c r="S789" s="227"/>
      <c r="T789" s="227"/>
    </row>
    <row r="790" ht="16.5" spans="1:20">
      <c r="A790" s="230">
        <v>789</v>
      </c>
      <c r="B790" s="231"/>
      <c r="C790" s="231"/>
      <c r="D790" s="232"/>
      <c r="E790" s="232"/>
      <c r="F790" s="233"/>
      <c r="G790" s="233"/>
      <c r="H790" s="233"/>
      <c r="I790" s="233"/>
      <c r="J790" s="234" t="s">
        <v>5197</v>
      </c>
      <c r="K790" s="233"/>
      <c r="L790" s="235">
        <v>24864</v>
      </c>
      <c r="M790" s="235">
        <v>0</v>
      </c>
      <c r="N790" s="233"/>
      <c r="O790" s="227"/>
      <c r="P790" s="227"/>
      <c r="Q790" s="227"/>
      <c r="R790" s="227"/>
      <c r="S790" s="227"/>
      <c r="T790" s="227"/>
    </row>
    <row r="791" ht="16.5" spans="1:20">
      <c r="A791" s="230">
        <v>790</v>
      </c>
      <c r="B791" s="231"/>
      <c r="C791" s="231"/>
      <c r="D791" s="232"/>
      <c r="E791" s="232"/>
      <c r="F791" s="233"/>
      <c r="G791" s="233"/>
      <c r="H791" s="233"/>
      <c r="I791" s="233"/>
      <c r="J791" s="234" t="s">
        <v>5198</v>
      </c>
      <c r="K791" s="233"/>
      <c r="L791" s="235">
        <v>24865</v>
      </c>
      <c r="M791" s="235">
        <v>0</v>
      </c>
      <c r="N791" s="233"/>
      <c r="O791" s="227"/>
      <c r="P791" s="227"/>
      <c r="Q791" s="227"/>
      <c r="R791" s="227"/>
      <c r="S791" s="227"/>
      <c r="T791" s="227"/>
    </row>
    <row r="792" ht="16.5" spans="1:20">
      <c r="A792" s="230">
        <v>791</v>
      </c>
      <c r="B792" s="231"/>
      <c r="C792" s="231"/>
      <c r="D792" s="232"/>
      <c r="E792" s="232"/>
      <c r="F792" s="233"/>
      <c r="G792" s="233"/>
      <c r="H792" s="233"/>
      <c r="I792" s="233"/>
      <c r="J792" s="234" t="s">
        <v>5199</v>
      </c>
      <c r="K792" s="233"/>
      <c r="L792" s="235">
        <v>24867</v>
      </c>
      <c r="M792" s="235">
        <v>0</v>
      </c>
      <c r="N792" s="233"/>
      <c r="O792" s="227"/>
      <c r="P792" s="227"/>
      <c r="Q792" s="227"/>
      <c r="R792" s="227"/>
      <c r="S792" s="227"/>
      <c r="T792" s="227"/>
    </row>
    <row r="793" ht="16.5" spans="1:20">
      <c r="A793" s="230">
        <v>792</v>
      </c>
      <c r="B793" s="231"/>
      <c r="C793" s="231"/>
      <c r="D793" s="232"/>
      <c r="E793" s="232"/>
      <c r="F793" s="233"/>
      <c r="G793" s="233"/>
      <c r="H793" s="233"/>
      <c r="I793" s="233"/>
      <c r="J793" s="234" t="s">
        <v>5200</v>
      </c>
      <c r="K793" s="233"/>
      <c r="L793" s="235">
        <v>24870</v>
      </c>
      <c r="M793" s="235">
        <v>0</v>
      </c>
      <c r="N793" s="233"/>
      <c r="O793" s="227"/>
      <c r="P793" s="227"/>
      <c r="Q793" s="227"/>
      <c r="R793" s="227"/>
      <c r="S793" s="227"/>
      <c r="T793" s="227"/>
    </row>
  </sheetData>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8"/>
  <sheetViews>
    <sheetView zoomScale="115" zoomScaleNormal="115" workbookViewId="0">
      <pane xSplit="1" ySplit="1" topLeftCell="B2" activePane="bottomRight" state="frozen"/>
      <selection/>
      <selection pane="topRight"/>
      <selection pane="bottomLeft"/>
      <selection pane="bottomRight" activeCell="H11" sqref="H11"/>
    </sheetView>
  </sheetViews>
  <sheetFormatPr defaultColWidth="9" defaultRowHeight="13.5"/>
  <cols>
    <col min="1" max="1" width="4.625" style="181" customWidth="1"/>
    <col min="2" max="2" width="32.1666666666667" style="183" customWidth="1"/>
    <col min="3" max="3" width="46.95" style="184" customWidth="1"/>
    <col min="4" max="4" width="8.15" style="182" customWidth="1"/>
    <col min="5" max="5" width="5.43333333333333" style="182" customWidth="1"/>
    <col min="6" max="16384" width="9" style="181"/>
  </cols>
  <sheetData>
    <row r="1" s="180" customFormat="1" ht="18.75" spans="1:79">
      <c r="A1" s="186" t="s">
        <v>99</v>
      </c>
      <c r="B1" s="213" t="s">
        <v>357</v>
      </c>
      <c r="C1" s="186" t="s">
        <v>358</v>
      </c>
      <c r="D1" s="186" t="s">
        <v>102</v>
      </c>
      <c r="E1" s="186" t="s">
        <v>103</v>
      </c>
      <c r="F1" s="181"/>
      <c r="G1" s="181"/>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211"/>
      <c r="AK1" s="181"/>
      <c r="AL1" s="181"/>
      <c r="AM1" s="181"/>
      <c r="AN1" s="181"/>
      <c r="AO1" s="181"/>
      <c r="AP1" s="181"/>
      <c r="AQ1" s="181"/>
      <c r="AR1" s="181"/>
      <c r="AS1" s="181"/>
      <c r="AT1" s="181"/>
      <c r="AU1" s="181"/>
      <c r="AV1" s="181"/>
      <c r="AW1" s="181"/>
      <c r="AX1" s="181"/>
      <c r="AY1" s="181"/>
      <c r="AZ1" s="181"/>
      <c r="BA1" s="181"/>
      <c r="BB1" s="181"/>
      <c r="BC1" s="181"/>
      <c r="BD1" s="181"/>
      <c r="BE1" s="181"/>
      <c r="BF1" s="212"/>
      <c r="BG1" s="181"/>
      <c r="BH1" s="181"/>
      <c r="BI1" s="181"/>
      <c r="BJ1" s="181"/>
      <c r="BK1" s="181"/>
      <c r="BL1" s="181"/>
      <c r="BM1" s="181"/>
      <c r="BN1" s="181"/>
      <c r="BO1" s="181"/>
      <c r="BP1" s="181"/>
      <c r="BQ1" s="181"/>
      <c r="BR1" s="181"/>
      <c r="BS1" s="181"/>
      <c r="BT1" s="181"/>
      <c r="BU1" s="181"/>
      <c r="BV1" s="181"/>
      <c r="BW1" s="181"/>
      <c r="BX1" s="181"/>
      <c r="BY1" s="181"/>
      <c r="BZ1" s="181"/>
      <c r="CA1" s="181"/>
    </row>
    <row r="2" ht="16.5" spans="1:5">
      <c r="A2" s="190">
        <v>1</v>
      </c>
      <c r="B2" s="191" t="s">
        <v>5201</v>
      </c>
      <c r="C2" s="191" t="s">
        <v>5202</v>
      </c>
      <c r="D2" s="190">
        <v>518100</v>
      </c>
      <c r="E2" s="190">
        <v>5</v>
      </c>
    </row>
    <row r="3" ht="16.5" spans="1:5">
      <c r="A3" s="190">
        <v>2</v>
      </c>
      <c r="B3" s="191" t="s">
        <v>5203</v>
      </c>
      <c r="C3" s="191" t="s">
        <v>5204</v>
      </c>
      <c r="D3" s="190">
        <v>518100</v>
      </c>
      <c r="E3" s="190">
        <v>6</v>
      </c>
    </row>
    <row r="4" ht="16.5" spans="1:5">
      <c r="A4" s="190">
        <v>3</v>
      </c>
      <c r="B4" s="191" t="s">
        <v>5205</v>
      </c>
      <c r="C4" s="214" t="s">
        <v>5206</v>
      </c>
      <c r="D4" s="190">
        <v>518101</v>
      </c>
      <c r="E4" s="190">
        <v>5</v>
      </c>
    </row>
    <row r="5" ht="16.5" spans="1:5">
      <c r="A5" s="190">
        <v>4</v>
      </c>
      <c r="B5" s="191" t="s">
        <v>5207</v>
      </c>
      <c r="C5" s="214" t="s">
        <v>5208</v>
      </c>
      <c r="D5" s="190">
        <v>518101</v>
      </c>
      <c r="E5" s="190">
        <v>6</v>
      </c>
    </row>
    <row r="6" ht="16.5" spans="1:5">
      <c r="A6" s="190">
        <v>5</v>
      </c>
      <c r="B6" s="191" t="s">
        <v>5209</v>
      </c>
      <c r="C6" s="191" t="s">
        <v>5210</v>
      </c>
      <c r="D6" s="190">
        <v>518102</v>
      </c>
      <c r="E6" s="190">
        <v>5</v>
      </c>
    </row>
    <row r="7" ht="16.5" spans="1:5">
      <c r="A7" s="190">
        <v>6</v>
      </c>
      <c r="B7" s="191" t="s">
        <v>5211</v>
      </c>
      <c r="C7" s="191" t="s">
        <v>5212</v>
      </c>
      <c r="D7" s="190">
        <v>518102</v>
      </c>
      <c r="E7" s="190">
        <v>6</v>
      </c>
    </row>
    <row r="8" ht="16.5" spans="1:5">
      <c r="A8" s="190">
        <v>7</v>
      </c>
      <c r="B8" s="191" t="s">
        <v>5213</v>
      </c>
      <c r="C8" s="214" t="s">
        <v>5214</v>
      </c>
      <c r="D8" s="190">
        <v>518103</v>
      </c>
      <c r="E8" s="190">
        <v>5</v>
      </c>
    </row>
    <row r="9" ht="16.5" spans="1:5">
      <c r="A9" s="190">
        <v>8</v>
      </c>
      <c r="B9" s="191" t="s">
        <v>5215</v>
      </c>
      <c r="C9" s="214" t="s">
        <v>5216</v>
      </c>
      <c r="D9" s="190">
        <v>518103</v>
      </c>
      <c r="E9" s="190">
        <v>6</v>
      </c>
    </row>
    <row r="10" ht="16.5" spans="1:5">
      <c r="A10" s="190">
        <v>9</v>
      </c>
      <c r="B10" s="191" t="s">
        <v>5217</v>
      </c>
      <c r="C10" s="214" t="s">
        <v>5218</v>
      </c>
      <c r="D10" s="190">
        <v>518104</v>
      </c>
      <c r="E10" s="190">
        <v>5</v>
      </c>
    </row>
    <row r="11" ht="16.5" spans="1:5">
      <c r="A11" s="190">
        <v>10</v>
      </c>
      <c r="B11" s="191" t="s">
        <v>5219</v>
      </c>
      <c r="C11" s="214" t="s">
        <v>5220</v>
      </c>
      <c r="D11" s="190">
        <v>518104</v>
      </c>
      <c r="E11" s="190">
        <v>6</v>
      </c>
    </row>
    <row r="12" ht="16.5" spans="1:5">
      <c r="A12" s="190">
        <v>11</v>
      </c>
      <c r="B12" s="191" t="s">
        <v>5221</v>
      </c>
      <c r="C12" s="191" t="s">
        <v>5222</v>
      </c>
      <c r="D12" s="190">
        <v>518105</v>
      </c>
      <c r="E12" s="190">
        <v>6</v>
      </c>
    </row>
    <row r="13" ht="16.5" spans="1:5">
      <c r="A13" s="190">
        <v>12</v>
      </c>
      <c r="B13" s="191" t="s">
        <v>5223</v>
      </c>
      <c r="C13" s="191" t="s">
        <v>5224</v>
      </c>
      <c r="D13" s="190">
        <v>518106</v>
      </c>
      <c r="E13" s="190">
        <v>5</v>
      </c>
    </row>
    <row r="14" ht="16.5" spans="1:5">
      <c r="A14" s="190">
        <v>13</v>
      </c>
      <c r="B14" s="191" t="s">
        <v>5225</v>
      </c>
      <c r="C14" s="191" t="s">
        <v>5226</v>
      </c>
      <c r="D14" s="190">
        <v>518106</v>
      </c>
      <c r="E14" s="190">
        <v>6</v>
      </c>
    </row>
    <row r="15" ht="16.5" spans="1:5">
      <c r="A15" s="190">
        <v>14</v>
      </c>
      <c r="B15" s="191" t="s">
        <v>5227</v>
      </c>
      <c r="C15" s="191" t="s">
        <v>5228</v>
      </c>
      <c r="D15" s="190">
        <v>518107</v>
      </c>
      <c r="E15" s="190">
        <v>5</v>
      </c>
    </row>
    <row r="16" ht="16.5" spans="1:5">
      <c r="A16" s="190">
        <v>15</v>
      </c>
      <c r="B16" s="191" t="s">
        <v>5229</v>
      </c>
      <c r="C16" s="191" t="s">
        <v>5230</v>
      </c>
      <c r="D16" s="190">
        <v>518107</v>
      </c>
      <c r="E16" s="190">
        <v>6</v>
      </c>
    </row>
    <row r="17" ht="16.5" spans="1:5">
      <c r="A17" s="190">
        <v>16</v>
      </c>
      <c r="B17" s="191" t="s">
        <v>5231</v>
      </c>
      <c r="C17" s="191" t="s">
        <v>5232</v>
      </c>
      <c r="D17" s="190">
        <v>518108</v>
      </c>
      <c r="E17" s="190">
        <v>5</v>
      </c>
    </row>
    <row r="18" ht="16.5" spans="1:5">
      <c r="A18" s="190">
        <v>17</v>
      </c>
      <c r="B18" s="191" t="s">
        <v>5233</v>
      </c>
      <c r="C18" s="191" t="s">
        <v>5234</v>
      </c>
      <c r="D18" s="190">
        <v>518108</v>
      </c>
      <c r="E18" s="190">
        <v>6</v>
      </c>
    </row>
    <row r="19" ht="16.5" spans="1:5">
      <c r="A19" s="190">
        <v>18</v>
      </c>
      <c r="B19" s="191" t="s">
        <v>5235</v>
      </c>
      <c r="C19" s="191" t="s">
        <v>5236</v>
      </c>
      <c r="D19" s="190">
        <v>518108</v>
      </c>
      <c r="E19" s="190">
        <v>13</v>
      </c>
    </row>
    <row r="20" ht="16.5" spans="1:5">
      <c r="A20" s="190">
        <v>19</v>
      </c>
      <c r="B20" s="191" t="s">
        <v>5237</v>
      </c>
      <c r="C20" s="191" t="s">
        <v>5238</v>
      </c>
      <c r="D20" s="190">
        <v>518109</v>
      </c>
      <c r="E20" s="190">
        <v>5</v>
      </c>
    </row>
    <row r="21" ht="16.5" spans="1:5">
      <c r="A21" s="190">
        <v>20</v>
      </c>
      <c r="B21" s="191" t="s">
        <v>5239</v>
      </c>
      <c r="C21" s="191" t="s">
        <v>5240</v>
      </c>
      <c r="D21" s="190">
        <v>518109</v>
      </c>
      <c r="E21" s="190">
        <v>6</v>
      </c>
    </row>
    <row r="22" ht="16.5" spans="1:5">
      <c r="A22" s="190">
        <v>21</v>
      </c>
      <c r="B22" s="191" t="s">
        <v>5241</v>
      </c>
      <c r="C22" s="191" t="s">
        <v>5242</v>
      </c>
      <c r="D22" s="190">
        <v>518109</v>
      </c>
      <c r="E22" s="190">
        <v>13</v>
      </c>
    </row>
    <row r="23" ht="16.5" spans="1:5">
      <c r="A23" s="190">
        <v>22</v>
      </c>
      <c r="B23" s="191" t="s">
        <v>5243</v>
      </c>
      <c r="C23" s="191" t="s">
        <v>5244</v>
      </c>
      <c r="D23" s="190">
        <v>518110</v>
      </c>
      <c r="E23" s="190">
        <v>5</v>
      </c>
    </row>
    <row r="24" ht="16.5" spans="1:5">
      <c r="A24" s="190">
        <v>23</v>
      </c>
      <c r="B24" s="191" t="s">
        <v>5245</v>
      </c>
      <c r="C24" s="191" t="s">
        <v>5246</v>
      </c>
      <c r="D24" s="190">
        <v>518110</v>
      </c>
      <c r="E24" s="190">
        <v>6</v>
      </c>
    </row>
    <row r="25" ht="16.5" spans="1:5">
      <c r="A25" s="190">
        <v>24</v>
      </c>
      <c r="B25" s="191" t="s">
        <v>5247</v>
      </c>
      <c r="C25" s="191" t="s">
        <v>5248</v>
      </c>
      <c r="D25" s="190">
        <v>518110</v>
      </c>
      <c r="E25" s="190">
        <v>13</v>
      </c>
    </row>
    <row r="26" ht="16.5" spans="1:5">
      <c r="A26" s="190">
        <v>25</v>
      </c>
      <c r="B26" s="191" t="s">
        <v>5249</v>
      </c>
      <c r="C26" s="191" t="s">
        <v>5250</v>
      </c>
      <c r="D26" s="190">
        <v>518111</v>
      </c>
      <c r="E26" s="190">
        <v>5</v>
      </c>
    </row>
    <row r="27" ht="16.5" spans="1:5">
      <c r="A27" s="190">
        <v>26</v>
      </c>
      <c r="B27" s="191" t="s">
        <v>5251</v>
      </c>
      <c r="C27" s="191" t="s">
        <v>5252</v>
      </c>
      <c r="D27" s="190">
        <v>518111</v>
      </c>
      <c r="E27" s="190">
        <v>6</v>
      </c>
    </row>
    <row r="28" ht="16.5" spans="1:5">
      <c r="A28" s="190">
        <v>27</v>
      </c>
      <c r="B28" s="191" t="s">
        <v>5253</v>
      </c>
      <c r="C28" s="191" t="s">
        <v>5254</v>
      </c>
      <c r="D28" s="190">
        <v>518111</v>
      </c>
      <c r="E28" s="190">
        <v>13</v>
      </c>
    </row>
    <row r="29" ht="16.5" spans="1:5">
      <c r="A29" s="190">
        <v>28</v>
      </c>
      <c r="B29" s="191" t="s">
        <v>5255</v>
      </c>
      <c r="C29" s="191" t="s">
        <v>5256</v>
      </c>
      <c r="D29" s="190">
        <v>518112</v>
      </c>
      <c r="E29" s="190">
        <v>5</v>
      </c>
    </row>
    <row r="30" ht="16.5" spans="1:5">
      <c r="A30" s="190">
        <v>29</v>
      </c>
      <c r="B30" s="191" t="s">
        <v>5257</v>
      </c>
      <c r="C30" s="191" t="s">
        <v>5258</v>
      </c>
      <c r="D30" s="190">
        <v>518112</v>
      </c>
      <c r="E30" s="190">
        <v>6</v>
      </c>
    </row>
    <row r="31" ht="16.5" spans="1:5">
      <c r="A31" s="190">
        <v>30</v>
      </c>
      <c r="B31" s="191" t="s">
        <v>5259</v>
      </c>
      <c r="C31" s="191" t="s">
        <v>5260</v>
      </c>
      <c r="D31" s="190">
        <v>518112</v>
      </c>
      <c r="E31" s="190">
        <v>13</v>
      </c>
    </row>
    <row r="32" ht="16.5" spans="1:5">
      <c r="A32" s="190">
        <v>31</v>
      </c>
      <c r="B32" s="191" t="s">
        <v>5261</v>
      </c>
      <c r="C32" s="191" t="s">
        <v>5262</v>
      </c>
      <c r="D32" s="190">
        <v>518113</v>
      </c>
      <c r="E32" s="190">
        <v>5</v>
      </c>
    </row>
    <row r="33" ht="16.5" spans="1:5">
      <c r="A33" s="190">
        <v>32</v>
      </c>
      <c r="B33" s="191" t="s">
        <v>5263</v>
      </c>
      <c r="C33" s="191" t="s">
        <v>5264</v>
      </c>
      <c r="D33" s="190">
        <v>518113</v>
      </c>
      <c r="E33" s="190">
        <v>6</v>
      </c>
    </row>
    <row r="34" ht="16.5" spans="1:5">
      <c r="A34" s="190">
        <v>33</v>
      </c>
      <c r="B34" s="191" t="s">
        <v>5265</v>
      </c>
      <c r="C34" s="191" t="s">
        <v>5266</v>
      </c>
      <c r="D34" s="190">
        <v>518113</v>
      </c>
      <c r="E34" s="190">
        <v>13</v>
      </c>
    </row>
    <row r="35" ht="16.5" spans="1:5">
      <c r="A35" s="190">
        <v>34</v>
      </c>
      <c r="B35" s="191" t="s">
        <v>5267</v>
      </c>
      <c r="C35" s="191" t="s">
        <v>5268</v>
      </c>
      <c r="D35" s="190">
        <v>518114</v>
      </c>
      <c r="E35" s="190">
        <v>5</v>
      </c>
    </row>
    <row r="36" ht="16.5" spans="1:5">
      <c r="A36" s="190">
        <v>35</v>
      </c>
      <c r="B36" s="191" t="s">
        <v>5269</v>
      </c>
      <c r="C36" s="191" t="s">
        <v>5270</v>
      </c>
      <c r="D36" s="190">
        <v>518114</v>
      </c>
      <c r="E36" s="190">
        <v>6</v>
      </c>
    </row>
    <row r="37" ht="16.5" spans="1:5">
      <c r="A37" s="190">
        <v>36</v>
      </c>
      <c r="B37" s="191" t="s">
        <v>5271</v>
      </c>
      <c r="C37" s="191" t="s">
        <v>5272</v>
      </c>
      <c r="D37" s="190">
        <v>518114</v>
      </c>
      <c r="E37" s="190">
        <v>13</v>
      </c>
    </row>
    <row r="38" ht="16.5" spans="1:5">
      <c r="A38" s="190">
        <v>37</v>
      </c>
      <c r="B38" s="191" t="s">
        <v>5273</v>
      </c>
      <c r="C38" s="191" t="s">
        <v>5274</v>
      </c>
      <c r="D38" s="190">
        <v>518115</v>
      </c>
      <c r="E38" s="190">
        <v>5</v>
      </c>
    </row>
    <row r="39" ht="16.5" spans="1:5">
      <c r="A39" s="190">
        <v>38</v>
      </c>
      <c r="B39" s="191" t="s">
        <v>5275</v>
      </c>
      <c r="C39" s="191" t="s">
        <v>5276</v>
      </c>
      <c r="D39" s="190">
        <v>518115</v>
      </c>
      <c r="E39" s="190">
        <v>6</v>
      </c>
    </row>
    <row r="40" ht="16.5" spans="1:5">
      <c r="A40" s="190">
        <v>39</v>
      </c>
      <c r="B40" s="191" t="s">
        <v>5277</v>
      </c>
      <c r="C40" s="191" t="s">
        <v>5278</v>
      </c>
      <c r="D40" s="190">
        <v>518115</v>
      </c>
      <c r="E40" s="190">
        <v>13</v>
      </c>
    </row>
    <row r="41" ht="16.5" spans="1:5">
      <c r="A41" s="190">
        <v>40</v>
      </c>
      <c r="B41" s="191" t="s">
        <v>5279</v>
      </c>
      <c r="C41" s="191" t="s">
        <v>5280</v>
      </c>
      <c r="D41" s="190">
        <v>518116</v>
      </c>
      <c r="E41" s="190">
        <v>5</v>
      </c>
    </row>
    <row r="42" ht="16.5" spans="1:5">
      <c r="A42" s="190">
        <v>41</v>
      </c>
      <c r="B42" s="191" t="s">
        <v>5281</v>
      </c>
      <c r="C42" s="191" t="s">
        <v>5282</v>
      </c>
      <c r="D42" s="190">
        <v>518116</v>
      </c>
      <c r="E42" s="190">
        <v>6</v>
      </c>
    </row>
    <row r="43" ht="16.5" spans="1:5">
      <c r="A43" s="190">
        <v>42</v>
      </c>
      <c r="B43" s="191" t="s">
        <v>5283</v>
      </c>
      <c r="C43" s="191" t="s">
        <v>5284</v>
      </c>
      <c r="D43" s="190">
        <v>518116</v>
      </c>
      <c r="E43" s="190">
        <v>13</v>
      </c>
    </row>
    <row r="44" s="211" customFormat="1" ht="16.5" spans="1:5">
      <c r="A44" s="190">
        <v>43</v>
      </c>
      <c r="B44" s="191" t="s">
        <v>5285</v>
      </c>
      <c r="C44" s="191" t="s">
        <v>5286</v>
      </c>
      <c r="D44" s="190">
        <v>518117</v>
      </c>
      <c r="E44" s="190">
        <v>5</v>
      </c>
    </row>
    <row r="45" ht="16.5" spans="1:5">
      <c r="A45" s="190">
        <v>44</v>
      </c>
      <c r="B45" s="191" t="s">
        <v>5287</v>
      </c>
      <c r="C45" s="191" t="s">
        <v>5288</v>
      </c>
      <c r="D45" s="190">
        <v>518117</v>
      </c>
      <c r="E45" s="190">
        <v>6</v>
      </c>
    </row>
    <row r="46" ht="16.5" spans="1:5">
      <c r="A46" s="190">
        <v>45</v>
      </c>
      <c r="B46" s="191" t="s">
        <v>5289</v>
      </c>
      <c r="C46" s="191" t="s">
        <v>5290</v>
      </c>
      <c r="D46" s="190">
        <v>518117</v>
      </c>
      <c r="E46" s="190">
        <v>13</v>
      </c>
    </row>
    <row r="47" ht="16.5" spans="1:5">
      <c r="A47" s="190">
        <v>46</v>
      </c>
      <c r="B47" s="191" t="s">
        <v>5291</v>
      </c>
      <c r="C47" s="191" t="s">
        <v>5292</v>
      </c>
      <c r="D47" s="190">
        <v>518118</v>
      </c>
      <c r="E47" s="190">
        <v>5</v>
      </c>
    </row>
    <row r="48" ht="16.5" spans="1:5">
      <c r="A48" s="190">
        <v>47</v>
      </c>
      <c r="B48" s="191" t="s">
        <v>5293</v>
      </c>
      <c r="C48" s="191" t="s">
        <v>5294</v>
      </c>
      <c r="D48" s="190">
        <v>518118</v>
      </c>
      <c r="E48" s="190">
        <v>6</v>
      </c>
    </row>
    <row r="49" ht="16.5" spans="1:5">
      <c r="A49" s="190">
        <v>48</v>
      </c>
      <c r="B49" s="191" t="s">
        <v>5295</v>
      </c>
      <c r="C49" s="191" t="s">
        <v>5296</v>
      </c>
      <c r="D49" s="190">
        <v>518118</v>
      </c>
      <c r="E49" s="190">
        <v>13</v>
      </c>
    </row>
    <row r="50" ht="16.5" spans="1:5">
      <c r="A50" s="190">
        <v>49</v>
      </c>
      <c r="B50" s="191" t="s">
        <v>5297</v>
      </c>
      <c r="C50" s="191" t="s">
        <v>5298</v>
      </c>
      <c r="D50" s="190">
        <v>518119</v>
      </c>
      <c r="E50" s="190">
        <v>5</v>
      </c>
    </row>
    <row r="51" ht="16.5" spans="1:5">
      <c r="A51" s="190">
        <v>50</v>
      </c>
      <c r="B51" s="191" t="s">
        <v>5299</v>
      </c>
      <c r="C51" s="191" t="s">
        <v>5300</v>
      </c>
      <c r="D51" s="190">
        <v>518119</v>
      </c>
      <c r="E51" s="190">
        <v>6</v>
      </c>
    </row>
    <row r="52" ht="16.5" spans="1:5">
      <c r="A52" s="190">
        <v>51</v>
      </c>
      <c r="B52" s="191" t="s">
        <v>5301</v>
      </c>
      <c r="C52" s="191" t="s">
        <v>5302</v>
      </c>
      <c r="D52" s="190">
        <v>518119</v>
      </c>
      <c r="E52" s="190">
        <v>13</v>
      </c>
    </row>
    <row r="53" ht="16.5" spans="1:5">
      <c r="A53" s="190">
        <v>52</v>
      </c>
      <c r="B53" s="191" t="s">
        <v>5303</v>
      </c>
      <c r="C53" s="191" t="s">
        <v>5304</v>
      </c>
      <c r="D53" s="190">
        <v>518120</v>
      </c>
      <c r="E53" s="190">
        <v>5</v>
      </c>
    </row>
    <row r="54" ht="16.5" spans="1:5">
      <c r="A54" s="190">
        <v>53</v>
      </c>
      <c r="B54" s="191" t="s">
        <v>5305</v>
      </c>
      <c r="C54" s="191" t="s">
        <v>5306</v>
      </c>
      <c r="D54" s="190">
        <v>518120</v>
      </c>
      <c r="E54" s="190">
        <v>6</v>
      </c>
    </row>
    <row r="55" ht="16.5" spans="1:5">
      <c r="A55" s="190">
        <v>54</v>
      </c>
      <c r="B55" s="191" t="s">
        <v>5307</v>
      </c>
      <c r="C55" s="191" t="s">
        <v>5308</v>
      </c>
      <c r="D55" s="190">
        <v>518120</v>
      </c>
      <c r="E55" s="190">
        <v>13</v>
      </c>
    </row>
    <row r="56" ht="16.5" spans="1:5">
      <c r="A56" s="190">
        <v>55</v>
      </c>
      <c r="B56" s="191" t="s">
        <v>5309</v>
      </c>
      <c r="C56" s="191" t="s">
        <v>5310</v>
      </c>
      <c r="D56" s="190">
        <v>518121</v>
      </c>
      <c r="E56" s="190">
        <v>5</v>
      </c>
    </row>
    <row r="57" ht="16.5" spans="1:5">
      <c r="A57" s="190">
        <v>56</v>
      </c>
      <c r="B57" s="191" t="s">
        <v>5311</v>
      </c>
      <c r="C57" s="191" t="s">
        <v>5312</v>
      </c>
      <c r="D57" s="190">
        <v>518121</v>
      </c>
      <c r="E57" s="190">
        <v>6</v>
      </c>
    </row>
    <row r="58" ht="16.5" spans="1:5">
      <c r="A58" s="190">
        <v>57</v>
      </c>
      <c r="B58" s="191" t="s">
        <v>5313</v>
      </c>
      <c r="C58" s="191" t="s">
        <v>5314</v>
      </c>
      <c r="D58" s="190">
        <v>518122</v>
      </c>
      <c r="E58" s="190">
        <v>5</v>
      </c>
    </row>
    <row r="59" ht="16.5" spans="1:5">
      <c r="A59" s="190">
        <v>58</v>
      </c>
      <c r="B59" s="191" t="s">
        <v>5315</v>
      </c>
      <c r="C59" s="191" t="s">
        <v>5316</v>
      </c>
      <c r="D59" s="190">
        <v>518122</v>
      </c>
      <c r="E59" s="190">
        <v>6</v>
      </c>
    </row>
    <row r="60" ht="16.5" spans="1:5">
      <c r="A60" s="190">
        <v>59</v>
      </c>
      <c r="B60" s="191" t="s">
        <v>5317</v>
      </c>
      <c r="C60" s="191" t="s">
        <v>5318</v>
      </c>
      <c r="D60" s="190">
        <v>518123</v>
      </c>
      <c r="E60" s="190">
        <v>5</v>
      </c>
    </row>
    <row r="61" ht="16.5" spans="1:5">
      <c r="A61" s="190">
        <v>60</v>
      </c>
      <c r="B61" s="191" t="s">
        <v>5319</v>
      </c>
      <c r="C61" s="191" t="s">
        <v>5320</v>
      </c>
      <c r="D61" s="190">
        <v>518123</v>
      </c>
      <c r="E61" s="190">
        <v>6</v>
      </c>
    </row>
    <row r="62" ht="16.5" spans="1:5">
      <c r="A62" s="190">
        <v>61</v>
      </c>
      <c r="B62" s="191" t="s">
        <v>5321</v>
      </c>
      <c r="C62" s="191" t="s">
        <v>5322</v>
      </c>
      <c r="D62" s="190">
        <v>518123</v>
      </c>
      <c r="E62" s="190">
        <v>13</v>
      </c>
    </row>
    <row r="63" ht="16.5" spans="1:5">
      <c r="A63" s="190">
        <v>62</v>
      </c>
      <c r="B63" s="191" t="s">
        <v>5323</v>
      </c>
      <c r="C63" s="191" t="s">
        <v>5324</v>
      </c>
      <c r="D63" s="190">
        <v>518124</v>
      </c>
      <c r="E63" s="190">
        <v>6</v>
      </c>
    </row>
    <row r="64" ht="16.5" spans="1:5">
      <c r="A64" s="190">
        <v>63</v>
      </c>
      <c r="B64" s="191" t="s">
        <v>5325</v>
      </c>
      <c r="C64" s="191" t="s">
        <v>5326</v>
      </c>
      <c r="D64" s="190">
        <v>518125</v>
      </c>
      <c r="E64" s="190">
        <v>6</v>
      </c>
    </row>
    <row r="65" ht="16.5" spans="1:5">
      <c r="A65" s="190">
        <v>64</v>
      </c>
      <c r="B65" s="191" t="s">
        <v>5327</v>
      </c>
      <c r="C65" s="191" t="s">
        <v>5328</v>
      </c>
      <c r="D65" s="190">
        <v>518126</v>
      </c>
      <c r="E65" s="190">
        <v>5</v>
      </c>
    </row>
    <row r="66" s="212" customFormat="1" ht="16.5" spans="1:5">
      <c r="A66" s="190">
        <v>65</v>
      </c>
      <c r="B66" s="191" t="s">
        <v>5329</v>
      </c>
      <c r="C66" s="191" t="s">
        <v>5330</v>
      </c>
      <c r="D66" s="190">
        <v>518127</v>
      </c>
      <c r="E66" s="190">
        <v>5</v>
      </c>
    </row>
    <row r="67" ht="16.5" spans="1:5">
      <c r="A67" s="190">
        <v>66</v>
      </c>
      <c r="B67" s="191" t="s">
        <v>5331</v>
      </c>
      <c r="C67" s="191" t="s">
        <v>5332</v>
      </c>
      <c r="D67" s="190">
        <v>518128</v>
      </c>
      <c r="E67" s="190">
        <v>5</v>
      </c>
    </row>
    <row r="68" ht="16.5" spans="1:5">
      <c r="A68" s="190">
        <v>67</v>
      </c>
      <c r="B68" s="191" t="s">
        <v>5333</v>
      </c>
      <c r="C68" s="191" t="s">
        <v>5334</v>
      </c>
      <c r="D68" s="190">
        <v>518129</v>
      </c>
      <c r="E68" s="190">
        <v>5</v>
      </c>
    </row>
    <row r="69" ht="16.5" spans="1:5">
      <c r="A69" s="190">
        <v>68</v>
      </c>
      <c r="B69" s="191" t="s">
        <v>5335</v>
      </c>
      <c r="C69" s="191" t="s">
        <v>5336</v>
      </c>
      <c r="D69" s="190">
        <v>518131</v>
      </c>
      <c r="E69" s="190">
        <v>3</v>
      </c>
    </row>
    <row r="70" ht="16.5" spans="1:5">
      <c r="A70" s="190">
        <v>69</v>
      </c>
      <c r="B70" s="191" t="s">
        <v>5337</v>
      </c>
      <c r="C70" s="191" t="s">
        <v>5338</v>
      </c>
      <c r="D70" s="190">
        <v>518131</v>
      </c>
      <c r="E70" s="190">
        <v>4</v>
      </c>
    </row>
    <row r="71" ht="16.5" spans="1:5">
      <c r="A71" s="190">
        <v>70</v>
      </c>
      <c r="B71" s="191" t="s">
        <v>5339</v>
      </c>
      <c r="C71" s="191" t="s">
        <v>5340</v>
      </c>
      <c r="D71" s="190">
        <v>518136</v>
      </c>
      <c r="E71" s="190">
        <v>5</v>
      </c>
    </row>
    <row r="72" ht="16.5" spans="1:5">
      <c r="A72" s="190">
        <v>71</v>
      </c>
      <c r="B72" s="191" t="s">
        <v>5341</v>
      </c>
      <c r="C72" s="191" t="s">
        <v>5342</v>
      </c>
      <c r="D72" s="190">
        <v>518136</v>
      </c>
      <c r="E72" s="190">
        <v>6</v>
      </c>
    </row>
    <row r="73" ht="16.5" spans="1:5">
      <c r="A73" s="190">
        <v>72</v>
      </c>
      <c r="B73" s="191" t="s">
        <v>5343</v>
      </c>
      <c r="C73" s="191" t="s">
        <v>5344</v>
      </c>
      <c r="D73" s="190">
        <v>518137</v>
      </c>
      <c r="E73" s="190">
        <v>5</v>
      </c>
    </row>
    <row r="74" ht="16.5" spans="1:5">
      <c r="A74" s="190">
        <v>73</v>
      </c>
      <c r="B74" s="191" t="s">
        <v>5345</v>
      </c>
      <c r="C74" s="191" t="s">
        <v>5346</v>
      </c>
      <c r="D74" s="190">
        <v>518137</v>
      </c>
      <c r="E74" s="190">
        <v>6</v>
      </c>
    </row>
    <row r="75" ht="16.5" spans="1:5">
      <c r="A75" s="190">
        <v>74</v>
      </c>
      <c r="B75" s="191" t="s">
        <v>5347</v>
      </c>
      <c r="C75" s="214" t="s">
        <v>5348</v>
      </c>
      <c r="D75" s="190">
        <v>518138</v>
      </c>
      <c r="E75" s="190">
        <v>6</v>
      </c>
    </row>
    <row r="76" ht="16.5" spans="1:5">
      <c r="A76" s="190">
        <v>75</v>
      </c>
      <c r="B76" s="191" t="s">
        <v>5349</v>
      </c>
      <c r="C76" s="214" t="s">
        <v>5350</v>
      </c>
      <c r="D76" s="190">
        <v>518139</v>
      </c>
      <c r="E76" s="190">
        <v>5</v>
      </c>
    </row>
    <row r="77" ht="16.5" spans="1:5">
      <c r="A77" s="190">
        <v>76</v>
      </c>
      <c r="B77" s="191" t="s">
        <v>5351</v>
      </c>
      <c r="C77" s="214" t="s">
        <v>5352</v>
      </c>
      <c r="D77" s="190">
        <v>518139</v>
      </c>
      <c r="E77" s="190">
        <v>6</v>
      </c>
    </row>
    <row r="78" ht="16.5" spans="1:5">
      <c r="A78" s="190">
        <v>77</v>
      </c>
      <c r="B78" s="191" t="s">
        <v>5353</v>
      </c>
      <c r="C78" s="191" t="s">
        <v>5354</v>
      </c>
      <c r="D78" s="190">
        <v>518140</v>
      </c>
      <c r="E78" s="190">
        <v>5</v>
      </c>
    </row>
    <row r="79" ht="16.5" spans="1:5">
      <c r="A79" s="190">
        <v>78</v>
      </c>
      <c r="B79" s="191" t="s">
        <v>5355</v>
      </c>
      <c r="C79" s="191" t="s">
        <v>5356</v>
      </c>
      <c r="D79" s="190">
        <v>518140</v>
      </c>
      <c r="E79" s="190">
        <v>6</v>
      </c>
    </row>
    <row r="80" ht="16.5" spans="1:5">
      <c r="A80" s="190">
        <v>79</v>
      </c>
      <c r="B80" s="191" t="s">
        <v>5357</v>
      </c>
      <c r="C80" s="214" t="s">
        <v>5358</v>
      </c>
      <c r="D80" s="190">
        <v>518141</v>
      </c>
      <c r="E80" s="190">
        <v>5</v>
      </c>
    </row>
    <row r="81" ht="16.5" spans="1:5">
      <c r="A81" s="190">
        <v>80</v>
      </c>
      <c r="B81" s="191" t="s">
        <v>5359</v>
      </c>
      <c r="C81" s="214" t="s">
        <v>5360</v>
      </c>
      <c r="D81" s="190">
        <v>518141</v>
      </c>
      <c r="E81" s="190">
        <v>6</v>
      </c>
    </row>
    <row r="82" ht="16.5" spans="1:5">
      <c r="A82" s="190">
        <v>81</v>
      </c>
      <c r="B82" s="191" t="s">
        <v>5361</v>
      </c>
      <c r="C82" s="214" t="s">
        <v>5362</v>
      </c>
      <c r="D82" s="190">
        <v>518142</v>
      </c>
      <c r="E82" s="190">
        <v>5</v>
      </c>
    </row>
    <row r="83" ht="16.5" spans="1:5">
      <c r="A83" s="190">
        <v>82</v>
      </c>
      <c r="B83" s="191" t="s">
        <v>5363</v>
      </c>
      <c r="C83" s="214" t="s">
        <v>5364</v>
      </c>
      <c r="D83" s="190">
        <v>518142</v>
      </c>
      <c r="E83" s="190">
        <v>6</v>
      </c>
    </row>
    <row r="84" ht="16.5" spans="1:5">
      <c r="A84" s="190">
        <v>83</v>
      </c>
      <c r="B84" s="191" t="s">
        <v>5365</v>
      </c>
      <c r="C84" s="214" t="s">
        <v>5366</v>
      </c>
      <c r="D84" s="190">
        <v>518148</v>
      </c>
      <c r="E84" s="190">
        <v>3</v>
      </c>
    </row>
    <row r="85" ht="16.5" spans="1:5">
      <c r="A85" s="190">
        <v>84</v>
      </c>
      <c r="B85" s="191" t="s">
        <v>5367</v>
      </c>
      <c r="C85" s="214" t="s">
        <v>5368</v>
      </c>
      <c r="D85" s="190">
        <v>518148</v>
      </c>
      <c r="E85" s="190">
        <v>4</v>
      </c>
    </row>
    <row r="86" ht="16.5" spans="1:5">
      <c r="A86" s="190">
        <v>85</v>
      </c>
      <c r="B86" s="191" t="s">
        <v>5369</v>
      </c>
      <c r="C86" s="191" t="s">
        <v>5370</v>
      </c>
      <c r="D86" s="215">
        <v>518151</v>
      </c>
      <c r="E86" s="215">
        <v>0</v>
      </c>
    </row>
    <row r="87" ht="16.5" spans="1:5">
      <c r="A87" s="190">
        <v>86</v>
      </c>
      <c r="B87" s="191" t="s">
        <v>5371</v>
      </c>
      <c r="C87" s="191" t="s">
        <v>5372</v>
      </c>
      <c r="D87" s="215">
        <v>518151</v>
      </c>
      <c r="E87" s="215">
        <v>1</v>
      </c>
    </row>
    <row r="88" spans="3:3">
      <c r="C88" s="216"/>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7"/>
  <sheetViews>
    <sheetView workbookViewId="0">
      <pane ySplit="1" topLeftCell="A2" activePane="bottomLeft" state="frozen"/>
      <selection/>
      <selection pane="bottomLeft" activeCell="B9" sqref="B9"/>
    </sheetView>
  </sheetViews>
  <sheetFormatPr defaultColWidth="0" defaultRowHeight="13.5"/>
  <cols>
    <col min="1" max="1" width="5.625" style="194" customWidth="1"/>
    <col min="2" max="2" width="42" style="195" customWidth="1"/>
    <col min="3" max="3" width="72.325" style="195" hidden="1" customWidth="1"/>
    <col min="4" max="4" width="8.375" style="194" customWidth="1"/>
    <col min="5" max="5" width="5.125" style="194" customWidth="1"/>
    <col min="6" max="6" width="47.675" style="195" customWidth="1"/>
    <col min="7" max="7" width="49.8166666666667" style="195" hidden="1" customWidth="1"/>
    <col min="8" max="8" width="16.075" style="194" hidden="1" customWidth="1"/>
    <col min="9" max="9" width="21.6083333333333" style="194" hidden="1" customWidth="1"/>
    <col min="10" max="12" width="10.8916666666667" style="194" hidden="1" customWidth="1"/>
    <col min="13" max="13" width="15.875" style="194" hidden="1" customWidth="1"/>
    <col min="14" max="15" width="5.18333333333333" style="196" hidden="1" customWidth="1"/>
    <col min="16" max="16" width="27.6416666666667" style="194" hidden="1" customWidth="1"/>
    <col min="17" max="35" width="33.0833333333333" style="194" customWidth="1"/>
    <col min="36" max="16382" width="9" style="194" customWidth="1"/>
    <col min="16383" max="16384" width="0" style="194" customWidth="1"/>
  </cols>
  <sheetData>
    <row r="1" s="180" customFormat="1" ht="18.75" spans="1:34">
      <c r="A1" s="186" t="s">
        <v>99</v>
      </c>
      <c r="B1" s="187" t="s">
        <v>5373</v>
      </c>
      <c r="C1" s="197"/>
      <c r="D1" s="186" t="s">
        <v>102</v>
      </c>
      <c r="E1" s="186" t="s">
        <v>103</v>
      </c>
      <c r="F1" s="186" t="s">
        <v>358</v>
      </c>
      <c r="G1" s="186" t="s">
        <v>5374</v>
      </c>
      <c r="H1" s="189"/>
      <c r="I1" s="207"/>
      <c r="J1" s="207"/>
      <c r="K1" s="207"/>
      <c r="L1" s="207"/>
      <c r="M1" s="207"/>
      <c r="N1" s="208"/>
      <c r="O1" s="208"/>
      <c r="P1" s="207"/>
      <c r="Q1" s="194"/>
      <c r="R1" s="194"/>
      <c r="S1" s="194"/>
      <c r="T1" s="194"/>
      <c r="U1" s="194"/>
      <c r="V1" s="194"/>
      <c r="W1" s="194"/>
      <c r="X1" s="194"/>
      <c r="Y1" s="194"/>
      <c r="Z1" s="194"/>
      <c r="AA1" s="194"/>
      <c r="AB1" s="194"/>
      <c r="AC1" s="194"/>
      <c r="AD1" s="194"/>
      <c r="AE1" s="194"/>
      <c r="AF1" s="194"/>
      <c r="AG1" s="194"/>
      <c r="AH1" s="194"/>
    </row>
    <row r="2" ht="16.5" spans="1:16">
      <c r="A2" s="198" t="s">
        <v>5375</v>
      </c>
      <c r="B2" s="199" t="s">
        <v>5376</v>
      </c>
      <c r="C2" s="199" t="s">
        <v>5377</v>
      </c>
      <c r="D2" s="200" t="s">
        <v>5378</v>
      </c>
      <c r="E2" s="200" t="s">
        <v>5379</v>
      </c>
      <c r="F2" s="201" t="s">
        <v>5380</v>
      </c>
      <c r="G2" s="202" t="s">
        <v>5381</v>
      </c>
      <c r="H2" s="203" t="str">
        <f t="shared" ref="H2:H27" si="0">"DCM_"&amp;D2&amp;"_"&amp;E2</f>
        <v>DCM_518001_5</v>
      </c>
      <c r="I2" s="203" t="str">
        <f>"Detail_"&amp;H2</f>
        <v>Detail_DCM_518001_5</v>
      </c>
      <c r="J2" s="209" t="str">
        <f t="shared" ref="J2:J27" si="1">(D2*100+E2)&amp;":"</f>
        <v>51800105:</v>
      </c>
      <c r="K2" s="203" t="s">
        <v>5382</v>
      </c>
      <c r="L2" s="203" t="s">
        <v>5383</v>
      </c>
      <c r="M2" s="210" t="s">
        <v>5384</v>
      </c>
      <c r="N2" s="171">
        <v>1</v>
      </c>
      <c r="O2" s="179" t="s">
        <v>1413</v>
      </c>
      <c r="P2" s="210" t="str">
        <f>L2&amp;M2&amp;N2&amp;O2</f>
        <v>51800105:Var_ui_ErrNo := 1;</v>
      </c>
    </row>
    <row r="3" ht="16.5" spans="1:16">
      <c r="A3" s="198" t="s">
        <v>5385</v>
      </c>
      <c r="B3" s="199" t="s">
        <v>5386</v>
      </c>
      <c r="C3" s="199" t="s">
        <v>5387</v>
      </c>
      <c r="D3" s="200" t="s">
        <v>5378</v>
      </c>
      <c r="E3" s="200" t="s">
        <v>5388</v>
      </c>
      <c r="F3" s="201" t="s">
        <v>5389</v>
      </c>
      <c r="G3" s="202" t="s">
        <v>5390</v>
      </c>
      <c r="H3" s="203" t="str">
        <f t="shared" si="0"/>
        <v>DCM_518001_6</v>
      </c>
      <c r="I3" s="203" t="str">
        <f t="shared" ref="I3:I27" si="2">"Detail_"&amp;H3</f>
        <v>Detail_DCM_518001_6</v>
      </c>
      <c r="J3" s="209" t="str">
        <f t="shared" si="1"/>
        <v>51800106:</v>
      </c>
      <c r="K3" s="203" t="s">
        <v>5391</v>
      </c>
      <c r="L3" s="203" t="s">
        <v>5392</v>
      </c>
      <c r="M3" s="210" t="s">
        <v>5384</v>
      </c>
      <c r="N3" s="171">
        <v>2</v>
      </c>
      <c r="O3" s="179" t="s">
        <v>1413</v>
      </c>
      <c r="P3" s="210" t="str">
        <f t="shared" ref="P3:P27" si="3">L3&amp;M3&amp;N3&amp;O3</f>
        <v>51800106:Var_ui_ErrNo := 2;</v>
      </c>
    </row>
    <row r="4" ht="16.5" spans="1:16">
      <c r="A4" s="198" t="s">
        <v>5393</v>
      </c>
      <c r="B4" s="199" t="s">
        <v>5394</v>
      </c>
      <c r="C4" s="199" t="s">
        <v>5395</v>
      </c>
      <c r="D4" s="200" t="s">
        <v>5396</v>
      </c>
      <c r="E4" s="200" t="s">
        <v>5379</v>
      </c>
      <c r="F4" s="201" t="s">
        <v>5397</v>
      </c>
      <c r="G4" s="202" t="s">
        <v>5398</v>
      </c>
      <c r="H4" s="203" t="str">
        <f t="shared" si="0"/>
        <v>DCM_518002_5</v>
      </c>
      <c r="I4" s="203" t="str">
        <f t="shared" si="2"/>
        <v>Detail_DCM_518002_5</v>
      </c>
      <c r="J4" s="209" t="str">
        <f t="shared" si="1"/>
        <v>51800205:</v>
      </c>
      <c r="K4" s="203" t="s">
        <v>5399</v>
      </c>
      <c r="L4" s="203" t="s">
        <v>5400</v>
      </c>
      <c r="M4" s="210" t="s">
        <v>5384</v>
      </c>
      <c r="N4" s="171">
        <v>3</v>
      </c>
      <c r="O4" s="179" t="s">
        <v>1413</v>
      </c>
      <c r="P4" s="210" t="str">
        <f t="shared" si="3"/>
        <v>51800205:Var_ui_ErrNo := 3;</v>
      </c>
    </row>
    <row r="5" ht="16.5" spans="1:16">
      <c r="A5" s="198" t="s">
        <v>5401</v>
      </c>
      <c r="B5" s="199" t="s">
        <v>5402</v>
      </c>
      <c r="C5" s="199" t="s">
        <v>5403</v>
      </c>
      <c r="D5" s="200" t="s">
        <v>5396</v>
      </c>
      <c r="E5" s="200" t="s">
        <v>5388</v>
      </c>
      <c r="F5" s="201" t="s">
        <v>5404</v>
      </c>
      <c r="G5" s="202" t="s">
        <v>5405</v>
      </c>
      <c r="H5" s="203" t="str">
        <f t="shared" si="0"/>
        <v>DCM_518002_6</v>
      </c>
      <c r="I5" s="203" t="str">
        <f t="shared" si="2"/>
        <v>Detail_DCM_518002_6</v>
      </c>
      <c r="J5" s="209" t="str">
        <f t="shared" si="1"/>
        <v>51800206:</v>
      </c>
      <c r="K5" s="203" t="s">
        <v>5406</v>
      </c>
      <c r="L5" s="203" t="s">
        <v>5407</v>
      </c>
      <c r="M5" s="210" t="s">
        <v>5384</v>
      </c>
      <c r="N5" s="171">
        <v>4</v>
      </c>
      <c r="O5" s="179" t="s">
        <v>1413</v>
      </c>
      <c r="P5" s="210" t="str">
        <f t="shared" si="3"/>
        <v>51800206:Var_ui_ErrNo := 4;</v>
      </c>
    </row>
    <row r="6" ht="16.5" spans="1:16">
      <c r="A6" s="198" t="s">
        <v>5379</v>
      </c>
      <c r="B6" s="199" t="s">
        <v>5408</v>
      </c>
      <c r="C6" s="199" t="s">
        <v>5409</v>
      </c>
      <c r="D6" s="200" t="s">
        <v>5410</v>
      </c>
      <c r="E6" s="200" t="s">
        <v>5379</v>
      </c>
      <c r="F6" s="201" t="s">
        <v>5411</v>
      </c>
      <c r="G6" s="202" t="s">
        <v>5412</v>
      </c>
      <c r="H6" s="203" t="str">
        <f t="shared" si="0"/>
        <v>DCM_518003_5</v>
      </c>
      <c r="I6" s="203" t="str">
        <f t="shared" si="2"/>
        <v>Detail_DCM_518003_5</v>
      </c>
      <c r="J6" s="209" t="str">
        <f t="shared" si="1"/>
        <v>51800305:</v>
      </c>
      <c r="K6" s="203" t="s">
        <v>5413</v>
      </c>
      <c r="L6" s="203" t="s">
        <v>5414</v>
      </c>
      <c r="M6" s="210" t="s">
        <v>5384</v>
      </c>
      <c r="N6" s="171">
        <v>5</v>
      </c>
      <c r="O6" s="179" t="s">
        <v>1413</v>
      </c>
      <c r="P6" s="210" t="str">
        <f t="shared" si="3"/>
        <v>51800305:Var_ui_ErrNo := 5;</v>
      </c>
    </row>
    <row r="7" ht="16.5" spans="1:16">
      <c r="A7" s="198" t="s">
        <v>5388</v>
      </c>
      <c r="B7" s="199" t="s">
        <v>5415</v>
      </c>
      <c r="C7" s="199" t="s">
        <v>5416</v>
      </c>
      <c r="D7" s="200" t="s">
        <v>5410</v>
      </c>
      <c r="E7" s="200" t="s">
        <v>5388</v>
      </c>
      <c r="F7" s="201" t="s">
        <v>5417</v>
      </c>
      <c r="G7" s="202" t="s">
        <v>5418</v>
      </c>
      <c r="H7" s="203" t="str">
        <f t="shared" si="0"/>
        <v>DCM_518003_6</v>
      </c>
      <c r="I7" s="203" t="str">
        <f t="shared" si="2"/>
        <v>Detail_DCM_518003_6</v>
      </c>
      <c r="J7" s="209" t="str">
        <f t="shared" si="1"/>
        <v>51800306:</v>
      </c>
      <c r="K7" s="203" t="s">
        <v>5419</v>
      </c>
      <c r="L7" s="203" t="s">
        <v>5420</v>
      </c>
      <c r="M7" s="210" t="s">
        <v>5384</v>
      </c>
      <c r="N7" s="171">
        <v>6</v>
      </c>
      <c r="O7" s="179" t="s">
        <v>1413</v>
      </c>
      <c r="P7" s="210" t="str">
        <f t="shared" si="3"/>
        <v>51800306:Var_ui_ErrNo := 6;</v>
      </c>
    </row>
    <row r="8" ht="16.5" spans="1:16">
      <c r="A8" s="198" t="s">
        <v>5421</v>
      </c>
      <c r="B8" s="199" t="s">
        <v>5422</v>
      </c>
      <c r="C8" s="199" t="s">
        <v>5423</v>
      </c>
      <c r="D8" s="200" t="s">
        <v>5424</v>
      </c>
      <c r="E8" s="200" t="s">
        <v>5379</v>
      </c>
      <c r="F8" s="204" t="s">
        <v>5425</v>
      </c>
      <c r="G8" s="204" t="s">
        <v>5426</v>
      </c>
      <c r="H8" s="203" t="str">
        <f t="shared" si="0"/>
        <v>DCM_518004_5</v>
      </c>
      <c r="I8" s="203" t="str">
        <f t="shared" si="2"/>
        <v>Detail_DCM_518004_5</v>
      </c>
      <c r="J8" s="209" t="str">
        <f t="shared" si="1"/>
        <v>51800405:</v>
      </c>
      <c r="K8" s="203" t="s">
        <v>5427</v>
      </c>
      <c r="L8" s="203" t="s">
        <v>5428</v>
      </c>
      <c r="M8" s="210" t="s">
        <v>5384</v>
      </c>
      <c r="N8" s="171">
        <v>7</v>
      </c>
      <c r="O8" s="179" t="s">
        <v>1413</v>
      </c>
      <c r="P8" s="210" t="str">
        <f t="shared" si="3"/>
        <v>51800405:Var_ui_ErrNo := 7;</v>
      </c>
    </row>
    <row r="9" ht="16.5" spans="1:16">
      <c r="A9" s="198" t="s">
        <v>5429</v>
      </c>
      <c r="B9" s="199" t="s">
        <v>5430</v>
      </c>
      <c r="C9" s="199" t="s">
        <v>5431</v>
      </c>
      <c r="D9" s="200" t="s">
        <v>5424</v>
      </c>
      <c r="E9" s="200" t="s">
        <v>5388</v>
      </c>
      <c r="F9" s="204" t="s">
        <v>5432</v>
      </c>
      <c r="G9" s="204" t="s">
        <v>5433</v>
      </c>
      <c r="H9" s="203" t="str">
        <f t="shared" si="0"/>
        <v>DCM_518004_6</v>
      </c>
      <c r="I9" s="203" t="str">
        <f t="shared" si="2"/>
        <v>Detail_DCM_518004_6</v>
      </c>
      <c r="J9" s="209" t="str">
        <f t="shared" si="1"/>
        <v>51800406:</v>
      </c>
      <c r="K9" s="203" t="s">
        <v>5434</v>
      </c>
      <c r="L9" s="203" t="s">
        <v>5435</v>
      </c>
      <c r="M9" s="210" t="s">
        <v>5384</v>
      </c>
      <c r="N9" s="171">
        <v>8</v>
      </c>
      <c r="O9" s="179" t="s">
        <v>1413</v>
      </c>
      <c r="P9" s="210" t="str">
        <f t="shared" si="3"/>
        <v>51800406:Var_ui_ErrNo := 8;</v>
      </c>
    </row>
    <row r="10" ht="16.5" spans="1:16">
      <c r="A10" s="198" t="s">
        <v>5436</v>
      </c>
      <c r="B10" s="199" t="s">
        <v>5437</v>
      </c>
      <c r="C10" s="199" t="s">
        <v>5438</v>
      </c>
      <c r="D10" s="200" t="s">
        <v>5439</v>
      </c>
      <c r="E10" s="200" t="s">
        <v>5379</v>
      </c>
      <c r="F10" s="204" t="s">
        <v>5440</v>
      </c>
      <c r="G10" s="204" t="s">
        <v>5441</v>
      </c>
      <c r="H10" s="203" t="str">
        <f t="shared" si="0"/>
        <v>DCM_518005_5</v>
      </c>
      <c r="I10" s="203" t="str">
        <f t="shared" si="2"/>
        <v>Detail_DCM_518005_5</v>
      </c>
      <c r="J10" s="209" t="str">
        <f t="shared" si="1"/>
        <v>51800505:</v>
      </c>
      <c r="K10" s="203" t="s">
        <v>5442</v>
      </c>
      <c r="L10" s="203" t="s">
        <v>5443</v>
      </c>
      <c r="M10" s="210" t="s">
        <v>5384</v>
      </c>
      <c r="N10" s="171">
        <v>9</v>
      </c>
      <c r="O10" s="179" t="s">
        <v>1413</v>
      </c>
      <c r="P10" s="210" t="str">
        <f t="shared" si="3"/>
        <v>51800505:Var_ui_ErrNo := 9;</v>
      </c>
    </row>
    <row r="11" ht="16.5" spans="1:16">
      <c r="A11" s="198" t="s">
        <v>5444</v>
      </c>
      <c r="B11" s="199" t="s">
        <v>5445</v>
      </c>
      <c r="C11" s="199" t="s">
        <v>5446</v>
      </c>
      <c r="D11" s="200" t="s">
        <v>5439</v>
      </c>
      <c r="E11" s="200" t="s">
        <v>5388</v>
      </c>
      <c r="F11" s="204" t="s">
        <v>5447</v>
      </c>
      <c r="G11" s="204" t="s">
        <v>5448</v>
      </c>
      <c r="H11" s="203" t="str">
        <f t="shared" si="0"/>
        <v>DCM_518005_6</v>
      </c>
      <c r="I11" s="203" t="str">
        <f t="shared" si="2"/>
        <v>Detail_DCM_518005_6</v>
      </c>
      <c r="J11" s="209" t="str">
        <f t="shared" si="1"/>
        <v>51800506:</v>
      </c>
      <c r="K11" s="203" t="s">
        <v>5449</v>
      </c>
      <c r="L11" s="203" t="s">
        <v>5450</v>
      </c>
      <c r="M11" s="210" t="s">
        <v>5384</v>
      </c>
      <c r="N11" s="171">
        <v>10</v>
      </c>
      <c r="O11" s="179" t="s">
        <v>1413</v>
      </c>
      <c r="P11" s="210" t="str">
        <f t="shared" si="3"/>
        <v>51800506:Var_ui_ErrNo := 10;</v>
      </c>
    </row>
    <row r="12" ht="16.5" spans="1:16">
      <c r="A12" s="198" t="s">
        <v>5451</v>
      </c>
      <c r="B12" s="199" t="s">
        <v>5452</v>
      </c>
      <c r="C12" s="199" t="s">
        <v>5453</v>
      </c>
      <c r="D12" s="200" t="s">
        <v>5454</v>
      </c>
      <c r="E12" s="200" t="s">
        <v>5379</v>
      </c>
      <c r="F12" s="202" t="s">
        <v>5455</v>
      </c>
      <c r="G12" s="204" t="s">
        <v>5456</v>
      </c>
      <c r="H12" s="203" t="str">
        <f t="shared" si="0"/>
        <v>DCM_518006_5</v>
      </c>
      <c r="I12" s="203" t="str">
        <f t="shared" si="2"/>
        <v>Detail_DCM_518006_5</v>
      </c>
      <c r="J12" s="209" t="str">
        <f t="shared" si="1"/>
        <v>51800605:</v>
      </c>
      <c r="K12" s="203" t="s">
        <v>5457</v>
      </c>
      <c r="L12" s="203" t="s">
        <v>5458</v>
      </c>
      <c r="M12" s="210" t="s">
        <v>5384</v>
      </c>
      <c r="N12" s="171">
        <v>11</v>
      </c>
      <c r="O12" s="179" t="s">
        <v>1413</v>
      </c>
      <c r="P12" s="210" t="str">
        <f t="shared" si="3"/>
        <v>51800605:Var_ui_ErrNo := 11;</v>
      </c>
    </row>
    <row r="13" ht="16.5" spans="1:16">
      <c r="A13" s="198" t="s">
        <v>5459</v>
      </c>
      <c r="B13" s="199" t="s">
        <v>5460</v>
      </c>
      <c r="C13" s="199" t="s">
        <v>5461</v>
      </c>
      <c r="D13" s="200" t="s">
        <v>5454</v>
      </c>
      <c r="E13" s="200" t="s">
        <v>5388</v>
      </c>
      <c r="F13" s="202" t="s">
        <v>5462</v>
      </c>
      <c r="G13" s="204" t="s">
        <v>5463</v>
      </c>
      <c r="H13" s="203" t="str">
        <f t="shared" si="0"/>
        <v>DCM_518006_6</v>
      </c>
      <c r="I13" s="203" t="str">
        <f t="shared" si="2"/>
        <v>Detail_DCM_518006_6</v>
      </c>
      <c r="J13" s="209" t="str">
        <f t="shared" si="1"/>
        <v>51800606:</v>
      </c>
      <c r="K13" s="203" t="s">
        <v>5464</v>
      </c>
      <c r="L13" s="203" t="s">
        <v>5465</v>
      </c>
      <c r="M13" s="210" t="s">
        <v>5384</v>
      </c>
      <c r="N13" s="171">
        <v>12</v>
      </c>
      <c r="O13" s="179" t="s">
        <v>1413</v>
      </c>
      <c r="P13" s="210" t="str">
        <f t="shared" si="3"/>
        <v>51800606:Var_ui_ErrNo := 12;</v>
      </c>
    </row>
    <row r="14" ht="16.5" spans="1:16">
      <c r="A14" s="198" t="s">
        <v>5466</v>
      </c>
      <c r="B14" s="199" t="s">
        <v>5467</v>
      </c>
      <c r="C14" s="199" t="s">
        <v>5468</v>
      </c>
      <c r="D14" s="200" t="s">
        <v>5469</v>
      </c>
      <c r="E14" s="200" t="s">
        <v>5379</v>
      </c>
      <c r="F14" s="202" t="s">
        <v>5470</v>
      </c>
      <c r="G14" s="202" t="s">
        <v>5471</v>
      </c>
      <c r="H14" s="203" t="str">
        <f t="shared" si="0"/>
        <v>DCM_518007_5</v>
      </c>
      <c r="I14" s="203" t="str">
        <f t="shared" si="2"/>
        <v>Detail_DCM_518007_5</v>
      </c>
      <c r="J14" s="209" t="str">
        <f t="shared" si="1"/>
        <v>51800705:</v>
      </c>
      <c r="K14" s="203" t="s">
        <v>5472</v>
      </c>
      <c r="L14" s="203" t="s">
        <v>5473</v>
      </c>
      <c r="M14" s="210" t="s">
        <v>5384</v>
      </c>
      <c r="N14" s="171">
        <v>13</v>
      </c>
      <c r="O14" s="179" t="s">
        <v>1413</v>
      </c>
      <c r="P14" s="210" t="str">
        <f t="shared" si="3"/>
        <v>51800705:Var_ui_ErrNo := 13;</v>
      </c>
    </row>
    <row r="15" ht="16.5" spans="1:16">
      <c r="A15" s="198" t="s">
        <v>5474</v>
      </c>
      <c r="B15" s="199" t="s">
        <v>5475</v>
      </c>
      <c r="C15" s="199" t="s">
        <v>5476</v>
      </c>
      <c r="D15" s="200" t="s">
        <v>5469</v>
      </c>
      <c r="E15" s="200" t="s">
        <v>5388</v>
      </c>
      <c r="F15" s="202" t="s">
        <v>5477</v>
      </c>
      <c r="G15" s="202" t="s">
        <v>5478</v>
      </c>
      <c r="H15" s="203" t="str">
        <f t="shared" si="0"/>
        <v>DCM_518007_6</v>
      </c>
      <c r="I15" s="203" t="str">
        <f t="shared" si="2"/>
        <v>Detail_DCM_518007_6</v>
      </c>
      <c r="J15" s="209" t="str">
        <f t="shared" si="1"/>
        <v>51800706:</v>
      </c>
      <c r="K15" s="203" t="s">
        <v>5479</v>
      </c>
      <c r="L15" s="203" t="s">
        <v>5480</v>
      </c>
      <c r="M15" s="210" t="s">
        <v>5384</v>
      </c>
      <c r="N15" s="171">
        <v>14</v>
      </c>
      <c r="O15" s="179" t="s">
        <v>1413</v>
      </c>
      <c r="P15" s="210" t="str">
        <f t="shared" si="3"/>
        <v>51800706:Var_ui_ErrNo := 14;</v>
      </c>
    </row>
    <row r="16" ht="16.5" spans="1:16">
      <c r="A16" s="198" t="s">
        <v>810</v>
      </c>
      <c r="B16" s="199" t="s">
        <v>5481</v>
      </c>
      <c r="C16" s="199" t="s">
        <v>5482</v>
      </c>
      <c r="D16" s="200" t="s">
        <v>5483</v>
      </c>
      <c r="E16" s="200" t="s">
        <v>5379</v>
      </c>
      <c r="F16" s="201" t="s">
        <v>5484</v>
      </c>
      <c r="G16" s="202" t="s">
        <v>5485</v>
      </c>
      <c r="H16" s="203" t="str">
        <f t="shared" si="0"/>
        <v>DCM_518008_5</v>
      </c>
      <c r="I16" s="203" t="str">
        <f t="shared" si="2"/>
        <v>Detail_DCM_518008_5</v>
      </c>
      <c r="J16" s="209" t="str">
        <f t="shared" si="1"/>
        <v>51800805:</v>
      </c>
      <c r="K16" s="203" t="s">
        <v>5486</v>
      </c>
      <c r="L16" s="203" t="s">
        <v>5487</v>
      </c>
      <c r="M16" s="210" t="s">
        <v>5384</v>
      </c>
      <c r="N16" s="171">
        <v>15</v>
      </c>
      <c r="O16" s="179" t="s">
        <v>1413</v>
      </c>
      <c r="P16" s="210" t="str">
        <f t="shared" si="3"/>
        <v>51800805:Var_ui_ErrNo := 15;</v>
      </c>
    </row>
    <row r="17" ht="16.5" spans="1:16">
      <c r="A17" s="198" t="s">
        <v>815</v>
      </c>
      <c r="B17" s="199" t="s">
        <v>5488</v>
      </c>
      <c r="C17" s="199" t="s">
        <v>5489</v>
      </c>
      <c r="D17" s="200" t="s">
        <v>5483</v>
      </c>
      <c r="E17" s="200" t="s">
        <v>5388</v>
      </c>
      <c r="F17" s="201" t="s">
        <v>5490</v>
      </c>
      <c r="G17" s="202" t="s">
        <v>5491</v>
      </c>
      <c r="H17" s="203" t="str">
        <f t="shared" si="0"/>
        <v>DCM_518008_6</v>
      </c>
      <c r="I17" s="203" t="str">
        <f t="shared" si="2"/>
        <v>Detail_DCM_518008_6</v>
      </c>
      <c r="J17" s="209" t="str">
        <f t="shared" si="1"/>
        <v>51800806:</v>
      </c>
      <c r="K17" s="203" t="s">
        <v>5492</v>
      </c>
      <c r="L17" s="203" t="s">
        <v>5493</v>
      </c>
      <c r="M17" s="210" t="s">
        <v>5384</v>
      </c>
      <c r="N17" s="171">
        <v>16</v>
      </c>
      <c r="O17" s="179" t="s">
        <v>1413</v>
      </c>
      <c r="P17" s="210" t="str">
        <f t="shared" si="3"/>
        <v>51800806:Var_ui_ErrNo := 16;</v>
      </c>
    </row>
    <row r="18" ht="16.5" spans="1:16">
      <c r="A18" s="198" t="s">
        <v>5494</v>
      </c>
      <c r="B18" s="199" t="s">
        <v>5495</v>
      </c>
      <c r="C18" s="199" t="s">
        <v>5496</v>
      </c>
      <c r="D18" s="200" t="s">
        <v>5497</v>
      </c>
      <c r="E18" s="200" t="s">
        <v>5379</v>
      </c>
      <c r="F18" s="204" t="s">
        <v>5498</v>
      </c>
      <c r="G18" s="202" t="s">
        <v>5499</v>
      </c>
      <c r="H18" s="203" t="str">
        <f t="shared" si="0"/>
        <v>DCM_518009_5</v>
      </c>
      <c r="I18" s="203" t="str">
        <f t="shared" si="2"/>
        <v>Detail_DCM_518009_5</v>
      </c>
      <c r="J18" s="209" t="str">
        <f t="shared" si="1"/>
        <v>51800905:</v>
      </c>
      <c r="K18" s="203" t="s">
        <v>5500</v>
      </c>
      <c r="L18" s="203" t="s">
        <v>5501</v>
      </c>
      <c r="M18" s="210" t="s">
        <v>5384</v>
      </c>
      <c r="N18" s="171">
        <v>17</v>
      </c>
      <c r="O18" s="179" t="s">
        <v>1413</v>
      </c>
      <c r="P18" s="210" t="str">
        <f t="shared" si="3"/>
        <v>51800905:Var_ui_ErrNo := 17;</v>
      </c>
    </row>
    <row r="19" ht="16.5" spans="1:16">
      <c r="A19" s="198" t="s">
        <v>5502</v>
      </c>
      <c r="B19" s="199" t="s">
        <v>5503</v>
      </c>
      <c r="C19" s="199" t="s">
        <v>5504</v>
      </c>
      <c r="D19" s="200" t="s">
        <v>5497</v>
      </c>
      <c r="E19" s="200" t="s">
        <v>5388</v>
      </c>
      <c r="F19" s="204" t="s">
        <v>5505</v>
      </c>
      <c r="G19" s="202" t="s">
        <v>5506</v>
      </c>
      <c r="H19" s="203" t="str">
        <f t="shared" si="0"/>
        <v>DCM_518009_6</v>
      </c>
      <c r="I19" s="203" t="str">
        <f t="shared" si="2"/>
        <v>Detail_DCM_518009_6</v>
      </c>
      <c r="J19" s="209" t="str">
        <f t="shared" si="1"/>
        <v>51800906:</v>
      </c>
      <c r="K19" s="203" t="s">
        <v>5507</v>
      </c>
      <c r="L19" s="203" t="s">
        <v>5508</v>
      </c>
      <c r="M19" s="210" t="s">
        <v>5384</v>
      </c>
      <c r="N19" s="171">
        <v>18</v>
      </c>
      <c r="O19" s="179" t="s">
        <v>1413</v>
      </c>
      <c r="P19" s="210" t="str">
        <f t="shared" si="3"/>
        <v>51800906:Var_ui_ErrNo := 18;</v>
      </c>
    </row>
    <row r="20" ht="16.5" spans="1:16">
      <c r="A20" s="198" t="s">
        <v>5509</v>
      </c>
      <c r="B20" s="199" t="s">
        <v>5510</v>
      </c>
      <c r="C20" s="199" t="s">
        <v>5511</v>
      </c>
      <c r="D20" s="200" t="s">
        <v>5512</v>
      </c>
      <c r="E20" s="200" t="s">
        <v>5379</v>
      </c>
      <c r="F20" s="204" t="s">
        <v>5513</v>
      </c>
      <c r="G20" s="204" t="s">
        <v>5514</v>
      </c>
      <c r="H20" s="203" t="str">
        <f t="shared" si="0"/>
        <v>DCM_518010_5</v>
      </c>
      <c r="I20" s="203" t="str">
        <f t="shared" si="2"/>
        <v>Detail_DCM_518010_5</v>
      </c>
      <c r="J20" s="209" t="str">
        <f t="shared" si="1"/>
        <v>51801005:</v>
      </c>
      <c r="K20" s="203" t="s">
        <v>5515</v>
      </c>
      <c r="L20" s="203" t="s">
        <v>5516</v>
      </c>
      <c r="M20" s="210" t="s">
        <v>5384</v>
      </c>
      <c r="N20" s="171">
        <v>19</v>
      </c>
      <c r="O20" s="179" t="s">
        <v>1413</v>
      </c>
      <c r="P20" s="210" t="str">
        <f t="shared" si="3"/>
        <v>51801005:Var_ui_ErrNo := 19;</v>
      </c>
    </row>
    <row r="21" ht="16.5" spans="1:16">
      <c r="A21" s="198" t="s">
        <v>5517</v>
      </c>
      <c r="B21" s="199" t="s">
        <v>5518</v>
      </c>
      <c r="C21" s="199" t="s">
        <v>5519</v>
      </c>
      <c r="D21" s="200" t="s">
        <v>5512</v>
      </c>
      <c r="E21" s="200" t="s">
        <v>5388</v>
      </c>
      <c r="F21" s="204" t="s">
        <v>5520</v>
      </c>
      <c r="G21" s="204" t="s">
        <v>5521</v>
      </c>
      <c r="H21" s="203" t="str">
        <f t="shared" si="0"/>
        <v>DCM_518010_6</v>
      </c>
      <c r="I21" s="203" t="str">
        <f t="shared" si="2"/>
        <v>Detail_DCM_518010_6</v>
      </c>
      <c r="J21" s="209" t="str">
        <f t="shared" si="1"/>
        <v>51801006:</v>
      </c>
      <c r="K21" s="203" t="s">
        <v>5522</v>
      </c>
      <c r="L21" s="203" t="s">
        <v>5523</v>
      </c>
      <c r="M21" s="210" t="s">
        <v>5384</v>
      </c>
      <c r="N21" s="171">
        <v>20</v>
      </c>
      <c r="O21" s="179" t="s">
        <v>1413</v>
      </c>
      <c r="P21" s="210" t="str">
        <f t="shared" si="3"/>
        <v>51801006:Var_ui_ErrNo := 20;</v>
      </c>
    </row>
    <row r="22" ht="16.5" spans="1:16">
      <c r="A22" s="198" t="s">
        <v>5524</v>
      </c>
      <c r="B22" s="199" t="s">
        <v>5525</v>
      </c>
      <c r="C22" s="199" t="s">
        <v>5526</v>
      </c>
      <c r="D22" s="200" t="s">
        <v>5527</v>
      </c>
      <c r="E22" s="200" t="s">
        <v>5388</v>
      </c>
      <c r="F22" s="204" t="s">
        <v>5528</v>
      </c>
      <c r="G22" s="204" t="s">
        <v>5529</v>
      </c>
      <c r="H22" s="203" t="str">
        <f t="shared" si="0"/>
        <v>DCM_518011_6</v>
      </c>
      <c r="I22" s="203" t="str">
        <f t="shared" si="2"/>
        <v>Detail_DCM_518011_6</v>
      </c>
      <c r="J22" s="209" t="str">
        <f t="shared" si="1"/>
        <v>51801106:</v>
      </c>
      <c r="K22" s="203" t="s">
        <v>5530</v>
      </c>
      <c r="L22" s="203" t="s">
        <v>5531</v>
      </c>
      <c r="M22" s="210" t="s">
        <v>5384</v>
      </c>
      <c r="N22" s="171">
        <v>21</v>
      </c>
      <c r="O22" s="179" t="s">
        <v>1413</v>
      </c>
      <c r="P22" s="210" t="str">
        <f t="shared" si="3"/>
        <v>51801106:Var_ui_ErrNo := 21;</v>
      </c>
    </row>
    <row r="23" ht="16.5" spans="1:16">
      <c r="A23" s="198" t="s">
        <v>5532</v>
      </c>
      <c r="B23" s="199" t="s">
        <v>5533</v>
      </c>
      <c r="C23" s="199" t="s">
        <v>5534</v>
      </c>
      <c r="D23" s="200" t="s">
        <v>5535</v>
      </c>
      <c r="E23" s="200" t="s">
        <v>5401</v>
      </c>
      <c r="F23" s="204" t="s">
        <v>5536</v>
      </c>
      <c r="G23" s="204" t="s">
        <v>5537</v>
      </c>
      <c r="H23" s="203" t="str">
        <f t="shared" si="0"/>
        <v>DCM_518012_4</v>
      </c>
      <c r="I23" s="203" t="str">
        <f t="shared" si="2"/>
        <v>Detail_DCM_518012_4</v>
      </c>
      <c r="J23" s="209" t="str">
        <f t="shared" si="1"/>
        <v>51801204:</v>
      </c>
      <c r="K23" s="203" t="s">
        <v>5538</v>
      </c>
      <c r="L23" s="203" t="s">
        <v>5539</v>
      </c>
      <c r="M23" s="210" t="s">
        <v>5384</v>
      </c>
      <c r="N23" s="171">
        <v>22</v>
      </c>
      <c r="O23" s="179" t="s">
        <v>1413</v>
      </c>
      <c r="P23" s="210" t="str">
        <f t="shared" si="3"/>
        <v>51801204:Var_ui_ErrNo := 22;</v>
      </c>
    </row>
    <row r="24" ht="16.5" spans="1:16">
      <c r="A24" s="198" t="s">
        <v>5540</v>
      </c>
      <c r="B24" s="199" t="s">
        <v>5541</v>
      </c>
      <c r="C24" s="199" t="s">
        <v>5542</v>
      </c>
      <c r="D24" s="200" t="s">
        <v>5543</v>
      </c>
      <c r="E24" s="200" t="s">
        <v>5401</v>
      </c>
      <c r="F24" s="204" t="s">
        <v>5544</v>
      </c>
      <c r="G24" s="204" t="s">
        <v>5545</v>
      </c>
      <c r="H24" s="203" t="str">
        <f t="shared" si="0"/>
        <v>DCM_518013_4</v>
      </c>
      <c r="I24" s="203" t="str">
        <f t="shared" si="2"/>
        <v>Detail_DCM_518013_4</v>
      </c>
      <c r="J24" s="209" t="str">
        <f t="shared" si="1"/>
        <v>51801304:</v>
      </c>
      <c r="K24" s="203" t="s">
        <v>5546</v>
      </c>
      <c r="L24" s="203" t="s">
        <v>5547</v>
      </c>
      <c r="M24" s="210" t="s">
        <v>5384</v>
      </c>
      <c r="N24" s="171">
        <v>23</v>
      </c>
      <c r="O24" s="179" t="s">
        <v>1413</v>
      </c>
      <c r="P24" s="210" t="str">
        <f t="shared" si="3"/>
        <v>51801304:Var_ui_ErrNo := 23;</v>
      </c>
    </row>
    <row r="25" ht="16.5" spans="1:16">
      <c r="A25" s="198" t="s">
        <v>5548</v>
      </c>
      <c r="B25" s="199" t="s">
        <v>5549</v>
      </c>
      <c r="C25" s="199" t="s">
        <v>5550</v>
      </c>
      <c r="D25" s="200" t="s">
        <v>5551</v>
      </c>
      <c r="E25" s="200" t="s">
        <v>5401</v>
      </c>
      <c r="F25" s="204" t="s">
        <v>5552</v>
      </c>
      <c r="G25" s="204" t="s">
        <v>5553</v>
      </c>
      <c r="H25" s="203" t="str">
        <f t="shared" si="0"/>
        <v>DCM_518014_4</v>
      </c>
      <c r="I25" s="203" t="str">
        <f t="shared" si="2"/>
        <v>Detail_DCM_518014_4</v>
      </c>
      <c r="J25" s="209" t="str">
        <f t="shared" si="1"/>
        <v>51801404:</v>
      </c>
      <c r="K25" s="203" t="s">
        <v>5554</v>
      </c>
      <c r="L25" s="203" t="s">
        <v>5555</v>
      </c>
      <c r="M25" s="210" t="s">
        <v>5384</v>
      </c>
      <c r="N25" s="171">
        <v>24</v>
      </c>
      <c r="O25" s="179" t="s">
        <v>1413</v>
      </c>
      <c r="P25" s="210" t="str">
        <f t="shared" si="3"/>
        <v>51801404:Var_ui_ErrNo := 24;</v>
      </c>
    </row>
    <row r="26" ht="16.5" spans="1:16">
      <c r="A26" s="198" t="s">
        <v>5556</v>
      </c>
      <c r="B26" s="199" t="s">
        <v>5557</v>
      </c>
      <c r="C26" s="199" t="s">
        <v>5558</v>
      </c>
      <c r="D26" s="205">
        <v>518017</v>
      </c>
      <c r="E26" s="205">
        <v>0</v>
      </c>
      <c r="F26" s="206" t="s">
        <v>5559</v>
      </c>
      <c r="G26" s="206" t="s">
        <v>5560</v>
      </c>
      <c r="H26" s="203" t="str">
        <f t="shared" si="0"/>
        <v>DCM_518017_0</v>
      </c>
      <c r="I26" s="203" t="str">
        <f t="shared" si="2"/>
        <v>Detail_DCM_518017_0</v>
      </c>
      <c r="J26" s="209" t="str">
        <f t="shared" si="1"/>
        <v>51801700:</v>
      </c>
      <c r="K26" s="203" t="s">
        <v>5561</v>
      </c>
      <c r="L26" s="203" t="s">
        <v>5562</v>
      </c>
      <c r="M26" s="210" t="s">
        <v>5384</v>
      </c>
      <c r="N26" s="171">
        <v>25</v>
      </c>
      <c r="O26" s="179" t="s">
        <v>1413</v>
      </c>
      <c r="P26" s="210" t="str">
        <f t="shared" si="3"/>
        <v>51801700:Var_ui_ErrNo := 25;</v>
      </c>
    </row>
    <row r="27" ht="16.5" spans="1:16">
      <c r="A27" s="198" t="s">
        <v>5563</v>
      </c>
      <c r="B27" s="199" t="s">
        <v>5564</v>
      </c>
      <c r="C27" s="199" t="s">
        <v>5565</v>
      </c>
      <c r="D27" s="205">
        <v>518017</v>
      </c>
      <c r="E27" s="205">
        <v>1</v>
      </c>
      <c r="F27" s="206" t="s">
        <v>5566</v>
      </c>
      <c r="G27" s="206" t="s">
        <v>5567</v>
      </c>
      <c r="H27" s="203" t="str">
        <f t="shared" si="0"/>
        <v>DCM_518017_1</v>
      </c>
      <c r="I27" s="203" t="str">
        <f t="shared" si="2"/>
        <v>Detail_DCM_518017_1</v>
      </c>
      <c r="J27" s="209" t="str">
        <f t="shared" si="1"/>
        <v>51801701:</v>
      </c>
      <c r="K27" s="203" t="s">
        <v>5568</v>
      </c>
      <c r="L27" s="203" t="s">
        <v>5569</v>
      </c>
      <c r="M27" s="210" t="s">
        <v>5384</v>
      </c>
      <c r="N27" s="171">
        <v>26</v>
      </c>
      <c r="O27" s="179" t="s">
        <v>1413</v>
      </c>
      <c r="P27" s="210" t="str">
        <f t="shared" si="3"/>
        <v>51801701:Var_ui_ErrNo := 26;</v>
      </c>
    </row>
  </sheetData>
  <mergeCells count="1">
    <mergeCell ref="B1:C1"/>
  </mergeCells>
  <pageMargins left="0.7" right="0.7"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workbookViewId="0">
      <pane ySplit="1" topLeftCell="A7" activePane="bottomLeft" state="frozen"/>
      <selection/>
      <selection pane="bottomLeft" activeCell="D20" sqref="D20"/>
    </sheetView>
  </sheetViews>
  <sheetFormatPr defaultColWidth="9" defaultRowHeight="13.5"/>
  <cols>
    <col min="1" max="1" width="4.625" style="181" customWidth="1"/>
    <col min="2" max="2" width="10.625" style="182" customWidth="1"/>
    <col min="3" max="3" width="5.125" style="182" customWidth="1"/>
    <col min="4" max="4" width="48.2083333333333" style="183" customWidth="1"/>
    <col min="5" max="5" width="22.85" style="184" customWidth="1"/>
    <col min="6" max="6" width="40.8833333333333" style="184" customWidth="1"/>
    <col min="7" max="7" width="44.6333333333333" style="184" hidden="1" customWidth="1"/>
    <col min="8" max="8" width="15.75" style="181" hidden="1" customWidth="1"/>
    <col min="9" max="9" width="9.45833333333333" style="185" hidden="1" customWidth="1"/>
    <col min="10" max="10" width="34.2833333333333" style="181" hidden="1" customWidth="1"/>
    <col min="11" max="16384" width="9" style="181"/>
  </cols>
  <sheetData>
    <row r="1" s="180" customFormat="1" ht="18.75" spans="1:10">
      <c r="A1" s="186" t="s">
        <v>99</v>
      </c>
      <c r="B1" s="186" t="s">
        <v>102</v>
      </c>
      <c r="C1" s="186" t="s">
        <v>103</v>
      </c>
      <c r="D1" s="187" t="s">
        <v>5570</v>
      </c>
      <c r="E1" s="188"/>
      <c r="F1" s="186" t="s">
        <v>358</v>
      </c>
      <c r="G1" s="186" t="s">
        <v>5374</v>
      </c>
      <c r="H1" s="189" t="s">
        <v>5571</v>
      </c>
      <c r="I1" s="189"/>
      <c r="J1" s="189"/>
    </row>
    <row r="2" ht="16.5" spans="1:10">
      <c r="A2" s="190" t="s">
        <v>5375</v>
      </c>
      <c r="B2" s="190">
        <v>520001</v>
      </c>
      <c r="C2" s="190">
        <v>9</v>
      </c>
      <c r="D2" s="191" t="s">
        <v>5572</v>
      </c>
      <c r="E2" s="191" t="s">
        <v>5573</v>
      </c>
      <c r="F2" s="191" t="s">
        <v>5574</v>
      </c>
      <c r="G2" s="191" t="s">
        <v>5575</v>
      </c>
      <c r="H2" s="192" t="str">
        <f>"TPMS_"&amp;B2&amp;"_"&amp;C2</f>
        <v>TPMS_520001_9</v>
      </c>
      <c r="I2" s="193">
        <v>1</v>
      </c>
      <c r="J2" s="192" t="str">
        <f>H2&amp;"Var_ui_ErrNo := "&amp;I2&amp;";"</f>
        <v>TPMS_520001_9Var_ui_ErrNo := 1;</v>
      </c>
    </row>
    <row r="3" ht="16.5" spans="1:10">
      <c r="A3" s="190" t="s">
        <v>5385</v>
      </c>
      <c r="B3" s="190">
        <v>520002</v>
      </c>
      <c r="C3" s="190">
        <v>9</v>
      </c>
      <c r="D3" s="191" t="s">
        <v>5576</v>
      </c>
      <c r="E3" s="191" t="s">
        <v>5577</v>
      </c>
      <c r="F3" s="191" t="s">
        <v>5578</v>
      </c>
      <c r="G3" s="191" t="s">
        <v>5579</v>
      </c>
      <c r="H3" s="192" t="str">
        <f t="shared" ref="H3:H38" si="0">"TPMS_"&amp;B3&amp;"_"&amp;C3</f>
        <v>TPMS_520002_9</v>
      </c>
      <c r="I3" s="193">
        <v>2</v>
      </c>
      <c r="J3" s="192" t="str">
        <f t="shared" ref="J3:J38" si="1">H3&amp;"Var_ui_ErrNo := "&amp;I3&amp;";"</f>
        <v>TPMS_520002_9Var_ui_ErrNo := 2;</v>
      </c>
    </row>
    <row r="4" ht="16.5" spans="1:10">
      <c r="A4" s="190" t="s">
        <v>5393</v>
      </c>
      <c r="B4" s="190">
        <v>520003</v>
      </c>
      <c r="C4" s="190">
        <v>9</v>
      </c>
      <c r="D4" s="191" t="s">
        <v>5580</v>
      </c>
      <c r="E4" s="191" t="s">
        <v>5581</v>
      </c>
      <c r="F4" s="191" t="s">
        <v>5582</v>
      </c>
      <c r="G4" s="191" t="s">
        <v>5583</v>
      </c>
      <c r="H4" s="192" t="str">
        <f t="shared" si="0"/>
        <v>TPMS_520003_9</v>
      </c>
      <c r="I4" s="193">
        <v>3</v>
      </c>
      <c r="J4" s="192" t="str">
        <f t="shared" si="1"/>
        <v>TPMS_520003_9Var_ui_ErrNo := 3;</v>
      </c>
    </row>
    <row r="5" ht="16.5" spans="1:10">
      <c r="A5" s="190" t="s">
        <v>5401</v>
      </c>
      <c r="B5" s="190">
        <v>520004</v>
      </c>
      <c r="C5" s="190">
        <v>9</v>
      </c>
      <c r="D5" s="191" t="s">
        <v>5584</v>
      </c>
      <c r="E5" s="191" t="s">
        <v>5585</v>
      </c>
      <c r="F5" s="191" t="s">
        <v>5586</v>
      </c>
      <c r="G5" s="191" t="s">
        <v>5587</v>
      </c>
      <c r="H5" s="192" t="str">
        <f t="shared" si="0"/>
        <v>TPMS_520004_9</v>
      </c>
      <c r="I5" s="193">
        <v>4</v>
      </c>
      <c r="J5" s="192" t="str">
        <f t="shared" si="1"/>
        <v>TPMS_520004_9Var_ui_ErrNo := 4;</v>
      </c>
    </row>
    <row r="6" ht="16.5" spans="1:10">
      <c r="A6" s="190" t="s">
        <v>5379</v>
      </c>
      <c r="B6" s="190">
        <v>520005</v>
      </c>
      <c r="C6" s="190">
        <v>9</v>
      </c>
      <c r="D6" s="191" t="s">
        <v>5588</v>
      </c>
      <c r="E6" s="191" t="s">
        <v>5589</v>
      </c>
      <c r="F6" s="191" t="s">
        <v>5590</v>
      </c>
      <c r="G6" s="191" t="s">
        <v>5591</v>
      </c>
      <c r="H6" s="192" t="str">
        <f t="shared" si="0"/>
        <v>TPMS_520005_9</v>
      </c>
      <c r="I6" s="193">
        <v>5</v>
      </c>
      <c r="J6" s="192" t="str">
        <f t="shared" si="1"/>
        <v>TPMS_520005_9Var_ui_ErrNo := 5;</v>
      </c>
    </row>
    <row r="7" ht="16.5" spans="1:10">
      <c r="A7" s="190" t="s">
        <v>5388</v>
      </c>
      <c r="B7" s="190">
        <v>520006</v>
      </c>
      <c r="C7" s="190">
        <v>9</v>
      </c>
      <c r="D7" s="191" t="s">
        <v>5592</v>
      </c>
      <c r="E7" s="191" t="s">
        <v>5593</v>
      </c>
      <c r="F7" s="191" t="s">
        <v>5594</v>
      </c>
      <c r="G7" s="191" t="s">
        <v>5595</v>
      </c>
      <c r="H7" s="192" t="str">
        <f t="shared" si="0"/>
        <v>TPMS_520006_9</v>
      </c>
      <c r="I7" s="193">
        <v>6</v>
      </c>
      <c r="J7" s="192" t="str">
        <f t="shared" si="1"/>
        <v>TPMS_520006_9Var_ui_ErrNo := 6;</v>
      </c>
    </row>
    <row r="8" ht="16.5" spans="1:10">
      <c r="A8" s="190" t="s">
        <v>5421</v>
      </c>
      <c r="B8" s="190">
        <v>520007</v>
      </c>
      <c r="C8" s="190">
        <v>9</v>
      </c>
      <c r="D8" s="191" t="s">
        <v>5596</v>
      </c>
      <c r="E8" s="191" t="s">
        <v>5597</v>
      </c>
      <c r="F8" s="191" t="s">
        <v>5598</v>
      </c>
      <c r="G8" s="191" t="s">
        <v>5599</v>
      </c>
      <c r="H8" s="192" t="str">
        <f t="shared" si="0"/>
        <v>TPMS_520007_9</v>
      </c>
      <c r="I8" s="193">
        <v>7</v>
      </c>
      <c r="J8" s="192" t="str">
        <f t="shared" si="1"/>
        <v>TPMS_520007_9Var_ui_ErrNo := 7;</v>
      </c>
    </row>
    <row r="9" ht="16.5" spans="1:10">
      <c r="A9" s="190" t="s">
        <v>5429</v>
      </c>
      <c r="B9" s="190">
        <v>520008</v>
      </c>
      <c r="C9" s="190">
        <v>9</v>
      </c>
      <c r="D9" s="191" t="s">
        <v>5600</v>
      </c>
      <c r="E9" s="191" t="s">
        <v>5601</v>
      </c>
      <c r="F9" s="191" t="s">
        <v>5602</v>
      </c>
      <c r="G9" s="191" t="s">
        <v>5603</v>
      </c>
      <c r="H9" s="192" t="str">
        <f t="shared" si="0"/>
        <v>TPMS_520008_9</v>
      </c>
      <c r="I9" s="193">
        <v>8</v>
      </c>
      <c r="J9" s="192" t="str">
        <f t="shared" si="1"/>
        <v>TPMS_520008_9Var_ui_ErrNo := 8;</v>
      </c>
    </row>
    <row r="10" ht="16.5" spans="1:10">
      <c r="A10" s="190" t="s">
        <v>5436</v>
      </c>
      <c r="B10" s="190">
        <v>520009</v>
      </c>
      <c r="C10" s="190">
        <v>9</v>
      </c>
      <c r="D10" s="191" t="s">
        <v>5604</v>
      </c>
      <c r="E10" s="191" t="s">
        <v>5605</v>
      </c>
      <c r="F10" s="191" t="s">
        <v>5606</v>
      </c>
      <c r="G10" s="191" t="s">
        <v>5607</v>
      </c>
      <c r="H10" s="192" t="str">
        <f t="shared" si="0"/>
        <v>TPMS_520009_9</v>
      </c>
      <c r="I10" s="193">
        <v>9</v>
      </c>
      <c r="J10" s="192" t="str">
        <f t="shared" si="1"/>
        <v>TPMS_520009_9Var_ui_ErrNo := 9;</v>
      </c>
    </row>
    <row r="11" ht="16.5" spans="1:10">
      <c r="A11" s="190" t="s">
        <v>5444</v>
      </c>
      <c r="B11" s="190">
        <v>520010</v>
      </c>
      <c r="C11" s="190">
        <v>9</v>
      </c>
      <c r="D11" s="191" t="s">
        <v>5608</v>
      </c>
      <c r="E11" s="191" t="s">
        <v>5609</v>
      </c>
      <c r="F11" s="191" t="s">
        <v>5610</v>
      </c>
      <c r="G11" s="191" t="s">
        <v>5611</v>
      </c>
      <c r="H11" s="192" t="str">
        <f t="shared" si="0"/>
        <v>TPMS_520010_9</v>
      </c>
      <c r="I11" s="193">
        <v>10</v>
      </c>
      <c r="J11" s="192" t="str">
        <f t="shared" si="1"/>
        <v>TPMS_520010_9Var_ui_ErrNo := 10;</v>
      </c>
    </row>
    <row r="12" ht="16.5" spans="1:10">
      <c r="A12" s="190" t="s">
        <v>5451</v>
      </c>
      <c r="B12" s="190">
        <v>520011</v>
      </c>
      <c r="C12" s="190">
        <v>9</v>
      </c>
      <c r="D12" s="191" t="s">
        <v>5612</v>
      </c>
      <c r="E12" s="191" t="s">
        <v>5613</v>
      </c>
      <c r="F12" s="191" t="s">
        <v>5614</v>
      </c>
      <c r="G12" s="191" t="s">
        <v>5615</v>
      </c>
      <c r="H12" s="192" t="str">
        <f t="shared" si="0"/>
        <v>TPMS_520011_9</v>
      </c>
      <c r="I12" s="193">
        <v>11</v>
      </c>
      <c r="J12" s="192" t="str">
        <f t="shared" si="1"/>
        <v>TPMS_520011_9Var_ui_ErrNo := 11;</v>
      </c>
    </row>
    <row r="13" ht="16.5" spans="1:10">
      <c r="A13" s="190" t="s">
        <v>5459</v>
      </c>
      <c r="B13" s="190">
        <v>520012</v>
      </c>
      <c r="C13" s="190">
        <v>9</v>
      </c>
      <c r="D13" s="191" t="s">
        <v>5616</v>
      </c>
      <c r="E13" s="191" t="s">
        <v>5617</v>
      </c>
      <c r="F13" s="191" t="s">
        <v>5618</v>
      </c>
      <c r="G13" s="191" t="s">
        <v>5619</v>
      </c>
      <c r="H13" s="192" t="str">
        <f t="shared" si="0"/>
        <v>TPMS_520012_9</v>
      </c>
      <c r="I13" s="193">
        <v>12</v>
      </c>
      <c r="J13" s="192" t="str">
        <f t="shared" si="1"/>
        <v>TPMS_520012_9Var_ui_ErrNo := 12;</v>
      </c>
    </row>
    <row r="14" ht="16.5" spans="1:10">
      <c r="A14" s="190" t="s">
        <v>5466</v>
      </c>
      <c r="B14" s="190">
        <v>520013</v>
      </c>
      <c r="C14" s="190">
        <v>9</v>
      </c>
      <c r="D14" s="191" t="s">
        <v>5620</v>
      </c>
      <c r="E14" s="191" t="s">
        <v>5621</v>
      </c>
      <c r="F14" s="191" t="s">
        <v>5622</v>
      </c>
      <c r="G14" s="191" t="s">
        <v>5623</v>
      </c>
      <c r="H14" s="192" t="str">
        <f t="shared" si="0"/>
        <v>TPMS_520013_9</v>
      </c>
      <c r="I14" s="193">
        <v>13</v>
      </c>
      <c r="J14" s="192" t="str">
        <f t="shared" si="1"/>
        <v>TPMS_520013_9Var_ui_ErrNo := 13;</v>
      </c>
    </row>
    <row r="15" ht="16.5" spans="1:10">
      <c r="A15" s="190" t="s">
        <v>5474</v>
      </c>
      <c r="B15" s="190">
        <v>520014</v>
      </c>
      <c r="C15" s="190">
        <v>9</v>
      </c>
      <c r="D15" s="191" t="s">
        <v>5624</v>
      </c>
      <c r="E15" s="191" t="s">
        <v>5625</v>
      </c>
      <c r="F15" s="191" t="s">
        <v>5626</v>
      </c>
      <c r="G15" s="191" t="s">
        <v>5627</v>
      </c>
      <c r="H15" s="192" t="str">
        <f t="shared" si="0"/>
        <v>TPMS_520014_9</v>
      </c>
      <c r="I15" s="193">
        <v>14</v>
      </c>
      <c r="J15" s="192" t="str">
        <f t="shared" si="1"/>
        <v>TPMS_520014_9Var_ui_ErrNo := 14;</v>
      </c>
    </row>
    <row r="16" ht="16.5" spans="1:10">
      <c r="A16" s="190" t="s">
        <v>810</v>
      </c>
      <c r="B16" s="190">
        <v>3509</v>
      </c>
      <c r="C16" s="190">
        <v>24</v>
      </c>
      <c r="D16" s="191" t="s">
        <v>5628</v>
      </c>
      <c r="E16" s="191" t="s">
        <v>5629</v>
      </c>
      <c r="F16" s="191" t="s">
        <v>5630</v>
      </c>
      <c r="G16" s="191" t="s">
        <v>5631</v>
      </c>
      <c r="H16" s="192" t="str">
        <f t="shared" si="0"/>
        <v>TPMS_3509_24</v>
      </c>
      <c r="I16" s="193">
        <v>15</v>
      </c>
      <c r="J16" s="192" t="str">
        <f t="shared" si="1"/>
        <v>TPMS_3509_24Var_ui_ErrNo := 15;</v>
      </c>
    </row>
    <row r="17" ht="16.5" spans="1:10">
      <c r="A17" s="190" t="s">
        <v>815</v>
      </c>
      <c r="B17" s="190">
        <v>3510</v>
      </c>
      <c r="C17" s="190">
        <v>24</v>
      </c>
      <c r="D17" s="191" t="s">
        <v>5632</v>
      </c>
      <c r="E17" s="191" t="s">
        <v>5633</v>
      </c>
      <c r="F17" s="191" t="s">
        <v>5634</v>
      </c>
      <c r="G17" s="191" t="s">
        <v>5635</v>
      </c>
      <c r="H17" s="192" t="str">
        <f t="shared" si="0"/>
        <v>TPMS_3510_24</v>
      </c>
      <c r="I17" s="193">
        <v>16</v>
      </c>
      <c r="J17" s="192" t="str">
        <f t="shared" si="1"/>
        <v>TPMS_3510_24Var_ui_ErrNo := 16;</v>
      </c>
    </row>
    <row r="18" ht="16.5" spans="1:10">
      <c r="A18" s="190" t="s">
        <v>5494</v>
      </c>
      <c r="B18" s="190">
        <v>3511</v>
      </c>
      <c r="C18" s="190">
        <v>24</v>
      </c>
      <c r="D18" s="191" t="s">
        <v>5636</v>
      </c>
      <c r="E18" s="191" t="s">
        <v>5637</v>
      </c>
      <c r="F18" s="191" t="s">
        <v>5638</v>
      </c>
      <c r="G18" s="191" t="s">
        <v>5639</v>
      </c>
      <c r="H18" s="192" t="str">
        <f t="shared" si="0"/>
        <v>TPMS_3511_24</v>
      </c>
      <c r="I18" s="193">
        <v>17</v>
      </c>
      <c r="J18" s="192" t="str">
        <f t="shared" si="1"/>
        <v>TPMS_3511_24Var_ui_ErrNo := 17;</v>
      </c>
    </row>
    <row r="19" ht="16.5" spans="1:10">
      <c r="A19" s="190" t="s">
        <v>5502</v>
      </c>
      <c r="B19" s="190">
        <v>3512</v>
      </c>
      <c r="C19" s="190">
        <v>24</v>
      </c>
      <c r="D19" s="191" t="s">
        <v>5640</v>
      </c>
      <c r="E19" s="191" t="s">
        <v>5641</v>
      </c>
      <c r="F19" s="191" t="s">
        <v>5642</v>
      </c>
      <c r="G19" s="191" t="s">
        <v>5643</v>
      </c>
      <c r="H19" s="192" t="str">
        <f t="shared" si="0"/>
        <v>TPMS_3512_24</v>
      </c>
      <c r="I19" s="193">
        <v>18</v>
      </c>
      <c r="J19" s="192" t="str">
        <f t="shared" si="1"/>
        <v>TPMS_3512_24Var_ui_ErrNo := 18;</v>
      </c>
    </row>
    <row r="20" ht="16.5" spans="1:10">
      <c r="A20" s="190" t="s">
        <v>5509</v>
      </c>
      <c r="B20" s="190">
        <v>3513</v>
      </c>
      <c r="C20" s="190">
        <v>24</v>
      </c>
      <c r="D20" s="191" t="s">
        <v>5644</v>
      </c>
      <c r="E20" s="191" t="s">
        <v>5645</v>
      </c>
      <c r="F20" s="191" t="s">
        <v>5646</v>
      </c>
      <c r="G20" s="191" t="s">
        <v>5647</v>
      </c>
      <c r="H20" s="192" t="str">
        <f t="shared" si="0"/>
        <v>TPMS_3513_24</v>
      </c>
      <c r="I20" s="193">
        <v>19</v>
      </c>
      <c r="J20" s="192" t="str">
        <f t="shared" si="1"/>
        <v>TPMS_3513_24Var_ui_ErrNo := 19;</v>
      </c>
    </row>
    <row r="21" ht="16.5" spans="1:10">
      <c r="A21" s="190" t="s">
        <v>5517</v>
      </c>
      <c r="B21" s="190">
        <v>3514</v>
      </c>
      <c r="C21" s="190">
        <v>24</v>
      </c>
      <c r="D21" s="191" t="s">
        <v>5648</v>
      </c>
      <c r="E21" s="191" t="s">
        <v>5649</v>
      </c>
      <c r="F21" s="191" t="s">
        <v>5650</v>
      </c>
      <c r="G21" s="191" t="s">
        <v>5651</v>
      </c>
      <c r="H21" s="192" t="str">
        <f t="shared" si="0"/>
        <v>TPMS_3514_24</v>
      </c>
      <c r="I21" s="193">
        <v>20</v>
      </c>
      <c r="J21" s="192" t="str">
        <f t="shared" si="1"/>
        <v>TPMS_3514_24Var_ui_ErrNo := 20;</v>
      </c>
    </row>
    <row r="22" ht="16.5" spans="1:10">
      <c r="A22" s="190" t="s">
        <v>5524</v>
      </c>
      <c r="B22" s="190">
        <v>5125</v>
      </c>
      <c r="C22" s="190">
        <v>24</v>
      </c>
      <c r="D22" s="191" t="s">
        <v>5652</v>
      </c>
      <c r="E22" s="191" t="s">
        <v>5653</v>
      </c>
      <c r="F22" s="191" t="s">
        <v>5654</v>
      </c>
      <c r="G22" s="191" t="s">
        <v>5655</v>
      </c>
      <c r="H22" s="192" t="str">
        <f t="shared" si="0"/>
        <v>TPMS_5125_24</v>
      </c>
      <c r="I22" s="193">
        <v>21</v>
      </c>
      <c r="J22" s="192" t="str">
        <f t="shared" si="1"/>
        <v>TPMS_5125_24Var_ui_ErrNo := 21;</v>
      </c>
    </row>
    <row r="23" ht="16.5" spans="1:10">
      <c r="A23" s="190" t="s">
        <v>5532</v>
      </c>
      <c r="B23" s="190">
        <v>5126</v>
      </c>
      <c r="C23" s="190">
        <v>24</v>
      </c>
      <c r="D23" s="191" t="s">
        <v>5656</v>
      </c>
      <c r="E23" s="191" t="s">
        <v>5657</v>
      </c>
      <c r="F23" s="191" t="s">
        <v>5658</v>
      </c>
      <c r="G23" s="191" t="s">
        <v>5659</v>
      </c>
      <c r="H23" s="192" t="str">
        <f t="shared" si="0"/>
        <v>TPMS_5126_24</v>
      </c>
      <c r="I23" s="193">
        <v>22</v>
      </c>
      <c r="J23" s="192" t="str">
        <f t="shared" si="1"/>
        <v>TPMS_5126_24Var_ui_ErrNo := 22;</v>
      </c>
    </row>
    <row r="24" ht="16.5" spans="1:10">
      <c r="A24" s="190" t="s">
        <v>5540</v>
      </c>
      <c r="B24" s="190">
        <v>5127</v>
      </c>
      <c r="C24" s="190">
        <v>24</v>
      </c>
      <c r="D24" s="191" t="s">
        <v>5660</v>
      </c>
      <c r="E24" s="191" t="s">
        <v>5661</v>
      </c>
      <c r="F24" s="191" t="s">
        <v>5662</v>
      </c>
      <c r="G24" s="191" t="s">
        <v>5663</v>
      </c>
      <c r="H24" s="192" t="str">
        <f t="shared" si="0"/>
        <v>TPMS_5127_24</v>
      </c>
      <c r="I24" s="193">
        <v>23</v>
      </c>
      <c r="J24" s="192" t="str">
        <f t="shared" si="1"/>
        <v>TPMS_5127_24Var_ui_ErrNo := 23;</v>
      </c>
    </row>
    <row r="25" ht="16.5" spans="1:10">
      <c r="A25" s="190" t="s">
        <v>5548</v>
      </c>
      <c r="B25" s="190">
        <v>5128</v>
      </c>
      <c r="C25" s="190">
        <v>24</v>
      </c>
      <c r="D25" s="191" t="s">
        <v>5664</v>
      </c>
      <c r="E25" s="191" t="s">
        <v>5665</v>
      </c>
      <c r="F25" s="191" t="s">
        <v>5666</v>
      </c>
      <c r="G25" s="191" t="s">
        <v>5667</v>
      </c>
      <c r="H25" s="192" t="str">
        <f t="shared" si="0"/>
        <v>TPMS_5128_24</v>
      </c>
      <c r="I25" s="193">
        <v>24</v>
      </c>
      <c r="J25" s="192" t="str">
        <f t="shared" si="1"/>
        <v>TPMS_5128_24Var_ui_ErrNo := 24;</v>
      </c>
    </row>
    <row r="26" ht="16.5" spans="1:10">
      <c r="A26" s="190" t="s">
        <v>5556</v>
      </c>
      <c r="B26" s="190">
        <v>5129</v>
      </c>
      <c r="C26" s="190">
        <v>24</v>
      </c>
      <c r="D26" s="191" t="s">
        <v>5668</v>
      </c>
      <c r="E26" s="191" t="s">
        <v>5669</v>
      </c>
      <c r="F26" s="191" t="s">
        <v>5670</v>
      </c>
      <c r="G26" s="191" t="s">
        <v>5671</v>
      </c>
      <c r="H26" s="192" t="str">
        <f t="shared" si="0"/>
        <v>TPMS_5129_24</v>
      </c>
      <c r="I26" s="193">
        <v>25</v>
      </c>
      <c r="J26" s="192" t="str">
        <f t="shared" si="1"/>
        <v>TPMS_5129_24Var_ui_ErrNo := 25;</v>
      </c>
    </row>
    <row r="27" ht="16.5" spans="1:10">
      <c r="A27" s="190" t="s">
        <v>5563</v>
      </c>
      <c r="B27" s="190">
        <v>5130</v>
      </c>
      <c r="C27" s="190">
        <v>24</v>
      </c>
      <c r="D27" s="191" t="s">
        <v>5672</v>
      </c>
      <c r="E27" s="191" t="s">
        <v>5673</v>
      </c>
      <c r="F27" s="191" t="s">
        <v>5674</v>
      </c>
      <c r="G27" s="191" t="s">
        <v>5675</v>
      </c>
      <c r="H27" s="192" t="str">
        <f t="shared" si="0"/>
        <v>TPMS_5130_24</v>
      </c>
      <c r="I27" s="193">
        <v>26</v>
      </c>
      <c r="J27" s="192" t="str">
        <f t="shared" si="1"/>
        <v>TPMS_5130_24Var_ui_ErrNo := 26;</v>
      </c>
    </row>
    <row r="28" ht="16.5" spans="1:10">
      <c r="A28" s="190" t="s">
        <v>5676</v>
      </c>
      <c r="B28" s="190">
        <v>5131</v>
      </c>
      <c r="C28" s="190">
        <v>24</v>
      </c>
      <c r="D28" s="191" t="s">
        <v>5677</v>
      </c>
      <c r="E28" s="191" t="s">
        <v>5678</v>
      </c>
      <c r="F28" s="191" t="s">
        <v>5679</v>
      </c>
      <c r="G28" s="191" t="s">
        <v>5680</v>
      </c>
      <c r="H28" s="192" t="str">
        <f t="shared" si="0"/>
        <v>TPMS_5131_24</v>
      </c>
      <c r="I28" s="193">
        <v>27</v>
      </c>
      <c r="J28" s="192" t="str">
        <f t="shared" si="1"/>
        <v>TPMS_5131_24Var_ui_ErrNo := 27;</v>
      </c>
    </row>
    <row r="29" ht="16.5" spans="1:10">
      <c r="A29" s="190" t="s">
        <v>5681</v>
      </c>
      <c r="B29" s="190">
        <v>5132</v>
      </c>
      <c r="C29" s="190">
        <v>24</v>
      </c>
      <c r="D29" s="191" t="s">
        <v>5682</v>
      </c>
      <c r="E29" s="191" t="s">
        <v>5683</v>
      </c>
      <c r="F29" s="191" t="s">
        <v>5684</v>
      </c>
      <c r="G29" s="191" t="s">
        <v>5685</v>
      </c>
      <c r="H29" s="192" t="str">
        <f t="shared" si="0"/>
        <v>TPMS_5132_24</v>
      </c>
      <c r="I29" s="193">
        <v>28</v>
      </c>
      <c r="J29" s="192" t="str">
        <f t="shared" si="1"/>
        <v>TPMS_5132_24Var_ui_ErrNo := 28;</v>
      </c>
    </row>
    <row r="30" ht="16.5" spans="1:10">
      <c r="A30" s="190" t="s">
        <v>5686</v>
      </c>
      <c r="B30" s="190">
        <v>5133</v>
      </c>
      <c r="C30" s="190">
        <v>24</v>
      </c>
      <c r="D30" s="191" t="s">
        <v>5687</v>
      </c>
      <c r="E30" s="191" t="s">
        <v>5688</v>
      </c>
      <c r="F30" s="191" t="s">
        <v>5689</v>
      </c>
      <c r="G30" s="191" t="s">
        <v>5690</v>
      </c>
      <c r="H30" s="192" t="str">
        <f t="shared" si="0"/>
        <v>TPMS_5133_24</v>
      </c>
      <c r="I30" s="193">
        <v>29</v>
      </c>
      <c r="J30" s="192" t="str">
        <f t="shared" si="1"/>
        <v>TPMS_5133_24Var_ui_ErrNo := 29;</v>
      </c>
    </row>
    <row r="31" ht="16.5" spans="1:10">
      <c r="A31" s="190" t="s">
        <v>5691</v>
      </c>
      <c r="B31" s="190">
        <v>519001</v>
      </c>
      <c r="C31" s="190" t="s">
        <v>5436</v>
      </c>
      <c r="D31" s="191" t="s">
        <v>5692</v>
      </c>
      <c r="E31" s="191" t="s">
        <v>5693</v>
      </c>
      <c r="F31" s="191" t="s">
        <v>5694</v>
      </c>
      <c r="G31" s="191" t="s">
        <v>5695</v>
      </c>
      <c r="H31" s="192" t="str">
        <f t="shared" si="0"/>
        <v>TPMS_519001_9</v>
      </c>
      <c r="I31" s="193">
        <v>30</v>
      </c>
      <c r="J31" s="192" t="str">
        <f t="shared" si="1"/>
        <v>TPMS_519001_9Var_ui_ErrNo := 30;</v>
      </c>
    </row>
    <row r="32" ht="16.5" spans="1:10">
      <c r="A32" s="190" t="s">
        <v>5696</v>
      </c>
      <c r="B32" s="190">
        <v>519002</v>
      </c>
      <c r="C32" s="190" t="s">
        <v>5444</v>
      </c>
      <c r="D32" s="191" t="s">
        <v>5692</v>
      </c>
      <c r="E32" s="191" t="s">
        <v>5697</v>
      </c>
      <c r="F32" s="191" t="s">
        <v>5698</v>
      </c>
      <c r="G32" s="191" t="s">
        <v>5699</v>
      </c>
      <c r="H32" s="192" t="str">
        <f t="shared" si="0"/>
        <v>TPMS_519002_10</v>
      </c>
      <c r="I32" s="193">
        <v>31</v>
      </c>
      <c r="J32" s="192" t="str">
        <f t="shared" si="1"/>
        <v>TPMS_519002_10Var_ui_ErrNo := 31;</v>
      </c>
    </row>
    <row r="33" ht="16.5" spans="1:10">
      <c r="A33" s="190" t="s">
        <v>5700</v>
      </c>
      <c r="B33" s="190">
        <v>519003</v>
      </c>
      <c r="C33" s="190" t="s">
        <v>5451</v>
      </c>
      <c r="D33" s="191" t="s">
        <v>5692</v>
      </c>
      <c r="E33" s="191" t="s">
        <v>5701</v>
      </c>
      <c r="F33" s="191" t="s">
        <v>5702</v>
      </c>
      <c r="G33" s="191" t="s">
        <v>5703</v>
      </c>
      <c r="H33" s="192" t="str">
        <f t="shared" si="0"/>
        <v>TPMS_519003_11</v>
      </c>
      <c r="I33" s="193">
        <v>32</v>
      </c>
      <c r="J33" s="192" t="str">
        <f t="shared" si="1"/>
        <v>TPMS_519003_11Var_ui_ErrNo := 32;</v>
      </c>
    </row>
    <row r="34" ht="16.5" spans="1:10">
      <c r="A34" s="190" t="s">
        <v>5704</v>
      </c>
      <c r="B34" s="190">
        <v>518005</v>
      </c>
      <c r="C34" s="190">
        <v>11</v>
      </c>
      <c r="D34" s="191" t="s">
        <v>5705</v>
      </c>
      <c r="E34" s="191" t="s">
        <v>5706</v>
      </c>
      <c r="F34" s="191" t="s">
        <v>5707</v>
      </c>
      <c r="G34" s="191" t="s">
        <v>5708</v>
      </c>
      <c r="H34" s="192" t="str">
        <f t="shared" si="0"/>
        <v>TPMS_518005_11</v>
      </c>
      <c r="I34" s="193">
        <v>33</v>
      </c>
      <c r="J34" s="192" t="str">
        <f t="shared" si="1"/>
        <v>TPMS_518005_11Var_ui_ErrNo := 33;</v>
      </c>
    </row>
    <row r="35" ht="16.5" spans="1:10">
      <c r="A35" s="190" t="s">
        <v>5709</v>
      </c>
      <c r="B35" s="190">
        <v>168</v>
      </c>
      <c r="C35" s="190">
        <v>4</v>
      </c>
      <c r="D35" s="191" t="s">
        <v>5710</v>
      </c>
      <c r="E35" s="191" t="s">
        <v>5711</v>
      </c>
      <c r="F35" s="191" t="s">
        <v>5712</v>
      </c>
      <c r="G35" s="191" t="s">
        <v>5713</v>
      </c>
      <c r="H35" s="192" t="str">
        <f t="shared" si="0"/>
        <v>TPMS_168_4</v>
      </c>
      <c r="I35" s="193">
        <v>34</v>
      </c>
      <c r="J35" s="192" t="str">
        <f t="shared" si="1"/>
        <v>TPMS_168_4Var_ui_ErrNo := 34;</v>
      </c>
    </row>
    <row r="36" ht="16.5" spans="1:10">
      <c r="A36" s="190" t="s">
        <v>5714</v>
      </c>
      <c r="B36" s="190">
        <v>168</v>
      </c>
      <c r="C36" s="190">
        <v>3</v>
      </c>
      <c r="D36" s="191" t="s">
        <v>5715</v>
      </c>
      <c r="E36" s="191" t="s">
        <v>5716</v>
      </c>
      <c r="F36" s="191" t="s">
        <v>5717</v>
      </c>
      <c r="G36" s="191" t="s">
        <v>5718</v>
      </c>
      <c r="H36" s="192" t="str">
        <f t="shared" si="0"/>
        <v>TPMS_168_3</v>
      </c>
      <c r="I36" s="193">
        <v>35</v>
      </c>
      <c r="J36" s="192" t="str">
        <f t="shared" si="1"/>
        <v>TPMS_168_3Var_ui_ErrNo := 35;</v>
      </c>
    </row>
    <row r="37" ht="16.5" spans="1:10">
      <c r="A37" s="190" t="s">
        <v>5719</v>
      </c>
      <c r="B37" s="190">
        <v>518002</v>
      </c>
      <c r="C37" s="190">
        <v>9</v>
      </c>
      <c r="D37" s="191" t="s">
        <v>5720</v>
      </c>
      <c r="E37" s="191" t="s">
        <v>5721</v>
      </c>
      <c r="F37" s="191" t="s">
        <v>5722</v>
      </c>
      <c r="G37" s="191" t="s">
        <v>5723</v>
      </c>
      <c r="H37" s="192" t="str">
        <f t="shared" si="0"/>
        <v>TPMS_518002_9</v>
      </c>
      <c r="I37" s="193">
        <v>36</v>
      </c>
      <c r="J37" s="192" t="str">
        <f t="shared" si="1"/>
        <v>TPMS_518002_9Var_ui_ErrNo := 36;</v>
      </c>
    </row>
    <row r="38" ht="16.5" spans="1:10">
      <c r="A38" s="190" t="s">
        <v>5724</v>
      </c>
      <c r="B38" s="190">
        <v>171</v>
      </c>
      <c r="C38" s="190">
        <v>9</v>
      </c>
      <c r="D38" s="191" t="s">
        <v>5725</v>
      </c>
      <c r="E38" s="191" t="s">
        <v>5726</v>
      </c>
      <c r="F38" s="191" t="s">
        <v>5727</v>
      </c>
      <c r="G38" s="191" t="s">
        <v>5728</v>
      </c>
      <c r="H38" s="192" t="str">
        <f t="shared" si="0"/>
        <v>TPMS_171_9</v>
      </c>
      <c r="I38" s="193">
        <v>37</v>
      </c>
      <c r="J38" s="192" t="str">
        <f t="shared" si="1"/>
        <v>TPMS_171_9Var_ui_ErrNo := 37;</v>
      </c>
    </row>
    <row r="44" spans="5:7">
      <c r="E44" s="181"/>
      <c r="F44" s="181"/>
      <c r="G44" s="181"/>
    </row>
  </sheetData>
  <mergeCells count="1">
    <mergeCell ref="D1:E1"/>
  </mergeCells>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E9" sqref="E9"/>
    </sheetView>
  </sheetViews>
  <sheetFormatPr defaultColWidth="8.875" defaultRowHeight="16.5"/>
  <cols>
    <col min="1" max="2" width="8.875" style="36"/>
    <col min="3" max="3" width="8.125" style="36" customWidth="1"/>
    <col min="4" max="4" width="23.25" style="36" customWidth="1"/>
    <col min="5" max="5" width="31" style="36" customWidth="1"/>
    <col min="6" max="6" width="30.25" style="36" customWidth="1"/>
    <col min="7" max="7" width="31.625" style="36" customWidth="1"/>
    <col min="8" max="8" width="7.5" style="168" customWidth="1"/>
    <col min="9" max="9" width="15.125" style="168" customWidth="1"/>
    <col min="10" max="14" width="8" style="168" customWidth="1"/>
    <col min="15" max="15" width="14.375" style="168" customWidth="1"/>
    <col min="16" max="17" width="7" style="168" customWidth="1"/>
    <col min="18" max="18" width="22.5" style="168" customWidth="1"/>
    <col min="19" max="21" width="7.625" style="168" customWidth="1"/>
    <col min="22" max="24" width="8.875" style="168"/>
    <col min="25" max="16384" width="8.875" style="36"/>
  </cols>
  <sheetData>
    <row r="1" spans="1:7">
      <c r="A1" s="169" t="s">
        <v>5729</v>
      </c>
      <c r="B1" s="170"/>
      <c r="C1" s="170"/>
      <c r="D1" s="170"/>
      <c r="E1" s="170"/>
      <c r="F1" s="170"/>
      <c r="G1" s="171"/>
    </row>
    <row r="2" ht="24.95" customHeight="1" spans="1:7">
      <c r="A2" s="172" t="s">
        <v>99</v>
      </c>
      <c r="B2" s="172" t="s">
        <v>102</v>
      </c>
      <c r="C2" s="172" t="s">
        <v>103</v>
      </c>
      <c r="D2" s="172" t="s">
        <v>101</v>
      </c>
      <c r="E2" s="172" t="s">
        <v>5730</v>
      </c>
      <c r="F2" s="172" t="s">
        <v>5731</v>
      </c>
      <c r="G2" s="171"/>
    </row>
    <row r="3" ht="24.95" customHeight="1" spans="1:18">
      <c r="A3" s="173">
        <v>1</v>
      </c>
      <c r="B3" s="173" t="s">
        <v>5732</v>
      </c>
      <c r="C3" s="173" t="s">
        <v>5436</v>
      </c>
      <c r="D3" s="164" t="s">
        <v>5733</v>
      </c>
      <c r="E3" s="164" t="s">
        <v>5734</v>
      </c>
      <c r="F3" s="164" t="s">
        <v>5735</v>
      </c>
      <c r="G3" s="164" t="s">
        <v>5734</v>
      </c>
      <c r="H3" s="168">
        <v>42</v>
      </c>
      <c r="I3" s="179" t="str">
        <f>"HJYX_"&amp;B3&amp;"_"&amp;C3</f>
        <v>HJYX_66_9</v>
      </c>
      <c r="M3" s="168">
        <f>B3*100+C3</f>
        <v>6609</v>
      </c>
      <c r="N3" s="179" t="s">
        <v>5736</v>
      </c>
      <c r="O3" s="179" t="s">
        <v>1412</v>
      </c>
      <c r="P3" s="168">
        <v>1</v>
      </c>
      <c r="Q3" s="179" t="s">
        <v>1413</v>
      </c>
      <c r="R3" s="179" t="str">
        <f>N3&amp;$O$3&amp;P3&amp;$Q$3</f>
        <v>6609:Var_ui_ErrNo:=1;</v>
      </c>
    </row>
    <row r="4" ht="24.95" customHeight="1" spans="1:18">
      <c r="A4" s="174">
        <v>2</v>
      </c>
      <c r="B4" s="174" t="s">
        <v>5737</v>
      </c>
      <c r="C4" s="174" t="s">
        <v>5459</v>
      </c>
      <c r="D4" s="167" t="s">
        <v>5738</v>
      </c>
      <c r="E4" s="167" t="s">
        <v>5739</v>
      </c>
      <c r="F4" s="167" t="s">
        <v>5740</v>
      </c>
      <c r="G4" s="167" t="s">
        <v>5739</v>
      </c>
      <c r="H4" s="168">
        <v>42</v>
      </c>
      <c r="I4" s="179" t="str">
        <f t="shared" ref="I4:I10" si="0">"HJYX_"&amp;B4&amp;"_"&amp;C4</f>
        <v>HJYX_67_12</v>
      </c>
      <c r="M4" s="168">
        <f t="shared" ref="M4:M10" si="1">B4*100+C4</f>
        <v>6712</v>
      </c>
      <c r="N4" s="179" t="s">
        <v>5741</v>
      </c>
      <c r="P4" s="168">
        <v>2</v>
      </c>
      <c r="R4" s="179" t="str">
        <f t="shared" ref="R4:R10" si="2">N4&amp;$O$3&amp;P4&amp;$Q$3</f>
        <v>6712:Var_ui_ErrNo:=2;</v>
      </c>
    </row>
    <row r="5" ht="24.95" customHeight="1" spans="1:18">
      <c r="A5" s="174">
        <v>3</v>
      </c>
      <c r="B5" s="174" t="s">
        <v>5742</v>
      </c>
      <c r="C5" s="174" t="s">
        <v>5459</v>
      </c>
      <c r="D5" s="167" t="s">
        <v>5743</v>
      </c>
      <c r="E5" s="167" t="s">
        <v>5744</v>
      </c>
      <c r="F5" s="167" t="s">
        <v>5745</v>
      </c>
      <c r="G5" s="167" t="s">
        <v>5744</v>
      </c>
      <c r="H5" s="168">
        <v>44</v>
      </c>
      <c r="I5" s="179" t="str">
        <f t="shared" si="0"/>
        <v>HJYX_68_12</v>
      </c>
      <c r="M5" s="168">
        <f t="shared" si="1"/>
        <v>6812</v>
      </c>
      <c r="N5" s="179" t="s">
        <v>5746</v>
      </c>
      <c r="P5" s="168">
        <v>3</v>
      </c>
      <c r="R5" s="179" t="str">
        <f t="shared" si="2"/>
        <v>6812:Var_ui_ErrNo:=3;</v>
      </c>
    </row>
    <row r="6" ht="24.95" customHeight="1" spans="1:18">
      <c r="A6" s="173">
        <v>4</v>
      </c>
      <c r="B6" s="173" t="s">
        <v>5747</v>
      </c>
      <c r="C6" s="173" t="s">
        <v>5459</v>
      </c>
      <c r="D6" s="175" t="s">
        <v>5748</v>
      </c>
      <c r="E6" s="175" t="s">
        <v>5749</v>
      </c>
      <c r="F6" s="175" t="s">
        <v>5750</v>
      </c>
      <c r="G6" s="175" t="s">
        <v>5749</v>
      </c>
      <c r="H6" s="168">
        <v>45</v>
      </c>
      <c r="I6" s="179" t="str">
        <f t="shared" si="0"/>
        <v>HJYX_69_12</v>
      </c>
      <c r="M6" s="168">
        <f t="shared" si="1"/>
        <v>6912</v>
      </c>
      <c r="N6" s="179" t="s">
        <v>5751</v>
      </c>
      <c r="P6" s="168">
        <v>4</v>
      </c>
      <c r="R6" s="179" t="str">
        <f t="shared" si="2"/>
        <v>6912:Var_ui_ErrNo:=4;</v>
      </c>
    </row>
    <row r="7" ht="24.95" customHeight="1" spans="1:18">
      <c r="A7" s="173">
        <v>5</v>
      </c>
      <c r="B7" s="173" t="s">
        <v>5752</v>
      </c>
      <c r="C7" s="173" t="s">
        <v>5459</v>
      </c>
      <c r="D7" s="175" t="s">
        <v>5753</v>
      </c>
      <c r="E7" s="175" t="s">
        <v>5754</v>
      </c>
      <c r="F7" s="175" t="s">
        <v>5755</v>
      </c>
      <c r="G7" s="175" t="s">
        <v>5754</v>
      </c>
      <c r="H7" s="168">
        <v>46</v>
      </c>
      <c r="I7" s="179" t="str">
        <f t="shared" si="0"/>
        <v>HJYX_70_12</v>
      </c>
      <c r="M7" s="168">
        <f t="shared" si="1"/>
        <v>7012</v>
      </c>
      <c r="N7" s="179" t="s">
        <v>5756</v>
      </c>
      <c r="P7" s="168">
        <v>5</v>
      </c>
      <c r="R7" s="179" t="str">
        <f t="shared" si="2"/>
        <v>7012:Var_ui_ErrNo:=5;</v>
      </c>
    </row>
    <row r="8" ht="24.95" customHeight="1" spans="1:18">
      <c r="A8" s="173">
        <v>6</v>
      </c>
      <c r="B8" s="173" t="s">
        <v>5757</v>
      </c>
      <c r="C8" s="173" t="s">
        <v>5459</v>
      </c>
      <c r="D8" s="175" t="s">
        <v>5758</v>
      </c>
      <c r="E8" s="175" t="s">
        <v>5759</v>
      </c>
      <c r="F8" s="175" t="s">
        <v>5760</v>
      </c>
      <c r="G8" s="175" t="s">
        <v>5759</v>
      </c>
      <c r="I8" s="179" t="str">
        <f t="shared" si="0"/>
        <v>HJYX_71_12</v>
      </c>
      <c r="M8" s="168">
        <f t="shared" si="1"/>
        <v>7112</v>
      </c>
      <c r="N8" s="179" t="s">
        <v>5761</v>
      </c>
      <c r="P8" s="168">
        <v>6</v>
      </c>
      <c r="R8" s="179" t="str">
        <f t="shared" si="2"/>
        <v>7112:Var_ui_ErrNo:=6;</v>
      </c>
    </row>
    <row r="9" ht="24.95" customHeight="1" spans="1:18">
      <c r="A9" s="174">
        <v>7</v>
      </c>
      <c r="B9" s="174" t="s">
        <v>5762</v>
      </c>
      <c r="C9" s="174" t="s">
        <v>5459</v>
      </c>
      <c r="D9" s="176" t="s">
        <v>5763</v>
      </c>
      <c r="E9" s="177" t="s">
        <v>5764</v>
      </c>
      <c r="F9" s="176" t="s">
        <v>5765</v>
      </c>
      <c r="G9" s="177" t="s">
        <v>5764</v>
      </c>
      <c r="I9" s="179" t="str">
        <f t="shared" si="0"/>
        <v>HJYX_72_12</v>
      </c>
      <c r="M9" s="168">
        <f t="shared" si="1"/>
        <v>7212</v>
      </c>
      <c r="N9" s="179" t="s">
        <v>5766</v>
      </c>
      <c r="P9" s="168">
        <v>7</v>
      </c>
      <c r="R9" s="179" t="str">
        <f t="shared" si="2"/>
        <v>7212:Var_ui_ErrNo:=7;</v>
      </c>
    </row>
    <row r="10" ht="24.95" customHeight="1" spans="1:18">
      <c r="A10" s="174">
        <v>8</v>
      </c>
      <c r="B10" s="174" t="s">
        <v>5767</v>
      </c>
      <c r="C10" s="174" t="s">
        <v>5459</v>
      </c>
      <c r="D10" s="176" t="s">
        <v>5768</v>
      </c>
      <c r="E10" s="177" t="s">
        <v>5769</v>
      </c>
      <c r="F10" s="176" t="s">
        <v>5770</v>
      </c>
      <c r="G10" s="177" t="s">
        <v>5769</v>
      </c>
      <c r="I10" s="179" t="str">
        <f t="shared" si="0"/>
        <v>HJYX_73_12</v>
      </c>
      <c r="M10" s="168">
        <f t="shared" si="1"/>
        <v>7312</v>
      </c>
      <c r="N10" s="179" t="s">
        <v>5771</v>
      </c>
      <c r="P10" s="168">
        <v>8</v>
      </c>
      <c r="R10" s="179" t="str">
        <f t="shared" si="2"/>
        <v>7312:Var_ui_ErrNo:=8;</v>
      </c>
    </row>
    <row r="11" spans="4:13">
      <c r="D11" s="178"/>
      <c r="E11" s="178"/>
      <c r="F11" s="178"/>
      <c r="G11" s="178"/>
      <c r="K11" s="168">
        <v>6609</v>
      </c>
      <c r="L11" s="179" t="str">
        <f>K11&amp;","</f>
        <v>6609,</v>
      </c>
      <c r="M11" s="179" t="s">
        <v>5772</v>
      </c>
    </row>
    <row r="12" spans="11:21">
      <c r="K12" s="168">
        <v>6712</v>
      </c>
      <c r="L12" s="179" t="str">
        <f t="shared" ref="L12:L18" si="3">K12&amp;","</f>
        <v>6712,</v>
      </c>
      <c r="M12" s="179" t="s">
        <v>5773</v>
      </c>
      <c r="N12" s="179" t="s">
        <v>5772</v>
      </c>
      <c r="O12" s="179" t="s">
        <v>5773</v>
      </c>
      <c r="P12" s="179" t="s">
        <v>5774</v>
      </c>
      <c r="Q12" s="179" t="s">
        <v>5775</v>
      </c>
      <c r="R12" s="179" t="s">
        <v>5776</v>
      </c>
      <c r="S12" s="179" t="s">
        <v>5777</v>
      </c>
      <c r="T12" s="179" t="s">
        <v>5778</v>
      </c>
      <c r="U12" s="179" t="s">
        <v>5779</v>
      </c>
    </row>
    <row r="13" spans="11:13">
      <c r="K13" s="168">
        <v>6812</v>
      </c>
      <c r="L13" s="179" t="str">
        <f t="shared" si="3"/>
        <v>6812,</v>
      </c>
      <c r="M13" s="179" t="s">
        <v>5774</v>
      </c>
    </row>
    <row r="14" spans="11:13">
      <c r="K14" s="168">
        <v>6912</v>
      </c>
      <c r="L14" s="179" t="str">
        <f t="shared" si="3"/>
        <v>6912,</v>
      </c>
      <c r="M14" s="179" t="s">
        <v>5775</v>
      </c>
    </row>
    <row r="15" spans="11:13">
      <c r="K15" s="168">
        <v>7012</v>
      </c>
      <c r="L15" s="179" t="str">
        <f t="shared" si="3"/>
        <v>7012,</v>
      </c>
      <c r="M15" s="179" t="s">
        <v>5776</v>
      </c>
    </row>
    <row r="16" spans="11:13">
      <c r="K16" s="168">
        <v>7112</v>
      </c>
      <c r="L16" s="179" t="str">
        <f t="shared" si="3"/>
        <v>7112,</v>
      </c>
      <c r="M16" s="179" t="s">
        <v>5777</v>
      </c>
    </row>
    <row r="17" spans="11:13">
      <c r="K17" s="168">
        <v>7212</v>
      </c>
      <c r="L17" s="179" t="str">
        <f t="shared" si="3"/>
        <v>7212,</v>
      </c>
      <c r="M17" s="179" t="s">
        <v>5778</v>
      </c>
    </row>
    <row r="18" spans="11:13">
      <c r="K18" s="168">
        <v>7312</v>
      </c>
      <c r="L18" s="179" t="str">
        <f t="shared" si="3"/>
        <v>7312,</v>
      </c>
      <c r="M18" s="179" t="s">
        <v>5779</v>
      </c>
    </row>
  </sheetData>
  <mergeCells count="1">
    <mergeCell ref="A1:F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workbookViewId="0">
      <selection activeCell="E34" sqref="E34"/>
    </sheetView>
  </sheetViews>
  <sheetFormatPr defaultColWidth="8.875" defaultRowHeight="13.5"/>
  <cols>
    <col min="1" max="1" width="6.75" style="159" customWidth="1"/>
    <col min="2" max="2" width="7.125" style="159" customWidth="1"/>
    <col min="3" max="3" width="7.875" style="159" customWidth="1"/>
    <col min="4" max="4" width="15.625" style="159" customWidth="1"/>
    <col min="5" max="5" width="43.375" style="159" customWidth="1"/>
    <col min="6" max="6" width="36.75" style="159" customWidth="1"/>
    <col min="7" max="12" width="8.875" style="159"/>
    <col min="13" max="13" width="16.25" style="159" customWidth="1"/>
    <col min="14" max="15" width="6.75" style="159" customWidth="1"/>
    <col min="16" max="16" width="23.25" style="159" customWidth="1"/>
    <col min="17" max="16384" width="8.875" style="159"/>
  </cols>
  <sheetData>
    <row r="1" ht="16.5" spans="1:7">
      <c r="A1" s="160" t="s">
        <v>5780</v>
      </c>
      <c r="B1" s="161"/>
      <c r="C1" s="161"/>
      <c r="D1" s="161"/>
      <c r="E1" s="161"/>
      <c r="F1" s="161"/>
      <c r="G1" s="162"/>
    </row>
    <row r="2" ht="16.5" spans="1:7">
      <c r="A2" s="163" t="s">
        <v>99</v>
      </c>
      <c r="B2" s="163" t="s">
        <v>102</v>
      </c>
      <c r="C2" s="163" t="s">
        <v>103</v>
      </c>
      <c r="D2" s="163" t="s">
        <v>101</v>
      </c>
      <c r="E2" s="163" t="s">
        <v>5730</v>
      </c>
      <c r="F2" s="163" t="s">
        <v>5731</v>
      </c>
      <c r="G2" s="162"/>
    </row>
    <row r="3" ht="16.5" spans="1:16">
      <c r="A3" s="164">
        <v>1</v>
      </c>
      <c r="B3" s="164">
        <v>91</v>
      </c>
      <c r="C3" s="164">
        <v>5</v>
      </c>
      <c r="D3" s="164" t="s">
        <v>5781</v>
      </c>
      <c r="E3" s="165" t="s">
        <v>5782</v>
      </c>
      <c r="F3" s="164" t="s">
        <v>5783</v>
      </c>
      <c r="G3" s="166" t="s">
        <v>5784</v>
      </c>
      <c r="I3" s="159" t="str">
        <f>"FDW_"&amp;B3&amp;"_"&amp;C3</f>
        <v>FDW_91_5</v>
      </c>
      <c r="K3" s="159">
        <f>B3*100+C3</f>
        <v>9105</v>
      </c>
      <c r="L3" s="159" t="s">
        <v>5785</v>
      </c>
      <c r="M3" s="159" t="s">
        <v>1412</v>
      </c>
      <c r="N3" s="159">
        <v>1</v>
      </c>
      <c r="O3" s="159" t="s">
        <v>1413</v>
      </c>
      <c r="P3" s="159" t="str">
        <f>L3&amp;$M$3&amp;N3&amp;$O$3</f>
        <v>9105:Var_ui_ErrNo:=1;</v>
      </c>
    </row>
    <row r="4" ht="16.5" spans="1:16">
      <c r="A4" s="167">
        <v>2</v>
      </c>
      <c r="B4" s="164">
        <v>92</v>
      </c>
      <c r="C4" s="164">
        <v>6</v>
      </c>
      <c r="D4" s="164" t="s">
        <v>5786</v>
      </c>
      <c r="E4" s="165" t="s">
        <v>5787</v>
      </c>
      <c r="F4" s="164" t="s">
        <v>5788</v>
      </c>
      <c r="G4" s="166" t="s">
        <v>5789</v>
      </c>
      <c r="I4" s="159" t="str">
        <f>"FDW_"&amp;B4&amp;"_"&amp;C4</f>
        <v>FDW_92_6</v>
      </c>
      <c r="K4" s="159">
        <f>B4*100+C4</f>
        <v>9206</v>
      </c>
      <c r="L4" s="159" t="s">
        <v>5790</v>
      </c>
      <c r="N4" s="159">
        <v>2</v>
      </c>
      <c r="P4" s="159" t="str">
        <f>L4&amp;$M$3&amp;N4&amp;$O$3</f>
        <v>9206:Var_ui_ErrNo:=2;</v>
      </c>
    </row>
    <row r="5" ht="16.5" spans="1:16">
      <c r="A5" s="167">
        <v>3</v>
      </c>
      <c r="B5" s="164">
        <v>93</v>
      </c>
      <c r="C5" s="164">
        <v>5</v>
      </c>
      <c r="D5" s="164" t="s">
        <v>5791</v>
      </c>
      <c r="E5" s="165" t="s">
        <v>5792</v>
      </c>
      <c r="F5" s="164" t="s">
        <v>5793</v>
      </c>
      <c r="G5" s="166" t="s">
        <v>5794</v>
      </c>
      <c r="I5" s="159" t="str">
        <f>"FDW_"&amp;B5&amp;"_"&amp;C5</f>
        <v>FDW_93_5</v>
      </c>
      <c r="K5" s="159">
        <f>B5*100+C5</f>
        <v>9305</v>
      </c>
      <c r="L5" s="159" t="s">
        <v>5795</v>
      </c>
      <c r="N5" s="159">
        <v>3</v>
      </c>
      <c r="P5" s="159" t="str">
        <f>L5&amp;$M$3&amp;N5&amp;$O$3</f>
        <v>9305:Var_ui_ErrNo:=3;</v>
      </c>
    </row>
    <row r="6" ht="16.5" spans="1:16">
      <c r="A6" s="164">
        <v>4</v>
      </c>
      <c r="B6" s="164">
        <v>94</v>
      </c>
      <c r="C6" s="164">
        <v>6</v>
      </c>
      <c r="D6" s="164" t="s">
        <v>5796</v>
      </c>
      <c r="E6" s="165" t="s">
        <v>5797</v>
      </c>
      <c r="F6" s="164" t="s">
        <v>5798</v>
      </c>
      <c r="G6" s="162"/>
      <c r="I6" s="159" t="str">
        <f>"FDW_"&amp;B6&amp;"_"&amp;C6</f>
        <v>FDW_94_6</v>
      </c>
      <c r="K6" s="159">
        <f>B6*100+C6</f>
        <v>9406</v>
      </c>
      <c r="L6" s="159" t="s">
        <v>5799</v>
      </c>
      <c r="N6" s="159">
        <v>4</v>
      </c>
      <c r="P6" s="159" t="str">
        <f>L6&amp;$M$3&amp;N6&amp;$O$3</f>
        <v>9406:Var_ui_ErrNo:=4;</v>
      </c>
    </row>
    <row r="9" spans="11:17">
      <c r="K9" s="159">
        <v>9105</v>
      </c>
      <c r="L9" s="159" t="str">
        <f>K9&amp;","</f>
        <v>9105,</v>
      </c>
      <c r="M9" s="159" t="s">
        <v>5800</v>
      </c>
      <c r="N9" s="159" t="s">
        <v>5800</v>
      </c>
      <c r="O9" s="159" t="s">
        <v>5801</v>
      </c>
      <c r="P9" s="159" t="s">
        <v>5802</v>
      </c>
      <c r="Q9" s="159" t="s">
        <v>5803</v>
      </c>
    </row>
    <row r="10" spans="11:13">
      <c r="K10" s="159">
        <v>9206</v>
      </c>
      <c r="L10" s="159" t="str">
        <f>K10&amp;","</f>
        <v>9206,</v>
      </c>
      <c r="M10" s="159" t="s">
        <v>5801</v>
      </c>
    </row>
    <row r="11" spans="11:13">
      <c r="K11" s="159">
        <v>9305</v>
      </c>
      <c r="L11" s="159" t="str">
        <f>K11&amp;","</f>
        <v>9305,</v>
      </c>
      <c r="M11" s="159" t="s">
        <v>5802</v>
      </c>
    </row>
    <row r="12" spans="11:13">
      <c r="K12" s="159">
        <v>9406</v>
      </c>
      <c r="L12" s="159" t="str">
        <f>K12&amp;","</f>
        <v>9406,</v>
      </c>
      <c r="M12" s="159" t="s">
        <v>5803</v>
      </c>
    </row>
  </sheetData>
  <mergeCells count="1">
    <mergeCell ref="A1:F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
  <sheetViews>
    <sheetView topLeftCell="A48" workbookViewId="0">
      <selection activeCell="E63" sqref="E63:G81"/>
    </sheetView>
  </sheetViews>
  <sheetFormatPr defaultColWidth="8.875" defaultRowHeight="13.5"/>
  <cols>
    <col min="1" max="1" width="8.875" style="76"/>
    <col min="2" max="2" width="5.75" style="27" customWidth="1"/>
    <col min="3" max="3" width="9" style="27" customWidth="1"/>
    <col min="4" max="4" width="38.8583333333333" style="27" customWidth="1"/>
    <col min="5" max="5" width="9.875" style="76" customWidth="1"/>
    <col min="6" max="6" width="12.125" style="76" customWidth="1"/>
    <col min="7" max="7" width="41.5916666666667" style="27" customWidth="1"/>
    <col min="8" max="8" width="37.65" style="27" customWidth="1"/>
    <col min="9" max="9" width="39.675" style="27" customWidth="1"/>
    <col min="10" max="16384" width="8.875" style="76"/>
  </cols>
  <sheetData>
    <row r="1" ht="16.5" spans="1:9">
      <c r="A1" s="124" t="s">
        <v>99</v>
      </c>
      <c r="B1" s="136" t="s">
        <v>99</v>
      </c>
      <c r="C1" s="136" t="s">
        <v>113</v>
      </c>
      <c r="D1" s="137" t="s">
        <v>101</v>
      </c>
      <c r="E1" s="138" t="s">
        <v>114</v>
      </c>
      <c r="F1" s="138" t="s">
        <v>929</v>
      </c>
      <c r="G1" s="137" t="s">
        <v>250</v>
      </c>
      <c r="H1" s="139" t="s">
        <v>5804</v>
      </c>
      <c r="I1" s="139"/>
    </row>
    <row r="2" ht="16.5" spans="1:9">
      <c r="A2" s="117">
        <v>1</v>
      </c>
      <c r="B2" s="136">
        <v>1</v>
      </c>
      <c r="C2" s="140" t="s">
        <v>128</v>
      </c>
      <c r="D2" s="137" t="s">
        <v>5805</v>
      </c>
      <c r="E2" s="141">
        <v>11181</v>
      </c>
      <c r="F2" s="141">
        <v>0</v>
      </c>
      <c r="G2" s="137" t="s">
        <v>5806</v>
      </c>
      <c r="H2" s="139"/>
      <c r="I2" s="139"/>
    </row>
    <row r="3" ht="16.5" spans="1:9">
      <c r="A3" s="117">
        <v>2</v>
      </c>
      <c r="B3" s="136">
        <v>2</v>
      </c>
      <c r="C3" s="140" t="s">
        <v>128</v>
      </c>
      <c r="D3" s="137" t="s">
        <v>5807</v>
      </c>
      <c r="E3" s="141">
        <v>522000</v>
      </c>
      <c r="F3" s="141">
        <v>0</v>
      </c>
      <c r="G3" s="137" t="s">
        <v>5808</v>
      </c>
      <c r="H3" s="139"/>
      <c r="I3" s="139"/>
    </row>
    <row r="4" ht="16.5" spans="1:9">
      <c r="A4" s="117">
        <v>3</v>
      </c>
      <c r="B4" s="136">
        <v>3</v>
      </c>
      <c r="C4" s="140" t="s">
        <v>128</v>
      </c>
      <c r="D4" s="137" t="s">
        <v>5809</v>
      </c>
      <c r="E4" s="141">
        <v>522000</v>
      </c>
      <c r="F4" s="141">
        <v>1</v>
      </c>
      <c r="G4" s="137" t="s">
        <v>5810</v>
      </c>
      <c r="H4" s="139"/>
      <c r="I4" s="139"/>
    </row>
    <row r="5" ht="16.5" spans="1:9">
      <c r="A5" s="117">
        <v>4</v>
      </c>
      <c r="B5" s="136">
        <v>4</v>
      </c>
      <c r="C5" s="140" t="s">
        <v>128</v>
      </c>
      <c r="D5" s="137" t="s">
        <v>5811</v>
      </c>
      <c r="E5" s="141">
        <v>522001</v>
      </c>
      <c r="F5" s="141">
        <v>0</v>
      </c>
      <c r="G5" s="137" t="s">
        <v>5812</v>
      </c>
      <c r="H5" s="139"/>
      <c r="I5" s="139"/>
    </row>
    <row r="6" ht="16.5" spans="1:9">
      <c r="A6" s="117">
        <v>5</v>
      </c>
      <c r="B6" s="136">
        <v>5</v>
      </c>
      <c r="C6" s="140" t="s">
        <v>128</v>
      </c>
      <c r="D6" s="137" t="s">
        <v>5813</v>
      </c>
      <c r="E6" s="141">
        <v>522001</v>
      </c>
      <c r="F6" s="141">
        <v>1</v>
      </c>
      <c r="G6" s="137" t="s">
        <v>5814</v>
      </c>
      <c r="H6" s="139"/>
      <c r="I6" s="139"/>
    </row>
    <row r="7" ht="16.5" spans="1:9">
      <c r="A7" s="117">
        <v>6</v>
      </c>
      <c r="B7" s="136">
        <v>6</v>
      </c>
      <c r="C7" s="140" t="s">
        <v>128</v>
      </c>
      <c r="D7" s="137" t="s">
        <v>5815</v>
      </c>
      <c r="E7" s="141">
        <v>522002</v>
      </c>
      <c r="F7" s="141">
        <v>0</v>
      </c>
      <c r="G7" s="137" t="s">
        <v>5816</v>
      </c>
      <c r="H7" s="139"/>
      <c r="I7" s="139"/>
    </row>
    <row r="8" ht="16.5" spans="1:9">
      <c r="A8" s="117">
        <v>7</v>
      </c>
      <c r="B8" s="136">
        <v>7</v>
      </c>
      <c r="C8" s="140" t="s">
        <v>128</v>
      </c>
      <c r="D8" s="137" t="s">
        <v>5817</v>
      </c>
      <c r="E8" s="141">
        <v>522002</v>
      </c>
      <c r="F8" s="141">
        <v>1</v>
      </c>
      <c r="G8" s="137" t="s">
        <v>5818</v>
      </c>
      <c r="H8" s="139"/>
      <c r="I8" s="139"/>
    </row>
    <row r="9" ht="16.5" spans="1:9">
      <c r="A9" s="117">
        <v>8</v>
      </c>
      <c r="B9" s="136">
        <v>8</v>
      </c>
      <c r="C9" s="140" t="s">
        <v>128</v>
      </c>
      <c r="D9" s="136" t="s">
        <v>5819</v>
      </c>
      <c r="E9" s="141">
        <v>11187</v>
      </c>
      <c r="F9" s="141">
        <v>0</v>
      </c>
      <c r="G9" s="137" t="s">
        <v>5820</v>
      </c>
      <c r="H9" s="139"/>
      <c r="I9" s="139"/>
    </row>
    <row r="10" ht="16.5" spans="1:9">
      <c r="A10" s="117">
        <v>9</v>
      </c>
      <c r="B10" s="136">
        <v>9</v>
      </c>
      <c r="C10" s="140" t="s">
        <v>128</v>
      </c>
      <c r="D10" s="136" t="s">
        <v>5806</v>
      </c>
      <c r="E10" s="141">
        <v>11188</v>
      </c>
      <c r="F10" s="141">
        <v>0</v>
      </c>
      <c r="G10" s="137" t="s">
        <v>5821</v>
      </c>
      <c r="H10" s="139"/>
      <c r="I10" s="139"/>
    </row>
    <row r="11" ht="16.5" spans="1:9">
      <c r="A11" s="117">
        <v>10</v>
      </c>
      <c r="B11" s="136">
        <v>10</v>
      </c>
      <c r="C11" s="140" t="s">
        <v>128</v>
      </c>
      <c r="D11" s="136" t="s">
        <v>5822</v>
      </c>
      <c r="E11" s="141">
        <v>11172</v>
      </c>
      <c r="F11" s="141">
        <v>1</v>
      </c>
      <c r="G11" s="137" t="s">
        <v>5823</v>
      </c>
      <c r="H11" s="139" t="s">
        <v>5824</v>
      </c>
      <c r="I11" s="139" t="s">
        <v>5825</v>
      </c>
    </row>
    <row r="12" ht="16.5" spans="1:9">
      <c r="A12" s="117">
        <v>11</v>
      </c>
      <c r="B12" s="136">
        <v>11</v>
      </c>
      <c r="C12" s="140" t="s">
        <v>128</v>
      </c>
      <c r="D12" s="136" t="s">
        <v>5826</v>
      </c>
      <c r="E12" s="141">
        <v>522003</v>
      </c>
      <c r="F12" s="141">
        <v>0</v>
      </c>
      <c r="G12" s="137" t="s">
        <v>5827</v>
      </c>
      <c r="H12" s="139"/>
      <c r="I12" s="139"/>
    </row>
    <row r="13" ht="16.5" spans="1:9">
      <c r="A13" s="117">
        <v>12</v>
      </c>
      <c r="B13" s="136">
        <v>12</v>
      </c>
      <c r="C13" s="140" t="s">
        <v>128</v>
      </c>
      <c r="D13" s="136" t="s">
        <v>5828</v>
      </c>
      <c r="E13" s="141">
        <v>522004</v>
      </c>
      <c r="F13" s="141">
        <v>1</v>
      </c>
      <c r="G13" s="137" t="s">
        <v>5829</v>
      </c>
      <c r="H13" s="139"/>
      <c r="I13" s="139"/>
    </row>
    <row r="14" ht="16.5" spans="1:9">
      <c r="A14" s="117">
        <v>13</v>
      </c>
      <c r="B14" s="136">
        <v>13</v>
      </c>
      <c r="C14" s="140" t="s">
        <v>128</v>
      </c>
      <c r="D14" s="136" t="s">
        <v>5830</v>
      </c>
      <c r="E14" s="141">
        <v>522005</v>
      </c>
      <c r="F14" s="141">
        <v>0</v>
      </c>
      <c r="G14" s="137" t="s">
        <v>5831</v>
      </c>
      <c r="H14" s="139"/>
      <c r="I14" s="139"/>
    </row>
    <row r="15" ht="16.5" spans="1:9">
      <c r="A15" s="117">
        <v>14</v>
      </c>
      <c r="B15" s="136">
        <v>14</v>
      </c>
      <c r="C15" s="140" t="s">
        <v>128</v>
      </c>
      <c r="D15" s="136" t="s">
        <v>5832</v>
      </c>
      <c r="E15" s="141">
        <v>522006</v>
      </c>
      <c r="F15" s="141">
        <v>12</v>
      </c>
      <c r="G15" s="137" t="s">
        <v>5833</v>
      </c>
      <c r="H15" s="139"/>
      <c r="I15" s="139"/>
    </row>
    <row r="16" ht="16.5" spans="1:9">
      <c r="A16" s="117">
        <v>15</v>
      </c>
      <c r="B16" s="136">
        <v>15</v>
      </c>
      <c r="C16" s="140" t="s">
        <v>128</v>
      </c>
      <c r="D16" s="136" t="s">
        <v>5834</v>
      </c>
      <c r="E16" s="141">
        <v>522007</v>
      </c>
      <c r="F16" s="141">
        <v>12</v>
      </c>
      <c r="G16" s="137" t="s">
        <v>5835</v>
      </c>
      <c r="H16" s="139"/>
      <c r="I16" s="139"/>
    </row>
    <row r="17" ht="16.5" spans="1:9">
      <c r="A17" s="117">
        <v>16</v>
      </c>
      <c r="B17" s="136">
        <v>16</v>
      </c>
      <c r="C17" s="140" t="s">
        <v>128</v>
      </c>
      <c r="D17" s="137" t="s">
        <v>5836</v>
      </c>
      <c r="E17" s="138">
        <v>11181</v>
      </c>
      <c r="F17" s="138">
        <v>6</v>
      </c>
      <c r="G17" s="137" t="s">
        <v>5837</v>
      </c>
      <c r="H17" s="139"/>
      <c r="I17" s="139"/>
    </row>
    <row r="18" ht="16.5" spans="1:9">
      <c r="A18" s="117">
        <v>17</v>
      </c>
      <c r="B18" s="136">
        <v>17</v>
      </c>
      <c r="C18" s="140" t="s">
        <v>128</v>
      </c>
      <c r="D18" s="137" t="s">
        <v>5838</v>
      </c>
      <c r="E18" s="138">
        <v>522000</v>
      </c>
      <c r="F18" s="138">
        <v>16</v>
      </c>
      <c r="G18" s="137" t="s">
        <v>5839</v>
      </c>
      <c r="H18" s="139"/>
      <c r="I18" s="139"/>
    </row>
    <row r="19" ht="16.5" spans="1:9">
      <c r="A19" s="117">
        <v>18</v>
      </c>
      <c r="B19" s="136">
        <v>18</v>
      </c>
      <c r="C19" s="140" t="s">
        <v>128</v>
      </c>
      <c r="D19" s="137" t="s">
        <v>5840</v>
      </c>
      <c r="E19" s="138">
        <v>522000</v>
      </c>
      <c r="F19" s="138">
        <v>18</v>
      </c>
      <c r="G19" s="137" t="s">
        <v>5841</v>
      </c>
      <c r="H19" s="139"/>
      <c r="I19" s="139"/>
    </row>
    <row r="20" ht="16.5" spans="1:9">
      <c r="A20" s="117">
        <v>19</v>
      </c>
      <c r="B20" s="136">
        <v>19</v>
      </c>
      <c r="C20" s="140" t="s">
        <v>128</v>
      </c>
      <c r="D20" s="137" t="s">
        <v>5842</v>
      </c>
      <c r="E20" s="138">
        <v>522001</v>
      </c>
      <c r="F20" s="138">
        <v>16</v>
      </c>
      <c r="G20" s="137" t="s">
        <v>5843</v>
      </c>
      <c r="H20" s="139"/>
      <c r="I20" s="139"/>
    </row>
    <row r="21" ht="16.5" spans="1:9">
      <c r="A21" s="117">
        <v>20</v>
      </c>
      <c r="B21" s="136">
        <v>20</v>
      </c>
      <c r="C21" s="140" t="s">
        <v>128</v>
      </c>
      <c r="D21" s="137" t="s">
        <v>5844</v>
      </c>
      <c r="E21" s="138">
        <v>522001</v>
      </c>
      <c r="F21" s="138">
        <v>18</v>
      </c>
      <c r="G21" s="137" t="s">
        <v>5845</v>
      </c>
      <c r="H21" s="139"/>
      <c r="I21" s="139"/>
    </row>
    <row r="22" ht="16.5" spans="1:9">
      <c r="A22" s="117">
        <v>21</v>
      </c>
      <c r="B22" s="136">
        <v>21</v>
      </c>
      <c r="C22" s="140" t="s">
        <v>128</v>
      </c>
      <c r="D22" s="137" t="s">
        <v>5846</v>
      </c>
      <c r="E22" s="138">
        <v>522002</v>
      </c>
      <c r="F22" s="138">
        <v>16</v>
      </c>
      <c r="G22" s="137" t="s">
        <v>5847</v>
      </c>
      <c r="H22" s="139"/>
      <c r="I22" s="139"/>
    </row>
    <row r="23" ht="16.5" spans="1:9">
      <c r="A23" s="117">
        <v>22</v>
      </c>
      <c r="B23" s="136">
        <v>22</v>
      </c>
      <c r="C23" s="140" t="s">
        <v>128</v>
      </c>
      <c r="D23" s="137" t="s">
        <v>5848</v>
      </c>
      <c r="E23" s="138">
        <v>522002</v>
      </c>
      <c r="F23" s="138">
        <v>18</v>
      </c>
      <c r="G23" s="137" t="s">
        <v>5849</v>
      </c>
      <c r="H23" s="139"/>
      <c r="I23" s="139"/>
    </row>
    <row r="24" ht="16.5" spans="1:9">
      <c r="A24" s="117">
        <v>23</v>
      </c>
      <c r="B24" s="136">
        <v>23</v>
      </c>
      <c r="C24" s="140" t="s">
        <v>128</v>
      </c>
      <c r="D24" s="136" t="s">
        <v>5850</v>
      </c>
      <c r="E24" s="138">
        <v>11187</v>
      </c>
      <c r="F24" s="138">
        <v>16</v>
      </c>
      <c r="G24" s="136" t="s">
        <v>5851</v>
      </c>
      <c r="H24" s="139"/>
      <c r="I24" s="139"/>
    </row>
    <row r="25" ht="16.5" spans="1:9">
      <c r="A25" s="117">
        <v>24</v>
      </c>
      <c r="B25" s="136">
        <v>24</v>
      </c>
      <c r="C25" s="140" t="s">
        <v>128</v>
      </c>
      <c r="D25" s="136" t="s">
        <v>5852</v>
      </c>
      <c r="E25" s="138">
        <v>11188</v>
      </c>
      <c r="F25" s="138">
        <v>16</v>
      </c>
      <c r="G25" s="136" t="s">
        <v>5853</v>
      </c>
      <c r="H25" s="139"/>
      <c r="I25" s="139"/>
    </row>
    <row r="26" ht="16.5" spans="1:9">
      <c r="A26" s="117">
        <v>25</v>
      </c>
      <c r="B26" s="136">
        <v>25</v>
      </c>
      <c r="C26" s="140" t="s">
        <v>128</v>
      </c>
      <c r="D26" s="136" t="s">
        <v>5854</v>
      </c>
      <c r="E26" s="138">
        <v>11172</v>
      </c>
      <c r="F26" s="138">
        <v>18</v>
      </c>
      <c r="G26" s="136" t="s">
        <v>5855</v>
      </c>
      <c r="H26" s="139"/>
      <c r="I26" s="139"/>
    </row>
    <row r="27" ht="16.5" spans="1:9">
      <c r="A27" s="117">
        <v>26</v>
      </c>
      <c r="B27" s="136">
        <v>26</v>
      </c>
      <c r="C27" s="140" t="s">
        <v>128</v>
      </c>
      <c r="D27" s="136" t="s">
        <v>5856</v>
      </c>
      <c r="E27" s="138">
        <v>522003</v>
      </c>
      <c r="F27" s="138">
        <v>16</v>
      </c>
      <c r="G27" s="136" t="s">
        <v>5857</v>
      </c>
      <c r="H27" s="139"/>
      <c r="I27" s="139"/>
    </row>
    <row r="28" ht="16.5" spans="1:9">
      <c r="A28" s="117">
        <v>27</v>
      </c>
      <c r="B28" s="136">
        <v>27</v>
      </c>
      <c r="C28" s="140" t="s">
        <v>128</v>
      </c>
      <c r="D28" s="136" t="s">
        <v>5858</v>
      </c>
      <c r="E28" s="138">
        <v>522004</v>
      </c>
      <c r="F28" s="138">
        <v>18</v>
      </c>
      <c r="G28" s="136" t="s">
        <v>5859</v>
      </c>
      <c r="H28" s="139"/>
      <c r="I28" s="139"/>
    </row>
    <row r="29" ht="16.5" spans="1:9">
      <c r="A29" s="117">
        <v>28</v>
      </c>
      <c r="B29" s="136">
        <v>28</v>
      </c>
      <c r="C29" s="140" t="s">
        <v>128</v>
      </c>
      <c r="D29" s="136" t="s">
        <v>5860</v>
      </c>
      <c r="E29" s="138">
        <v>522005</v>
      </c>
      <c r="F29" s="138">
        <v>16</v>
      </c>
      <c r="G29" s="136" t="s">
        <v>5861</v>
      </c>
      <c r="H29" s="139"/>
      <c r="I29" s="139"/>
    </row>
    <row r="30" ht="16.5" spans="1:9">
      <c r="A30" s="117">
        <v>29</v>
      </c>
      <c r="B30" s="136">
        <v>29</v>
      </c>
      <c r="C30" s="140" t="s">
        <v>128</v>
      </c>
      <c r="D30" s="136" t="s">
        <v>5862</v>
      </c>
      <c r="E30" s="138">
        <v>522008</v>
      </c>
      <c r="F30" s="138">
        <v>19</v>
      </c>
      <c r="G30" s="136" t="s">
        <v>5863</v>
      </c>
      <c r="H30" s="139"/>
      <c r="I30" s="139"/>
    </row>
    <row r="31" ht="16.5" spans="1:9">
      <c r="A31" s="117">
        <v>30</v>
      </c>
      <c r="B31" s="136">
        <v>30</v>
      </c>
      <c r="C31" s="140" t="s">
        <v>128</v>
      </c>
      <c r="D31" s="136" t="s">
        <v>5864</v>
      </c>
      <c r="E31" s="138">
        <v>522009</v>
      </c>
      <c r="F31" s="138">
        <v>19</v>
      </c>
      <c r="G31" s="136" t="s">
        <v>5865</v>
      </c>
      <c r="H31" s="139"/>
      <c r="I31" s="139"/>
    </row>
    <row r="32" ht="16.5" spans="1:9">
      <c r="A32" s="117">
        <v>31</v>
      </c>
      <c r="B32" s="136">
        <v>31</v>
      </c>
      <c r="C32" s="140" t="s">
        <v>128</v>
      </c>
      <c r="D32" s="136" t="s">
        <v>5866</v>
      </c>
      <c r="E32" s="138">
        <v>522010</v>
      </c>
      <c r="F32" s="138">
        <v>19</v>
      </c>
      <c r="G32" s="136" t="s">
        <v>5867</v>
      </c>
      <c r="H32" s="139"/>
      <c r="I32" s="139"/>
    </row>
    <row r="33" ht="16.5" spans="1:9">
      <c r="A33" s="117">
        <v>32</v>
      </c>
      <c r="B33" s="136">
        <v>32</v>
      </c>
      <c r="C33" s="140" t="s">
        <v>128</v>
      </c>
      <c r="D33" s="136" t="s">
        <v>5868</v>
      </c>
      <c r="E33" s="138">
        <v>522011</v>
      </c>
      <c r="F33" s="138">
        <v>19</v>
      </c>
      <c r="G33" s="136" t="s">
        <v>5869</v>
      </c>
      <c r="H33" s="139"/>
      <c r="I33" s="139"/>
    </row>
    <row r="34" ht="16.5" spans="1:9">
      <c r="A34" s="117">
        <v>33</v>
      </c>
      <c r="B34" s="136">
        <v>33</v>
      </c>
      <c r="C34" s="140" t="s">
        <v>128</v>
      </c>
      <c r="D34" s="136" t="s">
        <v>5870</v>
      </c>
      <c r="E34" s="138">
        <v>522012</v>
      </c>
      <c r="F34" s="138">
        <v>19</v>
      </c>
      <c r="G34" s="136" t="s">
        <v>5871</v>
      </c>
      <c r="H34" s="139"/>
      <c r="I34" s="139"/>
    </row>
    <row r="35" ht="16.5" spans="1:9">
      <c r="A35" s="117">
        <v>34</v>
      </c>
      <c r="B35" s="136">
        <v>34</v>
      </c>
      <c r="C35" s="140" t="s">
        <v>128</v>
      </c>
      <c r="D35" s="136" t="s">
        <v>5872</v>
      </c>
      <c r="E35" s="138">
        <v>522004</v>
      </c>
      <c r="F35" s="138">
        <v>16</v>
      </c>
      <c r="G35" s="136" t="s">
        <v>5873</v>
      </c>
      <c r="H35" s="139"/>
      <c r="I35" s="139"/>
    </row>
    <row r="36" ht="16.5" spans="1:9">
      <c r="A36" s="117">
        <v>35</v>
      </c>
      <c r="B36" s="136">
        <v>35</v>
      </c>
      <c r="C36" s="142" t="s">
        <v>118</v>
      </c>
      <c r="D36" s="143" t="s">
        <v>5874</v>
      </c>
      <c r="E36" s="144">
        <v>11181</v>
      </c>
      <c r="F36" s="144">
        <v>15</v>
      </c>
      <c r="G36" s="143" t="s">
        <v>5875</v>
      </c>
      <c r="H36" s="145" t="s">
        <v>5876</v>
      </c>
      <c r="I36" s="139"/>
    </row>
    <row r="37" ht="16.5" spans="1:9">
      <c r="A37" s="117">
        <v>36</v>
      </c>
      <c r="B37" s="136">
        <v>36</v>
      </c>
      <c r="C37" s="142" t="s">
        <v>118</v>
      </c>
      <c r="D37" s="143" t="s">
        <v>5877</v>
      </c>
      <c r="E37" s="144">
        <v>522000</v>
      </c>
      <c r="F37" s="144">
        <v>15</v>
      </c>
      <c r="G37" s="143" t="s">
        <v>5878</v>
      </c>
      <c r="H37" s="146"/>
      <c r="I37" s="139"/>
    </row>
    <row r="38" ht="16.5" spans="1:9">
      <c r="A38" s="117">
        <v>37</v>
      </c>
      <c r="B38" s="136">
        <v>37</v>
      </c>
      <c r="C38" s="142" t="s">
        <v>118</v>
      </c>
      <c r="D38" s="143" t="s">
        <v>5879</v>
      </c>
      <c r="E38" s="144">
        <v>522000</v>
      </c>
      <c r="F38" s="144">
        <v>17</v>
      </c>
      <c r="G38" s="143" t="s">
        <v>5880</v>
      </c>
      <c r="H38" s="146"/>
      <c r="I38" s="139"/>
    </row>
    <row r="39" ht="16.5" spans="1:9">
      <c r="A39" s="117">
        <v>38</v>
      </c>
      <c r="B39" s="136">
        <v>38</v>
      </c>
      <c r="C39" s="142" t="s">
        <v>118</v>
      </c>
      <c r="D39" s="143" t="s">
        <v>5881</v>
      </c>
      <c r="E39" s="144">
        <v>522001</v>
      </c>
      <c r="F39" s="144">
        <v>15</v>
      </c>
      <c r="G39" s="143" t="s">
        <v>5882</v>
      </c>
      <c r="H39" s="146"/>
      <c r="I39" s="139"/>
    </row>
    <row r="40" ht="16.5" spans="1:9">
      <c r="A40" s="117">
        <v>39</v>
      </c>
      <c r="B40" s="136">
        <v>39</v>
      </c>
      <c r="C40" s="142" t="s">
        <v>118</v>
      </c>
      <c r="D40" s="143" t="s">
        <v>5883</v>
      </c>
      <c r="E40" s="144">
        <v>522001</v>
      </c>
      <c r="F40" s="144">
        <v>17</v>
      </c>
      <c r="G40" s="143" t="s">
        <v>5884</v>
      </c>
      <c r="H40" s="146"/>
      <c r="I40" s="139"/>
    </row>
    <row r="41" ht="16.5" spans="1:9">
      <c r="A41" s="117">
        <v>40</v>
      </c>
      <c r="B41" s="136">
        <v>40</v>
      </c>
      <c r="C41" s="142" t="s">
        <v>118</v>
      </c>
      <c r="D41" s="143" t="s">
        <v>5885</v>
      </c>
      <c r="E41" s="144">
        <v>522002</v>
      </c>
      <c r="F41" s="144">
        <v>15</v>
      </c>
      <c r="G41" s="143" t="s">
        <v>5886</v>
      </c>
      <c r="H41" s="146"/>
      <c r="I41" s="139"/>
    </row>
    <row r="42" ht="16.5" spans="1:9">
      <c r="A42" s="117">
        <v>41</v>
      </c>
      <c r="B42" s="136">
        <v>41</v>
      </c>
      <c r="C42" s="142" t="s">
        <v>118</v>
      </c>
      <c r="D42" s="143" t="s">
        <v>5887</v>
      </c>
      <c r="E42" s="144">
        <v>522002</v>
      </c>
      <c r="F42" s="144">
        <v>17</v>
      </c>
      <c r="G42" s="143" t="s">
        <v>5888</v>
      </c>
      <c r="H42" s="146"/>
      <c r="I42" s="139"/>
    </row>
    <row r="43" ht="16.5" spans="1:9">
      <c r="A43" s="117">
        <v>42</v>
      </c>
      <c r="B43" s="136">
        <v>42</v>
      </c>
      <c r="C43" s="142" t="s">
        <v>118</v>
      </c>
      <c r="D43" s="147" t="s">
        <v>5889</v>
      </c>
      <c r="E43" s="144">
        <v>11187</v>
      </c>
      <c r="F43" s="144">
        <v>15</v>
      </c>
      <c r="G43" s="147" t="s">
        <v>5890</v>
      </c>
      <c r="H43" s="146"/>
      <c r="I43" s="139"/>
    </row>
    <row r="44" ht="16.5" spans="1:9">
      <c r="A44" s="117">
        <v>43</v>
      </c>
      <c r="B44" s="136">
        <v>43</v>
      </c>
      <c r="C44" s="142" t="s">
        <v>118</v>
      </c>
      <c r="D44" s="147" t="s">
        <v>5891</v>
      </c>
      <c r="E44" s="144">
        <v>11188</v>
      </c>
      <c r="F44" s="144">
        <v>15</v>
      </c>
      <c r="G44" s="147" t="s">
        <v>5892</v>
      </c>
      <c r="H44" s="146"/>
      <c r="I44" s="139"/>
    </row>
    <row r="45" ht="16.5" spans="1:9">
      <c r="A45" s="117">
        <v>44</v>
      </c>
      <c r="B45" s="136">
        <v>44</v>
      </c>
      <c r="C45" s="142" t="s">
        <v>118</v>
      </c>
      <c r="D45" s="147" t="s">
        <v>5893</v>
      </c>
      <c r="E45" s="144">
        <v>11172</v>
      </c>
      <c r="F45" s="144">
        <v>17</v>
      </c>
      <c r="G45" s="147" t="s">
        <v>5894</v>
      </c>
      <c r="H45" s="146"/>
      <c r="I45" s="139"/>
    </row>
    <row r="46" ht="16.5" spans="1:9">
      <c r="A46" s="117">
        <v>45</v>
      </c>
      <c r="B46" s="136">
        <v>45</v>
      </c>
      <c r="C46" s="142" t="s">
        <v>118</v>
      </c>
      <c r="D46" s="147" t="s">
        <v>5895</v>
      </c>
      <c r="E46" s="144">
        <v>522003</v>
      </c>
      <c r="F46" s="144">
        <v>15</v>
      </c>
      <c r="G46" s="147" t="s">
        <v>5896</v>
      </c>
      <c r="H46" s="146"/>
      <c r="I46" s="139"/>
    </row>
    <row r="47" ht="16.5" spans="1:9">
      <c r="A47" s="117">
        <v>46</v>
      </c>
      <c r="B47" s="136">
        <v>46</v>
      </c>
      <c r="C47" s="142" t="s">
        <v>118</v>
      </c>
      <c r="D47" s="147" t="s">
        <v>5897</v>
      </c>
      <c r="E47" s="144">
        <v>522004</v>
      </c>
      <c r="F47" s="144">
        <v>17</v>
      </c>
      <c r="G47" s="147" t="s">
        <v>5898</v>
      </c>
      <c r="H47" s="146"/>
      <c r="I47" s="139"/>
    </row>
    <row r="48" ht="16.5" spans="1:9">
      <c r="A48" s="117">
        <v>47</v>
      </c>
      <c r="B48" s="136">
        <v>47</v>
      </c>
      <c r="C48" s="142" t="s">
        <v>118</v>
      </c>
      <c r="D48" s="147" t="s">
        <v>5899</v>
      </c>
      <c r="E48" s="144">
        <v>522005</v>
      </c>
      <c r="F48" s="144">
        <v>15</v>
      </c>
      <c r="G48" s="147" t="s">
        <v>5900</v>
      </c>
      <c r="H48" s="148"/>
      <c r="I48" s="139"/>
    </row>
    <row r="49" ht="16.5" spans="1:9">
      <c r="A49" s="120">
        <v>48</v>
      </c>
      <c r="B49" s="136">
        <v>48</v>
      </c>
      <c r="C49" s="140" t="s">
        <v>128</v>
      </c>
      <c r="D49" s="136" t="s">
        <v>5901</v>
      </c>
      <c r="E49" s="141">
        <v>522004</v>
      </c>
      <c r="F49" s="141">
        <v>0</v>
      </c>
      <c r="G49" s="136" t="str">
        <f>"FCU"&amp;":"&amp;D49&amp;"("&amp;E49&amp;","&amp;F49&amp;")"</f>
        <v>FCU:电堆电压高(522004,0)</v>
      </c>
      <c r="H49" s="139" t="s">
        <v>5902</v>
      </c>
      <c r="I49" s="139"/>
    </row>
    <row r="50" ht="16.5" spans="1:9">
      <c r="A50" s="120">
        <v>49</v>
      </c>
      <c r="B50" s="136">
        <v>49</v>
      </c>
      <c r="C50" s="140" t="s">
        <v>128</v>
      </c>
      <c r="D50" s="136" t="s">
        <v>5903</v>
      </c>
      <c r="E50" s="141">
        <v>522008</v>
      </c>
      <c r="F50" s="141">
        <v>12</v>
      </c>
      <c r="G50" s="136" t="str">
        <f t="shared" ref="G50:G58" si="0">"FCU"&amp;":"&amp;D50&amp;"("&amp;E50&amp;","&amp;F50&amp;")"</f>
        <v>FCU:空压机通讯故障(522008,12)</v>
      </c>
      <c r="H50" s="139" t="s">
        <v>5902</v>
      </c>
      <c r="I50" s="139"/>
    </row>
    <row r="51" ht="16.5" spans="1:9">
      <c r="A51" s="120">
        <v>50</v>
      </c>
      <c r="B51" s="136">
        <v>50</v>
      </c>
      <c r="C51" s="140" t="s">
        <v>128</v>
      </c>
      <c r="D51" s="136" t="s">
        <v>5904</v>
      </c>
      <c r="E51" s="141">
        <v>522010</v>
      </c>
      <c r="F51" s="141">
        <v>12</v>
      </c>
      <c r="G51" s="136" t="str">
        <f t="shared" si="0"/>
        <v>FCU:巡检1通讯故障(522010,12)</v>
      </c>
      <c r="H51" s="139" t="s">
        <v>5902</v>
      </c>
      <c r="I51" s="139"/>
    </row>
    <row r="52" ht="16.5" spans="1:9">
      <c r="A52" s="120">
        <v>51</v>
      </c>
      <c r="B52" s="136">
        <v>51</v>
      </c>
      <c r="C52" s="140" t="s">
        <v>128</v>
      </c>
      <c r="D52" s="136" t="s">
        <v>5905</v>
      </c>
      <c r="E52" s="141">
        <v>522013</v>
      </c>
      <c r="F52" s="141">
        <v>19</v>
      </c>
      <c r="G52" s="136" t="str">
        <f t="shared" si="0"/>
        <v>FCU:电堆散热器控制器通讯故障(522013,19)</v>
      </c>
      <c r="H52" s="139" t="s">
        <v>5902</v>
      </c>
      <c r="I52" s="139"/>
    </row>
    <row r="53" ht="16.5" spans="1:9">
      <c r="A53" s="120">
        <v>52</v>
      </c>
      <c r="B53" s="136">
        <v>52</v>
      </c>
      <c r="C53" s="140" t="s">
        <v>128</v>
      </c>
      <c r="D53" s="136" t="s">
        <v>5906</v>
      </c>
      <c r="E53" s="141">
        <v>522014</v>
      </c>
      <c r="F53" s="141">
        <v>16</v>
      </c>
      <c r="G53" s="136" t="str">
        <f t="shared" si="0"/>
        <v>FCU:空压机控制器过温警告(522014,16)</v>
      </c>
      <c r="H53" s="139" t="s">
        <v>5902</v>
      </c>
      <c r="I53" s="139"/>
    </row>
    <row r="54" ht="16.5" spans="1:9">
      <c r="A54" s="120">
        <v>53</v>
      </c>
      <c r="B54" s="136">
        <v>53</v>
      </c>
      <c r="C54" s="140" t="s">
        <v>128</v>
      </c>
      <c r="D54" s="136" t="s">
        <v>5907</v>
      </c>
      <c r="E54" s="141">
        <v>522014</v>
      </c>
      <c r="F54" s="141">
        <v>0</v>
      </c>
      <c r="G54" s="136" t="str">
        <f t="shared" si="0"/>
        <v>FCU:空压机控制器过温报警(522014,0)</v>
      </c>
      <c r="H54" s="139" t="s">
        <v>5902</v>
      </c>
      <c r="I54" s="139"/>
    </row>
    <row r="55" ht="16.5" spans="1:9">
      <c r="A55" s="120">
        <v>54</v>
      </c>
      <c r="B55" s="136">
        <v>54</v>
      </c>
      <c r="C55" s="140" t="s">
        <v>128</v>
      </c>
      <c r="D55" s="136" t="s">
        <v>5908</v>
      </c>
      <c r="E55" s="141">
        <v>522015</v>
      </c>
      <c r="F55" s="141">
        <v>16</v>
      </c>
      <c r="G55" s="136" t="str">
        <f t="shared" si="0"/>
        <v>FCU:空压机过温警告(522015,16)</v>
      </c>
      <c r="H55" s="139" t="s">
        <v>5902</v>
      </c>
      <c r="I55" s="139"/>
    </row>
    <row r="56" ht="16.5" spans="1:9">
      <c r="A56" s="120">
        <v>55</v>
      </c>
      <c r="B56" s="136">
        <v>55</v>
      </c>
      <c r="C56" s="140" t="s">
        <v>128</v>
      </c>
      <c r="D56" s="136" t="s">
        <v>5909</v>
      </c>
      <c r="E56" s="141">
        <v>522015</v>
      </c>
      <c r="F56" s="141">
        <v>0</v>
      </c>
      <c r="G56" s="136" t="str">
        <f t="shared" si="0"/>
        <v>FCU:空压机过温报警(522015,0)</v>
      </c>
      <c r="H56" s="139" t="s">
        <v>5902</v>
      </c>
      <c r="I56" s="139"/>
    </row>
    <row r="57" ht="16.5" spans="1:9">
      <c r="A57" s="120">
        <v>56</v>
      </c>
      <c r="B57" s="136">
        <v>56</v>
      </c>
      <c r="C57" s="140" t="s">
        <v>128</v>
      </c>
      <c r="D57" s="136" t="s">
        <v>5910</v>
      </c>
      <c r="E57" s="141">
        <v>522029</v>
      </c>
      <c r="F57" s="141">
        <v>19</v>
      </c>
      <c r="G57" s="136" t="str">
        <f t="shared" si="0"/>
        <v>FCU:燃料电池系统故障(522029,19)</v>
      </c>
      <c r="H57" s="139" t="s">
        <v>5902</v>
      </c>
      <c r="I57" s="139"/>
    </row>
    <row r="58" ht="16.5" spans="1:9">
      <c r="A58" s="120">
        <v>57</v>
      </c>
      <c r="B58" s="136">
        <v>57</v>
      </c>
      <c r="C58" s="140" t="s">
        <v>128</v>
      </c>
      <c r="D58" s="136" t="s">
        <v>5910</v>
      </c>
      <c r="E58" s="141">
        <v>522029</v>
      </c>
      <c r="F58" s="141">
        <v>12</v>
      </c>
      <c r="G58" s="136" t="str">
        <f t="shared" si="0"/>
        <v>FCU:燃料电池系统故障(522029,12)</v>
      </c>
      <c r="H58" s="139" t="s">
        <v>5902</v>
      </c>
      <c r="I58" s="139"/>
    </row>
    <row r="59" ht="16.5" spans="1:9">
      <c r="A59" s="149">
        <v>58</v>
      </c>
      <c r="B59" s="136">
        <v>58</v>
      </c>
      <c r="C59" s="140" t="s">
        <v>128</v>
      </c>
      <c r="D59" s="136" t="s">
        <v>5911</v>
      </c>
      <c r="E59" s="141">
        <v>522017</v>
      </c>
      <c r="F59" s="141">
        <v>1</v>
      </c>
      <c r="G59" s="136" t="s">
        <v>5912</v>
      </c>
      <c r="H59" s="139" t="s">
        <v>5913</v>
      </c>
      <c r="I59" s="139"/>
    </row>
    <row r="60" ht="16.5" spans="1:9">
      <c r="A60" s="149">
        <v>59</v>
      </c>
      <c r="B60" s="136">
        <v>59</v>
      </c>
      <c r="C60" s="140" t="s">
        <v>128</v>
      </c>
      <c r="D60" s="136" t="s">
        <v>5914</v>
      </c>
      <c r="E60" s="141">
        <v>522016</v>
      </c>
      <c r="F60" s="141">
        <v>18</v>
      </c>
      <c r="G60" s="136" t="s">
        <v>5915</v>
      </c>
      <c r="H60" s="139" t="s">
        <v>5913</v>
      </c>
      <c r="I60" s="139"/>
    </row>
    <row r="61" ht="16.5" spans="1:9">
      <c r="A61" s="149">
        <v>60</v>
      </c>
      <c r="B61" s="136">
        <v>60</v>
      </c>
      <c r="C61" s="140" t="s">
        <v>128</v>
      </c>
      <c r="D61" s="136" t="s">
        <v>5916</v>
      </c>
      <c r="E61" s="141">
        <v>522027</v>
      </c>
      <c r="F61" s="141">
        <v>12</v>
      </c>
      <c r="G61" s="150" t="s">
        <v>5917</v>
      </c>
      <c r="H61" s="139" t="s">
        <v>5913</v>
      </c>
      <c r="I61" s="139"/>
    </row>
    <row r="62" ht="16.5" spans="1:9">
      <c r="A62" s="151">
        <v>61</v>
      </c>
      <c r="B62" s="152">
        <v>61</v>
      </c>
      <c r="C62" s="140" t="s">
        <v>128</v>
      </c>
      <c r="D62" s="152" t="s">
        <v>5918</v>
      </c>
      <c r="E62" s="153">
        <v>522028</v>
      </c>
      <c r="F62" s="153">
        <v>12</v>
      </c>
      <c r="G62" s="152" t="s">
        <v>5919</v>
      </c>
      <c r="H62" s="152" t="s">
        <v>5913</v>
      </c>
      <c r="I62" s="139" t="s">
        <v>5920</v>
      </c>
    </row>
    <row r="63" ht="16.5" spans="1:9">
      <c r="A63" s="151">
        <v>62</v>
      </c>
      <c r="B63" s="154">
        <v>62</v>
      </c>
      <c r="C63" s="140" t="s">
        <v>128</v>
      </c>
      <c r="D63" s="155" t="s">
        <v>5910</v>
      </c>
      <c r="E63" s="156">
        <v>522029</v>
      </c>
      <c r="F63" s="156">
        <v>19</v>
      </c>
      <c r="G63" s="152" t="s">
        <v>5921</v>
      </c>
      <c r="H63" s="157" t="s">
        <v>5922</v>
      </c>
      <c r="I63" s="158"/>
    </row>
    <row r="64" ht="16.5" spans="1:9">
      <c r="A64" s="151">
        <v>63</v>
      </c>
      <c r="B64" s="154">
        <v>63</v>
      </c>
      <c r="C64" s="140" t="s">
        <v>128</v>
      </c>
      <c r="D64" s="155" t="s">
        <v>5910</v>
      </c>
      <c r="E64" s="156">
        <v>522029</v>
      </c>
      <c r="F64" s="156">
        <v>12</v>
      </c>
      <c r="G64" s="152" t="s">
        <v>5923</v>
      </c>
      <c r="H64" s="157" t="s">
        <v>5922</v>
      </c>
      <c r="I64" s="158"/>
    </row>
    <row r="65" ht="16.5" spans="1:9">
      <c r="A65" s="151">
        <v>64</v>
      </c>
      <c r="B65" s="154">
        <v>64</v>
      </c>
      <c r="C65" s="140" t="s">
        <v>128</v>
      </c>
      <c r="D65" s="155" t="s">
        <v>5924</v>
      </c>
      <c r="E65" s="156">
        <v>522030</v>
      </c>
      <c r="F65" s="156">
        <v>16</v>
      </c>
      <c r="G65" s="152" t="s">
        <v>5925</v>
      </c>
      <c r="H65" s="157" t="s">
        <v>5922</v>
      </c>
      <c r="I65" s="158"/>
    </row>
    <row r="66" ht="16.5" spans="1:9">
      <c r="A66" s="151">
        <v>65</v>
      </c>
      <c r="B66" s="154">
        <v>65</v>
      </c>
      <c r="C66" s="140" t="s">
        <v>128</v>
      </c>
      <c r="D66" s="155" t="s">
        <v>5924</v>
      </c>
      <c r="E66" s="156">
        <v>522030</v>
      </c>
      <c r="F66" s="156">
        <v>0</v>
      </c>
      <c r="G66" s="152" t="s">
        <v>5926</v>
      </c>
      <c r="H66" s="157" t="s">
        <v>5922</v>
      </c>
      <c r="I66" s="158"/>
    </row>
    <row r="67" ht="16.5" spans="1:9">
      <c r="A67" s="151">
        <v>66</v>
      </c>
      <c r="B67" s="154">
        <v>66</v>
      </c>
      <c r="C67" s="140" t="s">
        <v>128</v>
      </c>
      <c r="D67" s="155" t="s">
        <v>5927</v>
      </c>
      <c r="E67" s="156">
        <v>522030</v>
      </c>
      <c r="F67" s="156">
        <v>18</v>
      </c>
      <c r="G67" s="152" t="s">
        <v>5928</v>
      </c>
      <c r="H67" s="157" t="s">
        <v>5922</v>
      </c>
      <c r="I67" s="158"/>
    </row>
    <row r="68" ht="16.5" spans="1:9">
      <c r="A68" s="151">
        <v>67</v>
      </c>
      <c r="B68" s="154">
        <v>67</v>
      </c>
      <c r="C68" s="140" t="s">
        <v>128</v>
      </c>
      <c r="D68" s="155" t="s">
        <v>5927</v>
      </c>
      <c r="E68" s="156">
        <v>522030</v>
      </c>
      <c r="F68" s="156">
        <v>1</v>
      </c>
      <c r="G68" s="152" t="s">
        <v>5929</v>
      </c>
      <c r="H68" s="157" t="s">
        <v>5922</v>
      </c>
      <c r="I68" s="158"/>
    </row>
    <row r="69" ht="16.5" spans="1:9">
      <c r="A69" s="151">
        <v>68</v>
      </c>
      <c r="B69" s="154">
        <v>68</v>
      </c>
      <c r="C69" s="140" t="s">
        <v>128</v>
      </c>
      <c r="D69" s="155" t="s">
        <v>5930</v>
      </c>
      <c r="E69" s="156">
        <v>522031</v>
      </c>
      <c r="F69" s="156">
        <v>16</v>
      </c>
      <c r="G69" s="152" t="s">
        <v>5931</v>
      </c>
      <c r="H69" s="157" t="s">
        <v>5922</v>
      </c>
      <c r="I69" s="158"/>
    </row>
    <row r="70" ht="16.5" spans="1:9">
      <c r="A70" s="151">
        <v>69</v>
      </c>
      <c r="B70" s="154">
        <v>69</v>
      </c>
      <c r="C70" s="140" t="s">
        <v>128</v>
      </c>
      <c r="D70" s="155" t="s">
        <v>5930</v>
      </c>
      <c r="E70" s="156">
        <v>522031</v>
      </c>
      <c r="F70" s="156">
        <v>0</v>
      </c>
      <c r="G70" s="152" t="s">
        <v>5932</v>
      </c>
      <c r="H70" s="157" t="s">
        <v>5922</v>
      </c>
      <c r="I70" s="158"/>
    </row>
    <row r="71" ht="16.5" spans="1:9">
      <c r="A71" s="151">
        <v>70</v>
      </c>
      <c r="B71" s="154">
        <v>70</v>
      </c>
      <c r="C71" s="140" t="s">
        <v>128</v>
      </c>
      <c r="D71" s="155" t="s">
        <v>5933</v>
      </c>
      <c r="E71" s="156">
        <v>522032</v>
      </c>
      <c r="F71" s="156">
        <v>16</v>
      </c>
      <c r="G71" s="152" t="s">
        <v>5934</v>
      </c>
      <c r="H71" s="157" t="s">
        <v>5922</v>
      </c>
      <c r="I71" s="158"/>
    </row>
    <row r="72" ht="16.5" spans="1:9">
      <c r="A72" s="151">
        <v>71</v>
      </c>
      <c r="B72" s="154">
        <v>71</v>
      </c>
      <c r="C72" s="140" t="s">
        <v>128</v>
      </c>
      <c r="D72" s="155" t="s">
        <v>5933</v>
      </c>
      <c r="E72" s="156">
        <v>522032</v>
      </c>
      <c r="F72" s="156">
        <v>0</v>
      </c>
      <c r="G72" s="152" t="s">
        <v>5935</v>
      </c>
      <c r="H72" s="157" t="s">
        <v>5922</v>
      </c>
      <c r="I72" s="158"/>
    </row>
    <row r="73" ht="16.5" spans="1:9">
      <c r="A73" s="151">
        <v>72</v>
      </c>
      <c r="B73" s="154">
        <v>72</v>
      </c>
      <c r="C73" s="140" t="s">
        <v>128</v>
      </c>
      <c r="D73" s="155" t="s">
        <v>5936</v>
      </c>
      <c r="E73" s="156">
        <v>522032</v>
      </c>
      <c r="F73" s="156">
        <v>18</v>
      </c>
      <c r="G73" s="152" t="s">
        <v>5937</v>
      </c>
      <c r="H73" s="157" t="s">
        <v>5922</v>
      </c>
      <c r="I73" s="158"/>
    </row>
    <row r="74" ht="16.5" spans="1:9">
      <c r="A74" s="151">
        <v>73</v>
      </c>
      <c r="B74" s="154">
        <v>73</v>
      </c>
      <c r="C74" s="140" t="s">
        <v>128</v>
      </c>
      <c r="D74" s="155" t="s">
        <v>5936</v>
      </c>
      <c r="E74" s="156">
        <v>522032</v>
      </c>
      <c r="F74" s="156">
        <v>1</v>
      </c>
      <c r="G74" s="152" t="s">
        <v>5938</v>
      </c>
      <c r="H74" s="157" t="s">
        <v>5922</v>
      </c>
      <c r="I74" s="158"/>
    </row>
    <row r="75" ht="16.5" spans="1:9">
      <c r="A75" s="151">
        <v>74</v>
      </c>
      <c r="B75" s="154">
        <v>74</v>
      </c>
      <c r="C75" s="140" t="s">
        <v>128</v>
      </c>
      <c r="D75" s="155" t="s">
        <v>5939</v>
      </c>
      <c r="E75" s="156">
        <v>522033</v>
      </c>
      <c r="F75" s="156">
        <v>16</v>
      </c>
      <c r="G75" s="152" t="s">
        <v>5940</v>
      </c>
      <c r="H75" s="157" t="s">
        <v>5922</v>
      </c>
      <c r="I75" s="158"/>
    </row>
    <row r="76" ht="16.5" spans="1:9">
      <c r="A76" s="151">
        <v>75</v>
      </c>
      <c r="B76" s="154">
        <v>75</v>
      </c>
      <c r="C76" s="140" t="s">
        <v>128</v>
      </c>
      <c r="D76" s="155" t="s">
        <v>5939</v>
      </c>
      <c r="E76" s="156">
        <v>522033</v>
      </c>
      <c r="F76" s="156">
        <v>0</v>
      </c>
      <c r="G76" s="152" t="s">
        <v>5941</v>
      </c>
      <c r="H76" s="157" t="s">
        <v>5922</v>
      </c>
      <c r="I76" s="158"/>
    </row>
    <row r="77" ht="16.5" spans="1:9">
      <c r="A77" s="151">
        <v>76</v>
      </c>
      <c r="B77" s="154">
        <v>76</v>
      </c>
      <c r="C77" s="140" t="s">
        <v>128</v>
      </c>
      <c r="D77" s="155" t="s">
        <v>5942</v>
      </c>
      <c r="E77" s="156">
        <v>522034</v>
      </c>
      <c r="F77" s="156">
        <v>16</v>
      </c>
      <c r="G77" s="152" t="s">
        <v>5943</v>
      </c>
      <c r="H77" s="157" t="s">
        <v>5922</v>
      </c>
      <c r="I77" s="158"/>
    </row>
    <row r="78" ht="16.5" spans="1:9">
      <c r="A78" s="151">
        <v>77</v>
      </c>
      <c r="B78" s="154">
        <v>77</v>
      </c>
      <c r="C78" s="140" t="s">
        <v>128</v>
      </c>
      <c r="D78" s="155" t="s">
        <v>5942</v>
      </c>
      <c r="E78" s="156">
        <v>522034</v>
      </c>
      <c r="F78" s="156">
        <v>0</v>
      </c>
      <c r="G78" s="152" t="s">
        <v>5944</v>
      </c>
      <c r="H78" s="157" t="s">
        <v>5922</v>
      </c>
      <c r="I78" s="158"/>
    </row>
    <row r="79" ht="16.5" spans="1:9">
      <c r="A79" s="151">
        <v>78</v>
      </c>
      <c r="B79" s="154">
        <v>78</v>
      </c>
      <c r="C79" s="140" t="s">
        <v>128</v>
      </c>
      <c r="D79" s="155" t="s">
        <v>5945</v>
      </c>
      <c r="E79" s="156">
        <v>522035</v>
      </c>
      <c r="F79" s="156">
        <v>4</v>
      </c>
      <c r="G79" s="152" t="s">
        <v>5946</v>
      </c>
      <c r="H79" s="157" t="s">
        <v>5922</v>
      </c>
      <c r="I79" s="158"/>
    </row>
    <row r="80" ht="16.5" spans="1:9">
      <c r="A80" s="151">
        <v>79</v>
      </c>
      <c r="B80" s="154">
        <v>79</v>
      </c>
      <c r="C80" s="140" t="s">
        <v>128</v>
      </c>
      <c r="D80" s="155" t="s">
        <v>5947</v>
      </c>
      <c r="E80" s="156">
        <v>2853</v>
      </c>
      <c r="F80" s="156">
        <v>19</v>
      </c>
      <c r="G80" s="152" t="s">
        <v>5948</v>
      </c>
      <c r="H80" s="157" t="s">
        <v>5922</v>
      </c>
      <c r="I80" s="158"/>
    </row>
    <row r="81" ht="16.5" spans="1:9">
      <c r="A81" s="151">
        <v>80</v>
      </c>
      <c r="B81" s="154">
        <v>80</v>
      </c>
      <c r="C81" s="140" t="s">
        <v>128</v>
      </c>
      <c r="D81" s="155" t="s">
        <v>5947</v>
      </c>
      <c r="E81" s="156">
        <v>2853</v>
      </c>
      <c r="F81" s="156">
        <v>12</v>
      </c>
      <c r="G81" s="152" t="s">
        <v>5949</v>
      </c>
      <c r="H81" s="157" t="s">
        <v>5922</v>
      </c>
      <c r="I81" s="158"/>
    </row>
  </sheetData>
  <autoFilter ref="A1:I81">
    <extLst/>
  </autoFilter>
  <mergeCells count="1">
    <mergeCell ref="H36:H48"/>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2:H36"/>
  <sheetViews>
    <sheetView workbookViewId="0">
      <selection activeCell="B33" sqref="B33"/>
    </sheetView>
  </sheetViews>
  <sheetFormatPr defaultColWidth="9" defaultRowHeight="13.5" outlineLevelCol="7"/>
  <cols>
    <col min="3" max="3" width="36.875" customWidth="1"/>
    <col min="4" max="5" width="9.5" customWidth="1"/>
    <col min="6" max="6" width="47.875" customWidth="1"/>
    <col min="7" max="7" width="30.375" customWidth="1"/>
    <col min="8" max="8" width="28.375" customWidth="1"/>
  </cols>
  <sheetData>
    <row r="2" ht="16.5" spans="1:8">
      <c r="A2" s="77" t="s">
        <v>99</v>
      </c>
      <c r="B2" s="77" t="s">
        <v>113</v>
      </c>
      <c r="C2" s="78" t="s">
        <v>101</v>
      </c>
      <c r="D2" s="78" t="s">
        <v>114</v>
      </c>
      <c r="E2" s="78" t="s">
        <v>115</v>
      </c>
      <c r="F2" s="79" t="s">
        <v>250</v>
      </c>
      <c r="G2" s="104"/>
      <c r="H2" s="104"/>
    </row>
    <row r="3" ht="16.5" hidden="1" spans="1:8">
      <c r="A3" s="124">
        <v>1</v>
      </c>
      <c r="B3" s="125" t="s">
        <v>128</v>
      </c>
      <c r="C3" s="126" t="s">
        <v>5950</v>
      </c>
      <c r="D3" s="127">
        <v>522040</v>
      </c>
      <c r="E3" s="127">
        <v>0</v>
      </c>
      <c r="F3" s="86" t="s">
        <v>5951</v>
      </c>
      <c r="G3" s="128"/>
      <c r="H3" s="104"/>
    </row>
    <row r="4" ht="16.5" spans="1:8">
      <c r="A4" s="124">
        <v>2</v>
      </c>
      <c r="B4" s="129" t="s">
        <v>118</v>
      </c>
      <c r="C4" s="126" t="s">
        <v>5952</v>
      </c>
      <c r="D4" s="127">
        <v>522040</v>
      </c>
      <c r="E4" s="127">
        <v>16</v>
      </c>
      <c r="F4" s="86" t="s">
        <v>5953</v>
      </c>
      <c r="G4" s="128"/>
      <c r="H4" s="104"/>
    </row>
    <row r="5" ht="16.5" hidden="1" spans="1:8">
      <c r="A5" s="124">
        <v>3</v>
      </c>
      <c r="B5" s="125" t="s">
        <v>128</v>
      </c>
      <c r="C5" s="126" t="s">
        <v>5954</v>
      </c>
      <c r="D5" s="127">
        <v>522041</v>
      </c>
      <c r="E5" s="127">
        <v>1</v>
      </c>
      <c r="F5" s="86" t="s">
        <v>5955</v>
      </c>
      <c r="G5" s="128"/>
      <c r="H5" s="104"/>
    </row>
    <row r="6" ht="16.5" hidden="1" spans="1:8">
      <c r="A6" s="124">
        <v>4</v>
      </c>
      <c r="B6" s="125" t="s">
        <v>128</v>
      </c>
      <c r="C6" s="126" t="s">
        <v>5956</v>
      </c>
      <c r="D6" s="127">
        <v>522041</v>
      </c>
      <c r="E6" s="127">
        <v>18</v>
      </c>
      <c r="F6" s="86" t="s">
        <v>5957</v>
      </c>
      <c r="G6" s="128"/>
      <c r="H6" s="104"/>
    </row>
    <row r="7" ht="16.5" spans="1:8">
      <c r="A7" s="124">
        <v>5</v>
      </c>
      <c r="B7" s="129" t="s">
        <v>118</v>
      </c>
      <c r="C7" s="126" t="s">
        <v>5958</v>
      </c>
      <c r="D7" s="127">
        <v>522042</v>
      </c>
      <c r="E7" s="127">
        <v>16</v>
      </c>
      <c r="F7" s="86" t="s">
        <v>5959</v>
      </c>
      <c r="G7" s="128"/>
      <c r="H7" s="104"/>
    </row>
    <row r="8" ht="16.5" hidden="1" spans="1:8">
      <c r="A8" s="124">
        <v>6</v>
      </c>
      <c r="B8" s="125" t="s">
        <v>128</v>
      </c>
      <c r="C8" s="126" t="s">
        <v>5960</v>
      </c>
      <c r="D8" s="127">
        <v>522042</v>
      </c>
      <c r="E8" s="127">
        <v>0</v>
      </c>
      <c r="F8" s="86" t="s">
        <v>5961</v>
      </c>
      <c r="G8" s="128"/>
      <c r="H8" s="104"/>
    </row>
    <row r="9" ht="16.5" spans="1:8">
      <c r="A9" s="124">
        <v>7</v>
      </c>
      <c r="B9" s="129" t="s">
        <v>118</v>
      </c>
      <c r="C9" s="126" t="s">
        <v>5962</v>
      </c>
      <c r="D9" s="127">
        <v>522043</v>
      </c>
      <c r="E9" s="127">
        <v>18</v>
      </c>
      <c r="F9" s="86" t="s">
        <v>5963</v>
      </c>
      <c r="G9" s="128"/>
      <c r="H9" s="104"/>
    </row>
    <row r="10" ht="16.5" hidden="1" spans="1:8">
      <c r="A10" s="124">
        <v>8</v>
      </c>
      <c r="B10" s="125" t="s">
        <v>128</v>
      </c>
      <c r="C10" s="126" t="s">
        <v>5964</v>
      </c>
      <c r="D10" s="127">
        <v>522043</v>
      </c>
      <c r="E10" s="127">
        <v>1</v>
      </c>
      <c r="F10" s="86" t="s">
        <v>5965</v>
      </c>
      <c r="G10" s="128"/>
      <c r="H10" s="104"/>
    </row>
    <row r="11" ht="16.5" hidden="1" spans="1:8">
      <c r="A11" s="124">
        <v>9</v>
      </c>
      <c r="B11" s="125" t="s">
        <v>128</v>
      </c>
      <c r="C11" s="126" t="s">
        <v>5966</v>
      </c>
      <c r="D11" s="127">
        <v>522044</v>
      </c>
      <c r="E11" s="127">
        <v>0</v>
      </c>
      <c r="F11" s="86" t="s">
        <v>5967</v>
      </c>
      <c r="G11" s="128"/>
      <c r="H11" s="104"/>
    </row>
    <row r="12" ht="16.5" spans="1:8">
      <c r="A12" s="124">
        <v>10</v>
      </c>
      <c r="B12" s="129" t="s">
        <v>118</v>
      </c>
      <c r="C12" s="126" t="s">
        <v>5968</v>
      </c>
      <c r="D12" s="127">
        <v>522044</v>
      </c>
      <c r="E12" s="127">
        <v>16</v>
      </c>
      <c r="F12" s="86" t="s">
        <v>5969</v>
      </c>
      <c r="G12" s="128"/>
      <c r="H12" s="104"/>
    </row>
    <row r="13" ht="16.5" hidden="1" spans="1:8">
      <c r="A13" s="124">
        <v>11</v>
      </c>
      <c r="B13" s="125" t="s">
        <v>128</v>
      </c>
      <c r="C13" s="126" t="s">
        <v>5970</v>
      </c>
      <c r="D13" s="127">
        <v>522045</v>
      </c>
      <c r="E13" s="127">
        <v>16</v>
      </c>
      <c r="F13" s="86" t="s">
        <v>5971</v>
      </c>
      <c r="G13" s="128"/>
      <c r="H13" s="104"/>
    </row>
    <row r="14" ht="16.5" hidden="1" spans="1:8">
      <c r="A14" s="130">
        <v>12</v>
      </c>
      <c r="B14" s="131" t="s">
        <v>128</v>
      </c>
      <c r="C14" s="132" t="s">
        <v>5972</v>
      </c>
      <c r="D14" s="133">
        <v>522045</v>
      </c>
      <c r="E14" s="133">
        <v>15</v>
      </c>
      <c r="F14" s="134" t="s">
        <v>5973</v>
      </c>
      <c r="G14" s="112" t="s">
        <v>5974</v>
      </c>
      <c r="H14" s="112" t="s">
        <v>5975</v>
      </c>
    </row>
    <row r="15" ht="16.5" hidden="1" spans="1:8">
      <c r="A15" s="124">
        <v>13</v>
      </c>
      <c r="B15" s="125" t="s">
        <v>128</v>
      </c>
      <c r="C15" s="126" t="s">
        <v>5976</v>
      </c>
      <c r="D15" s="127">
        <v>522046</v>
      </c>
      <c r="E15" s="127">
        <v>11</v>
      </c>
      <c r="F15" s="86" t="str">
        <f t="shared" ref="F15:F36" si="0">"HMS"&amp;":"&amp;C15&amp;"("&amp;D15&amp;","&amp;E15&amp;")"</f>
        <v>HMS:氢泄露传感器1故障数据异常(522046,11)</v>
      </c>
      <c r="G15" s="104"/>
      <c r="H15" s="104"/>
    </row>
    <row r="16" ht="16.5" hidden="1" spans="1:8">
      <c r="A16" s="124">
        <v>14</v>
      </c>
      <c r="B16" s="125" t="s">
        <v>128</v>
      </c>
      <c r="C16" s="126" t="s">
        <v>5977</v>
      </c>
      <c r="D16" s="127">
        <v>522047</v>
      </c>
      <c r="E16" s="127">
        <v>11</v>
      </c>
      <c r="F16" s="86" t="str">
        <f t="shared" si="0"/>
        <v>HMS:氢泄露传感器2故障数据异常(522047,11)</v>
      </c>
      <c r="G16" s="104"/>
      <c r="H16" s="104"/>
    </row>
    <row r="17" ht="16.5" hidden="1" spans="1:8">
      <c r="A17" s="124">
        <v>15</v>
      </c>
      <c r="B17" s="125" t="s">
        <v>128</v>
      </c>
      <c r="C17" s="126" t="s">
        <v>5978</v>
      </c>
      <c r="D17" s="127">
        <v>522048</v>
      </c>
      <c r="E17" s="127">
        <v>11</v>
      </c>
      <c r="F17" s="86" t="str">
        <f t="shared" si="0"/>
        <v>HMS:氢泄露传感器3故障数据异常(522048,11)</v>
      </c>
      <c r="G17" s="104"/>
      <c r="H17" s="104"/>
    </row>
    <row r="18" ht="16.5" hidden="1" spans="1:8">
      <c r="A18" s="124">
        <v>16</v>
      </c>
      <c r="B18" s="125" t="s">
        <v>128</v>
      </c>
      <c r="C18" s="126" t="s">
        <v>5979</v>
      </c>
      <c r="D18" s="127">
        <v>522049</v>
      </c>
      <c r="E18" s="127">
        <v>11</v>
      </c>
      <c r="F18" s="86" t="str">
        <f t="shared" si="0"/>
        <v>HMS:氢泄露传感器4故障数据异常(522049,11)</v>
      </c>
      <c r="G18" s="104"/>
      <c r="H18" s="104"/>
    </row>
    <row r="19" ht="16.5" hidden="1" spans="1:8">
      <c r="A19" s="124">
        <v>17</v>
      </c>
      <c r="B19" s="125" t="s">
        <v>128</v>
      </c>
      <c r="C19" s="126" t="s">
        <v>5980</v>
      </c>
      <c r="D19" s="127">
        <v>522050</v>
      </c>
      <c r="E19" s="127">
        <v>11</v>
      </c>
      <c r="F19" s="86" t="str">
        <f t="shared" si="0"/>
        <v>HMS:氢泄露传感器5故障数据异常(522050,11)</v>
      </c>
      <c r="G19" s="104"/>
      <c r="H19" s="104"/>
    </row>
    <row r="20" ht="16.5" hidden="1" spans="1:8">
      <c r="A20" s="124">
        <v>18</v>
      </c>
      <c r="B20" s="125" t="s">
        <v>128</v>
      </c>
      <c r="C20" s="126" t="s">
        <v>5981</v>
      </c>
      <c r="D20" s="127">
        <v>2853</v>
      </c>
      <c r="E20" s="127">
        <v>19</v>
      </c>
      <c r="F20" s="86" t="str">
        <f t="shared" si="0"/>
        <v>HMS:通讯故障，收不到控制报文60s后关闭(2853,19)</v>
      </c>
      <c r="G20" s="104"/>
      <c r="H20" s="104"/>
    </row>
    <row r="21" ht="16.5" hidden="1" spans="1:8">
      <c r="A21" s="124">
        <v>19</v>
      </c>
      <c r="B21" s="125" t="s">
        <v>128</v>
      </c>
      <c r="C21" s="126" t="s">
        <v>5982</v>
      </c>
      <c r="D21" s="127">
        <v>522051</v>
      </c>
      <c r="E21" s="127">
        <v>11</v>
      </c>
      <c r="F21" s="86" t="str">
        <f t="shared" si="0"/>
        <v>HMS:温度传感器1故障 数据异常(522051,11)</v>
      </c>
      <c r="G21" s="104"/>
      <c r="H21" s="104"/>
    </row>
    <row r="22" ht="16.5" hidden="1" spans="1:8">
      <c r="A22" s="124">
        <v>20</v>
      </c>
      <c r="B22" s="125" t="s">
        <v>128</v>
      </c>
      <c r="C22" s="126" t="s">
        <v>5983</v>
      </c>
      <c r="D22" s="127">
        <v>522052</v>
      </c>
      <c r="E22" s="127">
        <v>11</v>
      </c>
      <c r="F22" s="86" t="str">
        <f t="shared" si="0"/>
        <v>HMS:温度传感器2故障 数据异常(522052,11)</v>
      </c>
      <c r="G22" s="104"/>
      <c r="H22" s="104"/>
    </row>
    <row r="23" ht="16.5" hidden="1" spans="1:8">
      <c r="A23" s="124">
        <v>21</v>
      </c>
      <c r="B23" s="125" t="s">
        <v>128</v>
      </c>
      <c r="C23" s="126" t="s">
        <v>5984</v>
      </c>
      <c r="D23" s="127">
        <v>522053</v>
      </c>
      <c r="E23" s="127">
        <v>11</v>
      </c>
      <c r="F23" s="86" t="str">
        <f t="shared" si="0"/>
        <v>HMS:温度传感器3故障 数据异常(522053,11)</v>
      </c>
      <c r="G23" s="104"/>
      <c r="H23" s="104"/>
    </row>
    <row r="24" ht="16.5" hidden="1" spans="1:8">
      <c r="A24" s="124">
        <v>22</v>
      </c>
      <c r="B24" s="125" t="s">
        <v>128</v>
      </c>
      <c r="C24" s="126" t="s">
        <v>5985</v>
      </c>
      <c r="D24" s="127">
        <v>522054</v>
      </c>
      <c r="E24" s="127">
        <v>11</v>
      </c>
      <c r="F24" s="86" t="str">
        <f t="shared" si="0"/>
        <v>HMS:温度传感器4故障 数据异常(522054,11)</v>
      </c>
      <c r="G24" s="104"/>
      <c r="H24" s="104"/>
    </row>
    <row r="25" ht="16.5" hidden="1" spans="1:8">
      <c r="A25" s="124">
        <v>23</v>
      </c>
      <c r="B25" s="125" t="s">
        <v>128</v>
      </c>
      <c r="C25" s="126" t="s">
        <v>5986</v>
      </c>
      <c r="D25" s="127">
        <v>522055</v>
      </c>
      <c r="E25" s="127">
        <v>11</v>
      </c>
      <c r="F25" s="86" t="str">
        <f t="shared" si="0"/>
        <v>HMS:温度传感器5故障 数据异常(522055,11)</v>
      </c>
      <c r="G25" s="104"/>
      <c r="H25" s="104"/>
    </row>
    <row r="26" ht="16.5" hidden="1" spans="1:8">
      <c r="A26" s="124">
        <v>24</v>
      </c>
      <c r="B26" s="125" t="s">
        <v>128</v>
      </c>
      <c r="C26" s="126" t="s">
        <v>5987</v>
      </c>
      <c r="D26" s="127">
        <v>522056</v>
      </c>
      <c r="E26" s="127">
        <v>11</v>
      </c>
      <c r="F26" s="86" t="str">
        <f t="shared" si="0"/>
        <v>HMS:温度传感器6故障 数据异常(522056,11)</v>
      </c>
      <c r="G26" s="104"/>
      <c r="H26" s="104"/>
    </row>
    <row r="27" ht="16.5" hidden="1" spans="1:8">
      <c r="A27" s="124">
        <v>25</v>
      </c>
      <c r="B27" s="125" t="s">
        <v>128</v>
      </c>
      <c r="C27" s="126" t="s">
        <v>5988</v>
      </c>
      <c r="D27" s="127">
        <v>522057</v>
      </c>
      <c r="E27" s="127">
        <v>11</v>
      </c>
      <c r="F27" s="86" t="str">
        <f t="shared" si="0"/>
        <v>HMS:温度传感器7故障 数据异常(522057,11)</v>
      </c>
      <c r="G27" s="104"/>
      <c r="H27" s="104"/>
    </row>
    <row r="28" ht="16.5" hidden="1" spans="1:8">
      <c r="A28" s="124">
        <v>26</v>
      </c>
      <c r="B28" s="125" t="s">
        <v>128</v>
      </c>
      <c r="C28" s="126" t="s">
        <v>5989</v>
      </c>
      <c r="D28" s="127">
        <v>522058</v>
      </c>
      <c r="E28" s="127">
        <v>11</v>
      </c>
      <c r="F28" s="86" t="str">
        <f t="shared" si="0"/>
        <v>HMS:温度传感器8故障 数据异常(522058,11)</v>
      </c>
      <c r="G28" s="104"/>
      <c r="H28" s="104"/>
    </row>
    <row r="29" ht="16.5" hidden="1" spans="1:8">
      <c r="A29" s="124">
        <v>27</v>
      </c>
      <c r="B29" s="125" t="s">
        <v>128</v>
      </c>
      <c r="C29" s="126" t="s">
        <v>5990</v>
      </c>
      <c r="D29" s="127">
        <v>522059</v>
      </c>
      <c r="E29" s="127">
        <v>11</v>
      </c>
      <c r="F29" s="86" t="str">
        <f t="shared" si="0"/>
        <v>HMS:压力传感器1故障数据异常(522059,11)</v>
      </c>
      <c r="G29" s="104"/>
      <c r="H29" s="104"/>
    </row>
    <row r="30" ht="16.5" hidden="1" spans="1:8">
      <c r="A30" s="124">
        <v>28</v>
      </c>
      <c r="B30" s="125" t="s">
        <v>128</v>
      </c>
      <c r="C30" s="126" t="s">
        <v>5991</v>
      </c>
      <c r="D30" s="127">
        <v>522060</v>
      </c>
      <c r="E30" s="127">
        <v>11</v>
      </c>
      <c r="F30" s="86" t="str">
        <f t="shared" si="0"/>
        <v>HMS:压力传感器2故障数据异常(522060,11)</v>
      </c>
      <c r="G30" s="104"/>
      <c r="H30" s="104"/>
    </row>
    <row r="31" ht="16.5" hidden="1" spans="1:8">
      <c r="A31" s="124">
        <v>29</v>
      </c>
      <c r="B31" s="125" t="s">
        <v>128</v>
      </c>
      <c r="C31" s="126" t="s">
        <v>5992</v>
      </c>
      <c r="D31" s="127">
        <v>522061</v>
      </c>
      <c r="E31" s="127">
        <v>11</v>
      </c>
      <c r="F31" s="86" t="str">
        <f t="shared" si="0"/>
        <v>HMS:压力传感器3故障数据异常(522061,11)</v>
      </c>
      <c r="G31" s="104"/>
      <c r="H31" s="104"/>
    </row>
    <row r="32" ht="16.5" hidden="1" spans="1:8">
      <c r="A32" s="124">
        <v>30</v>
      </c>
      <c r="B32" s="125" t="s">
        <v>128</v>
      </c>
      <c r="C32" s="126" t="s">
        <v>5993</v>
      </c>
      <c r="D32" s="127">
        <v>522044</v>
      </c>
      <c r="E32" s="127">
        <v>1</v>
      </c>
      <c r="F32" s="86" t="str">
        <f t="shared" si="0"/>
        <v>HMS:瓶温过低(522044,1)</v>
      </c>
      <c r="G32" s="112" t="s">
        <v>5902</v>
      </c>
      <c r="H32" s="104"/>
    </row>
    <row r="33" ht="16.5" spans="1:8">
      <c r="A33" s="124">
        <v>31</v>
      </c>
      <c r="B33" s="129" t="s">
        <v>118</v>
      </c>
      <c r="C33" s="126" t="s">
        <v>5993</v>
      </c>
      <c r="D33" s="127">
        <v>522044</v>
      </c>
      <c r="E33" s="127">
        <v>18</v>
      </c>
      <c r="F33" s="86" t="str">
        <f t="shared" si="0"/>
        <v>HMS:瓶温过低(522044,18)</v>
      </c>
      <c r="G33" s="112" t="s">
        <v>5902</v>
      </c>
      <c r="H33" s="104"/>
    </row>
    <row r="34" ht="16.5" hidden="1" spans="1:8">
      <c r="A34" s="124">
        <v>32</v>
      </c>
      <c r="B34" s="135" t="s">
        <v>120</v>
      </c>
      <c r="C34" s="126" t="s">
        <v>5994</v>
      </c>
      <c r="D34" s="127">
        <v>522045</v>
      </c>
      <c r="E34" s="127">
        <v>0</v>
      </c>
      <c r="F34" s="86" t="str">
        <f t="shared" si="0"/>
        <v>HMS:氢气泄露(522045,0)</v>
      </c>
      <c r="G34" s="112" t="s">
        <v>5902</v>
      </c>
      <c r="H34" s="104"/>
    </row>
    <row r="35" ht="16.5" hidden="1" spans="1:8">
      <c r="A35" s="124">
        <v>33</v>
      </c>
      <c r="B35" s="125" t="s">
        <v>128</v>
      </c>
      <c r="C35" s="126" t="s">
        <v>5995</v>
      </c>
      <c r="D35" s="127">
        <v>522079</v>
      </c>
      <c r="E35" s="127">
        <v>19</v>
      </c>
      <c r="F35" s="86" t="str">
        <f t="shared" si="0"/>
        <v>HMS:车载供氢系统故障(522079,19)</v>
      </c>
      <c r="G35" s="112" t="s">
        <v>5902</v>
      </c>
      <c r="H35" s="104"/>
    </row>
    <row r="36" ht="16.5" hidden="1" spans="1:8">
      <c r="A36" s="124">
        <v>34</v>
      </c>
      <c r="B36" s="125" t="s">
        <v>128</v>
      </c>
      <c r="C36" s="126" t="s">
        <v>5995</v>
      </c>
      <c r="D36" s="127">
        <v>522079</v>
      </c>
      <c r="E36" s="127">
        <v>12</v>
      </c>
      <c r="F36" s="86" t="str">
        <f t="shared" si="0"/>
        <v>HMS:车载供氢系统故障(522079,12)</v>
      </c>
      <c r="G36" s="112" t="s">
        <v>5902</v>
      </c>
      <c r="H36" s="104"/>
    </row>
  </sheetData>
  <autoFilter ref="A2:H36">
    <filterColumn colId="1">
      <filters>
        <filter val="C"/>
      </filters>
    </filterColumn>
    <extLst/>
  </autoFilter>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F21" sqref="F21"/>
    </sheetView>
  </sheetViews>
  <sheetFormatPr defaultColWidth="9" defaultRowHeight="13.5" outlineLevelCol="5"/>
  <cols>
    <col min="1" max="1" width="5.5" style="76" customWidth="1"/>
    <col min="2" max="2" width="19.375" customWidth="1"/>
    <col min="3" max="4" width="9.5" customWidth="1"/>
    <col min="5" max="5" width="33.625" customWidth="1"/>
    <col min="6" max="6" width="14.5" customWidth="1"/>
  </cols>
  <sheetData>
    <row r="1" ht="16.5" spans="1:6">
      <c r="A1" s="77" t="s">
        <v>99</v>
      </c>
      <c r="B1" s="78" t="s">
        <v>101</v>
      </c>
      <c r="C1" s="78" t="s">
        <v>114</v>
      </c>
      <c r="D1" s="78" t="s">
        <v>115</v>
      </c>
      <c r="E1" s="79" t="s">
        <v>250</v>
      </c>
      <c r="F1" s="104"/>
    </row>
    <row r="2" ht="16.5" spans="1:6">
      <c r="A2" s="117">
        <v>1</v>
      </c>
      <c r="B2" s="118" t="s">
        <v>5924</v>
      </c>
      <c r="C2" s="78">
        <v>522030</v>
      </c>
      <c r="D2" s="78">
        <v>16</v>
      </c>
      <c r="E2" s="119" t="str">
        <f t="shared" ref="E2:E11" si="0">"FCU"&amp;":"&amp;B2&amp;"("&amp;C2&amp;","&amp;D2&amp;")"</f>
        <v>FCU:DCDC 电容端过压(522030,16)</v>
      </c>
      <c r="F2" s="104"/>
    </row>
    <row r="3" ht="16.5" spans="1:6">
      <c r="A3" s="117">
        <v>2</v>
      </c>
      <c r="B3" s="118" t="s">
        <v>5927</v>
      </c>
      <c r="C3" s="78">
        <v>522030</v>
      </c>
      <c r="D3" s="78">
        <v>18</v>
      </c>
      <c r="E3" s="119" t="str">
        <f t="shared" si="0"/>
        <v>FCU:DCDC 电容端欠压(522030,18)</v>
      </c>
      <c r="F3" s="104"/>
    </row>
    <row r="4" ht="16.5" spans="1:6">
      <c r="A4" s="117">
        <v>3</v>
      </c>
      <c r="B4" s="118" t="s">
        <v>5930</v>
      </c>
      <c r="C4" s="78">
        <v>522031</v>
      </c>
      <c r="D4" s="78">
        <v>16</v>
      </c>
      <c r="E4" s="119" t="str">
        <f t="shared" si="0"/>
        <v>FCU:DCDC 电容端过流(522031,16)</v>
      </c>
      <c r="F4" s="104"/>
    </row>
    <row r="5" ht="16.5" spans="1:6">
      <c r="A5" s="117">
        <v>4</v>
      </c>
      <c r="B5" s="118" t="s">
        <v>5933</v>
      </c>
      <c r="C5" s="78">
        <v>522032</v>
      </c>
      <c r="D5" s="78">
        <v>16</v>
      </c>
      <c r="E5" s="119" t="str">
        <f t="shared" si="0"/>
        <v>FCU:DCDC 电池端过压(522032,16)</v>
      </c>
      <c r="F5" s="104"/>
    </row>
    <row r="6" ht="16.5" spans="1:6">
      <c r="A6" s="117">
        <v>5</v>
      </c>
      <c r="B6" s="118" t="s">
        <v>5936</v>
      </c>
      <c r="C6" s="78">
        <v>522032</v>
      </c>
      <c r="D6" s="78">
        <v>18</v>
      </c>
      <c r="E6" s="119" t="str">
        <f t="shared" si="0"/>
        <v>FCU:DCDC 电池端欠压(522032,18)</v>
      </c>
      <c r="F6" s="104"/>
    </row>
    <row r="7" ht="16.5" spans="1:6">
      <c r="A7" s="117">
        <v>6</v>
      </c>
      <c r="B7" s="118" t="s">
        <v>5939</v>
      </c>
      <c r="C7" s="78">
        <v>522033</v>
      </c>
      <c r="D7" s="78">
        <v>16</v>
      </c>
      <c r="E7" s="119" t="str">
        <f t="shared" si="0"/>
        <v>FCU:DCDC 电池端过流(522033,16)</v>
      </c>
      <c r="F7" s="104"/>
    </row>
    <row r="8" ht="16.5" spans="1:6">
      <c r="A8" s="117">
        <v>7</v>
      </c>
      <c r="B8" s="118" t="s">
        <v>5996</v>
      </c>
      <c r="C8" s="78">
        <v>522034</v>
      </c>
      <c r="D8" s="78">
        <v>16</v>
      </c>
      <c r="E8" s="119" t="str">
        <f t="shared" si="0"/>
        <v>FCU:DCDC 过热(522034,16)</v>
      </c>
      <c r="F8" s="104"/>
    </row>
    <row r="9" ht="16.5" spans="1:6">
      <c r="A9" s="117">
        <v>8</v>
      </c>
      <c r="B9" s="118" t="s">
        <v>5997</v>
      </c>
      <c r="C9" s="78">
        <v>522035</v>
      </c>
      <c r="D9" s="78">
        <v>4</v>
      </c>
      <c r="E9" s="119" t="str">
        <f t="shared" si="0"/>
        <v>FCU:DCDC 短路保护(522035,4)</v>
      </c>
      <c r="F9" s="104"/>
    </row>
    <row r="10" ht="16.5" spans="1:6">
      <c r="A10" s="117">
        <v>9</v>
      </c>
      <c r="B10" s="118" t="s">
        <v>5998</v>
      </c>
      <c r="C10" s="78">
        <v>2853</v>
      </c>
      <c r="D10" s="78">
        <v>19</v>
      </c>
      <c r="E10" s="119" t="str">
        <f t="shared" si="0"/>
        <v>FCU:DCDC 通信丢失故障(2853,19)</v>
      </c>
      <c r="F10" s="104"/>
    </row>
    <row r="11" ht="16.5" spans="1:6">
      <c r="A11" s="120">
        <v>10</v>
      </c>
      <c r="B11" s="121" t="s">
        <v>5924</v>
      </c>
      <c r="C11" s="122">
        <v>522030</v>
      </c>
      <c r="D11" s="122">
        <v>0</v>
      </c>
      <c r="E11" s="123" t="str">
        <f t="shared" si="0"/>
        <v>FCU:DCDC 电容端过压(522030,0)</v>
      </c>
      <c r="F11" s="112" t="s">
        <v>5902</v>
      </c>
    </row>
    <row r="12" ht="16.5" spans="1:6">
      <c r="A12" s="120">
        <v>11</v>
      </c>
      <c r="B12" s="121" t="s">
        <v>5927</v>
      </c>
      <c r="C12" s="122">
        <v>522030</v>
      </c>
      <c r="D12" s="122">
        <v>1</v>
      </c>
      <c r="E12" s="123" t="str">
        <f t="shared" ref="E12:E18" si="1">"FCU"&amp;":"&amp;B12&amp;"("&amp;C12&amp;","&amp;D12&amp;")"</f>
        <v>FCU:DCDC 电容端欠压(522030,1)</v>
      </c>
      <c r="F12" s="112" t="s">
        <v>5902</v>
      </c>
    </row>
    <row r="13" ht="16.5" spans="1:6">
      <c r="A13" s="120">
        <v>12</v>
      </c>
      <c r="B13" s="121" t="s">
        <v>5930</v>
      </c>
      <c r="C13" s="122">
        <v>522031</v>
      </c>
      <c r="D13" s="122">
        <v>0</v>
      </c>
      <c r="E13" s="123" t="str">
        <f t="shared" si="1"/>
        <v>FCU:DCDC 电容端过流(522031,0)</v>
      </c>
      <c r="F13" s="112" t="s">
        <v>5902</v>
      </c>
    </row>
    <row r="14" ht="16.5" spans="1:6">
      <c r="A14" s="120">
        <v>13</v>
      </c>
      <c r="B14" s="121" t="s">
        <v>5933</v>
      </c>
      <c r="C14" s="122">
        <v>522032</v>
      </c>
      <c r="D14" s="122">
        <v>0</v>
      </c>
      <c r="E14" s="123" t="str">
        <f t="shared" si="1"/>
        <v>FCU:DCDC 电池端过压(522032,0)</v>
      </c>
      <c r="F14" s="112" t="s">
        <v>5902</v>
      </c>
    </row>
    <row r="15" ht="16.5" spans="1:6">
      <c r="A15" s="120">
        <v>14</v>
      </c>
      <c r="B15" s="121" t="s">
        <v>5936</v>
      </c>
      <c r="C15" s="122">
        <v>522032</v>
      </c>
      <c r="D15" s="122">
        <v>1</v>
      </c>
      <c r="E15" s="123" t="str">
        <f t="shared" si="1"/>
        <v>FCU:DCDC 电池端欠压(522032,1)</v>
      </c>
      <c r="F15" s="112" t="s">
        <v>5902</v>
      </c>
    </row>
    <row r="16" ht="16.5" spans="1:6">
      <c r="A16" s="120">
        <v>15</v>
      </c>
      <c r="B16" s="121" t="s">
        <v>5939</v>
      </c>
      <c r="C16" s="122">
        <v>522033</v>
      </c>
      <c r="D16" s="122">
        <v>0</v>
      </c>
      <c r="E16" s="123" t="str">
        <f t="shared" si="1"/>
        <v>FCU:DCDC 电池端过流(522033,0)</v>
      </c>
      <c r="F16" s="112" t="s">
        <v>5902</v>
      </c>
    </row>
    <row r="17" ht="16.5" spans="1:6">
      <c r="A17" s="120">
        <v>16</v>
      </c>
      <c r="B17" s="121" t="s">
        <v>5996</v>
      </c>
      <c r="C17" s="122">
        <v>522034</v>
      </c>
      <c r="D17" s="122">
        <v>0</v>
      </c>
      <c r="E17" s="123" t="str">
        <f t="shared" si="1"/>
        <v>FCU:DCDC 过热(522034,0)</v>
      </c>
      <c r="F17" s="112" t="s">
        <v>5902</v>
      </c>
    </row>
    <row r="18" ht="16.5" spans="1:6">
      <c r="A18" s="120">
        <v>17</v>
      </c>
      <c r="B18" s="121" t="s">
        <v>5998</v>
      </c>
      <c r="C18" s="122">
        <v>2853</v>
      </c>
      <c r="D18" s="122">
        <v>12</v>
      </c>
      <c r="E18" s="123" t="str">
        <f t="shared" si="1"/>
        <v>FCU:DCDC 通信丢失故障(2853,12)</v>
      </c>
      <c r="F18" s="112" t="s">
        <v>5902</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G22" sqref="G22"/>
    </sheetView>
  </sheetViews>
  <sheetFormatPr defaultColWidth="9" defaultRowHeight="13.5" outlineLevelCol="7"/>
  <cols>
    <col min="1" max="1" width="5.5" customWidth="1"/>
    <col min="2" max="2" width="8.5" customWidth="1"/>
    <col min="3" max="3" width="19.375" customWidth="1"/>
    <col min="4" max="4" width="9.25" customWidth="1"/>
    <col min="5" max="5" width="7.125" customWidth="1"/>
    <col min="6" max="6" width="9.5" customWidth="1"/>
    <col min="7" max="7" width="40.25" customWidth="1"/>
    <col min="8" max="8" width="13.125" customWidth="1"/>
  </cols>
  <sheetData>
    <row r="1" spans="1:7">
      <c r="A1" s="89" t="s">
        <v>5999</v>
      </c>
      <c r="B1" s="89"/>
      <c r="C1" s="89"/>
      <c r="D1" s="89"/>
      <c r="E1" s="89"/>
      <c r="F1" s="89"/>
      <c r="G1" s="89"/>
    </row>
    <row r="2" ht="14.45" customHeight="1" spans="1:7">
      <c r="A2" s="90" t="s">
        <v>99</v>
      </c>
      <c r="B2" s="91" t="s">
        <v>113</v>
      </c>
      <c r="C2" s="90" t="s">
        <v>101</v>
      </c>
      <c r="D2" s="90" t="s">
        <v>928</v>
      </c>
      <c r="E2" s="90" t="s">
        <v>103</v>
      </c>
      <c r="F2" s="90" t="s">
        <v>6000</v>
      </c>
      <c r="G2" s="90" t="s">
        <v>6001</v>
      </c>
    </row>
    <row r="3" spans="1:7">
      <c r="A3" s="90"/>
      <c r="B3" s="92"/>
      <c r="C3" s="90"/>
      <c r="D3" s="90"/>
      <c r="E3" s="90" t="s">
        <v>6002</v>
      </c>
      <c r="F3" s="90"/>
      <c r="G3" s="90"/>
    </row>
    <row r="4" spans="1:7">
      <c r="A4" s="93">
        <v>1</v>
      </c>
      <c r="B4" s="94" t="s">
        <v>128</v>
      </c>
      <c r="C4" s="95" t="s">
        <v>6003</v>
      </c>
      <c r="D4" s="96">
        <v>9691</v>
      </c>
      <c r="E4" s="96">
        <v>12</v>
      </c>
      <c r="F4" s="96" t="s">
        <v>6004</v>
      </c>
      <c r="G4" s="97" t="s">
        <v>6005</v>
      </c>
    </row>
    <row r="5" spans="1:7">
      <c r="A5" s="93">
        <v>2</v>
      </c>
      <c r="B5" s="94" t="s">
        <v>128</v>
      </c>
      <c r="C5" s="98" t="s">
        <v>6006</v>
      </c>
      <c r="D5" s="96">
        <v>12836</v>
      </c>
      <c r="E5" s="96">
        <v>12</v>
      </c>
      <c r="F5" s="96" t="s">
        <v>6004</v>
      </c>
      <c r="G5" s="97" t="s">
        <v>6007</v>
      </c>
    </row>
    <row r="6" spans="1:7">
      <c r="A6" s="93">
        <v>3</v>
      </c>
      <c r="B6" s="94" t="s">
        <v>128</v>
      </c>
      <c r="C6" s="98" t="s">
        <v>6008</v>
      </c>
      <c r="D6" s="96">
        <v>12837</v>
      </c>
      <c r="E6" s="96">
        <v>12</v>
      </c>
      <c r="F6" s="96" t="s">
        <v>6004</v>
      </c>
      <c r="G6" s="97" t="s">
        <v>6009</v>
      </c>
    </row>
    <row r="7" spans="1:7">
      <c r="A7" s="93">
        <v>4</v>
      </c>
      <c r="B7" s="94" t="s">
        <v>128</v>
      </c>
      <c r="C7" s="98" t="s">
        <v>6010</v>
      </c>
      <c r="D7" s="96">
        <v>12836</v>
      </c>
      <c r="E7" s="96">
        <v>5</v>
      </c>
      <c r="F7" s="96" t="s">
        <v>6004</v>
      </c>
      <c r="G7" s="97" t="s">
        <v>6011</v>
      </c>
    </row>
    <row r="8" spans="1:7">
      <c r="A8" s="93">
        <v>5</v>
      </c>
      <c r="B8" s="94" t="s">
        <v>128</v>
      </c>
      <c r="C8" s="98" t="s">
        <v>6012</v>
      </c>
      <c r="D8" s="96">
        <v>12837</v>
      </c>
      <c r="E8" s="96">
        <v>5</v>
      </c>
      <c r="F8" s="96" t="s">
        <v>6004</v>
      </c>
      <c r="G8" s="97" t="s">
        <v>6013</v>
      </c>
    </row>
    <row r="9" spans="1:8">
      <c r="A9" s="99">
        <v>6</v>
      </c>
      <c r="B9" s="94" t="s">
        <v>128</v>
      </c>
      <c r="C9" s="100" t="s">
        <v>6014</v>
      </c>
      <c r="D9" s="7">
        <v>639</v>
      </c>
      <c r="E9" s="7">
        <v>23</v>
      </c>
      <c r="F9" s="101" t="s">
        <v>6004</v>
      </c>
      <c r="G9" s="8" t="s">
        <v>6015</v>
      </c>
      <c r="H9" t="s">
        <v>255</v>
      </c>
    </row>
    <row r="11" ht="16.5" spans="1:8">
      <c r="A11" s="102" t="s">
        <v>6016</v>
      </c>
      <c r="B11" s="103"/>
      <c r="C11" s="103"/>
      <c r="D11" s="103"/>
      <c r="E11" s="103"/>
      <c r="F11" s="103"/>
      <c r="G11" s="103"/>
      <c r="H11" s="104"/>
    </row>
    <row r="12" ht="16.5" spans="1:8">
      <c r="A12" s="105" t="s">
        <v>99</v>
      </c>
      <c r="B12" s="106" t="s">
        <v>113</v>
      </c>
      <c r="C12" s="105" t="s">
        <v>101</v>
      </c>
      <c r="D12" s="105" t="s">
        <v>928</v>
      </c>
      <c r="E12" s="105" t="s">
        <v>103</v>
      </c>
      <c r="F12" s="105" t="s">
        <v>6000</v>
      </c>
      <c r="G12" s="105" t="s">
        <v>6001</v>
      </c>
      <c r="H12" s="104"/>
    </row>
    <row r="13" ht="16.5" spans="1:8">
      <c r="A13" s="105"/>
      <c r="B13" s="107"/>
      <c r="C13" s="105"/>
      <c r="D13" s="105"/>
      <c r="E13" s="105" t="s">
        <v>6002</v>
      </c>
      <c r="F13" s="105"/>
      <c r="G13" s="105"/>
      <c r="H13" s="104"/>
    </row>
    <row r="14" ht="16.5" spans="1:8">
      <c r="A14" s="108">
        <v>1</v>
      </c>
      <c r="B14" s="109" t="s">
        <v>128</v>
      </c>
      <c r="C14" s="110" t="s">
        <v>6003</v>
      </c>
      <c r="D14" s="108">
        <v>9691</v>
      </c>
      <c r="E14" s="108">
        <v>12</v>
      </c>
      <c r="F14" s="108" t="s">
        <v>6004</v>
      </c>
      <c r="G14" s="111" t="s">
        <v>6005</v>
      </c>
      <c r="H14" s="112" t="s">
        <v>255</v>
      </c>
    </row>
    <row r="15" ht="16.5" spans="1:8">
      <c r="A15" s="108">
        <v>2</v>
      </c>
      <c r="B15" s="109" t="s">
        <v>128</v>
      </c>
      <c r="C15" s="113" t="s">
        <v>6006</v>
      </c>
      <c r="D15" s="108">
        <v>12836</v>
      </c>
      <c r="E15" s="108">
        <v>12</v>
      </c>
      <c r="F15" s="108" t="s">
        <v>6004</v>
      </c>
      <c r="G15" s="111" t="s">
        <v>6007</v>
      </c>
      <c r="H15" s="112" t="s">
        <v>255</v>
      </c>
    </row>
    <row r="16" ht="16.5" spans="1:8">
      <c r="A16" s="108">
        <v>3</v>
      </c>
      <c r="B16" s="109" t="s">
        <v>128</v>
      </c>
      <c r="C16" s="113" t="s">
        <v>6008</v>
      </c>
      <c r="D16" s="108">
        <v>12837</v>
      </c>
      <c r="E16" s="108">
        <v>12</v>
      </c>
      <c r="F16" s="108" t="s">
        <v>6004</v>
      </c>
      <c r="G16" s="111" t="s">
        <v>6009</v>
      </c>
      <c r="H16" s="112" t="s">
        <v>255</v>
      </c>
    </row>
    <row r="17" ht="16.5" spans="1:8">
      <c r="A17" s="108">
        <v>4</v>
      </c>
      <c r="B17" s="109" t="s">
        <v>128</v>
      </c>
      <c r="C17" s="113" t="s">
        <v>6010</v>
      </c>
      <c r="D17" s="108">
        <v>12836</v>
      </c>
      <c r="E17" s="108">
        <v>5</v>
      </c>
      <c r="F17" s="108" t="s">
        <v>6004</v>
      </c>
      <c r="G17" s="111" t="s">
        <v>6011</v>
      </c>
      <c r="H17" s="112" t="s">
        <v>255</v>
      </c>
    </row>
    <row r="18" ht="16.5" spans="1:8">
      <c r="A18" s="108">
        <v>5</v>
      </c>
      <c r="B18" s="109" t="s">
        <v>128</v>
      </c>
      <c r="C18" s="113" t="s">
        <v>6012</v>
      </c>
      <c r="D18" s="108">
        <v>12837</v>
      </c>
      <c r="E18" s="108">
        <v>5</v>
      </c>
      <c r="F18" s="108" t="s">
        <v>6004</v>
      </c>
      <c r="G18" s="111" t="s">
        <v>6013</v>
      </c>
      <c r="H18" s="112" t="s">
        <v>255</v>
      </c>
    </row>
    <row r="19" ht="16.5" spans="1:8">
      <c r="A19" s="114">
        <v>6</v>
      </c>
      <c r="B19" s="109" t="s">
        <v>128</v>
      </c>
      <c r="C19" s="113" t="s">
        <v>6014</v>
      </c>
      <c r="D19" s="115">
        <v>639</v>
      </c>
      <c r="E19" s="115">
        <v>23</v>
      </c>
      <c r="F19" s="108" t="s">
        <v>6004</v>
      </c>
      <c r="G19" s="116" t="s">
        <v>6015</v>
      </c>
      <c r="H19" s="112" t="s">
        <v>255</v>
      </c>
    </row>
  </sheetData>
  <mergeCells count="14">
    <mergeCell ref="A1:G1"/>
    <mergeCell ref="A11:G11"/>
    <mergeCell ref="A2:A3"/>
    <mergeCell ref="A12:A13"/>
    <mergeCell ref="B2:B3"/>
    <mergeCell ref="B12:B13"/>
    <mergeCell ref="C2:C3"/>
    <mergeCell ref="C12:C13"/>
    <mergeCell ref="D2:D3"/>
    <mergeCell ref="D12:D13"/>
    <mergeCell ref="F2:F3"/>
    <mergeCell ref="F12:F13"/>
    <mergeCell ref="G2:G3"/>
    <mergeCell ref="G12:G1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
  <sheetViews>
    <sheetView zoomScale="85" zoomScaleNormal="85" workbookViewId="0">
      <selection activeCell="E38" sqref="E38"/>
    </sheetView>
  </sheetViews>
  <sheetFormatPr defaultColWidth="9" defaultRowHeight="13.5" outlineLevelCol="1"/>
  <cols>
    <col min="1" max="1" width="5.25" customWidth="1"/>
    <col min="2" max="2" width="46.75" style="88" customWidth="1"/>
    <col min="3" max="4" width="9.5" customWidth="1"/>
    <col min="5" max="5" width="74.125" customWidth="1"/>
    <col min="6" max="6" width="11.5" customWidth="1"/>
    <col min="7" max="7" width="9.375" customWidth="1"/>
  </cols>
  <sheetData>
    <row r="1" ht="27" spans="2:2">
      <c r="B1" s="88" t="s">
        <v>6017</v>
      </c>
    </row>
  </sheetData>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J5" sqref="J5"/>
    </sheetView>
  </sheetViews>
  <sheetFormatPr defaultColWidth="9" defaultRowHeight="13.5" outlineLevelCol="5"/>
  <cols>
    <col min="1" max="1" width="7.5" customWidth="1"/>
    <col min="2" max="2" width="13.625" customWidth="1"/>
    <col min="5" max="5" width="13.375" customWidth="1"/>
    <col min="6" max="6" width="36.5" customWidth="1"/>
  </cols>
  <sheetData>
    <row r="1" ht="15" spans="1:6">
      <c r="A1" s="83" t="s">
        <v>99</v>
      </c>
      <c r="B1" s="84" t="s">
        <v>6018</v>
      </c>
      <c r="C1" s="83" t="s">
        <v>102</v>
      </c>
      <c r="D1" s="83" t="s">
        <v>103</v>
      </c>
      <c r="E1" s="83" t="s">
        <v>6000</v>
      </c>
      <c r="F1" s="83" t="s">
        <v>6001</v>
      </c>
    </row>
    <row r="2" ht="16.5" spans="1:6">
      <c r="A2" s="85">
        <v>1</v>
      </c>
      <c r="B2" s="81" t="s">
        <v>1094</v>
      </c>
      <c r="C2" s="85">
        <v>521600</v>
      </c>
      <c r="D2" s="85">
        <v>0</v>
      </c>
      <c r="E2" s="85" t="s">
        <v>6019</v>
      </c>
      <c r="F2" s="86" t="s">
        <v>6020</v>
      </c>
    </row>
    <row r="3" ht="16.5" spans="1:6">
      <c r="A3" s="85">
        <v>2</v>
      </c>
      <c r="B3" s="81" t="s">
        <v>1095</v>
      </c>
      <c r="C3" s="85">
        <v>521600</v>
      </c>
      <c r="D3" s="85">
        <v>16</v>
      </c>
      <c r="E3" s="85" t="s">
        <v>6021</v>
      </c>
      <c r="F3" s="86" t="s">
        <v>6022</v>
      </c>
    </row>
    <row r="4" ht="16.5" spans="1:6">
      <c r="A4" s="85">
        <v>3</v>
      </c>
      <c r="B4" s="81" t="s">
        <v>1097</v>
      </c>
      <c r="C4" s="85">
        <v>521601</v>
      </c>
      <c r="D4" s="85">
        <v>0</v>
      </c>
      <c r="E4" s="85" t="s">
        <v>6019</v>
      </c>
      <c r="F4" s="86" t="s">
        <v>6023</v>
      </c>
    </row>
    <row r="5" ht="16.5" spans="1:6">
      <c r="A5" s="85">
        <v>4</v>
      </c>
      <c r="B5" s="81" t="s">
        <v>1099</v>
      </c>
      <c r="C5" s="85">
        <v>521602</v>
      </c>
      <c r="D5" s="85">
        <v>7</v>
      </c>
      <c r="E5" s="85" t="s">
        <v>6021</v>
      </c>
      <c r="F5" s="86" t="s">
        <v>6024</v>
      </c>
    </row>
    <row r="6" ht="16.5" spans="1:6">
      <c r="A6" s="85">
        <v>5</v>
      </c>
      <c r="B6" s="81" t="s">
        <v>1101</v>
      </c>
      <c r="C6" s="85">
        <v>521603</v>
      </c>
      <c r="D6" s="85">
        <v>0</v>
      </c>
      <c r="E6" s="85" t="s">
        <v>6019</v>
      </c>
      <c r="F6" s="86" t="s">
        <v>6025</v>
      </c>
    </row>
    <row r="7" ht="16.5" spans="1:6">
      <c r="A7" s="85">
        <v>6</v>
      </c>
      <c r="B7" s="81" t="s">
        <v>1103</v>
      </c>
      <c r="C7" s="85">
        <v>521604</v>
      </c>
      <c r="D7" s="85">
        <v>4</v>
      </c>
      <c r="E7" s="85" t="s">
        <v>6019</v>
      </c>
      <c r="F7" s="86" t="s">
        <v>6026</v>
      </c>
    </row>
    <row r="8" ht="16.5" spans="1:6">
      <c r="A8" s="85">
        <v>7</v>
      </c>
      <c r="B8" s="81" t="s">
        <v>1105</v>
      </c>
      <c r="C8" s="85">
        <v>521605</v>
      </c>
      <c r="D8" s="85">
        <v>3</v>
      </c>
      <c r="E8" s="85" t="s">
        <v>6021</v>
      </c>
      <c r="F8" s="86" t="s">
        <v>6027</v>
      </c>
    </row>
    <row r="9" ht="16.5" spans="1:6">
      <c r="A9" s="85">
        <v>8</v>
      </c>
      <c r="B9" s="81" t="s">
        <v>1107</v>
      </c>
      <c r="C9" s="85">
        <v>521606</v>
      </c>
      <c r="D9" s="85">
        <v>1</v>
      </c>
      <c r="E9" s="85" t="s">
        <v>6019</v>
      </c>
      <c r="F9" s="86" t="s">
        <v>6028</v>
      </c>
    </row>
    <row r="10" ht="16.5" spans="1:6">
      <c r="A10" s="85">
        <v>9</v>
      </c>
      <c r="B10" s="81" t="s">
        <v>946</v>
      </c>
      <c r="C10" s="85">
        <v>521607</v>
      </c>
      <c r="D10" s="85">
        <v>12</v>
      </c>
      <c r="E10" s="85" t="s">
        <v>6021</v>
      </c>
      <c r="F10" s="86" t="s">
        <v>6029</v>
      </c>
    </row>
    <row r="11" ht="16.5" spans="1:6">
      <c r="A11" s="85">
        <v>10</v>
      </c>
      <c r="B11" s="87" t="s">
        <v>1110</v>
      </c>
      <c r="C11" s="85">
        <v>521608</v>
      </c>
      <c r="D11" s="85">
        <v>11</v>
      </c>
      <c r="E11" s="85" t="s">
        <v>6019</v>
      </c>
      <c r="F11" s="86" t="s">
        <v>6030</v>
      </c>
    </row>
    <row r="12" ht="16.5" spans="1:6">
      <c r="A12" s="85">
        <v>11</v>
      </c>
      <c r="B12" s="81" t="s">
        <v>1113</v>
      </c>
      <c r="C12" s="85">
        <v>521609</v>
      </c>
      <c r="D12" s="85">
        <v>1</v>
      </c>
      <c r="E12" s="85" t="s">
        <v>6019</v>
      </c>
      <c r="F12" s="86" t="s">
        <v>6031</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F5" sqref="F5"/>
    </sheetView>
  </sheetViews>
  <sheetFormatPr defaultColWidth="9" defaultRowHeight="13.5" outlineLevelCol="5"/>
  <cols>
    <col min="1" max="1" width="6" customWidth="1"/>
    <col min="2" max="2" width="16" customWidth="1"/>
    <col min="3" max="3" width="10.25" style="76" customWidth="1"/>
    <col min="4" max="4" width="9.75" style="76" customWidth="1"/>
    <col min="5" max="5" width="17.5" customWidth="1"/>
    <col min="6" max="6" width="37" customWidth="1"/>
    <col min="7" max="7" width="8.875" customWidth="1"/>
  </cols>
  <sheetData>
    <row r="1" ht="15" spans="1:6">
      <c r="A1" s="83" t="s">
        <v>99</v>
      </c>
      <c r="B1" s="84" t="s">
        <v>6018</v>
      </c>
      <c r="C1" s="83" t="s">
        <v>102</v>
      </c>
      <c r="D1" s="83" t="s">
        <v>103</v>
      </c>
      <c r="E1" s="83" t="s">
        <v>6000</v>
      </c>
      <c r="F1" s="83" t="s">
        <v>6001</v>
      </c>
    </row>
    <row r="2" ht="16.5" spans="1:6">
      <c r="A2" s="85">
        <v>1</v>
      </c>
      <c r="B2" s="81" t="s">
        <v>1094</v>
      </c>
      <c r="C2" s="85">
        <v>521600</v>
      </c>
      <c r="D2" s="85">
        <v>0</v>
      </c>
      <c r="E2" s="85" t="s">
        <v>6019</v>
      </c>
      <c r="F2" s="86" t="s">
        <v>6032</v>
      </c>
    </row>
    <row r="3" ht="16.5" spans="1:6">
      <c r="A3" s="85">
        <v>2</v>
      </c>
      <c r="B3" s="81" t="s">
        <v>1095</v>
      </c>
      <c r="C3" s="85">
        <v>521600</v>
      </c>
      <c r="D3" s="85">
        <v>16</v>
      </c>
      <c r="E3" s="85" t="s">
        <v>6021</v>
      </c>
      <c r="F3" s="86" t="s">
        <v>6033</v>
      </c>
    </row>
    <row r="4" ht="16.5" spans="1:6">
      <c r="A4" s="85">
        <v>3</v>
      </c>
      <c r="B4" s="81" t="s">
        <v>1097</v>
      </c>
      <c r="C4" s="85">
        <v>521601</v>
      </c>
      <c r="D4" s="85">
        <v>0</v>
      </c>
      <c r="E4" s="85" t="s">
        <v>6019</v>
      </c>
      <c r="F4" s="86" t="s">
        <v>6034</v>
      </c>
    </row>
    <row r="5" ht="16.5" spans="1:6">
      <c r="A5" s="85">
        <v>4</v>
      </c>
      <c r="B5" s="81" t="s">
        <v>1099</v>
      </c>
      <c r="C5" s="85">
        <v>521602</v>
      </c>
      <c r="D5" s="85">
        <v>7</v>
      </c>
      <c r="E5" s="85" t="s">
        <v>6021</v>
      </c>
      <c r="F5" s="86" t="s">
        <v>6035</v>
      </c>
    </row>
    <row r="6" ht="16.5" spans="1:6">
      <c r="A6" s="85">
        <v>5</v>
      </c>
      <c r="B6" s="81" t="s">
        <v>1101</v>
      </c>
      <c r="C6" s="85">
        <v>521603</v>
      </c>
      <c r="D6" s="85">
        <v>0</v>
      </c>
      <c r="E6" s="85" t="s">
        <v>6019</v>
      </c>
      <c r="F6" s="86" t="s">
        <v>6036</v>
      </c>
    </row>
    <row r="7" ht="16.5" spans="1:6">
      <c r="A7" s="85">
        <v>6</v>
      </c>
      <c r="B7" s="81" t="s">
        <v>1103</v>
      </c>
      <c r="C7" s="85">
        <v>521604</v>
      </c>
      <c r="D7" s="85">
        <v>4</v>
      </c>
      <c r="E7" s="85" t="s">
        <v>6019</v>
      </c>
      <c r="F7" s="86" t="s">
        <v>6037</v>
      </c>
    </row>
    <row r="8" ht="16.5" spans="1:6">
      <c r="A8" s="85">
        <v>7</v>
      </c>
      <c r="B8" s="81" t="s">
        <v>1105</v>
      </c>
      <c r="C8" s="85">
        <v>521605</v>
      </c>
      <c r="D8" s="85">
        <v>3</v>
      </c>
      <c r="E8" s="85" t="s">
        <v>6021</v>
      </c>
      <c r="F8" s="86" t="s">
        <v>6038</v>
      </c>
    </row>
    <row r="9" ht="16.5" spans="1:6">
      <c r="A9" s="85">
        <v>8</v>
      </c>
      <c r="B9" s="81" t="s">
        <v>1107</v>
      </c>
      <c r="C9" s="85">
        <v>521606</v>
      </c>
      <c r="D9" s="85">
        <v>1</v>
      </c>
      <c r="E9" s="85" t="s">
        <v>6019</v>
      </c>
      <c r="F9" s="86" t="s">
        <v>6039</v>
      </c>
    </row>
    <row r="10" ht="16.5" spans="1:6">
      <c r="A10" s="85">
        <v>9</v>
      </c>
      <c r="B10" s="81" t="s">
        <v>946</v>
      </c>
      <c r="C10" s="85">
        <v>521607</v>
      </c>
      <c r="D10" s="85">
        <v>12</v>
      </c>
      <c r="E10" s="85" t="s">
        <v>6021</v>
      </c>
      <c r="F10" s="86" t="s">
        <v>6040</v>
      </c>
    </row>
    <row r="11" ht="15.6" customHeight="1" spans="1:6">
      <c r="A11" s="85">
        <v>10</v>
      </c>
      <c r="B11" s="87" t="s">
        <v>1110</v>
      </c>
      <c r="C11" s="85">
        <v>521608</v>
      </c>
      <c r="D11" s="85">
        <v>11</v>
      </c>
      <c r="E11" s="85" t="s">
        <v>6019</v>
      </c>
      <c r="F11" s="86" t="s">
        <v>6041</v>
      </c>
    </row>
    <row r="12" ht="16.5" spans="1:6">
      <c r="A12" s="85">
        <v>11</v>
      </c>
      <c r="B12" s="81" t="s">
        <v>1113</v>
      </c>
      <c r="C12" s="85">
        <v>521609</v>
      </c>
      <c r="D12" s="85">
        <v>1</v>
      </c>
      <c r="E12" s="85" t="s">
        <v>6019</v>
      </c>
      <c r="F12" s="86" t="s">
        <v>6042</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workbookViewId="0">
      <selection activeCell="D42" sqref="D42"/>
    </sheetView>
  </sheetViews>
  <sheetFormatPr defaultColWidth="9" defaultRowHeight="19.15" customHeight="1" outlineLevelCol="4"/>
  <cols>
    <col min="1" max="1" width="9" style="76"/>
    <col min="2" max="2" width="84.375" customWidth="1"/>
    <col min="3" max="4" width="9.5" customWidth="1"/>
    <col min="5" max="5" width="26.25" customWidth="1"/>
  </cols>
  <sheetData>
    <row r="1" spans="1:5">
      <c r="A1" s="77" t="s">
        <v>99</v>
      </c>
      <c r="B1" s="78" t="s">
        <v>101</v>
      </c>
      <c r="C1" s="78" t="s">
        <v>114</v>
      </c>
      <c r="D1" s="78" t="s">
        <v>115</v>
      </c>
      <c r="E1" s="79" t="s">
        <v>250</v>
      </c>
    </row>
    <row r="2" spans="1:5">
      <c r="A2" s="80">
        <v>1</v>
      </c>
      <c r="B2" s="81" t="s">
        <v>6043</v>
      </c>
      <c r="C2" s="82">
        <v>1121</v>
      </c>
      <c r="D2" s="82">
        <v>8</v>
      </c>
      <c r="E2" s="81" t="s">
        <v>6044</v>
      </c>
    </row>
    <row r="3" spans="1:5">
      <c r="A3" s="80">
        <v>2</v>
      </c>
      <c r="B3" s="81" t="s">
        <v>6045</v>
      </c>
      <c r="C3" s="82">
        <v>1121</v>
      </c>
      <c r="D3" s="82">
        <v>9</v>
      </c>
      <c r="E3" s="81" t="s">
        <v>6046</v>
      </c>
    </row>
    <row r="4" spans="1:5">
      <c r="A4" s="80">
        <v>3</v>
      </c>
      <c r="B4" s="81" t="s">
        <v>6047</v>
      </c>
      <c r="C4" s="82">
        <v>1324</v>
      </c>
      <c r="D4" s="82">
        <v>9</v>
      </c>
      <c r="E4" s="81" t="s">
        <v>6048</v>
      </c>
    </row>
    <row r="5" spans="1:5">
      <c r="A5" s="80">
        <v>4</v>
      </c>
      <c r="B5" s="81" t="s">
        <v>6049</v>
      </c>
      <c r="C5" s="82">
        <v>158</v>
      </c>
      <c r="D5" s="82">
        <v>10</v>
      </c>
      <c r="E5" s="81" t="s">
        <v>6050</v>
      </c>
    </row>
    <row r="6" spans="1:5">
      <c r="A6" s="80">
        <v>5</v>
      </c>
      <c r="B6" s="81" t="s">
        <v>6051</v>
      </c>
      <c r="C6" s="82">
        <v>158</v>
      </c>
      <c r="D6" s="82">
        <v>3</v>
      </c>
      <c r="E6" s="81" t="s">
        <v>6052</v>
      </c>
    </row>
    <row r="7" spans="1:5">
      <c r="A7" s="80">
        <v>6</v>
      </c>
      <c r="B7" s="81" t="s">
        <v>6053</v>
      </c>
      <c r="C7" s="82">
        <v>168</v>
      </c>
      <c r="D7" s="82">
        <v>0</v>
      </c>
      <c r="E7" s="81" t="s">
        <v>6054</v>
      </c>
    </row>
    <row r="8" spans="1:5">
      <c r="A8" s="80">
        <v>7</v>
      </c>
      <c r="B8" s="81" t="s">
        <v>6055</v>
      </c>
      <c r="C8" s="82">
        <v>168</v>
      </c>
      <c r="D8" s="82">
        <v>1</v>
      </c>
      <c r="E8" s="81" t="s">
        <v>6056</v>
      </c>
    </row>
    <row r="9" spans="1:5">
      <c r="A9" s="80">
        <v>8</v>
      </c>
      <c r="B9" s="81" t="s">
        <v>6057</v>
      </c>
      <c r="C9" s="82">
        <v>168</v>
      </c>
      <c r="D9" s="82">
        <v>12</v>
      </c>
      <c r="E9" s="81" t="s">
        <v>6058</v>
      </c>
    </row>
    <row r="10" spans="1:5">
      <c r="A10" s="80">
        <v>9</v>
      </c>
      <c r="B10" s="81" t="s">
        <v>6059</v>
      </c>
      <c r="C10" s="82">
        <v>168</v>
      </c>
      <c r="D10" s="82">
        <v>5</v>
      </c>
      <c r="E10" s="81" t="s">
        <v>6060</v>
      </c>
    </row>
    <row r="11" spans="1:5">
      <c r="A11" s="80">
        <v>10</v>
      </c>
      <c r="B11" s="81" t="s">
        <v>6061</v>
      </c>
      <c r="C11" s="82">
        <v>1814</v>
      </c>
      <c r="D11" s="82">
        <v>9</v>
      </c>
      <c r="E11" s="81" t="s">
        <v>6062</v>
      </c>
    </row>
    <row r="12" spans="1:5">
      <c r="A12" s="80">
        <v>11</v>
      </c>
      <c r="B12" s="81" t="s">
        <v>6063</v>
      </c>
      <c r="C12" s="82">
        <v>3132</v>
      </c>
      <c r="D12" s="82">
        <v>12</v>
      </c>
      <c r="E12" s="81" t="s">
        <v>6064</v>
      </c>
    </row>
    <row r="13" spans="1:5">
      <c r="A13" s="80">
        <v>12</v>
      </c>
      <c r="B13" s="81" t="s">
        <v>6065</v>
      </c>
      <c r="C13" s="82">
        <v>3132</v>
      </c>
      <c r="D13" s="82">
        <v>3</v>
      </c>
      <c r="E13" s="81" t="s">
        <v>6066</v>
      </c>
    </row>
    <row r="14" spans="1:5">
      <c r="A14" s="80">
        <v>13</v>
      </c>
      <c r="B14" s="81" t="s">
        <v>6067</v>
      </c>
      <c r="C14" s="82">
        <v>3132</v>
      </c>
      <c r="D14" s="82">
        <v>4</v>
      </c>
      <c r="E14" s="81" t="s">
        <v>6068</v>
      </c>
    </row>
    <row r="15" spans="1:5">
      <c r="A15" s="80">
        <v>14</v>
      </c>
      <c r="B15" s="81" t="s">
        <v>6069</v>
      </c>
      <c r="C15" s="82">
        <v>3132</v>
      </c>
      <c r="D15" s="82">
        <v>5</v>
      </c>
      <c r="E15" s="81" t="s">
        <v>6070</v>
      </c>
    </row>
    <row r="16" spans="1:5">
      <c r="A16" s="80">
        <v>15</v>
      </c>
      <c r="B16" s="81" t="s">
        <v>6071</v>
      </c>
      <c r="C16" s="82">
        <v>3136</v>
      </c>
      <c r="D16" s="82">
        <v>0</v>
      </c>
      <c r="E16" s="81" t="s">
        <v>6072</v>
      </c>
    </row>
    <row r="17" ht="33" spans="1:5">
      <c r="A17" s="80">
        <v>16</v>
      </c>
      <c r="B17" s="81" t="s">
        <v>6073</v>
      </c>
      <c r="C17" s="82">
        <v>3136</v>
      </c>
      <c r="D17" s="82">
        <v>16</v>
      </c>
      <c r="E17" s="81" t="s">
        <v>6074</v>
      </c>
    </row>
    <row r="18" spans="1:5">
      <c r="A18" s="80">
        <v>17</v>
      </c>
      <c r="B18" s="81" t="s">
        <v>6075</v>
      </c>
      <c r="C18" s="82">
        <v>46</v>
      </c>
      <c r="D18" s="82">
        <v>9</v>
      </c>
      <c r="E18" s="81" t="s">
        <v>6076</v>
      </c>
    </row>
    <row r="19" spans="1:5">
      <c r="A19" s="80">
        <v>18</v>
      </c>
      <c r="B19" s="81" t="s">
        <v>6077</v>
      </c>
      <c r="C19" s="82">
        <v>513</v>
      </c>
      <c r="D19" s="82">
        <v>9</v>
      </c>
      <c r="E19" s="81" t="s">
        <v>6078</v>
      </c>
    </row>
    <row r="20" spans="1:5">
      <c r="A20" s="80">
        <v>19</v>
      </c>
      <c r="B20" s="81" t="s">
        <v>6079</v>
      </c>
      <c r="C20" s="82">
        <v>516096</v>
      </c>
      <c r="D20" s="82">
        <v>2</v>
      </c>
      <c r="E20" s="81" t="s">
        <v>6080</v>
      </c>
    </row>
    <row r="21" spans="1:5">
      <c r="A21" s="80">
        <v>20</v>
      </c>
      <c r="B21" s="81" t="s">
        <v>6081</v>
      </c>
      <c r="C21" s="82">
        <v>516096</v>
      </c>
      <c r="D21" s="82">
        <v>8</v>
      </c>
      <c r="E21" s="81" t="s">
        <v>6082</v>
      </c>
    </row>
    <row r="22" spans="1:5">
      <c r="A22" s="80">
        <v>21</v>
      </c>
      <c r="B22" s="81" t="s">
        <v>6083</v>
      </c>
      <c r="C22" s="82">
        <v>516097</v>
      </c>
      <c r="D22" s="82">
        <v>12</v>
      </c>
      <c r="E22" s="81" t="s">
        <v>6084</v>
      </c>
    </row>
    <row r="23" spans="1:5">
      <c r="A23" s="80">
        <v>22</v>
      </c>
      <c r="B23" s="81" t="s">
        <v>6085</v>
      </c>
      <c r="C23" s="82">
        <v>516097</v>
      </c>
      <c r="D23" s="82">
        <v>2</v>
      </c>
      <c r="E23" s="81" t="s">
        <v>6086</v>
      </c>
    </row>
    <row r="24" spans="1:5">
      <c r="A24" s="80">
        <v>23</v>
      </c>
      <c r="B24" s="81" t="s">
        <v>6087</v>
      </c>
      <c r="C24" s="82">
        <v>516097</v>
      </c>
      <c r="D24" s="82">
        <v>8</v>
      </c>
      <c r="E24" s="81" t="s">
        <v>6088</v>
      </c>
    </row>
    <row r="25" spans="1:5">
      <c r="A25" s="80">
        <v>24</v>
      </c>
      <c r="B25" s="81" t="s">
        <v>6089</v>
      </c>
      <c r="C25" s="82">
        <v>516097</v>
      </c>
      <c r="D25" s="82">
        <v>9</v>
      </c>
      <c r="E25" s="81" t="s">
        <v>6090</v>
      </c>
    </row>
    <row r="26" spans="1:5">
      <c r="A26" s="80">
        <v>25</v>
      </c>
      <c r="B26" s="81" t="s">
        <v>6091</v>
      </c>
      <c r="C26" s="82">
        <v>516098</v>
      </c>
      <c r="D26" s="82">
        <v>12</v>
      </c>
      <c r="E26" s="81" t="s">
        <v>6092</v>
      </c>
    </row>
    <row r="27" spans="1:5">
      <c r="A27" s="80">
        <v>26</v>
      </c>
      <c r="B27" s="81" t="s">
        <v>6093</v>
      </c>
      <c r="C27" s="82">
        <v>516098</v>
      </c>
      <c r="D27" s="82">
        <v>2</v>
      </c>
      <c r="E27" s="81" t="s">
        <v>6094</v>
      </c>
    </row>
    <row r="28" spans="1:5">
      <c r="A28" s="80">
        <v>27</v>
      </c>
      <c r="B28" s="81" t="s">
        <v>6095</v>
      </c>
      <c r="C28" s="82">
        <v>516098</v>
      </c>
      <c r="D28" s="82">
        <v>8</v>
      </c>
      <c r="E28" s="81" t="s">
        <v>6096</v>
      </c>
    </row>
    <row r="29" spans="1:5">
      <c r="A29" s="80">
        <v>28</v>
      </c>
      <c r="B29" s="81" t="s">
        <v>6097</v>
      </c>
      <c r="C29" s="82">
        <v>516098</v>
      </c>
      <c r="D29" s="82">
        <v>9</v>
      </c>
      <c r="E29" s="81" t="s">
        <v>6098</v>
      </c>
    </row>
    <row r="30" spans="1:5">
      <c r="A30" s="80">
        <v>29</v>
      </c>
      <c r="B30" s="81" t="s">
        <v>6099</v>
      </c>
      <c r="C30" s="82">
        <v>516099</v>
      </c>
      <c r="D30" s="82">
        <v>12</v>
      </c>
      <c r="E30" s="81" t="s">
        <v>6100</v>
      </c>
    </row>
    <row r="31" spans="1:5">
      <c r="A31" s="80">
        <v>30</v>
      </c>
      <c r="B31" s="81" t="s">
        <v>6101</v>
      </c>
      <c r="C31" s="82">
        <v>516099</v>
      </c>
      <c r="D31" s="82">
        <v>2</v>
      </c>
      <c r="E31" s="81" t="s">
        <v>6102</v>
      </c>
    </row>
    <row r="32" spans="1:5">
      <c r="A32" s="80">
        <v>31</v>
      </c>
      <c r="B32" s="81" t="s">
        <v>6103</v>
      </c>
      <c r="C32" s="82">
        <v>516099</v>
      </c>
      <c r="D32" s="82">
        <v>8</v>
      </c>
      <c r="E32" s="81" t="s">
        <v>6104</v>
      </c>
    </row>
    <row r="33" spans="1:5">
      <c r="A33" s="80">
        <v>32</v>
      </c>
      <c r="B33" s="81" t="s">
        <v>6105</v>
      </c>
      <c r="C33" s="82">
        <v>516099</v>
      </c>
      <c r="D33" s="82">
        <v>9</v>
      </c>
      <c r="E33" s="81" t="s">
        <v>6106</v>
      </c>
    </row>
    <row r="34" spans="1:5">
      <c r="A34" s="80">
        <v>33</v>
      </c>
      <c r="B34" s="81" t="s">
        <v>6107</v>
      </c>
      <c r="C34" s="82">
        <v>523</v>
      </c>
      <c r="D34" s="82">
        <v>9</v>
      </c>
      <c r="E34" s="81" t="s">
        <v>6108</v>
      </c>
    </row>
    <row r="35" spans="1:5">
      <c r="A35" s="80">
        <v>34</v>
      </c>
      <c r="B35" s="81" t="s">
        <v>6109</v>
      </c>
      <c r="C35" s="82">
        <v>5630</v>
      </c>
      <c r="D35" s="82">
        <v>10</v>
      </c>
      <c r="E35" s="81" t="s">
        <v>6110</v>
      </c>
    </row>
    <row r="36" spans="1:5">
      <c r="A36" s="80">
        <v>35</v>
      </c>
      <c r="B36" s="81" t="s">
        <v>6111</v>
      </c>
      <c r="C36" s="82">
        <v>5630</v>
      </c>
      <c r="D36" s="82">
        <v>12</v>
      </c>
      <c r="E36" s="81" t="s">
        <v>6112</v>
      </c>
    </row>
    <row r="37" spans="1:5">
      <c r="A37" s="80">
        <v>36</v>
      </c>
      <c r="B37" s="81" t="s">
        <v>6113</v>
      </c>
      <c r="C37" s="82">
        <v>5630</v>
      </c>
      <c r="D37" s="82">
        <v>2</v>
      </c>
      <c r="E37" s="81" t="s">
        <v>6114</v>
      </c>
    </row>
    <row r="38" spans="1:5">
      <c r="A38" s="80">
        <v>37</v>
      </c>
      <c r="B38" s="81" t="s">
        <v>6115</v>
      </c>
      <c r="C38" s="82">
        <v>5630</v>
      </c>
      <c r="D38" s="82">
        <v>20</v>
      </c>
      <c r="E38" s="81" t="s">
        <v>6116</v>
      </c>
    </row>
    <row r="39" spans="1:5">
      <c r="A39" s="80">
        <v>38</v>
      </c>
      <c r="B39" s="81" t="s">
        <v>6117</v>
      </c>
      <c r="C39" s="82">
        <v>5630</v>
      </c>
      <c r="D39" s="82">
        <v>8</v>
      </c>
      <c r="E39" s="81" t="s">
        <v>6118</v>
      </c>
    </row>
    <row r="40" spans="1:5">
      <c r="A40" s="80">
        <v>39</v>
      </c>
      <c r="B40" s="81" t="s">
        <v>6119</v>
      </c>
      <c r="C40" s="82">
        <v>5360</v>
      </c>
      <c r="D40" s="82">
        <v>9</v>
      </c>
      <c r="E40" s="81" t="s">
        <v>6120</v>
      </c>
    </row>
    <row r="41" spans="1:5">
      <c r="A41" s="80">
        <v>40</v>
      </c>
      <c r="B41" s="81" t="s">
        <v>6121</v>
      </c>
      <c r="C41" s="82">
        <v>617</v>
      </c>
      <c r="D41" s="82">
        <v>7</v>
      </c>
      <c r="E41" s="81" t="s">
        <v>6122</v>
      </c>
    </row>
    <row r="42" spans="1:5">
      <c r="A42" s="80">
        <v>41</v>
      </c>
      <c r="B42" s="81" t="s">
        <v>6123</v>
      </c>
      <c r="C42" s="82">
        <v>618</v>
      </c>
      <c r="D42" s="82">
        <v>7</v>
      </c>
      <c r="E42" s="81" t="s">
        <v>6124</v>
      </c>
    </row>
    <row r="43" spans="1:5">
      <c r="A43" s="80">
        <v>42</v>
      </c>
      <c r="B43" s="81" t="s">
        <v>6125</v>
      </c>
      <c r="C43" s="82">
        <v>619</v>
      </c>
      <c r="D43" s="82">
        <v>10</v>
      </c>
      <c r="E43" s="81" t="s">
        <v>6126</v>
      </c>
    </row>
    <row r="44" spans="1:5">
      <c r="A44" s="80">
        <v>43</v>
      </c>
      <c r="B44" s="81" t="s">
        <v>6127</v>
      </c>
      <c r="C44" s="82">
        <v>619</v>
      </c>
      <c r="D44" s="82">
        <v>14</v>
      </c>
      <c r="E44" s="81" t="s">
        <v>6128</v>
      </c>
    </row>
    <row r="45" spans="1:5">
      <c r="A45" s="80">
        <v>44</v>
      </c>
      <c r="B45" s="81" t="s">
        <v>6129</v>
      </c>
      <c r="C45" s="82">
        <v>619</v>
      </c>
      <c r="D45" s="82">
        <v>7</v>
      </c>
      <c r="E45" s="81" t="s">
        <v>6130</v>
      </c>
    </row>
    <row r="46" spans="1:5">
      <c r="A46" s="80">
        <v>45</v>
      </c>
      <c r="B46" s="81" t="s">
        <v>6131</v>
      </c>
      <c r="C46" s="82">
        <v>625</v>
      </c>
      <c r="D46" s="82">
        <v>5</v>
      </c>
      <c r="E46" s="81" t="s">
        <v>6132</v>
      </c>
    </row>
    <row r="47" spans="1:5">
      <c r="A47" s="80">
        <v>46</v>
      </c>
      <c r="B47" s="81" t="s">
        <v>6133</v>
      </c>
      <c r="C47" s="82">
        <v>629</v>
      </c>
      <c r="D47" s="82">
        <v>13</v>
      </c>
      <c r="E47" s="81" t="s">
        <v>6134</v>
      </c>
    </row>
    <row r="48" spans="1:5">
      <c r="A48" s="80">
        <v>47</v>
      </c>
      <c r="B48" s="81" t="s">
        <v>6135</v>
      </c>
      <c r="C48" s="82">
        <v>629</v>
      </c>
      <c r="D48" s="82">
        <v>14</v>
      </c>
      <c r="E48" s="81" t="s">
        <v>6136</v>
      </c>
    </row>
    <row r="49" spans="1:5">
      <c r="A49" s="80">
        <v>48</v>
      </c>
      <c r="B49" s="81" t="s">
        <v>6137</v>
      </c>
      <c r="C49" s="82">
        <v>629</v>
      </c>
      <c r="D49" s="82">
        <v>2</v>
      </c>
      <c r="E49" s="81" t="s">
        <v>6138</v>
      </c>
    </row>
    <row r="50" spans="1:5">
      <c r="A50" s="80">
        <v>49</v>
      </c>
      <c r="B50" s="81" t="s">
        <v>6139</v>
      </c>
      <c r="C50" s="82">
        <v>629</v>
      </c>
      <c r="D50" s="82">
        <v>9</v>
      </c>
      <c r="E50" s="81" t="s">
        <v>6140</v>
      </c>
    </row>
    <row r="51" spans="1:5">
      <c r="A51" s="80">
        <v>50</v>
      </c>
      <c r="B51" s="81" t="s">
        <v>6141</v>
      </c>
      <c r="C51" s="82">
        <v>630</v>
      </c>
      <c r="D51" s="82">
        <v>13</v>
      </c>
      <c r="E51" s="81" t="s">
        <v>6142</v>
      </c>
    </row>
    <row r="52" spans="1:5">
      <c r="A52" s="80">
        <v>51</v>
      </c>
      <c r="B52" s="81" t="s">
        <v>6143</v>
      </c>
      <c r="C52" s="82">
        <v>630</v>
      </c>
      <c r="D52" s="82">
        <v>2</v>
      </c>
      <c r="E52" s="81" t="s">
        <v>6144</v>
      </c>
    </row>
    <row r="53" spans="1:5">
      <c r="A53" s="80">
        <v>52</v>
      </c>
      <c r="B53" s="81" t="s">
        <v>6145</v>
      </c>
      <c r="C53" s="82">
        <v>639</v>
      </c>
      <c r="D53" s="82">
        <v>5</v>
      </c>
      <c r="E53" s="81" t="s">
        <v>6146</v>
      </c>
    </row>
    <row r="54" spans="1:5">
      <c r="A54" s="80">
        <v>53</v>
      </c>
      <c r="B54" s="81" t="s">
        <v>6147</v>
      </c>
      <c r="C54" s="82">
        <v>708</v>
      </c>
      <c r="D54" s="82">
        <v>9</v>
      </c>
      <c r="E54" s="81" t="s">
        <v>6148</v>
      </c>
    </row>
    <row r="55" spans="1:5">
      <c r="A55" s="80">
        <v>54</v>
      </c>
      <c r="B55" s="81" t="s">
        <v>6149</v>
      </c>
      <c r="C55" s="82">
        <v>887</v>
      </c>
      <c r="D55" s="82">
        <v>12</v>
      </c>
      <c r="E55" s="81" t="s">
        <v>6150</v>
      </c>
    </row>
    <row r="56" spans="1:5">
      <c r="A56" s="80">
        <v>55</v>
      </c>
      <c r="B56" s="81" t="s">
        <v>6151</v>
      </c>
      <c r="C56" s="82">
        <v>887</v>
      </c>
      <c r="D56" s="82">
        <v>9</v>
      </c>
      <c r="E56" s="81" t="s">
        <v>6152</v>
      </c>
    </row>
  </sheetData>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140"/>
  <sheetViews>
    <sheetView tabSelected="1" view="pageBreakPreview" zoomScaleNormal="70" workbookViewId="0">
      <pane xSplit="3" ySplit="2" topLeftCell="D3" activePane="bottomRight" state="frozen"/>
      <selection/>
      <selection pane="topRight"/>
      <selection pane="bottomLeft"/>
      <selection pane="bottomRight" activeCell="G86" sqref="G86"/>
    </sheetView>
  </sheetViews>
  <sheetFormatPr defaultColWidth="9" defaultRowHeight="13.5"/>
  <cols>
    <col min="1" max="1" width="9" style="36"/>
    <col min="2" max="2" width="32.25" style="37" customWidth="1"/>
    <col min="3" max="3" width="10.875" style="36" customWidth="1"/>
    <col min="4" max="4" width="6.125" style="36" customWidth="1"/>
    <col min="5" max="5" width="26.875" style="38" customWidth="1"/>
    <col min="6" max="6" width="39" style="37" customWidth="1"/>
    <col min="7" max="7" width="12.375" style="36" customWidth="1"/>
    <col min="8" max="8" width="7.25" style="36" customWidth="1"/>
    <col min="9" max="9" width="41.325" style="37" customWidth="1"/>
    <col min="10" max="16384" width="9" style="36"/>
  </cols>
  <sheetData>
    <row r="1" s="35" customFormat="1" spans="1:9">
      <c r="A1" s="39" t="s">
        <v>99</v>
      </c>
      <c r="B1" s="39" t="s">
        <v>6153</v>
      </c>
      <c r="C1" s="39" t="s">
        <v>6154</v>
      </c>
      <c r="D1" s="39" t="s">
        <v>113</v>
      </c>
      <c r="E1" s="40" t="s">
        <v>101</v>
      </c>
      <c r="F1" s="39" t="s">
        <v>6001</v>
      </c>
      <c r="G1" s="39" t="s">
        <v>102</v>
      </c>
      <c r="H1" s="39" t="s">
        <v>103</v>
      </c>
      <c r="I1" s="39" t="s">
        <v>6155</v>
      </c>
    </row>
    <row r="2" hidden="1" spans="1:9">
      <c r="A2" s="41"/>
      <c r="B2" s="41"/>
      <c r="C2" s="41"/>
      <c r="D2" s="41"/>
      <c r="E2" s="42"/>
      <c r="F2" s="41"/>
      <c r="G2" s="41"/>
      <c r="H2" s="41"/>
      <c r="I2" s="41"/>
    </row>
    <row r="3" ht="16.5" hidden="1" spans="1:9">
      <c r="A3" s="43">
        <v>1</v>
      </c>
      <c r="B3" s="44" t="s">
        <v>6156</v>
      </c>
      <c r="C3" s="45" t="s">
        <v>6157</v>
      </c>
      <c r="D3" s="46" t="s">
        <v>6158</v>
      </c>
      <c r="E3" s="44" t="s">
        <v>6159</v>
      </c>
      <c r="F3" s="47" t="s">
        <v>6160</v>
      </c>
      <c r="G3" s="48">
        <v>13138</v>
      </c>
      <c r="H3" s="48">
        <v>3</v>
      </c>
      <c r="I3" s="62" t="s">
        <v>6161</v>
      </c>
    </row>
    <row r="4" ht="16.5" hidden="1" spans="1:9">
      <c r="A4" s="43">
        <v>2</v>
      </c>
      <c r="B4" s="44" t="s">
        <v>6162</v>
      </c>
      <c r="C4" s="45" t="s">
        <v>6163</v>
      </c>
      <c r="D4" s="46" t="s">
        <v>6158</v>
      </c>
      <c r="E4" s="44" t="s">
        <v>6164</v>
      </c>
      <c r="F4" s="47" t="s">
        <v>6165</v>
      </c>
      <c r="G4" s="48">
        <v>13138</v>
      </c>
      <c r="H4" s="48">
        <v>4</v>
      </c>
      <c r="I4" s="62" t="s">
        <v>6161</v>
      </c>
    </row>
    <row r="5" ht="16.5" hidden="1" spans="1:9">
      <c r="A5" s="43">
        <v>3</v>
      </c>
      <c r="B5" s="44" t="s">
        <v>6166</v>
      </c>
      <c r="C5" s="45" t="s">
        <v>6167</v>
      </c>
      <c r="D5" s="46" t="s">
        <v>6158</v>
      </c>
      <c r="E5" s="44" t="s">
        <v>6168</v>
      </c>
      <c r="F5" s="47" t="s">
        <v>6169</v>
      </c>
      <c r="G5" s="48">
        <v>13138</v>
      </c>
      <c r="H5" s="48">
        <v>5</v>
      </c>
      <c r="I5" s="62" t="s">
        <v>6161</v>
      </c>
    </row>
    <row r="6" ht="16.5" hidden="1" spans="1:9">
      <c r="A6" s="43">
        <v>4</v>
      </c>
      <c r="B6" s="44" t="s">
        <v>6170</v>
      </c>
      <c r="C6" s="45" t="s">
        <v>6171</v>
      </c>
      <c r="D6" s="49" t="s">
        <v>6172</v>
      </c>
      <c r="E6" s="44" t="s">
        <v>6164</v>
      </c>
      <c r="F6" s="44" t="s">
        <v>6173</v>
      </c>
      <c r="G6" s="48">
        <v>193</v>
      </c>
      <c r="H6" s="48">
        <v>9</v>
      </c>
      <c r="I6" s="62" t="s">
        <v>6161</v>
      </c>
    </row>
    <row r="7" ht="16.5" hidden="1" spans="1:9">
      <c r="A7" s="43">
        <v>5</v>
      </c>
      <c r="B7" s="44" t="s">
        <v>6174</v>
      </c>
      <c r="C7" s="45" t="s">
        <v>6175</v>
      </c>
      <c r="D7" s="50" t="s">
        <v>6176</v>
      </c>
      <c r="E7" s="44" t="s">
        <v>6177</v>
      </c>
      <c r="F7" s="44" t="s">
        <v>6178</v>
      </c>
      <c r="G7" s="48">
        <v>4289</v>
      </c>
      <c r="H7" s="48">
        <v>5</v>
      </c>
      <c r="I7" s="62" t="s">
        <v>6161</v>
      </c>
    </row>
    <row r="8" ht="16.5" hidden="1" spans="1:9">
      <c r="A8" s="43">
        <v>6</v>
      </c>
      <c r="B8" s="51" t="s">
        <v>6179</v>
      </c>
      <c r="C8" s="52" t="s">
        <v>6180</v>
      </c>
      <c r="D8" s="50" t="s">
        <v>6176</v>
      </c>
      <c r="E8" s="44" t="s">
        <v>6181</v>
      </c>
      <c r="F8" s="44" t="s">
        <v>6182</v>
      </c>
      <c r="G8" s="45">
        <v>14418</v>
      </c>
      <c r="H8" s="45">
        <v>11</v>
      </c>
      <c r="I8" s="62" t="s">
        <v>6161</v>
      </c>
    </row>
    <row r="9" ht="16.5" hidden="1" spans="1:9">
      <c r="A9" s="43">
        <v>7</v>
      </c>
      <c r="B9" s="51" t="s">
        <v>6183</v>
      </c>
      <c r="C9" s="52" t="s">
        <v>6184</v>
      </c>
      <c r="D9" s="46" t="s">
        <v>6158</v>
      </c>
      <c r="E9" s="44" t="s">
        <v>6185</v>
      </c>
      <c r="F9" s="44" t="s">
        <v>6186</v>
      </c>
      <c r="G9" s="45">
        <v>14674</v>
      </c>
      <c r="H9" s="45">
        <v>11</v>
      </c>
      <c r="I9" s="62" t="s">
        <v>6161</v>
      </c>
    </row>
    <row r="10" ht="16.5" spans="1:9">
      <c r="A10" s="43">
        <v>8</v>
      </c>
      <c r="B10" s="53" t="s">
        <v>6187</v>
      </c>
      <c r="C10" s="54" t="s">
        <v>6188</v>
      </c>
      <c r="D10" s="50" t="s">
        <v>6176</v>
      </c>
      <c r="E10" s="55" t="s">
        <v>6189</v>
      </c>
      <c r="F10" s="53" t="s">
        <v>6190</v>
      </c>
      <c r="G10" s="56">
        <v>15186</v>
      </c>
      <c r="H10" s="56">
        <v>3</v>
      </c>
      <c r="I10" s="63" t="s">
        <v>6191</v>
      </c>
    </row>
    <row r="11" ht="16.5" spans="1:9">
      <c r="A11" s="43">
        <v>9</v>
      </c>
      <c r="B11" s="53" t="s">
        <v>6192</v>
      </c>
      <c r="C11" s="54" t="s">
        <v>6193</v>
      </c>
      <c r="D11" s="50" t="s">
        <v>6176</v>
      </c>
      <c r="E11" s="55" t="s">
        <v>6194</v>
      </c>
      <c r="F11" s="53" t="s">
        <v>6195</v>
      </c>
      <c r="G11" s="56">
        <v>15186</v>
      </c>
      <c r="H11" s="56">
        <v>4</v>
      </c>
      <c r="I11" s="63" t="s">
        <v>6191</v>
      </c>
    </row>
    <row r="12" ht="16.5" spans="1:9">
      <c r="A12" s="43">
        <v>10</v>
      </c>
      <c r="B12" s="53" t="s">
        <v>6196</v>
      </c>
      <c r="C12" s="54" t="s">
        <v>6197</v>
      </c>
      <c r="D12" s="50" t="s">
        <v>6176</v>
      </c>
      <c r="E12" s="55" t="s">
        <v>6198</v>
      </c>
      <c r="F12" s="53" t="s">
        <v>6199</v>
      </c>
      <c r="G12" s="56">
        <v>15186</v>
      </c>
      <c r="H12" s="56">
        <v>5</v>
      </c>
      <c r="I12" s="63" t="s">
        <v>6191</v>
      </c>
    </row>
    <row r="13" ht="16.5" spans="1:9">
      <c r="A13" s="43">
        <v>11</v>
      </c>
      <c r="B13" s="53" t="s">
        <v>6200</v>
      </c>
      <c r="C13" s="54" t="s">
        <v>6201</v>
      </c>
      <c r="D13" s="50" t="s">
        <v>6176</v>
      </c>
      <c r="E13" s="55" t="s">
        <v>6202</v>
      </c>
      <c r="F13" s="55" t="s">
        <v>6203</v>
      </c>
      <c r="G13" s="56">
        <v>13650</v>
      </c>
      <c r="H13" s="56">
        <v>5</v>
      </c>
      <c r="I13" s="63" t="s">
        <v>6191</v>
      </c>
    </row>
    <row r="14" ht="16.5" hidden="1" spans="1:9">
      <c r="A14" s="43">
        <v>12</v>
      </c>
      <c r="B14" s="53" t="s">
        <v>6204</v>
      </c>
      <c r="C14" s="54" t="s">
        <v>6205</v>
      </c>
      <c r="D14" s="50" t="s">
        <v>6176</v>
      </c>
      <c r="E14" s="55" t="s">
        <v>6206</v>
      </c>
      <c r="F14" s="55" t="s">
        <v>6207</v>
      </c>
      <c r="G14" s="56">
        <v>12370</v>
      </c>
      <c r="H14" s="56">
        <v>3</v>
      </c>
      <c r="I14" s="63" t="s">
        <v>6161</v>
      </c>
    </row>
    <row r="15" ht="16.5" hidden="1" spans="1:9">
      <c r="A15" s="43">
        <v>13</v>
      </c>
      <c r="B15" s="53" t="s">
        <v>6208</v>
      </c>
      <c r="C15" s="54" t="s">
        <v>6209</v>
      </c>
      <c r="D15" s="50" t="s">
        <v>6176</v>
      </c>
      <c r="E15" s="55" t="s">
        <v>6210</v>
      </c>
      <c r="F15" s="55" t="s">
        <v>6211</v>
      </c>
      <c r="G15" s="56">
        <v>12370</v>
      </c>
      <c r="H15" s="56">
        <v>6</v>
      </c>
      <c r="I15" s="63" t="s">
        <v>6212</v>
      </c>
    </row>
    <row r="16" ht="16.5" hidden="1" spans="1:9">
      <c r="A16" s="43">
        <v>14</v>
      </c>
      <c r="B16" s="53" t="s">
        <v>6213</v>
      </c>
      <c r="C16" s="54" t="s">
        <v>6214</v>
      </c>
      <c r="D16" s="50" t="s">
        <v>6176</v>
      </c>
      <c r="E16" s="55" t="s">
        <v>6215</v>
      </c>
      <c r="F16" s="55" t="s">
        <v>6216</v>
      </c>
      <c r="G16" s="56">
        <v>12370</v>
      </c>
      <c r="H16" s="56">
        <v>5</v>
      </c>
      <c r="I16" s="63" t="s">
        <v>6212</v>
      </c>
    </row>
    <row r="17" ht="16.5" hidden="1" spans="1:9">
      <c r="A17" s="43">
        <v>15</v>
      </c>
      <c r="B17" s="53" t="s">
        <v>6217</v>
      </c>
      <c r="C17" s="54" t="s">
        <v>6218</v>
      </c>
      <c r="D17" s="50" t="s">
        <v>6176</v>
      </c>
      <c r="E17" s="55" t="s">
        <v>6219</v>
      </c>
      <c r="F17" s="55" t="s">
        <v>6220</v>
      </c>
      <c r="G17" s="56">
        <v>13394</v>
      </c>
      <c r="H17" s="56">
        <v>3</v>
      </c>
      <c r="I17" s="63" t="s">
        <v>6161</v>
      </c>
    </row>
    <row r="18" ht="16.5" hidden="1" spans="1:9">
      <c r="A18" s="43">
        <v>16</v>
      </c>
      <c r="B18" s="53" t="s">
        <v>6221</v>
      </c>
      <c r="C18" s="54" t="s">
        <v>6222</v>
      </c>
      <c r="D18" s="50" t="s">
        <v>6176</v>
      </c>
      <c r="E18" s="55" t="s">
        <v>6223</v>
      </c>
      <c r="F18" s="55" t="s">
        <v>6224</v>
      </c>
      <c r="G18" s="56">
        <v>13394</v>
      </c>
      <c r="H18" s="56">
        <v>6</v>
      </c>
      <c r="I18" s="63" t="s">
        <v>6212</v>
      </c>
    </row>
    <row r="19" ht="16.5" hidden="1" spans="1:9">
      <c r="A19" s="43">
        <v>17</v>
      </c>
      <c r="B19" s="53" t="s">
        <v>6225</v>
      </c>
      <c r="C19" s="54" t="s">
        <v>6226</v>
      </c>
      <c r="D19" s="50" t="s">
        <v>6176</v>
      </c>
      <c r="E19" s="55" t="s">
        <v>6227</v>
      </c>
      <c r="F19" s="55" t="s">
        <v>6228</v>
      </c>
      <c r="G19" s="56">
        <v>13394</v>
      </c>
      <c r="H19" s="56">
        <v>5</v>
      </c>
      <c r="I19" s="63" t="s">
        <v>6212</v>
      </c>
    </row>
    <row r="20" ht="16.5" hidden="1" spans="1:9">
      <c r="A20" s="43">
        <v>18</v>
      </c>
      <c r="B20" s="57" t="s">
        <v>6229</v>
      </c>
      <c r="C20" s="58" t="s">
        <v>6230</v>
      </c>
      <c r="D20" s="59" t="s">
        <v>6176</v>
      </c>
      <c r="E20" s="60" t="s">
        <v>6231</v>
      </c>
      <c r="F20" s="61" t="s">
        <v>6232</v>
      </c>
      <c r="G20" s="59">
        <v>13906</v>
      </c>
      <c r="H20" s="59">
        <v>3</v>
      </c>
      <c r="I20" s="61" t="s">
        <v>6161</v>
      </c>
    </row>
    <row r="21" ht="16.5" hidden="1" spans="1:9">
      <c r="A21" s="43">
        <v>19</v>
      </c>
      <c r="B21" s="57" t="s">
        <v>6233</v>
      </c>
      <c r="C21" s="58" t="s">
        <v>6234</v>
      </c>
      <c r="D21" s="59" t="s">
        <v>6158</v>
      </c>
      <c r="E21" s="60" t="s">
        <v>6235</v>
      </c>
      <c r="F21" s="61" t="s">
        <v>6236</v>
      </c>
      <c r="G21" s="59">
        <v>13906</v>
      </c>
      <c r="H21" s="59">
        <v>6</v>
      </c>
      <c r="I21" s="61" t="s">
        <v>6161</v>
      </c>
    </row>
    <row r="22" ht="16.5" hidden="1" spans="1:9">
      <c r="A22" s="43">
        <v>20</v>
      </c>
      <c r="B22" s="57" t="s">
        <v>6237</v>
      </c>
      <c r="C22" s="58" t="s">
        <v>6238</v>
      </c>
      <c r="D22" s="59" t="s">
        <v>6176</v>
      </c>
      <c r="E22" s="60" t="s">
        <v>6239</v>
      </c>
      <c r="F22" s="61" t="s">
        <v>6240</v>
      </c>
      <c r="G22" s="59">
        <v>13906</v>
      </c>
      <c r="H22" s="59">
        <v>5</v>
      </c>
      <c r="I22" s="61" t="s">
        <v>6161</v>
      </c>
    </row>
    <row r="23" ht="16.5" hidden="1" spans="1:9">
      <c r="A23" s="43">
        <v>21</v>
      </c>
      <c r="B23" s="53" t="s">
        <v>6241</v>
      </c>
      <c r="C23" s="54" t="s">
        <v>6242</v>
      </c>
      <c r="D23" s="50" t="s">
        <v>6176</v>
      </c>
      <c r="E23" s="55" t="s">
        <v>6243</v>
      </c>
      <c r="F23" s="55" t="s">
        <v>6244</v>
      </c>
      <c r="G23" s="56">
        <v>14930</v>
      </c>
      <c r="H23" s="56">
        <v>4</v>
      </c>
      <c r="I23" s="63" t="s">
        <v>6212</v>
      </c>
    </row>
    <row r="24" ht="16.5" hidden="1" spans="1:9">
      <c r="A24" s="43">
        <v>22</v>
      </c>
      <c r="B24" s="53" t="s">
        <v>6245</v>
      </c>
      <c r="C24" s="54" t="s">
        <v>6246</v>
      </c>
      <c r="D24" s="50" t="s">
        <v>6176</v>
      </c>
      <c r="E24" s="55" t="s">
        <v>6243</v>
      </c>
      <c r="F24" s="55" t="s">
        <v>6247</v>
      </c>
      <c r="G24" s="56">
        <v>14930</v>
      </c>
      <c r="H24" s="56">
        <v>3</v>
      </c>
      <c r="I24" s="63" t="s">
        <v>6212</v>
      </c>
    </row>
    <row r="25" ht="16.5" hidden="1" spans="1:9">
      <c r="A25" s="43">
        <v>23</v>
      </c>
      <c r="B25" s="53" t="s">
        <v>6248</v>
      </c>
      <c r="C25" s="54" t="s">
        <v>6249</v>
      </c>
      <c r="D25" s="50" t="s">
        <v>6176</v>
      </c>
      <c r="E25" s="55" t="s">
        <v>6250</v>
      </c>
      <c r="F25" s="55" t="s">
        <v>6251</v>
      </c>
      <c r="G25" s="56">
        <v>19026</v>
      </c>
      <c r="H25" s="56">
        <v>1</v>
      </c>
      <c r="I25" s="63" t="s">
        <v>6212</v>
      </c>
    </row>
    <row r="26" ht="16.5" hidden="1" spans="1:9">
      <c r="A26" s="43">
        <v>24</v>
      </c>
      <c r="B26" s="53" t="s">
        <v>6252</v>
      </c>
      <c r="C26" s="54" t="s">
        <v>6253</v>
      </c>
      <c r="D26" s="50" t="s">
        <v>6176</v>
      </c>
      <c r="E26" s="55" t="s">
        <v>6254</v>
      </c>
      <c r="F26" s="55" t="s">
        <v>6255</v>
      </c>
      <c r="G26" s="56">
        <v>19282</v>
      </c>
      <c r="H26" s="56">
        <v>0</v>
      </c>
      <c r="I26" s="63" t="s">
        <v>6212</v>
      </c>
    </row>
    <row r="27" ht="16.5" hidden="1" spans="1:9">
      <c r="A27" s="43">
        <v>25</v>
      </c>
      <c r="B27" s="53" t="s">
        <v>6256</v>
      </c>
      <c r="C27" s="54" t="s">
        <v>6257</v>
      </c>
      <c r="D27" s="50" t="s">
        <v>6176</v>
      </c>
      <c r="E27" s="55" t="s">
        <v>6258</v>
      </c>
      <c r="F27" s="55" t="s">
        <v>6259</v>
      </c>
      <c r="G27" s="56">
        <v>19538</v>
      </c>
      <c r="H27" s="56">
        <v>10</v>
      </c>
      <c r="I27" s="63" t="s">
        <v>6212</v>
      </c>
    </row>
    <row r="28" ht="16.5" spans="1:9">
      <c r="A28" s="43">
        <v>26</v>
      </c>
      <c r="B28" s="53" t="s">
        <v>6260</v>
      </c>
      <c r="C28" s="54" t="s">
        <v>6261</v>
      </c>
      <c r="D28" s="50" t="s">
        <v>6176</v>
      </c>
      <c r="E28" s="55" t="s">
        <v>6262</v>
      </c>
      <c r="F28" s="55" t="s">
        <v>6263</v>
      </c>
      <c r="G28" s="56">
        <v>26450</v>
      </c>
      <c r="H28" s="56">
        <v>3</v>
      </c>
      <c r="I28" s="63" t="s">
        <v>6264</v>
      </c>
    </row>
    <row r="29" ht="16.5" hidden="1" spans="1:9">
      <c r="A29" s="43">
        <v>27</v>
      </c>
      <c r="B29" s="57" t="s">
        <v>6265</v>
      </c>
      <c r="C29" s="58" t="s">
        <v>6266</v>
      </c>
      <c r="D29" s="59" t="s">
        <v>6176</v>
      </c>
      <c r="E29" s="60" t="s">
        <v>6267</v>
      </c>
      <c r="F29" s="60" t="s">
        <v>6268</v>
      </c>
      <c r="G29" s="59">
        <v>14162</v>
      </c>
      <c r="H29" s="59">
        <v>3</v>
      </c>
      <c r="I29" s="61" t="s">
        <v>6161</v>
      </c>
    </row>
    <row r="30" ht="16.5" spans="1:9">
      <c r="A30" s="43">
        <v>28</v>
      </c>
      <c r="B30" s="53" t="s">
        <v>6269</v>
      </c>
      <c r="C30" s="54" t="s">
        <v>6270</v>
      </c>
      <c r="D30" s="50" t="s">
        <v>6176</v>
      </c>
      <c r="E30" s="55" t="s">
        <v>6271</v>
      </c>
      <c r="F30" s="55" t="s">
        <v>6272</v>
      </c>
      <c r="G30" s="56">
        <v>18770</v>
      </c>
      <c r="H30" s="56">
        <v>7</v>
      </c>
      <c r="I30" s="63" t="s">
        <v>6264</v>
      </c>
    </row>
    <row r="31" ht="16.5" spans="1:9">
      <c r="A31" s="43">
        <v>29</v>
      </c>
      <c r="B31" s="53" t="s">
        <v>6273</v>
      </c>
      <c r="C31" s="54" t="s">
        <v>6274</v>
      </c>
      <c r="D31" s="50" t="s">
        <v>6176</v>
      </c>
      <c r="E31" s="55" t="s">
        <v>6275</v>
      </c>
      <c r="F31" s="55" t="s">
        <v>6276</v>
      </c>
      <c r="G31" s="56">
        <v>22866</v>
      </c>
      <c r="H31" s="56">
        <v>7</v>
      </c>
      <c r="I31" s="63" t="s">
        <v>6264</v>
      </c>
    </row>
    <row r="32" ht="16.5" hidden="1" spans="1:9">
      <c r="A32" s="43">
        <v>30</v>
      </c>
      <c r="B32" s="53" t="s">
        <v>6277</v>
      </c>
      <c r="C32" s="54" t="s">
        <v>6278</v>
      </c>
      <c r="D32" s="50" t="s">
        <v>6176</v>
      </c>
      <c r="E32" s="55" t="s">
        <v>6279</v>
      </c>
      <c r="F32" s="55" t="s">
        <v>6280</v>
      </c>
      <c r="G32" s="56">
        <v>23122</v>
      </c>
      <c r="H32" s="56">
        <v>4</v>
      </c>
      <c r="I32" s="63" t="s">
        <v>6161</v>
      </c>
    </row>
    <row r="33" ht="16.5" hidden="1" spans="1:9">
      <c r="A33" s="43">
        <v>31</v>
      </c>
      <c r="B33" s="53" t="s">
        <v>6281</v>
      </c>
      <c r="C33" s="54" t="s">
        <v>6282</v>
      </c>
      <c r="D33" s="50" t="s">
        <v>6176</v>
      </c>
      <c r="E33" s="55" t="s">
        <v>6279</v>
      </c>
      <c r="F33" s="55" t="s">
        <v>6283</v>
      </c>
      <c r="G33" s="56">
        <v>23122</v>
      </c>
      <c r="H33" s="56">
        <v>3</v>
      </c>
      <c r="I33" s="63" t="s">
        <v>6161</v>
      </c>
    </row>
    <row r="34" ht="16.5" hidden="1" spans="1:9">
      <c r="A34" s="43">
        <v>32</v>
      </c>
      <c r="B34" s="53" t="s">
        <v>6284</v>
      </c>
      <c r="C34" s="54" t="s">
        <v>6285</v>
      </c>
      <c r="D34" s="49" t="s">
        <v>6172</v>
      </c>
      <c r="E34" s="55" t="s">
        <v>6286</v>
      </c>
      <c r="F34" s="55" t="s">
        <v>6287</v>
      </c>
      <c r="G34" s="56">
        <v>4187</v>
      </c>
      <c r="H34" s="56">
        <v>16</v>
      </c>
      <c r="I34" s="63" t="s">
        <v>6212</v>
      </c>
    </row>
    <row r="35" ht="16.5" hidden="1" spans="1:9">
      <c r="A35" s="43">
        <v>33</v>
      </c>
      <c r="B35" s="53" t="s">
        <v>6288</v>
      </c>
      <c r="C35" s="54" t="s">
        <v>6289</v>
      </c>
      <c r="D35" s="49" t="s">
        <v>6172</v>
      </c>
      <c r="E35" s="55" t="s">
        <v>6290</v>
      </c>
      <c r="F35" s="55" t="s">
        <v>6291</v>
      </c>
      <c r="G35" s="56">
        <v>135250</v>
      </c>
      <c r="H35" s="56">
        <v>2</v>
      </c>
      <c r="I35" s="63" t="s">
        <v>6212</v>
      </c>
    </row>
    <row r="36" ht="16.5" hidden="1" spans="1:9">
      <c r="A36" s="43">
        <v>34</v>
      </c>
      <c r="B36" s="53" t="s">
        <v>6292</v>
      </c>
      <c r="C36" s="54" t="s">
        <v>6293</v>
      </c>
      <c r="D36" s="46" t="s">
        <v>6158</v>
      </c>
      <c r="E36" s="55" t="s">
        <v>6294</v>
      </c>
      <c r="F36" s="55" t="s">
        <v>6295</v>
      </c>
      <c r="G36" s="56">
        <v>16722</v>
      </c>
      <c r="H36" s="56">
        <v>3</v>
      </c>
      <c r="I36" s="63" t="s">
        <v>6161</v>
      </c>
    </row>
    <row r="37" ht="16.5" hidden="1" spans="1:9">
      <c r="A37" s="43">
        <v>35</v>
      </c>
      <c r="B37" s="53" t="s">
        <v>6296</v>
      </c>
      <c r="C37" s="54" t="s">
        <v>6297</v>
      </c>
      <c r="D37" s="46" t="s">
        <v>6158</v>
      </c>
      <c r="E37" s="55" t="s">
        <v>6298</v>
      </c>
      <c r="F37" s="55" t="s">
        <v>6299</v>
      </c>
      <c r="G37" s="56">
        <v>16722</v>
      </c>
      <c r="H37" s="56">
        <v>6</v>
      </c>
      <c r="I37" s="63" t="s">
        <v>6161</v>
      </c>
    </row>
    <row r="38" ht="16.5" hidden="1" spans="1:9">
      <c r="A38" s="43">
        <v>36</v>
      </c>
      <c r="B38" s="53" t="s">
        <v>6300</v>
      </c>
      <c r="C38" s="54" t="s">
        <v>6301</v>
      </c>
      <c r="D38" s="46" t="s">
        <v>6158</v>
      </c>
      <c r="E38" s="55" t="s">
        <v>6302</v>
      </c>
      <c r="F38" s="55" t="s">
        <v>6303</v>
      </c>
      <c r="G38" s="56">
        <v>16722</v>
      </c>
      <c r="H38" s="56">
        <v>5</v>
      </c>
      <c r="I38" s="63" t="s">
        <v>6161</v>
      </c>
    </row>
    <row r="39" ht="16.5" hidden="1" spans="1:9">
      <c r="A39" s="43">
        <v>37</v>
      </c>
      <c r="B39" s="53" t="s">
        <v>6304</v>
      </c>
      <c r="C39" s="54" t="s">
        <v>6305</v>
      </c>
      <c r="D39" s="46" t="s">
        <v>6158</v>
      </c>
      <c r="E39" s="55" t="s">
        <v>6306</v>
      </c>
      <c r="F39" s="55" t="s">
        <v>6307</v>
      </c>
      <c r="G39" s="56">
        <v>16978</v>
      </c>
      <c r="H39" s="56">
        <v>3</v>
      </c>
      <c r="I39" s="63" t="s">
        <v>6161</v>
      </c>
    </row>
    <row r="40" ht="16.5" hidden="1" spans="1:9">
      <c r="A40" s="43">
        <v>38</v>
      </c>
      <c r="B40" s="53" t="s">
        <v>6308</v>
      </c>
      <c r="C40" s="54" t="s">
        <v>6309</v>
      </c>
      <c r="D40" s="46" t="s">
        <v>6158</v>
      </c>
      <c r="E40" s="55" t="s">
        <v>6310</v>
      </c>
      <c r="F40" s="55" t="s">
        <v>6311</v>
      </c>
      <c r="G40" s="56">
        <v>16978</v>
      </c>
      <c r="H40" s="56">
        <v>6</v>
      </c>
      <c r="I40" s="63" t="s">
        <v>6161</v>
      </c>
    </row>
    <row r="41" ht="16.5" hidden="1" spans="1:9">
      <c r="A41" s="43">
        <v>39</v>
      </c>
      <c r="B41" s="53" t="s">
        <v>6312</v>
      </c>
      <c r="C41" s="54" t="s">
        <v>6313</v>
      </c>
      <c r="D41" s="46" t="s">
        <v>6158</v>
      </c>
      <c r="E41" s="55" t="s">
        <v>6314</v>
      </c>
      <c r="F41" s="55" t="s">
        <v>6315</v>
      </c>
      <c r="G41" s="56">
        <v>16978</v>
      </c>
      <c r="H41" s="56">
        <v>5</v>
      </c>
      <c r="I41" s="63" t="s">
        <v>6161</v>
      </c>
    </row>
    <row r="42" ht="16.5" hidden="1" spans="1:9">
      <c r="A42" s="43">
        <v>40</v>
      </c>
      <c r="B42" s="53" t="s">
        <v>6316</v>
      </c>
      <c r="C42" s="54" t="s">
        <v>6317</v>
      </c>
      <c r="D42" s="50" t="s">
        <v>6176</v>
      </c>
      <c r="E42" s="55" t="s">
        <v>6318</v>
      </c>
      <c r="F42" s="55" t="s">
        <v>6319</v>
      </c>
      <c r="G42" s="56">
        <v>17234</v>
      </c>
      <c r="H42" s="56">
        <v>3</v>
      </c>
      <c r="I42" s="63" t="s">
        <v>6212</v>
      </c>
    </row>
    <row r="43" ht="16.5" hidden="1" spans="1:9">
      <c r="A43" s="43">
        <v>41</v>
      </c>
      <c r="B43" s="53" t="s">
        <v>6320</v>
      </c>
      <c r="C43" s="54" t="s">
        <v>6321</v>
      </c>
      <c r="D43" s="50" t="s">
        <v>6176</v>
      </c>
      <c r="E43" s="55" t="s">
        <v>6322</v>
      </c>
      <c r="F43" s="55" t="s">
        <v>6323</v>
      </c>
      <c r="G43" s="56">
        <v>17234</v>
      </c>
      <c r="H43" s="56">
        <v>6</v>
      </c>
      <c r="I43" s="63" t="s">
        <v>6212</v>
      </c>
    </row>
    <row r="44" ht="16.5" hidden="1" spans="1:9">
      <c r="A44" s="43">
        <v>42</v>
      </c>
      <c r="B44" s="53" t="s">
        <v>6324</v>
      </c>
      <c r="C44" s="54" t="s">
        <v>6325</v>
      </c>
      <c r="D44" s="50" t="s">
        <v>6176</v>
      </c>
      <c r="E44" s="55" t="s">
        <v>6326</v>
      </c>
      <c r="F44" s="55" t="s">
        <v>6327</v>
      </c>
      <c r="G44" s="56">
        <v>17234</v>
      </c>
      <c r="H44" s="56">
        <v>5</v>
      </c>
      <c r="I44" s="63" t="s">
        <v>6212</v>
      </c>
    </row>
    <row r="45" ht="16.5" hidden="1" spans="1:9">
      <c r="A45" s="43">
        <v>43</v>
      </c>
      <c r="B45" s="53" t="s">
        <v>6328</v>
      </c>
      <c r="C45" s="54" t="s">
        <v>6329</v>
      </c>
      <c r="D45" s="46" t="s">
        <v>6158</v>
      </c>
      <c r="E45" s="55" t="s">
        <v>6328</v>
      </c>
      <c r="F45" s="55" t="s">
        <v>6330</v>
      </c>
      <c r="G45" s="56">
        <v>21330</v>
      </c>
      <c r="H45" s="56">
        <v>25</v>
      </c>
      <c r="I45" s="63" t="s">
        <v>6161</v>
      </c>
    </row>
    <row r="46" ht="16.5" hidden="1" spans="1:9">
      <c r="A46" s="43">
        <v>44</v>
      </c>
      <c r="B46" s="53" t="s">
        <v>6331</v>
      </c>
      <c r="C46" s="54" t="s">
        <v>6332</v>
      </c>
      <c r="D46" s="46" t="s">
        <v>6158</v>
      </c>
      <c r="E46" s="55" t="s">
        <v>6331</v>
      </c>
      <c r="F46" s="55" t="s">
        <v>6333</v>
      </c>
      <c r="G46" s="56">
        <v>21330</v>
      </c>
      <c r="H46" s="56">
        <v>24</v>
      </c>
      <c r="I46" s="63" t="s">
        <v>6161</v>
      </c>
    </row>
    <row r="47" ht="16.5" hidden="1" spans="1:9">
      <c r="A47" s="43">
        <v>45</v>
      </c>
      <c r="B47" s="53" t="s">
        <v>6334</v>
      </c>
      <c r="C47" s="54" t="s">
        <v>6335</v>
      </c>
      <c r="D47" s="50" t="s">
        <v>6176</v>
      </c>
      <c r="E47" s="55" t="s">
        <v>6334</v>
      </c>
      <c r="F47" s="55" t="s">
        <v>6336</v>
      </c>
      <c r="G47" s="56">
        <v>17794</v>
      </c>
      <c r="H47" s="56">
        <v>3</v>
      </c>
      <c r="I47" s="63" t="s">
        <v>6161</v>
      </c>
    </row>
    <row r="48" ht="16.5" hidden="1" spans="1:9">
      <c r="A48" s="43">
        <v>46</v>
      </c>
      <c r="B48" s="53" t="s">
        <v>6337</v>
      </c>
      <c r="C48" s="54" t="s">
        <v>6338</v>
      </c>
      <c r="D48" s="50" t="s">
        <v>6176</v>
      </c>
      <c r="E48" s="55" t="s">
        <v>6337</v>
      </c>
      <c r="F48" s="55" t="s">
        <v>6339</v>
      </c>
      <c r="G48" s="56">
        <v>17794</v>
      </c>
      <c r="H48" s="56">
        <v>6</v>
      </c>
      <c r="I48" s="63" t="s">
        <v>6161</v>
      </c>
    </row>
    <row r="49" ht="16.5" hidden="1" spans="1:9">
      <c r="A49" s="43">
        <v>47</v>
      </c>
      <c r="B49" s="53" t="s">
        <v>6340</v>
      </c>
      <c r="C49" s="54" t="s">
        <v>6341</v>
      </c>
      <c r="D49" s="50" t="s">
        <v>6176</v>
      </c>
      <c r="E49" s="55" t="s">
        <v>6340</v>
      </c>
      <c r="F49" s="55" t="s">
        <v>6342</v>
      </c>
      <c r="G49" s="56">
        <v>17794</v>
      </c>
      <c r="H49" s="56">
        <v>5</v>
      </c>
      <c r="I49" s="63" t="s">
        <v>6161</v>
      </c>
    </row>
    <row r="50" ht="16.5" hidden="1" spans="1:9">
      <c r="A50" s="43">
        <v>48</v>
      </c>
      <c r="B50" s="53" t="s">
        <v>6343</v>
      </c>
      <c r="C50" s="54" t="s">
        <v>6344</v>
      </c>
      <c r="D50" s="50" t="s">
        <v>6176</v>
      </c>
      <c r="E50" s="55" t="s">
        <v>6343</v>
      </c>
      <c r="F50" s="55" t="s">
        <v>6345</v>
      </c>
      <c r="G50" s="56">
        <v>18050</v>
      </c>
      <c r="H50" s="56">
        <v>3</v>
      </c>
      <c r="I50" s="63" t="s">
        <v>6161</v>
      </c>
    </row>
    <row r="51" ht="16.5" hidden="1" spans="1:9">
      <c r="A51" s="43">
        <v>49</v>
      </c>
      <c r="B51" s="53" t="s">
        <v>6346</v>
      </c>
      <c r="C51" s="54" t="s">
        <v>6347</v>
      </c>
      <c r="D51" s="50" t="s">
        <v>6176</v>
      </c>
      <c r="E51" s="55" t="s">
        <v>6346</v>
      </c>
      <c r="F51" s="55" t="s">
        <v>6348</v>
      </c>
      <c r="G51" s="56">
        <v>18050</v>
      </c>
      <c r="H51" s="56">
        <v>6</v>
      </c>
      <c r="I51" s="63" t="s">
        <v>6161</v>
      </c>
    </row>
    <row r="52" ht="16.5" hidden="1" spans="1:9">
      <c r="A52" s="43">
        <v>50</v>
      </c>
      <c r="B52" s="53" t="s">
        <v>6349</v>
      </c>
      <c r="C52" s="54" t="s">
        <v>6350</v>
      </c>
      <c r="D52" s="50" t="s">
        <v>6176</v>
      </c>
      <c r="E52" s="55" t="s">
        <v>6349</v>
      </c>
      <c r="F52" s="55" t="s">
        <v>6351</v>
      </c>
      <c r="G52" s="56">
        <v>18050</v>
      </c>
      <c r="H52" s="56">
        <v>5</v>
      </c>
      <c r="I52" s="63" t="s">
        <v>6161</v>
      </c>
    </row>
    <row r="53" ht="16.5" hidden="1" spans="1:9">
      <c r="A53" s="43">
        <v>51</v>
      </c>
      <c r="B53" s="53" t="s">
        <v>6352</v>
      </c>
      <c r="C53" s="54" t="s">
        <v>6353</v>
      </c>
      <c r="D53" s="50" t="s">
        <v>6176</v>
      </c>
      <c r="E53" s="55" t="s">
        <v>6352</v>
      </c>
      <c r="F53" s="55" t="s">
        <v>6354</v>
      </c>
      <c r="G53" s="56">
        <v>18050</v>
      </c>
      <c r="H53" s="56">
        <v>0</v>
      </c>
      <c r="I53" s="63" t="s">
        <v>6355</v>
      </c>
    </row>
    <row r="54" ht="16.5" hidden="1" spans="1:9">
      <c r="A54" s="43">
        <v>52</v>
      </c>
      <c r="B54" s="53" t="s">
        <v>6356</v>
      </c>
      <c r="C54" s="54" t="s">
        <v>6357</v>
      </c>
      <c r="D54" s="50" t="s">
        <v>6176</v>
      </c>
      <c r="E54" s="55" t="s">
        <v>6356</v>
      </c>
      <c r="F54" s="55" t="s">
        <v>6358</v>
      </c>
      <c r="G54" s="56">
        <v>18050</v>
      </c>
      <c r="H54" s="56">
        <v>10</v>
      </c>
      <c r="I54" s="63" t="s">
        <v>6212</v>
      </c>
    </row>
    <row r="55" ht="16.5" hidden="1" spans="1:9">
      <c r="A55" s="43">
        <v>53</v>
      </c>
      <c r="B55" s="53" t="s">
        <v>6359</v>
      </c>
      <c r="C55" s="54" t="s">
        <v>6360</v>
      </c>
      <c r="D55" s="50" t="s">
        <v>6176</v>
      </c>
      <c r="E55" s="55" t="s">
        <v>6359</v>
      </c>
      <c r="F55" s="55" t="s">
        <v>6361</v>
      </c>
      <c r="G55" s="56">
        <v>18050</v>
      </c>
      <c r="H55" s="56">
        <v>2</v>
      </c>
      <c r="I55" s="63" t="s">
        <v>6161</v>
      </c>
    </row>
    <row r="56" ht="16.5" hidden="1" spans="1:9">
      <c r="A56" s="43">
        <v>54</v>
      </c>
      <c r="B56" s="53" t="s">
        <v>6362</v>
      </c>
      <c r="C56" s="54" t="s">
        <v>6363</v>
      </c>
      <c r="D56" s="50" t="s">
        <v>6176</v>
      </c>
      <c r="E56" s="55" t="s">
        <v>6362</v>
      </c>
      <c r="F56" s="55" t="s">
        <v>6364</v>
      </c>
      <c r="G56" s="56">
        <v>18306</v>
      </c>
      <c r="H56" s="56">
        <v>5</v>
      </c>
      <c r="I56" s="63" t="s">
        <v>6161</v>
      </c>
    </row>
    <row r="57" ht="16.5" hidden="1" spans="1:9">
      <c r="A57" s="43">
        <v>55</v>
      </c>
      <c r="B57" s="53" t="s">
        <v>6365</v>
      </c>
      <c r="C57" s="54" t="s">
        <v>6366</v>
      </c>
      <c r="D57" s="50" t="s">
        <v>6176</v>
      </c>
      <c r="E57" s="55" t="s">
        <v>6365</v>
      </c>
      <c r="F57" s="55" t="s">
        <v>6367</v>
      </c>
      <c r="G57" s="56">
        <v>18114</v>
      </c>
      <c r="H57" s="56">
        <v>19</v>
      </c>
      <c r="I57" s="63" t="s">
        <v>6161</v>
      </c>
    </row>
    <row r="58" ht="16.5" hidden="1" spans="1:9">
      <c r="A58" s="43">
        <v>56</v>
      </c>
      <c r="B58" s="53" t="s">
        <v>6368</v>
      </c>
      <c r="C58" s="54" t="s">
        <v>6369</v>
      </c>
      <c r="D58" s="50" t="s">
        <v>6176</v>
      </c>
      <c r="E58" s="55" t="s">
        <v>6368</v>
      </c>
      <c r="F58" s="55" t="s">
        <v>6370</v>
      </c>
      <c r="G58" s="56">
        <v>22465</v>
      </c>
      <c r="H58" s="56">
        <v>19</v>
      </c>
      <c r="I58" s="63" t="s">
        <v>6161</v>
      </c>
    </row>
    <row r="59" ht="16.5" hidden="1" spans="1:9">
      <c r="A59" s="43">
        <v>57</v>
      </c>
      <c r="B59" s="53" t="s">
        <v>6371</v>
      </c>
      <c r="C59" s="54" t="s">
        <v>6372</v>
      </c>
      <c r="D59" s="50" t="s">
        <v>6176</v>
      </c>
      <c r="E59" s="55" t="s">
        <v>6371</v>
      </c>
      <c r="F59" s="55" t="s">
        <v>6373</v>
      </c>
      <c r="G59" s="56">
        <v>12995</v>
      </c>
      <c r="H59" s="56">
        <v>9</v>
      </c>
      <c r="I59" s="63" t="s">
        <v>6212</v>
      </c>
    </row>
    <row r="60" ht="16.5" hidden="1" spans="1:9">
      <c r="A60" s="43">
        <v>58</v>
      </c>
      <c r="B60" s="53" t="s">
        <v>6374</v>
      </c>
      <c r="C60" s="54" t="s">
        <v>6375</v>
      </c>
      <c r="D60" s="50" t="s">
        <v>6176</v>
      </c>
      <c r="E60" s="55" t="s">
        <v>6374</v>
      </c>
      <c r="F60" s="55" t="s">
        <v>6376</v>
      </c>
      <c r="G60" s="56">
        <v>13251</v>
      </c>
      <c r="H60" s="56">
        <v>9</v>
      </c>
      <c r="I60" s="63" t="s">
        <v>6212</v>
      </c>
    </row>
    <row r="61" ht="16.5" hidden="1" spans="1:9">
      <c r="A61" s="43">
        <v>59</v>
      </c>
      <c r="B61" s="53" t="s">
        <v>6377</v>
      </c>
      <c r="C61" s="54" t="s">
        <v>6378</v>
      </c>
      <c r="D61" s="50" t="s">
        <v>6176</v>
      </c>
      <c r="E61" s="55" t="s">
        <v>6377</v>
      </c>
      <c r="F61" s="55" t="s">
        <v>6379</v>
      </c>
      <c r="G61" s="56">
        <v>13507</v>
      </c>
      <c r="H61" s="56">
        <v>9</v>
      </c>
      <c r="I61" s="63" t="s">
        <v>6212</v>
      </c>
    </row>
    <row r="62" ht="16.5" hidden="1" spans="1:9">
      <c r="A62" s="43">
        <v>60</v>
      </c>
      <c r="B62" s="53" t="s">
        <v>6380</v>
      </c>
      <c r="C62" s="54" t="s">
        <v>6381</v>
      </c>
      <c r="D62" s="50" t="s">
        <v>6176</v>
      </c>
      <c r="E62" s="55" t="s">
        <v>6380</v>
      </c>
      <c r="F62" s="55" t="s">
        <v>6382</v>
      </c>
      <c r="G62" s="56">
        <v>13763</v>
      </c>
      <c r="H62" s="56">
        <v>9</v>
      </c>
      <c r="I62" s="63" t="s">
        <v>6212</v>
      </c>
    </row>
    <row r="63" ht="16.5" hidden="1" spans="1:9">
      <c r="A63" s="43">
        <v>61</v>
      </c>
      <c r="B63" s="53" t="s">
        <v>6383</v>
      </c>
      <c r="C63" s="54" t="s">
        <v>6384</v>
      </c>
      <c r="D63" s="50" t="s">
        <v>6176</v>
      </c>
      <c r="E63" s="55" t="s">
        <v>6383</v>
      </c>
      <c r="F63" s="55" t="s">
        <v>6385</v>
      </c>
      <c r="G63" s="56">
        <v>14019</v>
      </c>
      <c r="H63" s="56">
        <v>9</v>
      </c>
      <c r="I63" s="63" t="s">
        <v>6212</v>
      </c>
    </row>
    <row r="64" ht="16.5" hidden="1" spans="1:9">
      <c r="A64" s="43">
        <v>62</v>
      </c>
      <c r="B64" s="53" t="s">
        <v>6386</v>
      </c>
      <c r="C64" s="54" t="s">
        <v>6387</v>
      </c>
      <c r="D64" s="50" t="s">
        <v>6176</v>
      </c>
      <c r="E64" s="55" t="s">
        <v>6386</v>
      </c>
      <c r="F64" s="55" t="s">
        <v>6388</v>
      </c>
      <c r="G64" s="56">
        <v>14275</v>
      </c>
      <c r="H64" s="56">
        <v>9</v>
      </c>
      <c r="I64" s="63" t="s">
        <v>6212</v>
      </c>
    </row>
    <row r="65" ht="16.5" hidden="1" spans="1:9">
      <c r="A65" s="43">
        <v>63</v>
      </c>
      <c r="B65" s="53" t="s">
        <v>6389</v>
      </c>
      <c r="C65" s="54" t="s">
        <v>6390</v>
      </c>
      <c r="D65" s="50" t="s">
        <v>6176</v>
      </c>
      <c r="E65" s="55" t="s">
        <v>6389</v>
      </c>
      <c r="F65" s="55" t="s">
        <v>6391</v>
      </c>
      <c r="G65" s="56">
        <v>14531</v>
      </c>
      <c r="H65" s="56">
        <v>9</v>
      </c>
      <c r="I65" s="63" t="s">
        <v>6161</v>
      </c>
    </row>
    <row r="66" ht="16.5" hidden="1" spans="1:9">
      <c r="A66" s="43">
        <v>64</v>
      </c>
      <c r="B66" s="53" t="s">
        <v>6392</v>
      </c>
      <c r="C66" s="54" t="s">
        <v>6393</v>
      </c>
      <c r="D66" s="50" t="s">
        <v>6176</v>
      </c>
      <c r="E66" s="55" t="s">
        <v>6392</v>
      </c>
      <c r="F66" s="55" t="s">
        <v>6394</v>
      </c>
      <c r="G66" s="56">
        <v>14787</v>
      </c>
      <c r="H66" s="56">
        <v>9</v>
      </c>
      <c r="I66" s="63" t="s">
        <v>6161</v>
      </c>
    </row>
    <row r="67" ht="16.5" hidden="1" spans="1:9">
      <c r="A67" s="43">
        <v>65</v>
      </c>
      <c r="B67" s="53" t="s">
        <v>6395</v>
      </c>
      <c r="C67" s="54" t="s">
        <v>6396</v>
      </c>
      <c r="D67" s="50" t="s">
        <v>6176</v>
      </c>
      <c r="E67" s="55" t="s">
        <v>6395</v>
      </c>
      <c r="F67" s="55" t="s">
        <v>6397</v>
      </c>
      <c r="G67" s="56">
        <v>12739</v>
      </c>
      <c r="H67" s="56">
        <v>9</v>
      </c>
      <c r="I67" s="63" t="s">
        <v>6212</v>
      </c>
    </row>
    <row r="68" ht="16.5" hidden="1" spans="1:9">
      <c r="A68" s="43">
        <v>66</v>
      </c>
      <c r="B68" s="53" t="s">
        <v>6398</v>
      </c>
      <c r="C68" s="54" t="s">
        <v>6399</v>
      </c>
      <c r="D68" s="50" t="s">
        <v>6176</v>
      </c>
      <c r="E68" s="55" t="s">
        <v>6400</v>
      </c>
      <c r="F68" s="55" t="s">
        <v>6401</v>
      </c>
      <c r="G68" s="56">
        <v>15043</v>
      </c>
      <c r="H68" s="56">
        <v>9</v>
      </c>
      <c r="I68" s="63" t="s">
        <v>6212</v>
      </c>
    </row>
    <row r="69" ht="16.5" hidden="1" spans="1:9">
      <c r="A69" s="43">
        <v>67</v>
      </c>
      <c r="B69" s="53" t="s">
        <v>6402</v>
      </c>
      <c r="C69" s="54" t="s">
        <v>6403</v>
      </c>
      <c r="D69" s="50" t="s">
        <v>6176</v>
      </c>
      <c r="E69" s="55" t="s">
        <v>6404</v>
      </c>
      <c r="F69" s="55" t="s">
        <v>6405</v>
      </c>
      <c r="G69" s="56">
        <v>15299</v>
      </c>
      <c r="H69" s="56">
        <v>9</v>
      </c>
      <c r="I69" s="63" t="s">
        <v>6212</v>
      </c>
    </row>
    <row r="70" ht="16.5" hidden="1" spans="1:9">
      <c r="A70" s="43">
        <v>68</v>
      </c>
      <c r="B70" s="53" t="s">
        <v>6406</v>
      </c>
      <c r="C70" s="54" t="s">
        <v>6407</v>
      </c>
      <c r="D70" s="50" t="s">
        <v>6176</v>
      </c>
      <c r="E70" s="55" t="s">
        <v>6408</v>
      </c>
      <c r="F70" s="55" t="s">
        <v>6409</v>
      </c>
      <c r="G70" s="56">
        <v>15555</v>
      </c>
      <c r="H70" s="56">
        <v>9</v>
      </c>
      <c r="I70" s="63" t="s">
        <v>6212</v>
      </c>
    </row>
    <row r="71" ht="16.5" hidden="1" spans="1:9">
      <c r="A71" s="43">
        <v>69</v>
      </c>
      <c r="B71" s="53" t="s">
        <v>6410</v>
      </c>
      <c r="C71" s="54" t="s">
        <v>6411</v>
      </c>
      <c r="D71" s="50" t="s">
        <v>6176</v>
      </c>
      <c r="E71" s="55" t="s">
        <v>6410</v>
      </c>
      <c r="F71" s="55" t="s">
        <v>6412</v>
      </c>
      <c r="G71" s="56">
        <v>12993</v>
      </c>
      <c r="H71" s="56">
        <v>2</v>
      </c>
      <c r="I71" s="63" t="s">
        <v>6212</v>
      </c>
    </row>
    <row r="72" ht="16.5" hidden="1" spans="1:9">
      <c r="A72" s="43">
        <v>70</v>
      </c>
      <c r="B72" s="53" t="s">
        <v>6413</v>
      </c>
      <c r="C72" s="54" t="s">
        <v>6414</v>
      </c>
      <c r="D72" s="50" t="s">
        <v>6176</v>
      </c>
      <c r="E72" s="55" t="s">
        <v>6413</v>
      </c>
      <c r="F72" s="55" t="s">
        <v>6415</v>
      </c>
      <c r="G72" s="56">
        <v>13249</v>
      </c>
      <c r="H72" s="56">
        <v>2</v>
      </c>
      <c r="I72" s="63" t="s">
        <v>6212</v>
      </c>
    </row>
    <row r="73" ht="16.5" hidden="1" spans="1:9">
      <c r="A73" s="43">
        <v>71</v>
      </c>
      <c r="B73" s="53" t="s">
        <v>6416</v>
      </c>
      <c r="C73" s="54" t="s">
        <v>6417</v>
      </c>
      <c r="D73" s="50" t="s">
        <v>6176</v>
      </c>
      <c r="E73" s="55" t="s">
        <v>6416</v>
      </c>
      <c r="F73" s="55" t="s">
        <v>6418</v>
      </c>
      <c r="G73" s="56">
        <v>13505</v>
      </c>
      <c r="H73" s="56">
        <v>2</v>
      </c>
      <c r="I73" s="63" t="s">
        <v>6212</v>
      </c>
    </row>
    <row r="74" ht="16.5" hidden="1" spans="1:9">
      <c r="A74" s="43">
        <v>72</v>
      </c>
      <c r="B74" s="53" t="s">
        <v>6419</v>
      </c>
      <c r="C74" s="54" t="s">
        <v>6420</v>
      </c>
      <c r="D74" s="50" t="s">
        <v>6176</v>
      </c>
      <c r="E74" s="55" t="s">
        <v>6419</v>
      </c>
      <c r="F74" s="55" t="s">
        <v>6421</v>
      </c>
      <c r="G74" s="56">
        <v>13761</v>
      </c>
      <c r="H74" s="56">
        <v>2</v>
      </c>
      <c r="I74" s="63" t="s">
        <v>6212</v>
      </c>
    </row>
    <row r="75" ht="16.5" hidden="1" spans="1:9">
      <c r="A75" s="43">
        <v>73</v>
      </c>
      <c r="B75" s="53" t="s">
        <v>6422</v>
      </c>
      <c r="C75" s="54" t="s">
        <v>6423</v>
      </c>
      <c r="D75" s="50" t="s">
        <v>6176</v>
      </c>
      <c r="E75" s="55" t="s">
        <v>6422</v>
      </c>
      <c r="F75" s="55" t="s">
        <v>6424</v>
      </c>
      <c r="G75" s="56">
        <v>14017</v>
      </c>
      <c r="H75" s="56">
        <v>2</v>
      </c>
      <c r="I75" s="63" t="s">
        <v>6212</v>
      </c>
    </row>
    <row r="76" ht="16.5" hidden="1" spans="1:9">
      <c r="A76" s="43">
        <v>74</v>
      </c>
      <c r="B76" s="53" t="s">
        <v>6425</v>
      </c>
      <c r="C76" s="54" t="s">
        <v>6426</v>
      </c>
      <c r="D76" s="50" t="s">
        <v>6176</v>
      </c>
      <c r="E76" s="55" t="s">
        <v>6425</v>
      </c>
      <c r="F76" s="55" t="s">
        <v>6427</v>
      </c>
      <c r="G76" s="56">
        <v>14273</v>
      </c>
      <c r="H76" s="56">
        <v>2</v>
      </c>
      <c r="I76" s="63" t="s">
        <v>6212</v>
      </c>
    </row>
    <row r="77" ht="16.5" hidden="1" spans="1:9">
      <c r="A77" s="43">
        <v>75</v>
      </c>
      <c r="B77" s="53" t="s">
        <v>952</v>
      </c>
      <c r="C77" s="54" t="s">
        <v>6428</v>
      </c>
      <c r="D77" s="50" t="s">
        <v>6176</v>
      </c>
      <c r="E77" s="55" t="s">
        <v>952</v>
      </c>
      <c r="F77" s="55" t="s">
        <v>6429</v>
      </c>
      <c r="G77" s="56">
        <v>14529</v>
      </c>
      <c r="H77" s="56">
        <v>2</v>
      </c>
      <c r="I77" s="63" t="s">
        <v>6161</v>
      </c>
    </row>
    <row r="78" ht="16.5" hidden="1" spans="1:9">
      <c r="A78" s="43">
        <v>76</v>
      </c>
      <c r="B78" s="53" t="s">
        <v>6430</v>
      </c>
      <c r="C78" s="54" t="s">
        <v>6431</v>
      </c>
      <c r="D78" s="50" t="s">
        <v>6176</v>
      </c>
      <c r="E78" s="55" t="s">
        <v>6430</v>
      </c>
      <c r="F78" s="55" t="s">
        <v>6432</v>
      </c>
      <c r="G78" s="56">
        <v>14785</v>
      </c>
      <c r="H78" s="56">
        <v>2</v>
      </c>
      <c r="I78" s="63" t="s">
        <v>6161</v>
      </c>
    </row>
    <row r="79" ht="16.5" hidden="1" spans="1:9">
      <c r="A79" s="43">
        <v>77</v>
      </c>
      <c r="B79" s="53" t="s">
        <v>6433</v>
      </c>
      <c r="C79" s="54" t="s">
        <v>6434</v>
      </c>
      <c r="D79" s="50" t="s">
        <v>6176</v>
      </c>
      <c r="E79" s="55" t="s">
        <v>6433</v>
      </c>
      <c r="F79" s="55" t="s">
        <v>6435</v>
      </c>
      <c r="G79" s="56">
        <v>14737</v>
      </c>
      <c r="H79" s="56">
        <v>2</v>
      </c>
      <c r="I79" s="63" t="s">
        <v>6212</v>
      </c>
    </row>
    <row r="80" ht="16.5" hidden="1" spans="1:9">
      <c r="A80" s="43">
        <v>78</v>
      </c>
      <c r="B80" s="53" t="s">
        <v>6436</v>
      </c>
      <c r="C80" s="54" t="s">
        <v>6437</v>
      </c>
      <c r="D80" s="50" t="s">
        <v>6176</v>
      </c>
      <c r="E80" s="55" t="s">
        <v>6438</v>
      </c>
      <c r="F80" s="55" t="s">
        <v>6439</v>
      </c>
      <c r="G80" s="56">
        <v>15041</v>
      </c>
      <c r="H80" s="56">
        <v>2</v>
      </c>
      <c r="I80" s="63" t="s">
        <v>6212</v>
      </c>
    </row>
    <row r="81" ht="16.5" hidden="1" spans="1:9">
      <c r="A81" s="43">
        <v>79</v>
      </c>
      <c r="B81" s="53" t="s">
        <v>6440</v>
      </c>
      <c r="C81" s="54" t="s">
        <v>6441</v>
      </c>
      <c r="D81" s="50" t="s">
        <v>6176</v>
      </c>
      <c r="E81" s="55" t="s">
        <v>6442</v>
      </c>
      <c r="F81" s="55" t="s">
        <v>6443</v>
      </c>
      <c r="G81" s="56">
        <v>15297</v>
      </c>
      <c r="H81" s="56">
        <v>2</v>
      </c>
      <c r="I81" s="63" t="s">
        <v>6212</v>
      </c>
    </row>
    <row r="82" ht="16.5" hidden="1" spans="1:9">
      <c r="A82" s="43">
        <v>80</v>
      </c>
      <c r="B82" s="53" t="s">
        <v>6444</v>
      </c>
      <c r="C82" s="54" t="s">
        <v>6445</v>
      </c>
      <c r="D82" s="50" t="s">
        <v>6176</v>
      </c>
      <c r="E82" s="55" t="s">
        <v>6446</v>
      </c>
      <c r="F82" s="55" t="s">
        <v>6447</v>
      </c>
      <c r="G82" s="56">
        <v>15553</v>
      </c>
      <c r="H82" s="56">
        <v>2</v>
      </c>
      <c r="I82" s="63" t="s">
        <v>6212</v>
      </c>
    </row>
    <row r="83" ht="16.5" hidden="1" spans="1:9">
      <c r="A83" s="43">
        <v>81</v>
      </c>
      <c r="B83" s="53" t="s">
        <v>6448</v>
      </c>
      <c r="C83" s="54" t="s">
        <v>6449</v>
      </c>
      <c r="D83" s="50" t="s">
        <v>6176</v>
      </c>
      <c r="E83" s="55" t="s">
        <v>6450</v>
      </c>
      <c r="F83" s="55" t="s">
        <v>6451</v>
      </c>
      <c r="G83" s="56">
        <v>8899</v>
      </c>
      <c r="H83" s="56">
        <v>10</v>
      </c>
      <c r="I83" s="63" t="s">
        <v>6161</v>
      </c>
    </row>
    <row r="84" ht="16.5" hidden="1" spans="1:9">
      <c r="A84" s="43">
        <v>82</v>
      </c>
      <c r="B84" s="53" t="s">
        <v>6452</v>
      </c>
      <c r="C84" s="54" t="s">
        <v>6453</v>
      </c>
      <c r="D84" s="50" t="s">
        <v>6176</v>
      </c>
      <c r="E84" s="55" t="s">
        <v>6452</v>
      </c>
      <c r="F84" s="55" t="s">
        <v>6454</v>
      </c>
      <c r="G84" s="56">
        <v>8899</v>
      </c>
      <c r="H84" s="56">
        <v>26</v>
      </c>
      <c r="I84" s="63" t="s">
        <v>6161</v>
      </c>
    </row>
    <row r="85" ht="16.5" spans="1:9">
      <c r="A85" s="43">
        <v>83</v>
      </c>
      <c r="B85" s="53" t="s">
        <v>6455</v>
      </c>
      <c r="C85" s="54" t="s">
        <v>6456</v>
      </c>
      <c r="D85" s="50" t="s">
        <v>6176</v>
      </c>
      <c r="E85" s="55" t="s">
        <v>6457</v>
      </c>
      <c r="F85" s="55" t="s">
        <v>6458</v>
      </c>
      <c r="G85" s="56">
        <v>19027</v>
      </c>
      <c r="H85" s="56">
        <v>1</v>
      </c>
      <c r="I85" s="63" t="s">
        <v>6264</v>
      </c>
    </row>
    <row r="86" ht="16.5" spans="1:9">
      <c r="A86" s="43">
        <v>84</v>
      </c>
      <c r="B86" s="53" t="s">
        <v>6459</v>
      </c>
      <c r="C86" s="54" t="s">
        <v>6460</v>
      </c>
      <c r="D86" s="50" t="s">
        <v>6176</v>
      </c>
      <c r="E86" s="55" t="s">
        <v>6461</v>
      </c>
      <c r="F86" s="55" t="s">
        <v>6462</v>
      </c>
      <c r="G86" s="56">
        <v>19283</v>
      </c>
      <c r="H86" s="56">
        <v>0</v>
      </c>
      <c r="I86" s="63" t="s">
        <v>6264</v>
      </c>
    </row>
    <row r="87" ht="16.5" hidden="1" spans="1:9">
      <c r="A87" s="43">
        <v>85</v>
      </c>
      <c r="B87" s="53" t="s">
        <v>6463</v>
      </c>
      <c r="C87" s="54" t="s">
        <v>6464</v>
      </c>
      <c r="D87" s="50" t="s">
        <v>6176</v>
      </c>
      <c r="E87" s="55" t="s">
        <v>6465</v>
      </c>
      <c r="F87" s="55" t="s">
        <v>6466</v>
      </c>
      <c r="G87" s="56">
        <v>19539</v>
      </c>
      <c r="H87" s="56">
        <v>10</v>
      </c>
      <c r="I87" s="63" t="s">
        <v>6161</v>
      </c>
    </row>
    <row r="88" ht="16.5" hidden="1" spans="1:9">
      <c r="A88" s="43">
        <v>86</v>
      </c>
      <c r="B88" s="53" t="s">
        <v>6467</v>
      </c>
      <c r="C88" s="54" t="s">
        <v>6468</v>
      </c>
      <c r="D88" s="49" t="s">
        <v>6172</v>
      </c>
      <c r="E88" s="55" t="s">
        <v>6467</v>
      </c>
      <c r="F88" s="63" t="s">
        <v>6469</v>
      </c>
      <c r="G88" s="56">
        <v>13249</v>
      </c>
      <c r="H88" s="56">
        <v>9</v>
      </c>
      <c r="I88" s="63" t="s">
        <v>6212</v>
      </c>
    </row>
    <row r="89" ht="16.5" hidden="1" spans="1:9">
      <c r="A89" s="43">
        <v>87</v>
      </c>
      <c r="B89" s="53" t="s">
        <v>6470</v>
      </c>
      <c r="C89" s="54" t="s">
        <v>6471</v>
      </c>
      <c r="D89" s="49" t="s">
        <v>6172</v>
      </c>
      <c r="E89" s="55" t="s">
        <v>6470</v>
      </c>
      <c r="F89" s="63" t="s">
        <v>6472</v>
      </c>
      <c r="G89" s="56">
        <v>13505</v>
      </c>
      <c r="H89" s="56">
        <v>9</v>
      </c>
      <c r="I89" s="63" t="s">
        <v>6212</v>
      </c>
    </row>
    <row r="90" ht="16.5" hidden="1" spans="1:9">
      <c r="A90" s="43">
        <v>88</v>
      </c>
      <c r="B90" s="53" t="s">
        <v>6473</v>
      </c>
      <c r="C90" s="54" t="s">
        <v>6474</v>
      </c>
      <c r="D90" s="49" t="s">
        <v>6172</v>
      </c>
      <c r="E90" s="55" t="s">
        <v>6473</v>
      </c>
      <c r="F90" s="63" t="s">
        <v>6475</v>
      </c>
      <c r="G90" s="56">
        <v>13761</v>
      </c>
      <c r="H90" s="56">
        <v>9</v>
      </c>
      <c r="I90" s="63" t="s">
        <v>6212</v>
      </c>
    </row>
    <row r="91" ht="16.5" hidden="1" spans="1:9">
      <c r="A91" s="43">
        <v>89</v>
      </c>
      <c r="B91" s="53" t="s">
        <v>6476</v>
      </c>
      <c r="C91" s="54" t="s">
        <v>6477</v>
      </c>
      <c r="D91" s="49" t="s">
        <v>6172</v>
      </c>
      <c r="E91" s="55" t="s">
        <v>6476</v>
      </c>
      <c r="F91" s="63" t="s">
        <v>6478</v>
      </c>
      <c r="G91" s="56">
        <v>14017</v>
      </c>
      <c r="H91" s="56">
        <v>9</v>
      </c>
      <c r="I91" s="63" t="s">
        <v>6212</v>
      </c>
    </row>
    <row r="92" ht="16.5" hidden="1" spans="1:9">
      <c r="A92" s="43">
        <v>90</v>
      </c>
      <c r="B92" s="53" t="s">
        <v>6479</v>
      </c>
      <c r="C92" s="54" t="s">
        <v>6480</v>
      </c>
      <c r="D92" s="49" t="s">
        <v>6172</v>
      </c>
      <c r="E92" s="55" t="s">
        <v>6479</v>
      </c>
      <c r="F92" s="63" t="s">
        <v>6481</v>
      </c>
      <c r="G92" s="56">
        <v>14273</v>
      </c>
      <c r="H92" s="56">
        <v>9</v>
      </c>
      <c r="I92" s="63" t="s">
        <v>6212</v>
      </c>
    </row>
    <row r="93" ht="16.5" hidden="1" spans="1:9">
      <c r="A93" s="43">
        <v>91</v>
      </c>
      <c r="B93" s="53" t="s">
        <v>6482</v>
      </c>
      <c r="C93" s="54" t="s">
        <v>6483</v>
      </c>
      <c r="D93" s="49" t="s">
        <v>6172</v>
      </c>
      <c r="E93" s="55" t="s">
        <v>6482</v>
      </c>
      <c r="F93" s="63" t="s">
        <v>6484</v>
      </c>
      <c r="G93" s="56">
        <v>14529</v>
      </c>
      <c r="H93" s="56">
        <v>9</v>
      </c>
      <c r="I93" s="63" t="s">
        <v>6212</v>
      </c>
    </row>
    <row r="94" ht="16.5" hidden="1" spans="1:9">
      <c r="A94" s="43">
        <v>92</v>
      </c>
      <c r="B94" s="53" t="s">
        <v>6485</v>
      </c>
      <c r="C94" s="54" t="s">
        <v>6486</v>
      </c>
      <c r="D94" s="49" t="s">
        <v>6172</v>
      </c>
      <c r="E94" s="55" t="s">
        <v>6485</v>
      </c>
      <c r="F94" s="63" t="s">
        <v>6487</v>
      </c>
      <c r="G94" s="56">
        <v>14785</v>
      </c>
      <c r="H94" s="56">
        <v>9</v>
      </c>
      <c r="I94" s="63" t="s">
        <v>6212</v>
      </c>
    </row>
    <row r="95" ht="16.5" hidden="1" spans="1:9">
      <c r="A95" s="43">
        <v>93</v>
      </c>
      <c r="B95" s="53" t="s">
        <v>6488</v>
      </c>
      <c r="C95" s="54" t="s">
        <v>6489</v>
      </c>
      <c r="D95" s="49" t="s">
        <v>6172</v>
      </c>
      <c r="E95" s="55" t="s">
        <v>6488</v>
      </c>
      <c r="F95" s="63" t="s">
        <v>6490</v>
      </c>
      <c r="G95" s="56">
        <v>19137</v>
      </c>
      <c r="H95" s="56">
        <v>9</v>
      </c>
      <c r="I95" s="63" t="s">
        <v>6212</v>
      </c>
    </row>
    <row r="96" ht="16.5" hidden="1" spans="1:9">
      <c r="A96" s="43">
        <v>94</v>
      </c>
      <c r="B96" s="53" t="s">
        <v>6491</v>
      </c>
      <c r="C96" s="54" t="s">
        <v>6492</v>
      </c>
      <c r="D96" s="49" t="s">
        <v>6172</v>
      </c>
      <c r="E96" s="55" t="s">
        <v>6491</v>
      </c>
      <c r="F96" s="63" t="s">
        <v>6493</v>
      </c>
      <c r="G96" s="56">
        <v>19393</v>
      </c>
      <c r="H96" s="56">
        <v>9</v>
      </c>
      <c r="I96" s="63" t="s">
        <v>6212</v>
      </c>
    </row>
    <row r="97" ht="16.5" hidden="1" spans="1:9">
      <c r="A97" s="43">
        <v>95</v>
      </c>
      <c r="B97" s="53" t="s">
        <v>6494</v>
      </c>
      <c r="C97" s="54" t="s">
        <v>6495</v>
      </c>
      <c r="D97" s="49" t="s">
        <v>6172</v>
      </c>
      <c r="E97" s="55" t="s">
        <v>6494</v>
      </c>
      <c r="F97" s="63" t="s">
        <v>6496</v>
      </c>
      <c r="G97" s="56">
        <v>19649</v>
      </c>
      <c r="H97" s="56">
        <v>9</v>
      </c>
      <c r="I97" s="63" t="s">
        <v>6212</v>
      </c>
    </row>
    <row r="98" ht="16.5" hidden="1" spans="1:9">
      <c r="A98" s="43">
        <v>96</v>
      </c>
      <c r="B98" s="53" t="s">
        <v>6497</v>
      </c>
      <c r="C98" s="54" t="s">
        <v>6498</v>
      </c>
      <c r="D98" s="49" t="s">
        <v>6172</v>
      </c>
      <c r="E98" s="55" t="s">
        <v>6497</v>
      </c>
      <c r="F98" s="63" t="s">
        <v>6499</v>
      </c>
      <c r="G98" s="56">
        <v>19905</v>
      </c>
      <c r="H98" s="56">
        <v>9</v>
      </c>
      <c r="I98" s="63" t="s">
        <v>6212</v>
      </c>
    </row>
    <row r="99" ht="16.5" hidden="1" spans="1:9">
      <c r="A99" s="43">
        <v>97</v>
      </c>
      <c r="B99" s="53" t="s">
        <v>6500</v>
      </c>
      <c r="C99" s="54" t="s">
        <v>6501</v>
      </c>
      <c r="D99" s="49" t="s">
        <v>6172</v>
      </c>
      <c r="E99" s="55" t="s">
        <v>6500</v>
      </c>
      <c r="F99" s="63" t="s">
        <v>6502</v>
      </c>
      <c r="G99" s="56">
        <v>20161</v>
      </c>
      <c r="H99" s="56">
        <v>9</v>
      </c>
      <c r="I99" s="63" t="s">
        <v>6212</v>
      </c>
    </row>
    <row r="100" ht="16.5" hidden="1" spans="1:9">
      <c r="A100" s="43">
        <v>98</v>
      </c>
      <c r="B100" s="53" t="s">
        <v>6503</v>
      </c>
      <c r="C100" s="54" t="s">
        <v>6504</v>
      </c>
      <c r="D100" s="49" t="s">
        <v>6172</v>
      </c>
      <c r="E100" s="55" t="s">
        <v>6503</v>
      </c>
      <c r="F100" s="55" t="s">
        <v>6505</v>
      </c>
      <c r="G100" s="56">
        <v>20305</v>
      </c>
      <c r="H100" s="56">
        <v>13</v>
      </c>
      <c r="I100" s="63" t="s">
        <v>6212</v>
      </c>
    </row>
    <row r="101" ht="16.5" hidden="1" spans="1:9">
      <c r="A101" s="43">
        <v>99</v>
      </c>
      <c r="B101" s="53" t="s">
        <v>6506</v>
      </c>
      <c r="C101" s="54" t="s">
        <v>6507</v>
      </c>
      <c r="D101" s="49" t="s">
        <v>6172</v>
      </c>
      <c r="E101" s="55" t="s">
        <v>6506</v>
      </c>
      <c r="F101" s="55" t="s">
        <v>6508</v>
      </c>
      <c r="G101" s="56">
        <v>20561</v>
      </c>
      <c r="H101" s="56">
        <v>13</v>
      </c>
      <c r="I101" s="63" t="s">
        <v>6212</v>
      </c>
    </row>
    <row r="102" ht="16.5" hidden="1" spans="1:9">
      <c r="A102" s="43">
        <v>100</v>
      </c>
      <c r="B102" s="53" t="s">
        <v>6509</v>
      </c>
      <c r="C102" s="54" t="s">
        <v>6510</v>
      </c>
      <c r="D102" s="49" t="s">
        <v>6172</v>
      </c>
      <c r="E102" s="55" t="s">
        <v>6509</v>
      </c>
      <c r="F102" s="55" t="s">
        <v>6511</v>
      </c>
      <c r="G102" s="56">
        <v>29009</v>
      </c>
      <c r="H102" s="56">
        <v>6</v>
      </c>
      <c r="I102" s="63" t="s">
        <v>6212</v>
      </c>
    </row>
    <row r="103" ht="16.5" hidden="1" spans="1:9">
      <c r="A103" s="43">
        <v>101</v>
      </c>
      <c r="B103" s="53" t="s">
        <v>6512</v>
      </c>
      <c r="C103" s="54" t="s">
        <v>6513</v>
      </c>
      <c r="D103" s="49" t="s">
        <v>6172</v>
      </c>
      <c r="E103" s="55" t="s">
        <v>6512</v>
      </c>
      <c r="F103" s="55" t="s">
        <v>6514</v>
      </c>
      <c r="G103" s="56">
        <v>29009</v>
      </c>
      <c r="H103" s="56">
        <v>3</v>
      </c>
      <c r="I103" s="63" t="s">
        <v>6212</v>
      </c>
    </row>
    <row r="104" ht="16.5" hidden="1" spans="1:9">
      <c r="A104" s="43">
        <v>102</v>
      </c>
      <c r="B104" s="53" t="s">
        <v>6515</v>
      </c>
      <c r="C104" s="54" t="s">
        <v>6516</v>
      </c>
      <c r="D104" s="49" t="s">
        <v>6172</v>
      </c>
      <c r="E104" s="55" t="s">
        <v>6515</v>
      </c>
      <c r="F104" s="55" t="s">
        <v>6517</v>
      </c>
      <c r="G104" s="56">
        <v>29009</v>
      </c>
      <c r="H104" s="56">
        <v>5</v>
      </c>
      <c r="I104" s="63" t="s">
        <v>6212</v>
      </c>
    </row>
    <row r="105" ht="16.5" spans="1:9">
      <c r="A105" s="43">
        <v>103</v>
      </c>
      <c r="B105" s="53" t="s">
        <v>6518</v>
      </c>
      <c r="C105" s="54" t="s">
        <v>6519</v>
      </c>
      <c r="D105" s="49" t="s">
        <v>6172</v>
      </c>
      <c r="E105" s="55" t="s">
        <v>6518</v>
      </c>
      <c r="F105" s="55" t="s">
        <v>6520</v>
      </c>
      <c r="G105" s="56">
        <v>29009</v>
      </c>
      <c r="H105" s="56">
        <v>7</v>
      </c>
      <c r="I105" s="63" t="s">
        <v>6264</v>
      </c>
    </row>
    <row r="106" ht="16.5" spans="1:9">
      <c r="A106" s="43">
        <v>104</v>
      </c>
      <c r="B106" s="53" t="s">
        <v>6521</v>
      </c>
      <c r="C106" s="54" t="s">
        <v>6522</v>
      </c>
      <c r="D106" s="49" t="s">
        <v>6172</v>
      </c>
      <c r="E106" s="55" t="s">
        <v>6521</v>
      </c>
      <c r="F106" s="55" t="s">
        <v>6523</v>
      </c>
      <c r="G106" s="56">
        <v>29009</v>
      </c>
      <c r="H106" s="56">
        <v>1</v>
      </c>
      <c r="I106" s="63" t="s">
        <v>6264</v>
      </c>
    </row>
    <row r="107" ht="16.5" hidden="1" spans="1:9">
      <c r="A107" s="43">
        <v>105</v>
      </c>
      <c r="B107" s="53" t="s">
        <v>6524</v>
      </c>
      <c r="C107" s="54" t="s">
        <v>6525</v>
      </c>
      <c r="D107" s="49" t="s">
        <v>6172</v>
      </c>
      <c r="E107" s="55" t="s">
        <v>6524</v>
      </c>
      <c r="F107" s="55" t="s">
        <v>6526</v>
      </c>
      <c r="G107" s="56">
        <v>33105</v>
      </c>
      <c r="H107" s="56">
        <v>6</v>
      </c>
      <c r="I107" s="63" t="s">
        <v>6212</v>
      </c>
    </row>
    <row r="108" ht="16.5" hidden="1" spans="1:9">
      <c r="A108" s="43">
        <v>106</v>
      </c>
      <c r="B108" s="53" t="s">
        <v>6527</v>
      </c>
      <c r="C108" s="54" t="s">
        <v>6528</v>
      </c>
      <c r="D108" s="49" t="s">
        <v>6172</v>
      </c>
      <c r="E108" s="55" t="s">
        <v>6527</v>
      </c>
      <c r="F108" s="55" t="s">
        <v>6529</v>
      </c>
      <c r="G108" s="56">
        <v>33105</v>
      </c>
      <c r="H108" s="56">
        <v>3</v>
      </c>
      <c r="I108" s="63" t="s">
        <v>6212</v>
      </c>
    </row>
    <row r="109" ht="16.5" hidden="1" spans="1:9">
      <c r="A109" s="43">
        <v>107</v>
      </c>
      <c r="B109" s="53" t="s">
        <v>6530</v>
      </c>
      <c r="C109" s="54" t="s">
        <v>6531</v>
      </c>
      <c r="D109" s="49" t="s">
        <v>6172</v>
      </c>
      <c r="E109" s="55" t="s">
        <v>6530</v>
      </c>
      <c r="F109" s="55" t="s">
        <v>6532</v>
      </c>
      <c r="G109" s="56">
        <v>33105</v>
      </c>
      <c r="H109" s="56">
        <v>5</v>
      </c>
      <c r="I109" s="63" t="s">
        <v>6212</v>
      </c>
    </row>
    <row r="110" ht="16.5" spans="1:9">
      <c r="A110" s="43">
        <v>108</v>
      </c>
      <c r="B110" s="53" t="s">
        <v>6533</v>
      </c>
      <c r="C110" s="54" t="s">
        <v>6534</v>
      </c>
      <c r="D110" s="49" t="s">
        <v>6172</v>
      </c>
      <c r="E110" s="55" t="s">
        <v>6533</v>
      </c>
      <c r="F110" s="55" t="s">
        <v>6535</v>
      </c>
      <c r="G110" s="56">
        <v>33105</v>
      </c>
      <c r="H110" s="56">
        <v>7</v>
      </c>
      <c r="I110" s="63" t="s">
        <v>6264</v>
      </c>
    </row>
    <row r="111" ht="16.5" spans="1:9">
      <c r="A111" s="43">
        <v>109</v>
      </c>
      <c r="B111" s="53" t="s">
        <v>6536</v>
      </c>
      <c r="C111" s="54" t="s">
        <v>6537</v>
      </c>
      <c r="D111" s="49" t="s">
        <v>6172</v>
      </c>
      <c r="E111" s="55" t="s">
        <v>6536</v>
      </c>
      <c r="F111" s="55" t="s">
        <v>6538</v>
      </c>
      <c r="G111" s="56">
        <v>33105</v>
      </c>
      <c r="H111" s="56">
        <v>1</v>
      </c>
      <c r="I111" s="63" t="s">
        <v>6264</v>
      </c>
    </row>
    <row r="112" ht="16.5" spans="1:9">
      <c r="A112" s="43">
        <v>110</v>
      </c>
      <c r="B112" s="53" t="s">
        <v>6539</v>
      </c>
      <c r="C112" s="54" t="s">
        <v>6540</v>
      </c>
      <c r="D112" s="50" t="s">
        <v>6176</v>
      </c>
      <c r="E112" s="55" t="s">
        <v>6539</v>
      </c>
      <c r="F112" s="55" t="s">
        <v>6541</v>
      </c>
      <c r="G112" s="56">
        <v>12882</v>
      </c>
      <c r="H112" s="56">
        <v>4</v>
      </c>
      <c r="I112" s="63" t="s">
        <v>6264</v>
      </c>
    </row>
    <row r="113" ht="16.5" spans="1:9">
      <c r="A113" s="43">
        <v>111</v>
      </c>
      <c r="B113" s="53" t="s">
        <v>6542</v>
      </c>
      <c r="C113" s="54" t="s">
        <v>6543</v>
      </c>
      <c r="D113" s="50" t="s">
        <v>6176</v>
      </c>
      <c r="E113" s="55" t="s">
        <v>6542</v>
      </c>
      <c r="F113" s="55" t="s">
        <v>6544</v>
      </c>
      <c r="G113" s="56">
        <v>12626</v>
      </c>
      <c r="H113" s="56">
        <v>4</v>
      </c>
      <c r="I113" s="63" t="s">
        <v>6264</v>
      </c>
    </row>
    <row r="114" ht="16.5" spans="1:9">
      <c r="A114" s="43">
        <v>112</v>
      </c>
      <c r="B114" s="53" t="s">
        <v>6545</v>
      </c>
      <c r="C114" s="54" t="s">
        <v>6546</v>
      </c>
      <c r="D114" s="50" t="s">
        <v>6176</v>
      </c>
      <c r="E114" s="55" t="s">
        <v>6545</v>
      </c>
      <c r="F114" s="55" t="s">
        <v>6547</v>
      </c>
      <c r="G114" s="56">
        <v>12882</v>
      </c>
      <c r="H114" s="56">
        <v>3</v>
      </c>
      <c r="I114" s="63" t="s">
        <v>6264</v>
      </c>
    </row>
    <row r="115" ht="16.5" spans="1:9">
      <c r="A115" s="43">
        <v>113</v>
      </c>
      <c r="B115" s="53" t="s">
        <v>6548</v>
      </c>
      <c r="C115" s="54" t="s">
        <v>6549</v>
      </c>
      <c r="D115" s="50" t="s">
        <v>6176</v>
      </c>
      <c r="E115" s="55" t="s">
        <v>6548</v>
      </c>
      <c r="F115" s="55" t="s">
        <v>6550</v>
      </c>
      <c r="G115" s="56">
        <v>12626</v>
      </c>
      <c r="H115" s="56">
        <v>3</v>
      </c>
      <c r="I115" s="63" t="s">
        <v>6264</v>
      </c>
    </row>
    <row r="116" ht="16.5" spans="1:9">
      <c r="A116" s="43">
        <v>114</v>
      </c>
      <c r="B116" s="53" t="s">
        <v>6551</v>
      </c>
      <c r="C116" s="54" t="s">
        <v>6552</v>
      </c>
      <c r="D116" s="50" t="s">
        <v>6176</v>
      </c>
      <c r="E116" s="55" t="s">
        <v>6551</v>
      </c>
      <c r="F116" s="55" t="s">
        <v>6553</v>
      </c>
      <c r="G116" s="56">
        <v>14418</v>
      </c>
      <c r="H116" s="56">
        <v>3</v>
      </c>
      <c r="I116" s="63" t="s">
        <v>6264</v>
      </c>
    </row>
    <row r="117" ht="16.5" spans="1:9">
      <c r="A117" s="43">
        <v>115</v>
      </c>
      <c r="B117" s="53" t="s">
        <v>6554</v>
      </c>
      <c r="C117" s="54" t="s">
        <v>6555</v>
      </c>
      <c r="D117" s="50" t="s">
        <v>6176</v>
      </c>
      <c r="E117" s="55" t="s">
        <v>6554</v>
      </c>
      <c r="F117" s="55" t="s">
        <v>6556</v>
      </c>
      <c r="G117" s="56">
        <v>14418</v>
      </c>
      <c r="H117" s="56">
        <v>4</v>
      </c>
      <c r="I117" s="63" t="s">
        <v>6264</v>
      </c>
    </row>
    <row r="118" ht="16.5" spans="1:9">
      <c r="A118" s="43">
        <v>116</v>
      </c>
      <c r="B118" s="53" t="s">
        <v>6557</v>
      </c>
      <c r="C118" s="54" t="s">
        <v>6558</v>
      </c>
      <c r="D118" s="50" t="s">
        <v>6176</v>
      </c>
      <c r="E118" s="55" t="s">
        <v>6557</v>
      </c>
      <c r="F118" s="55" t="s">
        <v>6559</v>
      </c>
      <c r="G118" s="56">
        <v>13650</v>
      </c>
      <c r="H118" s="56">
        <v>3</v>
      </c>
      <c r="I118" s="63" t="s">
        <v>6264</v>
      </c>
    </row>
    <row r="119" ht="16.5" spans="1:9">
      <c r="A119" s="43">
        <v>117</v>
      </c>
      <c r="B119" s="53" t="s">
        <v>6560</v>
      </c>
      <c r="C119" s="54" t="s">
        <v>6561</v>
      </c>
      <c r="D119" s="50" t="s">
        <v>6176</v>
      </c>
      <c r="E119" s="55" t="s">
        <v>6560</v>
      </c>
      <c r="F119" s="55" t="s">
        <v>6562</v>
      </c>
      <c r="G119" s="56">
        <v>13650</v>
      </c>
      <c r="H119" s="56">
        <v>4</v>
      </c>
      <c r="I119" s="63" t="s">
        <v>6264</v>
      </c>
    </row>
    <row r="120" ht="16.5" hidden="1" spans="1:9">
      <c r="A120" s="43">
        <v>118</v>
      </c>
      <c r="B120" s="53" t="s">
        <v>6563</v>
      </c>
      <c r="C120" s="54" t="s">
        <v>6564</v>
      </c>
      <c r="D120" s="50" t="s">
        <v>6176</v>
      </c>
      <c r="E120" s="55" t="s">
        <v>6563</v>
      </c>
      <c r="F120" s="55" t="s">
        <v>6565</v>
      </c>
      <c r="G120" s="56">
        <v>15811</v>
      </c>
      <c r="H120" s="56">
        <v>9</v>
      </c>
      <c r="I120" s="63" t="s">
        <v>6212</v>
      </c>
    </row>
    <row r="121" ht="16.5" hidden="1" spans="1:9">
      <c r="A121" s="43">
        <v>119</v>
      </c>
      <c r="B121" s="64" t="s">
        <v>6566</v>
      </c>
      <c r="C121" s="65" t="s">
        <v>6567</v>
      </c>
      <c r="D121" s="66" t="s">
        <v>6176</v>
      </c>
      <c r="E121" s="67" t="s">
        <v>6566</v>
      </c>
      <c r="F121" s="67" t="s">
        <v>6568</v>
      </c>
      <c r="G121" s="68">
        <v>20417</v>
      </c>
      <c r="H121" s="68">
        <v>2</v>
      </c>
      <c r="I121" s="63" t="s">
        <v>6212</v>
      </c>
    </row>
    <row r="122" ht="16.5" spans="1:9">
      <c r="A122" s="43">
        <v>120</v>
      </c>
      <c r="B122" s="53" t="s">
        <v>6569</v>
      </c>
      <c r="C122" s="54" t="s">
        <v>6570</v>
      </c>
      <c r="D122" s="50" t="s">
        <v>6176</v>
      </c>
      <c r="E122" s="55" t="s">
        <v>6569</v>
      </c>
      <c r="F122" s="55" t="s">
        <v>6571</v>
      </c>
      <c r="G122" s="56">
        <v>18562</v>
      </c>
      <c r="H122" s="56">
        <v>4</v>
      </c>
      <c r="I122" s="63" t="s">
        <v>6264</v>
      </c>
    </row>
    <row r="123" ht="16.5" spans="1:9">
      <c r="A123" s="43">
        <v>121</v>
      </c>
      <c r="B123" s="53" t="s">
        <v>6572</v>
      </c>
      <c r="C123" s="54" t="s">
        <v>6573</v>
      </c>
      <c r="D123" s="50" t="s">
        <v>6176</v>
      </c>
      <c r="E123" s="55" t="s">
        <v>6572</v>
      </c>
      <c r="F123" s="55" t="s">
        <v>6574</v>
      </c>
      <c r="G123" s="56">
        <v>18818</v>
      </c>
      <c r="H123" s="56">
        <v>3</v>
      </c>
      <c r="I123" s="63" t="s">
        <v>6264</v>
      </c>
    </row>
    <row r="124" ht="16.5" spans="1:9">
      <c r="A124" s="43">
        <v>122</v>
      </c>
      <c r="B124" s="69" t="s">
        <v>6575</v>
      </c>
      <c r="C124" s="54" t="s">
        <v>6576</v>
      </c>
      <c r="D124" s="49" t="s">
        <v>6172</v>
      </c>
      <c r="E124" s="55" t="s">
        <v>6575</v>
      </c>
      <c r="F124" s="55" t="s">
        <v>6577</v>
      </c>
      <c r="G124" s="56">
        <v>19074</v>
      </c>
      <c r="H124" s="56">
        <v>3</v>
      </c>
      <c r="I124" s="63" t="s">
        <v>6264</v>
      </c>
    </row>
    <row r="125" ht="16.5" spans="1:9">
      <c r="A125" s="43">
        <v>123</v>
      </c>
      <c r="B125" s="69" t="s">
        <v>6578</v>
      </c>
      <c r="C125" s="54" t="s">
        <v>6579</v>
      </c>
      <c r="D125" s="49" t="s">
        <v>6172</v>
      </c>
      <c r="E125" s="55" t="s">
        <v>6578</v>
      </c>
      <c r="F125" s="55" t="s">
        <v>6580</v>
      </c>
      <c r="G125" s="56">
        <v>19330</v>
      </c>
      <c r="H125" s="56">
        <v>5</v>
      </c>
      <c r="I125" s="63" t="s">
        <v>6264</v>
      </c>
    </row>
    <row r="126" ht="16.5" spans="1:9">
      <c r="A126" s="43">
        <v>124</v>
      </c>
      <c r="B126" s="69" t="s">
        <v>6581</v>
      </c>
      <c r="C126" s="54" t="s">
        <v>6582</v>
      </c>
      <c r="D126" s="49" t="s">
        <v>6172</v>
      </c>
      <c r="E126" s="55" t="s">
        <v>6581</v>
      </c>
      <c r="F126" s="55" t="s">
        <v>6583</v>
      </c>
      <c r="G126" s="56">
        <v>19586</v>
      </c>
      <c r="H126" s="56">
        <v>3</v>
      </c>
      <c r="I126" s="63" t="s">
        <v>6264</v>
      </c>
    </row>
    <row r="127" ht="16.5" spans="1:9">
      <c r="A127" s="43">
        <v>125</v>
      </c>
      <c r="B127" s="69" t="s">
        <v>6584</v>
      </c>
      <c r="C127" s="54" t="s">
        <v>6585</v>
      </c>
      <c r="D127" s="49" t="s">
        <v>6172</v>
      </c>
      <c r="E127" s="55" t="s">
        <v>6584</v>
      </c>
      <c r="F127" s="55" t="s">
        <v>6586</v>
      </c>
      <c r="G127" s="56">
        <v>19842</v>
      </c>
      <c r="H127" s="56">
        <v>5</v>
      </c>
      <c r="I127" s="63" t="s">
        <v>6264</v>
      </c>
    </row>
    <row r="128" ht="16.5" spans="1:9">
      <c r="A128" s="43">
        <v>126</v>
      </c>
      <c r="B128" s="69" t="s">
        <v>6587</v>
      </c>
      <c r="C128" s="54" t="s">
        <v>6588</v>
      </c>
      <c r="D128" s="49" t="s">
        <v>6172</v>
      </c>
      <c r="E128" s="55" t="s">
        <v>6587</v>
      </c>
      <c r="F128" s="55" t="s">
        <v>6589</v>
      </c>
      <c r="G128" s="56">
        <v>20098</v>
      </c>
      <c r="H128" s="56">
        <v>3</v>
      </c>
      <c r="I128" s="63" t="s">
        <v>6264</v>
      </c>
    </row>
    <row r="129" ht="16.5" spans="1:9">
      <c r="A129" s="43">
        <v>127</v>
      </c>
      <c r="B129" s="53" t="s">
        <v>6590</v>
      </c>
      <c r="C129" s="54" t="s">
        <v>6591</v>
      </c>
      <c r="D129" s="49" t="s">
        <v>6172</v>
      </c>
      <c r="E129" s="55" t="s">
        <v>6590</v>
      </c>
      <c r="F129" s="55" t="s">
        <v>6592</v>
      </c>
      <c r="G129" s="56">
        <v>20354</v>
      </c>
      <c r="H129" s="56">
        <v>5</v>
      </c>
      <c r="I129" s="63" t="s">
        <v>6264</v>
      </c>
    </row>
    <row r="130" ht="16.5" hidden="1" spans="1:9">
      <c r="A130" s="43">
        <v>128</v>
      </c>
      <c r="B130" s="55" t="s">
        <v>6593</v>
      </c>
      <c r="C130" s="54" t="s">
        <v>6594</v>
      </c>
      <c r="D130" s="46" t="s">
        <v>6595</v>
      </c>
      <c r="E130" s="55" t="s">
        <v>6596</v>
      </c>
      <c r="F130" s="55" t="s">
        <v>6597</v>
      </c>
      <c r="G130" s="56">
        <v>34898</v>
      </c>
      <c r="H130" s="56">
        <v>11</v>
      </c>
      <c r="I130" s="63" t="s">
        <v>6161</v>
      </c>
    </row>
    <row r="131" ht="16.5" spans="1:9">
      <c r="A131" s="43">
        <v>129</v>
      </c>
      <c r="B131" s="55" t="s">
        <v>6598</v>
      </c>
      <c r="C131" s="54" t="s">
        <v>6599</v>
      </c>
      <c r="D131" s="49" t="s">
        <v>6172</v>
      </c>
      <c r="E131" s="55" t="s">
        <v>6598</v>
      </c>
      <c r="F131" s="55" t="s">
        <v>6600</v>
      </c>
      <c r="G131" s="56">
        <v>9603</v>
      </c>
      <c r="H131" s="56">
        <v>5</v>
      </c>
      <c r="I131" s="63" t="s">
        <v>6264</v>
      </c>
    </row>
    <row r="132" ht="16.5" spans="1:9">
      <c r="A132" s="70">
        <v>130</v>
      </c>
      <c r="B132" s="67" t="s">
        <v>6601</v>
      </c>
      <c r="C132" s="65" t="s">
        <v>6602</v>
      </c>
      <c r="D132" s="71" t="s">
        <v>6172</v>
      </c>
      <c r="E132" s="67" t="s">
        <v>6601</v>
      </c>
      <c r="F132" s="67" t="s">
        <v>6603</v>
      </c>
      <c r="G132" s="68">
        <v>9603</v>
      </c>
      <c r="H132" s="68">
        <v>3</v>
      </c>
      <c r="I132" s="75" t="s">
        <v>6264</v>
      </c>
    </row>
    <row r="133" ht="16.5" spans="1:9">
      <c r="A133" s="43">
        <v>131</v>
      </c>
      <c r="B133" s="67" t="s">
        <v>6604</v>
      </c>
      <c r="C133" s="65" t="s">
        <v>6605</v>
      </c>
      <c r="D133" s="49" t="s">
        <v>6172</v>
      </c>
      <c r="E133" s="67" t="s">
        <v>6604</v>
      </c>
      <c r="F133" s="67" t="s">
        <v>6606</v>
      </c>
      <c r="G133" s="68">
        <v>9859</v>
      </c>
      <c r="H133" s="56">
        <v>5</v>
      </c>
      <c r="I133" s="75" t="s">
        <v>6264</v>
      </c>
    </row>
    <row r="134" ht="16.5" spans="1:9">
      <c r="A134" s="43">
        <v>132</v>
      </c>
      <c r="B134" s="67" t="s">
        <v>6607</v>
      </c>
      <c r="C134" s="65" t="s">
        <v>6608</v>
      </c>
      <c r="D134" s="71" t="s">
        <v>6172</v>
      </c>
      <c r="E134" s="67" t="s">
        <v>6607</v>
      </c>
      <c r="F134" s="67" t="s">
        <v>6609</v>
      </c>
      <c r="G134" s="68">
        <v>10115</v>
      </c>
      <c r="H134" s="68">
        <v>5</v>
      </c>
      <c r="I134" s="75" t="s">
        <v>6264</v>
      </c>
    </row>
    <row r="135" ht="16.5" spans="1:9">
      <c r="A135" s="72">
        <v>133</v>
      </c>
      <c r="B135" s="55" t="s">
        <v>6610</v>
      </c>
      <c r="C135" s="54" t="s">
        <v>6611</v>
      </c>
      <c r="D135" s="71" t="s">
        <v>6172</v>
      </c>
      <c r="E135" s="55" t="s">
        <v>6610</v>
      </c>
      <c r="F135" s="55" t="s">
        <v>6612</v>
      </c>
      <c r="G135" s="56">
        <v>22721</v>
      </c>
      <c r="H135" s="56">
        <v>19</v>
      </c>
      <c r="I135" s="75" t="s">
        <v>6264</v>
      </c>
    </row>
    <row r="136" ht="16.5" spans="1:9">
      <c r="A136" s="72">
        <v>134</v>
      </c>
      <c r="B136" s="55" t="s">
        <v>6613</v>
      </c>
      <c r="C136" s="54" t="s">
        <v>6614</v>
      </c>
      <c r="D136" s="49" t="s">
        <v>6172</v>
      </c>
      <c r="E136" s="55" t="s">
        <v>6615</v>
      </c>
      <c r="F136" s="55" t="s">
        <v>6616</v>
      </c>
      <c r="G136" s="56">
        <v>195</v>
      </c>
      <c r="H136" s="56">
        <v>9</v>
      </c>
      <c r="I136" s="63" t="s">
        <v>6264</v>
      </c>
    </row>
    <row r="139" spans="1:9">
      <c r="A139" s="73" t="s">
        <v>6617</v>
      </c>
      <c r="B139" s="74"/>
      <c r="C139" s="73"/>
      <c r="D139" s="73"/>
      <c r="E139" s="74"/>
      <c r="F139" s="74"/>
      <c r="G139" s="73"/>
      <c r="H139" s="73"/>
      <c r="I139" s="74"/>
    </row>
    <row r="140" spans="1:9">
      <c r="A140" s="73"/>
      <c r="B140" s="74"/>
      <c r="C140" s="73"/>
      <c r="D140" s="73"/>
      <c r="E140" s="74"/>
      <c r="F140" s="74"/>
      <c r="G140" s="73"/>
      <c r="H140" s="73"/>
      <c r="I140" s="74"/>
    </row>
  </sheetData>
  <sheetProtection formatCells="0" insertHyperlinks="0" autoFilter="0"/>
  <autoFilter ref="A1:I136">
    <filterColumn colId="8">
      <filters>
        <filter val="仪表不显示故障码，仅可通过诊断仪读取故障码"/>
        <filter val="仪表不显示故障码，通过诊断仪读取故障"/>
      </filters>
    </filterColumn>
    <extLst/>
  </autoFilter>
  <mergeCells count="10">
    <mergeCell ref="A1:A2"/>
    <mergeCell ref="B1:B2"/>
    <mergeCell ref="C1:C2"/>
    <mergeCell ref="D1:D2"/>
    <mergeCell ref="E1:E2"/>
    <mergeCell ref="F1:F2"/>
    <mergeCell ref="G1:G2"/>
    <mergeCell ref="H1:H2"/>
    <mergeCell ref="I1:I2"/>
    <mergeCell ref="A139:I140"/>
  </mergeCells>
  <pageMargins left="0.7" right="0.7" top="0.75" bottom="0.75" header="0.3" footer="0.3"/>
  <pageSetup paperSize="9" scale="10"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zoomScale="90" zoomScaleNormal="90" topLeftCell="A33" workbookViewId="0">
      <selection activeCell="E32" sqref="E32"/>
    </sheetView>
  </sheetViews>
  <sheetFormatPr defaultColWidth="8.875" defaultRowHeight="13.5" outlineLevelCol="4"/>
  <cols>
    <col min="1" max="2" width="8.25" style="29" customWidth="1"/>
    <col min="3" max="3" width="4.875" style="29" customWidth="1"/>
    <col min="4" max="4" width="43.5" style="30" customWidth="1"/>
    <col min="5" max="5" width="50.625" style="30" customWidth="1"/>
    <col min="6" max="16384" width="8.875" style="30"/>
  </cols>
  <sheetData>
    <row r="1" ht="18" customHeight="1" spans="1:5">
      <c r="A1" s="31" t="s">
        <v>99</v>
      </c>
      <c r="B1" s="31" t="s">
        <v>102</v>
      </c>
      <c r="C1" s="31" t="s">
        <v>103</v>
      </c>
      <c r="D1" s="32" t="s">
        <v>101</v>
      </c>
      <c r="E1" s="33" t="s">
        <v>250</v>
      </c>
    </row>
    <row r="2" ht="18" customHeight="1" spans="1:5">
      <c r="A2" s="28">
        <v>1</v>
      </c>
      <c r="B2" s="28">
        <v>629</v>
      </c>
      <c r="C2" s="28">
        <v>11</v>
      </c>
      <c r="D2" s="34" t="s">
        <v>6618</v>
      </c>
      <c r="E2" s="34" t="s">
        <v>6619</v>
      </c>
    </row>
    <row r="3" ht="18" customHeight="1" spans="1:5">
      <c r="A3" s="28">
        <v>2</v>
      </c>
      <c r="B3" s="28">
        <v>629</v>
      </c>
      <c r="C3" s="28">
        <v>14</v>
      </c>
      <c r="D3" s="34" t="s">
        <v>6620</v>
      </c>
      <c r="E3" s="34" t="s">
        <v>6621</v>
      </c>
    </row>
    <row r="4" ht="18" customHeight="1" spans="1:5">
      <c r="A4" s="28">
        <v>3</v>
      </c>
      <c r="B4" s="28" t="s">
        <v>6622</v>
      </c>
      <c r="C4" s="28">
        <v>2</v>
      </c>
      <c r="D4" s="34" t="s">
        <v>6623</v>
      </c>
      <c r="E4" s="34" t="s">
        <v>6624</v>
      </c>
    </row>
    <row r="5" ht="18" customHeight="1" spans="1:5">
      <c r="A5" s="28">
        <v>4</v>
      </c>
      <c r="B5" s="28">
        <v>630</v>
      </c>
      <c r="C5" s="28">
        <v>14</v>
      </c>
      <c r="D5" s="34" t="s">
        <v>6625</v>
      </c>
      <c r="E5" s="34" t="s">
        <v>6626</v>
      </c>
    </row>
    <row r="6" ht="18" customHeight="1" spans="1:5">
      <c r="A6" s="28">
        <v>5</v>
      </c>
      <c r="B6" s="28">
        <v>1635</v>
      </c>
      <c r="C6" s="28">
        <v>12</v>
      </c>
      <c r="D6" s="34" t="s">
        <v>6627</v>
      </c>
      <c r="E6" s="34" t="s">
        <v>6628</v>
      </c>
    </row>
    <row r="7" ht="18" customHeight="1" spans="1:5">
      <c r="A7" s="28">
        <v>6</v>
      </c>
      <c r="B7" s="28">
        <v>1635</v>
      </c>
      <c r="C7" s="28">
        <v>2</v>
      </c>
      <c r="D7" s="34" t="s">
        <v>6629</v>
      </c>
      <c r="E7" s="34" t="s">
        <v>6630</v>
      </c>
    </row>
    <row r="8" ht="18" customHeight="1" spans="1:5">
      <c r="A8" s="28">
        <v>7</v>
      </c>
      <c r="B8" s="28">
        <v>630</v>
      </c>
      <c r="C8" s="28">
        <v>11</v>
      </c>
      <c r="D8" s="34" t="s">
        <v>6631</v>
      </c>
      <c r="E8" s="34" t="s">
        <v>6632</v>
      </c>
    </row>
    <row r="9" ht="18" customHeight="1" spans="1:5">
      <c r="A9" s="28">
        <v>8</v>
      </c>
      <c r="B9" s="28">
        <v>630</v>
      </c>
      <c r="C9" s="28">
        <v>13</v>
      </c>
      <c r="D9" s="34" t="s">
        <v>6633</v>
      </c>
      <c r="E9" s="34" t="s">
        <v>6634</v>
      </c>
    </row>
    <row r="10" ht="18" customHeight="1" spans="1:5">
      <c r="A10" s="28">
        <v>9</v>
      </c>
      <c r="B10" s="28">
        <v>629</v>
      </c>
      <c r="C10" s="28">
        <v>12</v>
      </c>
      <c r="D10" s="34" t="s">
        <v>6635</v>
      </c>
      <c r="E10" s="34" t="s">
        <v>6636</v>
      </c>
    </row>
    <row r="11" ht="18" customHeight="1" spans="1:5">
      <c r="A11" s="28">
        <v>10</v>
      </c>
      <c r="B11" s="28">
        <v>629</v>
      </c>
      <c r="C11" s="28">
        <v>10</v>
      </c>
      <c r="D11" s="34" t="s">
        <v>6637</v>
      </c>
      <c r="E11" s="34" t="s">
        <v>6638</v>
      </c>
    </row>
    <row r="12" ht="18" customHeight="1" spans="1:5">
      <c r="A12" s="28">
        <v>11</v>
      </c>
      <c r="B12" s="28">
        <v>234</v>
      </c>
      <c r="C12" s="28">
        <v>12</v>
      </c>
      <c r="D12" s="34" t="s">
        <v>6639</v>
      </c>
      <c r="E12" s="34" t="s">
        <v>6640</v>
      </c>
    </row>
    <row r="13" ht="18" customHeight="1" spans="1:5">
      <c r="A13" s="28">
        <v>12</v>
      </c>
      <c r="B13" s="28">
        <v>234</v>
      </c>
      <c r="C13" s="28">
        <v>1</v>
      </c>
      <c r="D13" s="34" t="s">
        <v>6641</v>
      </c>
      <c r="E13" s="34" t="s">
        <v>6642</v>
      </c>
    </row>
    <row r="14" ht="18" customHeight="1" spans="1:5">
      <c r="A14" s="28">
        <v>13</v>
      </c>
      <c r="B14" s="28">
        <v>234</v>
      </c>
      <c r="C14" s="28">
        <v>2</v>
      </c>
      <c r="D14" s="34" t="s">
        <v>6643</v>
      </c>
      <c r="E14" s="34" t="s">
        <v>6644</v>
      </c>
    </row>
    <row r="15" ht="18" customHeight="1" spans="1:5">
      <c r="A15" s="28">
        <v>14</v>
      </c>
      <c r="B15" s="28">
        <v>630</v>
      </c>
      <c r="C15" s="28">
        <v>12</v>
      </c>
      <c r="D15" s="34" t="s">
        <v>6645</v>
      </c>
      <c r="E15" s="34" t="s">
        <v>6646</v>
      </c>
    </row>
    <row r="16" ht="18" customHeight="1" spans="1:5">
      <c r="A16" s="28">
        <v>15</v>
      </c>
      <c r="B16" s="28">
        <v>630</v>
      </c>
      <c r="C16" s="28">
        <v>2</v>
      </c>
      <c r="D16" s="34" t="s">
        <v>6647</v>
      </c>
      <c r="E16" s="34" t="s">
        <v>6648</v>
      </c>
    </row>
    <row r="17" ht="18" customHeight="1" spans="1:5">
      <c r="A17" s="28">
        <v>16</v>
      </c>
      <c r="B17" s="28">
        <v>1827</v>
      </c>
      <c r="C17" s="28">
        <v>11</v>
      </c>
      <c r="D17" s="34" t="s">
        <v>6649</v>
      </c>
      <c r="E17" s="34" t="s">
        <v>6650</v>
      </c>
    </row>
    <row r="18" ht="18" customHeight="1" spans="1:5">
      <c r="A18" s="28">
        <v>17</v>
      </c>
      <c r="B18" s="28">
        <v>627</v>
      </c>
      <c r="C18" s="28">
        <v>3</v>
      </c>
      <c r="D18" s="34" t="s">
        <v>6651</v>
      </c>
      <c r="E18" s="34" t="s">
        <v>6652</v>
      </c>
    </row>
    <row r="19" ht="18" customHeight="1" spans="1:5">
      <c r="A19" s="28">
        <v>18</v>
      </c>
      <c r="B19" s="28">
        <v>627</v>
      </c>
      <c r="C19" s="28">
        <v>4</v>
      </c>
      <c r="D19" s="34" t="s">
        <v>6653</v>
      </c>
      <c r="E19" s="34" t="s">
        <v>6654</v>
      </c>
    </row>
    <row r="20" ht="18" customHeight="1" spans="1:5">
      <c r="A20" s="28">
        <v>19</v>
      </c>
      <c r="B20" s="28">
        <v>627</v>
      </c>
      <c r="C20" s="28">
        <v>5</v>
      </c>
      <c r="D20" s="34" t="s">
        <v>6655</v>
      </c>
      <c r="E20" s="34" t="s">
        <v>6656</v>
      </c>
    </row>
    <row r="21" ht="18" customHeight="1" spans="1:5">
      <c r="A21" s="28">
        <v>20</v>
      </c>
      <c r="B21" s="28">
        <v>3509</v>
      </c>
      <c r="C21" s="28">
        <v>13</v>
      </c>
      <c r="D21" s="34" t="s">
        <v>6657</v>
      </c>
      <c r="E21" s="34" t="s">
        <v>6658</v>
      </c>
    </row>
    <row r="22" ht="18" customHeight="1" spans="1:5">
      <c r="A22" s="28">
        <v>21</v>
      </c>
      <c r="B22" s="28">
        <v>3509</v>
      </c>
      <c r="C22" s="28">
        <v>4</v>
      </c>
      <c r="D22" s="34" t="s">
        <v>6659</v>
      </c>
      <c r="E22" s="34" t="s">
        <v>6660</v>
      </c>
    </row>
    <row r="23" ht="18" customHeight="1" spans="1:5">
      <c r="A23" s="28">
        <v>22</v>
      </c>
      <c r="B23" s="28">
        <v>3509</v>
      </c>
      <c r="C23" s="28">
        <v>3</v>
      </c>
      <c r="D23" s="34" t="s">
        <v>6661</v>
      </c>
      <c r="E23" s="34" t="s">
        <v>6662</v>
      </c>
    </row>
    <row r="24" ht="18" customHeight="1" spans="1:5">
      <c r="A24" s="28">
        <v>23</v>
      </c>
      <c r="B24" s="28">
        <v>639</v>
      </c>
      <c r="C24" s="28">
        <v>11</v>
      </c>
      <c r="D24" s="34" t="s">
        <v>6663</v>
      </c>
      <c r="E24" s="34" t="s">
        <v>6664</v>
      </c>
    </row>
    <row r="25" ht="18" customHeight="1" spans="1:5">
      <c r="A25" s="28">
        <v>24</v>
      </c>
      <c r="B25" s="28">
        <v>523860</v>
      </c>
      <c r="C25" s="28">
        <v>19</v>
      </c>
      <c r="D25" s="34" t="s">
        <v>6665</v>
      </c>
      <c r="E25" s="34" t="s">
        <v>6666</v>
      </c>
    </row>
    <row r="26" ht="18" customHeight="1" spans="1:5">
      <c r="A26" s="28">
        <v>25</v>
      </c>
      <c r="B26" s="28">
        <v>523861</v>
      </c>
      <c r="C26" s="28">
        <v>19</v>
      </c>
      <c r="D26" s="34" t="s">
        <v>6667</v>
      </c>
      <c r="E26" s="34" t="s">
        <v>6668</v>
      </c>
    </row>
    <row r="27" ht="18" customHeight="1" spans="1:5">
      <c r="A27" s="28">
        <v>26</v>
      </c>
      <c r="B27" s="28">
        <v>523862</v>
      </c>
      <c r="C27" s="28">
        <v>19</v>
      </c>
      <c r="D27" s="34" t="s">
        <v>6669</v>
      </c>
      <c r="E27" s="34" t="s">
        <v>6670</v>
      </c>
    </row>
    <row r="28" ht="18" customHeight="1" spans="1:5">
      <c r="A28" s="28">
        <v>27</v>
      </c>
      <c r="B28" s="28">
        <v>523863</v>
      </c>
      <c r="C28" s="28">
        <v>19</v>
      </c>
      <c r="D28" s="34" t="s">
        <v>6671</v>
      </c>
      <c r="E28" s="34" t="s">
        <v>6672</v>
      </c>
    </row>
    <row r="29" ht="18" customHeight="1" spans="1:5">
      <c r="A29" s="28">
        <v>28</v>
      </c>
      <c r="B29" s="28">
        <v>523864</v>
      </c>
      <c r="C29" s="28">
        <v>19</v>
      </c>
      <c r="D29" s="34" t="s">
        <v>6673</v>
      </c>
      <c r="E29" s="34" t="s">
        <v>6674</v>
      </c>
    </row>
    <row r="30" ht="18" customHeight="1" spans="1:5">
      <c r="A30" s="28">
        <v>29</v>
      </c>
      <c r="B30" s="28">
        <v>523865</v>
      </c>
      <c r="C30" s="28">
        <v>19</v>
      </c>
      <c r="D30" s="34" t="s">
        <v>6675</v>
      </c>
      <c r="E30" s="34" t="s">
        <v>6676</v>
      </c>
    </row>
    <row r="31" ht="18" customHeight="1" spans="1:5">
      <c r="A31" s="28">
        <v>30</v>
      </c>
      <c r="B31" s="28">
        <v>523866</v>
      </c>
      <c r="C31" s="28">
        <v>19</v>
      </c>
      <c r="D31" s="34" t="s">
        <v>6677</v>
      </c>
      <c r="E31" s="34" t="s">
        <v>6678</v>
      </c>
    </row>
    <row r="32" ht="18" customHeight="1" spans="1:5">
      <c r="A32" s="28">
        <v>31</v>
      </c>
      <c r="B32" s="28">
        <v>523867</v>
      </c>
      <c r="C32" s="28">
        <v>19</v>
      </c>
      <c r="D32" s="34" t="s">
        <v>6679</v>
      </c>
      <c r="E32" s="34" t="s">
        <v>6680</v>
      </c>
    </row>
    <row r="33" ht="18" customHeight="1" spans="1:5">
      <c r="A33" s="28">
        <v>32</v>
      </c>
      <c r="B33" s="28">
        <v>523868</v>
      </c>
      <c r="C33" s="28">
        <v>19</v>
      </c>
      <c r="D33" s="34" t="s">
        <v>6681</v>
      </c>
      <c r="E33" s="34" t="s">
        <v>6682</v>
      </c>
    </row>
    <row r="34" ht="18" customHeight="1" spans="1:5">
      <c r="A34" s="28">
        <v>33</v>
      </c>
      <c r="B34" s="28">
        <v>523869</v>
      </c>
      <c r="C34" s="28">
        <v>19</v>
      </c>
      <c r="D34" s="34" t="s">
        <v>6683</v>
      </c>
      <c r="E34" s="34" t="s">
        <v>6684</v>
      </c>
    </row>
    <row r="35" ht="18" customHeight="1" spans="1:5">
      <c r="A35" s="28">
        <v>34</v>
      </c>
      <c r="B35" s="28">
        <v>523870</v>
      </c>
      <c r="C35" s="28">
        <v>19</v>
      </c>
      <c r="D35" s="34" t="s">
        <v>6685</v>
      </c>
      <c r="E35" s="34" t="s">
        <v>6686</v>
      </c>
    </row>
    <row r="36" ht="18" customHeight="1" spans="1:5">
      <c r="A36" s="28">
        <v>35</v>
      </c>
      <c r="B36" s="28">
        <v>523871</v>
      </c>
      <c r="C36" s="28">
        <v>19</v>
      </c>
      <c r="D36" s="34" t="s">
        <v>6687</v>
      </c>
      <c r="E36" s="34" t="s">
        <v>6688</v>
      </c>
    </row>
    <row r="37" ht="18" customHeight="1" spans="1:5">
      <c r="A37" s="28">
        <v>36</v>
      </c>
      <c r="B37" s="28">
        <v>1066</v>
      </c>
      <c r="C37" s="28">
        <v>11</v>
      </c>
      <c r="D37" s="34" t="s">
        <v>6689</v>
      </c>
      <c r="E37" s="34" t="s">
        <v>6690</v>
      </c>
    </row>
    <row r="38" ht="18" customHeight="1" spans="1:5">
      <c r="A38" s="28">
        <v>37</v>
      </c>
      <c r="B38" s="28">
        <v>701</v>
      </c>
      <c r="C38" s="28">
        <v>4</v>
      </c>
      <c r="D38" s="34" t="s">
        <v>6691</v>
      </c>
      <c r="E38" s="34" t="s">
        <v>6692</v>
      </c>
    </row>
    <row r="39" ht="18" customHeight="1" spans="1:5">
      <c r="A39" s="28">
        <v>38</v>
      </c>
      <c r="B39" s="28">
        <v>701</v>
      </c>
      <c r="C39" s="28">
        <v>3</v>
      </c>
      <c r="D39" s="34" t="s">
        <v>6693</v>
      </c>
      <c r="E39" s="34" t="s">
        <v>6694</v>
      </c>
    </row>
    <row r="40" ht="18" customHeight="1" spans="1:5">
      <c r="A40" s="28">
        <v>39</v>
      </c>
      <c r="B40" s="28">
        <v>701</v>
      </c>
      <c r="C40" s="28">
        <v>5</v>
      </c>
      <c r="D40" s="34" t="s">
        <v>6695</v>
      </c>
      <c r="E40" s="34" t="s">
        <v>6696</v>
      </c>
    </row>
    <row r="41" ht="18" customHeight="1" spans="1:5">
      <c r="A41" s="28">
        <v>40</v>
      </c>
      <c r="B41" s="28">
        <v>701</v>
      </c>
      <c r="C41" s="28">
        <v>6</v>
      </c>
      <c r="D41" s="34" t="s">
        <v>6697</v>
      </c>
      <c r="E41" s="34" t="s">
        <v>6698</v>
      </c>
    </row>
    <row r="42" ht="18" customHeight="1" spans="1:5">
      <c r="A42" s="28">
        <v>41</v>
      </c>
      <c r="B42" s="28">
        <v>701</v>
      </c>
      <c r="C42" s="28">
        <v>1</v>
      </c>
      <c r="D42" s="34" t="s">
        <v>6699</v>
      </c>
      <c r="E42" s="34" t="s">
        <v>6700</v>
      </c>
    </row>
    <row r="43" ht="18" customHeight="1" spans="1:5">
      <c r="A43" s="28">
        <v>42</v>
      </c>
      <c r="B43" s="28">
        <v>702</v>
      </c>
      <c r="C43" s="28">
        <v>4</v>
      </c>
      <c r="D43" s="34" t="s">
        <v>6701</v>
      </c>
      <c r="E43" s="34" t="s">
        <v>6702</v>
      </c>
    </row>
    <row r="44" ht="18" customHeight="1" spans="1:5">
      <c r="A44" s="28">
        <v>43</v>
      </c>
      <c r="B44" s="28">
        <v>702</v>
      </c>
      <c r="C44" s="28">
        <v>3</v>
      </c>
      <c r="D44" s="34" t="s">
        <v>6703</v>
      </c>
      <c r="E44" s="34" t="s">
        <v>6704</v>
      </c>
    </row>
    <row r="45" ht="18" customHeight="1" spans="1:5">
      <c r="A45" s="28">
        <v>44</v>
      </c>
      <c r="B45" s="28">
        <v>702</v>
      </c>
      <c r="C45" s="28">
        <v>5</v>
      </c>
      <c r="D45" s="34" t="s">
        <v>6705</v>
      </c>
      <c r="E45" s="34" t="s">
        <v>6706</v>
      </c>
    </row>
    <row r="46" ht="18" customHeight="1" spans="1:5">
      <c r="A46" s="28">
        <v>45</v>
      </c>
      <c r="B46" s="28">
        <v>702</v>
      </c>
      <c r="C46" s="28">
        <v>6</v>
      </c>
      <c r="D46" s="34" t="s">
        <v>6707</v>
      </c>
      <c r="E46" s="34" t="s">
        <v>6708</v>
      </c>
    </row>
    <row r="47" ht="18" customHeight="1" spans="1:5">
      <c r="A47" s="28">
        <v>46</v>
      </c>
      <c r="B47" s="28">
        <v>702</v>
      </c>
      <c r="C47" s="28">
        <v>1</v>
      </c>
      <c r="D47" s="34" t="s">
        <v>6709</v>
      </c>
      <c r="E47" s="34" t="s">
        <v>6710</v>
      </c>
    </row>
    <row r="48" ht="18" customHeight="1" spans="1:5">
      <c r="A48" s="28">
        <v>47</v>
      </c>
      <c r="B48" s="28">
        <v>713</v>
      </c>
      <c r="C48" s="28">
        <v>4</v>
      </c>
      <c r="D48" s="34" t="s">
        <v>6711</v>
      </c>
      <c r="E48" s="34" t="s">
        <v>6712</v>
      </c>
    </row>
    <row r="49" ht="18" customHeight="1" spans="1:5">
      <c r="A49" s="28">
        <v>48</v>
      </c>
      <c r="B49" s="28">
        <v>713</v>
      </c>
      <c r="C49" s="28">
        <v>3</v>
      </c>
      <c r="D49" s="34" t="s">
        <v>6713</v>
      </c>
      <c r="E49" s="34" t="s">
        <v>6714</v>
      </c>
    </row>
    <row r="50" ht="18" customHeight="1" spans="1:5">
      <c r="A50" s="28">
        <v>49</v>
      </c>
      <c r="B50" s="28">
        <v>713</v>
      </c>
      <c r="C50" s="28">
        <v>5</v>
      </c>
      <c r="D50" s="34" t="s">
        <v>6715</v>
      </c>
      <c r="E50" s="34" t="s">
        <v>6716</v>
      </c>
    </row>
    <row r="51" ht="18" customHeight="1" spans="1:5">
      <c r="A51" s="28">
        <v>50</v>
      </c>
      <c r="B51" s="28">
        <v>713</v>
      </c>
      <c r="C51" s="28">
        <v>6</v>
      </c>
      <c r="D51" s="34" t="s">
        <v>6717</v>
      </c>
      <c r="E51" s="34" t="s">
        <v>6718</v>
      </c>
    </row>
    <row r="52" ht="18" customHeight="1" spans="1:5">
      <c r="A52" s="28">
        <v>51</v>
      </c>
      <c r="B52" s="28">
        <v>713</v>
      </c>
      <c r="C52" s="28">
        <v>1</v>
      </c>
      <c r="D52" s="34" t="s">
        <v>6719</v>
      </c>
      <c r="E52" s="34" t="s">
        <v>6720</v>
      </c>
    </row>
    <row r="53" ht="18" customHeight="1" spans="1:5">
      <c r="A53" s="28">
        <v>52</v>
      </c>
      <c r="B53" s="28">
        <v>3840</v>
      </c>
      <c r="C53" s="28">
        <v>11</v>
      </c>
      <c r="D53" s="34" t="s">
        <v>6721</v>
      </c>
      <c r="E53" s="34" t="s">
        <v>6722</v>
      </c>
    </row>
    <row r="54" ht="18" customHeight="1" spans="1:5">
      <c r="A54" s="28">
        <v>53</v>
      </c>
      <c r="B54" s="28">
        <v>3840</v>
      </c>
      <c r="C54" s="28">
        <v>13</v>
      </c>
      <c r="D54" s="34" t="s">
        <v>6723</v>
      </c>
      <c r="E54" s="34" t="s">
        <v>6724</v>
      </c>
    </row>
    <row r="55" ht="18" customHeight="1" spans="1:5">
      <c r="A55" s="28">
        <v>54</v>
      </c>
      <c r="B55" s="28">
        <v>3840</v>
      </c>
      <c r="C55" s="28">
        <v>12</v>
      </c>
      <c r="D55" s="34" t="s">
        <v>6725</v>
      </c>
      <c r="E55" s="34" t="s">
        <v>6726</v>
      </c>
    </row>
    <row r="56" ht="18" customHeight="1" spans="1:5">
      <c r="A56" s="28">
        <v>55</v>
      </c>
      <c r="B56" s="28">
        <v>3841</v>
      </c>
      <c r="C56" s="28">
        <v>11</v>
      </c>
      <c r="D56" s="34" t="s">
        <v>6727</v>
      </c>
      <c r="E56" s="34" t="s">
        <v>6728</v>
      </c>
    </row>
    <row r="57" ht="18" customHeight="1" spans="1:5">
      <c r="A57" s="28">
        <v>56</v>
      </c>
      <c r="B57" s="28">
        <v>3841</v>
      </c>
      <c r="C57" s="28">
        <v>13</v>
      </c>
      <c r="D57" s="34" t="s">
        <v>6729</v>
      </c>
      <c r="E57" s="34" t="s">
        <v>6730</v>
      </c>
    </row>
    <row r="58" ht="18" customHeight="1" spans="1:5">
      <c r="A58" s="28">
        <v>57</v>
      </c>
      <c r="B58" s="28">
        <v>3841</v>
      </c>
      <c r="C58" s="28">
        <v>12</v>
      </c>
      <c r="D58" s="34" t="s">
        <v>6731</v>
      </c>
      <c r="E58" s="34" t="s">
        <v>6732</v>
      </c>
    </row>
    <row r="59" ht="18" customHeight="1" spans="1:5">
      <c r="A59" s="28">
        <v>58</v>
      </c>
      <c r="B59" s="28">
        <v>523880</v>
      </c>
      <c r="C59" s="28">
        <v>2</v>
      </c>
      <c r="D59" s="34" t="s">
        <v>6733</v>
      </c>
      <c r="E59" s="34" t="s">
        <v>6734</v>
      </c>
    </row>
    <row r="60" ht="18" customHeight="1" spans="1:5">
      <c r="A60" s="28">
        <v>59</v>
      </c>
      <c r="B60" s="28">
        <v>3039</v>
      </c>
      <c r="C60" s="28">
        <v>31</v>
      </c>
      <c r="D60" s="34" t="s">
        <v>6735</v>
      </c>
      <c r="E60" s="34" t="s">
        <v>6736</v>
      </c>
    </row>
    <row r="61" ht="18" customHeight="1" spans="1:5">
      <c r="A61" s="28">
        <v>60</v>
      </c>
      <c r="B61" s="28">
        <v>1742</v>
      </c>
      <c r="C61" s="28">
        <v>31</v>
      </c>
      <c r="D61" s="34" t="s">
        <v>6735</v>
      </c>
      <c r="E61" s="34" t="s">
        <v>6737</v>
      </c>
    </row>
    <row r="62" ht="18" customHeight="1" spans="1:5">
      <c r="A62" s="28">
        <v>61</v>
      </c>
      <c r="B62" s="28">
        <v>1753</v>
      </c>
      <c r="C62" s="28">
        <v>31</v>
      </c>
      <c r="D62" s="34" t="s">
        <v>6735</v>
      </c>
      <c r="E62" s="34" t="s">
        <v>6738</v>
      </c>
    </row>
    <row r="63" ht="18" customHeight="1" spans="1:5">
      <c r="A63" s="28">
        <v>62</v>
      </c>
      <c r="B63" s="28">
        <v>1741</v>
      </c>
      <c r="C63" s="28">
        <v>15</v>
      </c>
      <c r="D63" s="34" t="s">
        <v>6735</v>
      </c>
      <c r="E63" s="34" t="s">
        <v>6739</v>
      </c>
    </row>
    <row r="64" ht="18" customHeight="1" spans="1:5">
      <c r="A64" s="28">
        <v>63</v>
      </c>
      <c r="B64" s="28">
        <v>521121</v>
      </c>
      <c r="C64" s="28">
        <v>15</v>
      </c>
      <c r="D64" s="34" t="s">
        <v>6740</v>
      </c>
      <c r="E64" s="34" t="s">
        <v>6741</v>
      </c>
    </row>
    <row r="65" ht="18" customHeight="1" spans="1:5">
      <c r="A65" s="28">
        <v>65</v>
      </c>
      <c r="B65" s="28">
        <v>521122</v>
      </c>
      <c r="C65" s="28">
        <v>15</v>
      </c>
      <c r="D65" s="34" t="s">
        <v>6742</v>
      </c>
      <c r="E65" s="34" t="s">
        <v>6743</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workbookViewId="0">
      <selection activeCell="A1" sqref="A1:E1"/>
    </sheetView>
  </sheetViews>
  <sheetFormatPr defaultColWidth="9" defaultRowHeight="13.5" outlineLevelCol="4"/>
  <cols>
    <col min="1" max="1" width="8.875" style="27"/>
    <col min="2" max="2" width="31.5" style="27" customWidth="1"/>
    <col min="3" max="3" width="7.5" style="27" customWidth="1"/>
    <col min="4" max="4" width="4.875" style="27" customWidth="1"/>
    <col min="5" max="5" width="50.125" style="27" customWidth="1"/>
  </cols>
  <sheetData>
    <row r="1" spans="1:5">
      <c r="A1" s="9" t="s">
        <v>6744</v>
      </c>
      <c r="B1" s="9" t="s">
        <v>101</v>
      </c>
      <c r="C1" s="9" t="s">
        <v>102</v>
      </c>
      <c r="D1" s="10" t="s">
        <v>103</v>
      </c>
      <c r="E1" s="10" t="s">
        <v>6745</v>
      </c>
    </row>
    <row r="2" spans="1:5">
      <c r="A2" s="28">
        <v>1</v>
      </c>
      <c r="B2" s="28" t="s">
        <v>6746</v>
      </c>
      <c r="C2" s="28">
        <v>274430</v>
      </c>
      <c r="D2" s="28">
        <v>11</v>
      </c>
      <c r="E2" s="28" t="s">
        <v>6747</v>
      </c>
    </row>
    <row r="3" spans="1:5">
      <c r="A3" s="28">
        <v>2</v>
      </c>
      <c r="B3" s="28" t="s">
        <v>6748</v>
      </c>
      <c r="C3" s="28">
        <v>274430</v>
      </c>
      <c r="D3" s="28">
        <v>2</v>
      </c>
      <c r="E3" s="28" t="s">
        <v>6749</v>
      </c>
    </row>
    <row r="4" spans="1:5">
      <c r="A4" s="28">
        <v>3</v>
      </c>
      <c r="B4" s="28" t="s">
        <v>6750</v>
      </c>
      <c r="C4" s="28">
        <v>274222</v>
      </c>
      <c r="D4" s="28">
        <v>3</v>
      </c>
      <c r="E4" s="28" t="s">
        <v>6751</v>
      </c>
    </row>
    <row r="5" spans="1:5">
      <c r="A5" s="28">
        <v>4</v>
      </c>
      <c r="B5" s="28" t="s">
        <v>6752</v>
      </c>
      <c r="C5" s="28">
        <v>274210</v>
      </c>
      <c r="D5" s="28">
        <v>3</v>
      </c>
      <c r="E5" s="28" t="s">
        <v>6753</v>
      </c>
    </row>
    <row r="6" spans="1:5">
      <c r="A6" s="28">
        <v>5</v>
      </c>
      <c r="B6" s="28" t="s">
        <v>6754</v>
      </c>
      <c r="C6" s="28">
        <v>274210</v>
      </c>
      <c r="D6" s="28">
        <v>6</v>
      </c>
      <c r="E6" s="28" t="s">
        <v>6755</v>
      </c>
    </row>
    <row r="7" spans="1:5">
      <c r="A7" s="28">
        <v>6</v>
      </c>
      <c r="B7" s="28" t="s">
        <v>6756</v>
      </c>
      <c r="C7" s="28">
        <v>274223</v>
      </c>
      <c r="D7" s="28">
        <v>3</v>
      </c>
      <c r="E7" s="28" t="s">
        <v>6757</v>
      </c>
    </row>
    <row r="8" spans="1:5">
      <c r="A8" s="28">
        <v>7</v>
      </c>
      <c r="B8" s="28" t="s">
        <v>6758</v>
      </c>
      <c r="C8" s="28">
        <v>274224</v>
      </c>
      <c r="D8" s="28">
        <v>3</v>
      </c>
      <c r="E8" s="28" t="s">
        <v>6759</v>
      </c>
    </row>
    <row r="9" spans="1:5">
      <c r="A9" s="28">
        <v>8</v>
      </c>
      <c r="B9" s="28" t="s">
        <v>6760</v>
      </c>
      <c r="C9" s="28">
        <v>274192</v>
      </c>
      <c r="D9" s="28">
        <v>6</v>
      </c>
      <c r="E9" s="28" t="s">
        <v>6761</v>
      </c>
    </row>
    <row r="10" spans="1:5">
      <c r="A10" s="28">
        <v>9</v>
      </c>
      <c r="B10" s="28" t="s">
        <v>6762</v>
      </c>
      <c r="C10" s="28">
        <v>274192</v>
      </c>
      <c r="D10" s="28">
        <v>5</v>
      </c>
      <c r="E10" s="28" t="s">
        <v>6763</v>
      </c>
    </row>
    <row r="11" spans="1:5">
      <c r="A11" s="28">
        <v>10</v>
      </c>
      <c r="B11" s="28" t="s">
        <v>6764</v>
      </c>
      <c r="C11" s="28">
        <v>274192</v>
      </c>
      <c r="D11" s="28">
        <v>4</v>
      </c>
      <c r="E11" s="28" t="s">
        <v>6765</v>
      </c>
    </row>
    <row r="12" spans="1:5">
      <c r="A12" s="28">
        <v>11</v>
      </c>
      <c r="B12" s="28" t="s">
        <v>6766</v>
      </c>
      <c r="C12" s="28">
        <v>274195</v>
      </c>
      <c r="D12" s="28">
        <v>6</v>
      </c>
      <c r="E12" s="28" t="s">
        <v>6767</v>
      </c>
    </row>
    <row r="13" spans="1:5">
      <c r="A13" s="28">
        <v>12</v>
      </c>
      <c r="B13" s="28" t="s">
        <v>6768</v>
      </c>
      <c r="C13" s="28">
        <v>274195</v>
      </c>
      <c r="D13" s="28">
        <v>5</v>
      </c>
      <c r="E13" s="28" t="s">
        <v>6769</v>
      </c>
    </row>
    <row r="14" spans="1:5">
      <c r="A14" s="28">
        <v>13</v>
      </c>
      <c r="B14" s="28" t="s">
        <v>6770</v>
      </c>
      <c r="C14" s="28">
        <v>274195</v>
      </c>
      <c r="D14" s="28">
        <v>4</v>
      </c>
      <c r="E14" s="28" t="s">
        <v>6771</v>
      </c>
    </row>
    <row r="15" spans="1:5">
      <c r="A15" s="28">
        <v>14</v>
      </c>
      <c r="B15" s="28" t="s">
        <v>6772</v>
      </c>
      <c r="C15" s="28">
        <v>274194</v>
      </c>
      <c r="D15" s="28">
        <v>6</v>
      </c>
      <c r="E15" s="28" t="s">
        <v>6773</v>
      </c>
    </row>
    <row r="16" spans="1:5">
      <c r="A16" s="28">
        <v>15</v>
      </c>
      <c r="B16" s="28" t="s">
        <v>6774</v>
      </c>
      <c r="C16" s="28">
        <v>274194</v>
      </c>
      <c r="D16" s="28">
        <v>5</v>
      </c>
      <c r="E16" s="28" t="s">
        <v>6775</v>
      </c>
    </row>
    <row r="17" spans="1:5">
      <c r="A17" s="28">
        <v>16</v>
      </c>
      <c r="B17" s="28" t="s">
        <v>6776</v>
      </c>
      <c r="C17" s="28">
        <v>274194</v>
      </c>
      <c r="D17" s="28">
        <v>4</v>
      </c>
      <c r="E17" s="28" t="s">
        <v>6777</v>
      </c>
    </row>
    <row r="18" spans="1:5">
      <c r="A18" s="28">
        <v>17</v>
      </c>
      <c r="B18" s="28" t="s">
        <v>6778</v>
      </c>
      <c r="C18" s="28">
        <v>274198</v>
      </c>
      <c r="D18" s="28">
        <v>6</v>
      </c>
      <c r="E18" s="28" t="s">
        <v>6779</v>
      </c>
    </row>
    <row r="19" spans="1:5">
      <c r="A19" s="28">
        <v>18</v>
      </c>
      <c r="B19" s="28" t="s">
        <v>6780</v>
      </c>
      <c r="C19" s="28">
        <v>274198</v>
      </c>
      <c r="D19" s="28">
        <v>3</v>
      </c>
      <c r="E19" s="28" t="s">
        <v>6781</v>
      </c>
    </row>
    <row r="20" spans="1:5">
      <c r="A20" s="28">
        <v>19</v>
      </c>
      <c r="B20" s="28" t="s">
        <v>6782</v>
      </c>
      <c r="C20" s="28">
        <v>274198</v>
      </c>
      <c r="D20" s="28">
        <v>5</v>
      </c>
      <c r="E20" s="28" t="s">
        <v>6783</v>
      </c>
    </row>
    <row r="21" spans="1:5">
      <c r="A21" s="28">
        <v>20</v>
      </c>
      <c r="B21" s="28" t="s">
        <v>6784</v>
      </c>
      <c r="C21" s="28">
        <v>274201</v>
      </c>
      <c r="D21" s="28">
        <v>6</v>
      </c>
      <c r="E21" s="28" t="s">
        <v>6785</v>
      </c>
    </row>
    <row r="22" spans="1:5">
      <c r="A22" s="28">
        <v>21</v>
      </c>
      <c r="B22" s="28" t="s">
        <v>6786</v>
      </c>
      <c r="C22" s="28">
        <v>274201</v>
      </c>
      <c r="D22" s="28">
        <v>3</v>
      </c>
      <c r="E22" s="28" t="s">
        <v>6787</v>
      </c>
    </row>
    <row r="23" spans="1:5">
      <c r="A23" s="28">
        <v>22</v>
      </c>
      <c r="B23" s="28" t="s">
        <v>6788</v>
      </c>
      <c r="C23" s="28">
        <v>274201</v>
      </c>
      <c r="D23" s="28">
        <v>5</v>
      </c>
      <c r="E23" s="28" t="s">
        <v>6789</v>
      </c>
    </row>
    <row r="24" spans="1:5">
      <c r="A24" s="28">
        <v>23</v>
      </c>
      <c r="B24" s="28" t="s">
        <v>6790</v>
      </c>
      <c r="C24" s="28">
        <v>274200</v>
      </c>
      <c r="D24" s="28">
        <v>6</v>
      </c>
      <c r="E24" s="28" t="s">
        <v>6791</v>
      </c>
    </row>
    <row r="25" spans="1:5">
      <c r="A25" s="28">
        <v>24</v>
      </c>
      <c r="B25" s="28" t="s">
        <v>6792</v>
      </c>
      <c r="C25" s="28">
        <v>274200</v>
      </c>
      <c r="D25" s="28">
        <v>3</v>
      </c>
      <c r="E25" s="28" t="s">
        <v>6793</v>
      </c>
    </row>
    <row r="26" spans="1:5">
      <c r="A26" s="28">
        <v>25</v>
      </c>
      <c r="B26" s="28" t="s">
        <v>6794</v>
      </c>
      <c r="C26" s="28">
        <v>274200</v>
      </c>
      <c r="D26" s="28">
        <v>5</v>
      </c>
      <c r="E26" s="28" t="s">
        <v>6795</v>
      </c>
    </row>
    <row r="27" spans="1:5">
      <c r="A27" s="28">
        <v>26</v>
      </c>
      <c r="B27" s="28" t="s">
        <v>6796</v>
      </c>
      <c r="C27" s="28">
        <v>274203</v>
      </c>
      <c r="D27" s="28">
        <v>6</v>
      </c>
      <c r="E27" s="28" t="s">
        <v>6797</v>
      </c>
    </row>
    <row r="28" spans="1:5">
      <c r="A28" s="28">
        <v>27</v>
      </c>
      <c r="B28" s="28" t="s">
        <v>6798</v>
      </c>
      <c r="C28" s="28">
        <v>274203</v>
      </c>
      <c r="D28" s="28">
        <v>3</v>
      </c>
      <c r="E28" s="28" t="s">
        <v>6799</v>
      </c>
    </row>
    <row r="29" spans="1:5">
      <c r="A29" s="28">
        <v>28</v>
      </c>
      <c r="B29" s="28" t="s">
        <v>6800</v>
      </c>
      <c r="C29" s="28">
        <v>274203</v>
      </c>
      <c r="D29" s="28">
        <v>5</v>
      </c>
      <c r="E29" s="28" t="s">
        <v>6801</v>
      </c>
    </row>
    <row r="30" spans="1:5">
      <c r="A30" s="28">
        <v>29</v>
      </c>
      <c r="B30" s="28" t="s">
        <v>6802</v>
      </c>
      <c r="C30" s="28">
        <v>274202</v>
      </c>
      <c r="D30" s="28">
        <v>6</v>
      </c>
      <c r="E30" s="28" t="s">
        <v>6803</v>
      </c>
    </row>
    <row r="31" spans="1:5">
      <c r="A31" s="28">
        <v>30</v>
      </c>
      <c r="B31" s="28" t="s">
        <v>6804</v>
      </c>
      <c r="C31" s="28">
        <v>274202</v>
      </c>
      <c r="D31" s="28">
        <v>3</v>
      </c>
      <c r="E31" s="28" t="s">
        <v>6805</v>
      </c>
    </row>
    <row r="32" spans="1:5">
      <c r="A32" s="28">
        <v>31</v>
      </c>
      <c r="B32" s="28" t="s">
        <v>6806</v>
      </c>
      <c r="C32" s="28">
        <v>274202</v>
      </c>
      <c r="D32" s="28">
        <v>5</v>
      </c>
      <c r="E32" s="28" t="s">
        <v>6807</v>
      </c>
    </row>
    <row r="33" spans="1:5">
      <c r="A33" s="28">
        <v>32</v>
      </c>
      <c r="B33" s="28" t="s">
        <v>6808</v>
      </c>
      <c r="C33" s="28">
        <v>274204</v>
      </c>
      <c r="D33" s="28">
        <v>6</v>
      </c>
      <c r="E33" s="28" t="s">
        <v>6809</v>
      </c>
    </row>
    <row r="34" spans="1:5">
      <c r="A34" s="28">
        <v>33</v>
      </c>
      <c r="B34" s="28" t="s">
        <v>6810</v>
      </c>
      <c r="C34" s="28">
        <v>274204</v>
      </c>
      <c r="D34" s="28">
        <v>3</v>
      </c>
      <c r="E34" s="28" t="s">
        <v>6811</v>
      </c>
    </row>
    <row r="35" spans="1:5">
      <c r="A35" s="28">
        <v>34</v>
      </c>
      <c r="B35" s="28" t="s">
        <v>6812</v>
      </c>
      <c r="C35" s="28">
        <v>274204</v>
      </c>
      <c r="D35" s="28">
        <v>5</v>
      </c>
      <c r="E35" s="28" t="s">
        <v>6813</v>
      </c>
    </row>
    <row r="36" spans="1:5">
      <c r="A36" s="28">
        <v>35</v>
      </c>
      <c r="B36" s="28" t="s">
        <v>6814</v>
      </c>
      <c r="C36" s="28">
        <v>274177</v>
      </c>
      <c r="D36" s="28">
        <v>6</v>
      </c>
      <c r="E36" s="28" t="s">
        <v>6815</v>
      </c>
    </row>
    <row r="37" spans="1:5">
      <c r="A37" s="28">
        <v>36</v>
      </c>
      <c r="B37" s="28" t="s">
        <v>6816</v>
      </c>
      <c r="C37" s="28">
        <v>274177</v>
      </c>
      <c r="D37" s="28">
        <v>3</v>
      </c>
      <c r="E37" s="28" t="s">
        <v>6817</v>
      </c>
    </row>
    <row r="38" spans="1:5">
      <c r="A38" s="28">
        <v>37</v>
      </c>
      <c r="B38" s="28" t="s">
        <v>6818</v>
      </c>
      <c r="C38" s="28">
        <v>274177</v>
      </c>
      <c r="D38" s="28">
        <v>5</v>
      </c>
      <c r="E38" s="28" t="s">
        <v>6819</v>
      </c>
    </row>
    <row r="39" spans="1:5">
      <c r="A39" s="28">
        <v>38</v>
      </c>
      <c r="B39" s="28" t="s">
        <v>6820</v>
      </c>
      <c r="C39" s="28">
        <v>274180</v>
      </c>
      <c r="D39" s="28">
        <v>6</v>
      </c>
      <c r="E39" s="28" t="s">
        <v>6821</v>
      </c>
    </row>
    <row r="40" spans="1:5">
      <c r="A40" s="28">
        <v>39</v>
      </c>
      <c r="B40" s="28" t="s">
        <v>6822</v>
      </c>
      <c r="C40" s="28">
        <v>274180</v>
      </c>
      <c r="D40" s="28">
        <v>3</v>
      </c>
      <c r="E40" s="28" t="s">
        <v>6823</v>
      </c>
    </row>
    <row r="41" spans="1:5">
      <c r="A41" s="28">
        <v>40</v>
      </c>
      <c r="B41" s="28" t="s">
        <v>6824</v>
      </c>
      <c r="C41" s="28">
        <v>274180</v>
      </c>
      <c r="D41" s="28">
        <v>5</v>
      </c>
      <c r="E41" s="28" t="s">
        <v>6825</v>
      </c>
    </row>
    <row r="42" spans="1:5">
      <c r="A42" s="28">
        <v>41</v>
      </c>
      <c r="B42" s="28" t="s">
        <v>6826</v>
      </c>
      <c r="C42" s="28">
        <v>274183</v>
      </c>
      <c r="D42" s="28">
        <v>6</v>
      </c>
      <c r="E42" s="28" t="s">
        <v>6827</v>
      </c>
    </row>
    <row r="43" spans="1:5">
      <c r="A43" s="28">
        <v>42</v>
      </c>
      <c r="B43" s="28" t="s">
        <v>6828</v>
      </c>
      <c r="C43" s="28">
        <v>274183</v>
      </c>
      <c r="D43" s="28">
        <v>3</v>
      </c>
      <c r="E43" s="28" t="s">
        <v>6829</v>
      </c>
    </row>
    <row r="44" spans="1:5">
      <c r="A44" s="28">
        <v>43</v>
      </c>
      <c r="B44" s="28" t="s">
        <v>6830</v>
      </c>
      <c r="C44" s="28">
        <v>274183</v>
      </c>
      <c r="D44" s="28">
        <v>5</v>
      </c>
      <c r="E44" s="28" t="s">
        <v>6831</v>
      </c>
    </row>
    <row r="45" spans="1:5">
      <c r="A45" s="28">
        <v>44</v>
      </c>
      <c r="B45" s="28" t="s">
        <v>6832</v>
      </c>
      <c r="C45" s="28">
        <v>274179</v>
      </c>
      <c r="D45" s="28">
        <v>6</v>
      </c>
      <c r="E45" s="28" t="s">
        <v>6833</v>
      </c>
    </row>
    <row r="46" spans="1:5">
      <c r="A46" s="28">
        <v>45</v>
      </c>
      <c r="B46" s="28" t="s">
        <v>6834</v>
      </c>
      <c r="C46" s="28">
        <v>274179</v>
      </c>
      <c r="D46" s="28">
        <v>3</v>
      </c>
      <c r="E46" s="28" t="s">
        <v>6835</v>
      </c>
    </row>
    <row r="47" spans="1:5">
      <c r="A47" s="28">
        <v>46</v>
      </c>
      <c r="B47" s="28" t="s">
        <v>6836</v>
      </c>
      <c r="C47" s="28">
        <v>274179</v>
      </c>
      <c r="D47" s="28">
        <v>5</v>
      </c>
      <c r="E47" s="28" t="s">
        <v>6837</v>
      </c>
    </row>
    <row r="48" spans="1:5">
      <c r="A48" s="28">
        <v>47</v>
      </c>
      <c r="B48" s="28" t="s">
        <v>6838</v>
      </c>
      <c r="C48" s="28">
        <v>274182</v>
      </c>
      <c r="D48" s="28">
        <v>6</v>
      </c>
      <c r="E48" s="28" t="s">
        <v>6839</v>
      </c>
    </row>
    <row r="49" spans="1:5">
      <c r="A49" s="28">
        <v>48</v>
      </c>
      <c r="B49" s="28" t="s">
        <v>6840</v>
      </c>
      <c r="C49" s="28">
        <v>274182</v>
      </c>
      <c r="D49" s="28">
        <v>3</v>
      </c>
      <c r="E49" s="28" t="s">
        <v>6841</v>
      </c>
    </row>
    <row r="50" spans="1:5">
      <c r="A50" s="28">
        <v>49</v>
      </c>
      <c r="B50" s="28" t="s">
        <v>6842</v>
      </c>
      <c r="C50" s="28">
        <v>274182</v>
      </c>
      <c r="D50" s="28">
        <v>5</v>
      </c>
      <c r="E50" s="28" t="s">
        <v>6843</v>
      </c>
    </row>
    <row r="51" spans="1:5">
      <c r="A51" s="28">
        <v>50</v>
      </c>
      <c r="B51" s="28" t="s">
        <v>6844</v>
      </c>
      <c r="C51" s="28">
        <v>274181</v>
      </c>
      <c r="D51" s="28">
        <v>6</v>
      </c>
      <c r="E51" s="28" t="s">
        <v>6845</v>
      </c>
    </row>
    <row r="52" spans="1:5">
      <c r="A52" s="28">
        <v>51</v>
      </c>
      <c r="B52" s="28" t="s">
        <v>6846</v>
      </c>
      <c r="C52" s="28">
        <v>274181</v>
      </c>
      <c r="D52" s="28">
        <v>3</v>
      </c>
      <c r="E52" s="28" t="s">
        <v>6847</v>
      </c>
    </row>
    <row r="53" spans="1:5">
      <c r="A53" s="28">
        <v>52</v>
      </c>
      <c r="B53" s="28" t="s">
        <v>6848</v>
      </c>
      <c r="C53" s="28">
        <v>274181</v>
      </c>
      <c r="D53" s="28">
        <v>5</v>
      </c>
      <c r="E53" s="28" t="s">
        <v>6849</v>
      </c>
    </row>
    <row r="54" spans="1:5">
      <c r="A54" s="28">
        <v>53</v>
      </c>
      <c r="B54" s="28" t="s">
        <v>6850</v>
      </c>
      <c r="C54" s="28">
        <v>274219</v>
      </c>
      <c r="D54" s="28">
        <v>6</v>
      </c>
      <c r="E54" s="28" t="s">
        <v>6851</v>
      </c>
    </row>
    <row r="55" spans="1:5">
      <c r="A55" s="28">
        <v>54</v>
      </c>
      <c r="B55" s="28" t="s">
        <v>6852</v>
      </c>
      <c r="C55" s="28">
        <v>274219</v>
      </c>
      <c r="D55" s="28">
        <v>3</v>
      </c>
      <c r="E55" s="28" t="s">
        <v>6853</v>
      </c>
    </row>
    <row r="56" spans="1:5">
      <c r="A56" s="28">
        <v>55</v>
      </c>
      <c r="B56" s="28" t="s">
        <v>6854</v>
      </c>
      <c r="C56" s="28">
        <v>274219</v>
      </c>
      <c r="D56" s="28">
        <v>5</v>
      </c>
      <c r="E56" s="28" t="s">
        <v>6855</v>
      </c>
    </row>
    <row r="57" spans="1:5">
      <c r="A57" s="28">
        <v>56</v>
      </c>
      <c r="B57" s="28" t="s">
        <v>6856</v>
      </c>
      <c r="C57" s="28">
        <v>274186</v>
      </c>
      <c r="D57" s="28">
        <v>6</v>
      </c>
      <c r="E57" s="28" t="s">
        <v>6857</v>
      </c>
    </row>
    <row r="58" spans="1:5">
      <c r="A58" s="28">
        <v>57</v>
      </c>
      <c r="B58" s="28" t="s">
        <v>6858</v>
      </c>
      <c r="C58" s="28">
        <v>274186</v>
      </c>
      <c r="D58" s="28">
        <v>3</v>
      </c>
      <c r="E58" s="28" t="s">
        <v>6859</v>
      </c>
    </row>
    <row r="59" spans="1:5">
      <c r="A59" s="28">
        <v>58</v>
      </c>
      <c r="B59" s="28" t="s">
        <v>6860</v>
      </c>
      <c r="C59" s="28">
        <v>274186</v>
      </c>
      <c r="D59" s="28">
        <v>5</v>
      </c>
      <c r="E59" s="28" t="s">
        <v>6861</v>
      </c>
    </row>
    <row r="60" spans="1:5">
      <c r="A60" s="28">
        <v>59</v>
      </c>
      <c r="B60" s="28" t="s">
        <v>6862</v>
      </c>
      <c r="C60" s="28">
        <v>274237</v>
      </c>
      <c r="D60" s="28">
        <v>9</v>
      </c>
      <c r="E60" s="28" t="s">
        <v>6863</v>
      </c>
    </row>
    <row r="61" spans="1:5">
      <c r="A61" s="28">
        <v>60</v>
      </c>
      <c r="B61" s="28" t="s">
        <v>6864</v>
      </c>
      <c r="C61" s="28">
        <v>274244</v>
      </c>
      <c r="D61" s="28">
        <v>9</v>
      </c>
      <c r="E61" s="28" t="s">
        <v>6865</v>
      </c>
    </row>
    <row r="62" spans="1:5">
      <c r="A62" s="28">
        <v>61</v>
      </c>
      <c r="B62" s="28" t="s">
        <v>6866</v>
      </c>
      <c r="C62" s="28">
        <v>274251</v>
      </c>
      <c r="D62" s="28">
        <v>9</v>
      </c>
      <c r="E62" s="28" t="s">
        <v>6867</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F35" sqref="F35"/>
    </sheetView>
  </sheetViews>
  <sheetFormatPr defaultColWidth="9" defaultRowHeight="13.5" outlineLevelCol="6"/>
  <cols>
    <col min="2" max="2" width="30.75" customWidth="1"/>
    <col min="3" max="3" width="11.625" customWidth="1"/>
    <col min="6" max="6" width="49" customWidth="1"/>
    <col min="7" max="7" width="23.25" customWidth="1"/>
  </cols>
  <sheetData>
    <row r="1" ht="28.9" customHeight="1" spans="1:6">
      <c r="A1" s="9" t="s">
        <v>6744</v>
      </c>
      <c r="B1" s="9" t="s">
        <v>101</v>
      </c>
      <c r="C1" s="9" t="s">
        <v>113</v>
      </c>
      <c r="D1" s="9" t="s">
        <v>102</v>
      </c>
      <c r="E1" s="10" t="s">
        <v>103</v>
      </c>
      <c r="F1" s="10" t="s">
        <v>6745</v>
      </c>
    </row>
    <row r="2" ht="16.9" customHeight="1" spans="1:7">
      <c r="A2" s="11">
        <v>1</v>
      </c>
      <c r="B2" s="12" t="s">
        <v>800</v>
      </c>
      <c r="C2" s="12"/>
      <c r="D2" s="13">
        <v>522241</v>
      </c>
      <c r="E2" s="13">
        <v>15</v>
      </c>
      <c r="F2" s="14" t="s">
        <v>6868</v>
      </c>
      <c r="G2" t="s">
        <v>6869</v>
      </c>
    </row>
    <row r="3" ht="16.9" customHeight="1" spans="1:7">
      <c r="A3" s="11">
        <v>2</v>
      </c>
      <c r="B3" s="12"/>
      <c r="C3" s="15" t="s">
        <v>128</v>
      </c>
      <c r="D3" s="16">
        <v>522241</v>
      </c>
      <c r="E3" s="16">
        <v>16</v>
      </c>
      <c r="F3" s="17" t="s">
        <v>6870</v>
      </c>
      <c r="G3" t="s">
        <v>6871</v>
      </c>
    </row>
    <row r="4" ht="16.9" customHeight="1" spans="1:7">
      <c r="A4" s="11">
        <v>3</v>
      </c>
      <c r="B4" s="12"/>
      <c r="C4" s="12"/>
      <c r="D4" s="18">
        <v>522241</v>
      </c>
      <c r="E4" s="18">
        <v>0</v>
      </c>
      <c r="F4" s="19" t="s">
        <v>6872</v>
      </c>
      <c r="G4" t="s">
        <v>6869</v>
      </c>
    </row>
    <row r="5" ht="16.9" customHeight="1" spans="1:7">
      <c r="A5" s="11">
        <v>4</v>
      </c>
      <c r="B5" s="20" t="s">
        <v>6873</v>
      </c>
      <c r="C5" s="21" t="s">
        <v>120</v>
      </c>
      <c r="D5" s="16">
        <v>522242</v>
      </c>
      <c r="E5" s="16">
        <v>5</v>
      </c>
      <c r="F5" s="17" t="s">
        <v>6874</v>
      </c>
      <c r="G5" t="s">
        <v>6875</v>
      </c>
    </row>
    <row r="6" ht="16.9" customHeight="1" spans="1:6">
      <c r="A6" s="11">
        <v>5</v>
      </c>
      <c r="B6" s="22" t="s">
        <v>804</v>
      </c>
      <c r="C6" s="21" t="s">
        <v>120</v>
      </c>
      <c r="D6" s="23">
        <v>522243</v>
      </c>
      <c r="E6" s="23">
        <v>5</v>
      </c>
      <c r="F6" s="5" t="s">
        <v>6876</v>
      </c>
    </row>
    <row r="7" ht="16.9" customHeight="1" spans="1:6">
      <c r="A7" s="11">
        <v>6</v>
      </c>
      <c r="B7" s="22"/>
      <c r="C7" s="24" t="s">
        <v>118</v>
      </c>
      <c r="D7" s="13">
        <v>522243</v>
      </c>
      <c r="E7" s="13">
        <v>15</v>
      </c>
      <c r="F7" s="14" t="s">
        <v>6877</v>
      </c>
    </row>
    <row r="8" ht="16.9" customHeight="1" spans="1:6">
      <c r="A8" s="11">
        <v>7</v>
      </c>
      <c r="B8" s="22"/>
      <c r="C8" s="24" t="s">
        <v>118</v>
      </c>
      <c r="D8" s="23">
        <v>522243</v>
      </c>
      <c r="E8" s="23">
        <v>16</v>
      </c>
      <c r="F8" s="5" t="s">
        <v>6878</v>
      </c>
    </row>
    <row r="9" ht="16.9" customHeight="1" spans="1:6">
      <c r="A9" s="11">
        <v>8</v>
      </c>
      <c r="B9" s="22"/>
      <c r="C9" s="24" t="s">
        <v>118</v>
      </c>
      <c r="D9" s="23">
        <v>522243</v>
      </c>
      <c r="E9" s="23">
        <v>0</v>
      </c>
      <c r="F9" s="5" t="s">
        <v>6879</v>
      </c>
    </row>
    <row r="10" ht="16.9" customHeight="1" spans="1:7">
      <c r="A10" s="11">
        <v>9</v>
      </c>
      <c r="B10" s="22" t="s">
        <v>6880</v>
      </c>
      <c r="C10" s="22"/>
      <c r="D10" s="18">
        <v>522244</v>
      </c>
      <c r="E10" s="18">
        <v>2</v>
      </c>
      <c r="F10" s="19" t="s">
        <v>6881</v>
      </c>
      <c r="G10" t="s">
        <v>6869</v>
      </c>
    </row>
    <row r="11" ht="16.9" customHeight="1" spans="1:7">
      <c r="A11" s="11">
        <v>10</v>
      </c>
      <c r="B11" s="22"/>
      <c r="C11" s="22"/>
      <c r="D11" s="18">
        <v>522244</v>
      </c>
      <c r="E11" s="18">
        <v>5</v>
      </c>
      <c r="F11" s="19" t="s">
        <v>6882</v>
      </c>
      <c r="G11" t="s">
        <v>6869</v>
      </c>
    </row>
    <row r="12" ht="16.9" customHeight="1" spans="1:7">
      <c r="A12" s="11">
        <v>11</v>
      </c>
      <c r="B12" s="22"/>
      <c r="C12" s="22"/>
      <c r="D12" s="18">
        <v>522244</v>
      </c>
      <c r="E12" s="18">
        <v>6</v>
      </c>
      <c r="F12" s="19" t="s">
        <v>6883</v>
      </c>
      <c r="G12" t="s">
        <v>6869</v>
      </c>
    </row>
    <row r="13" ht="16.9" customHeight="1" spans="1:7">
      <c r="A13" s="11">
        <v>12</v>
      </c>
      <c r="B13" s="22" t="s">
        <v>6884</v>
      </c>
      <c r="C13" s="21" t="s">
        <v>120</v>
      </c>
      <c r="D13" s="25">
        <v>522245</v>
      </c>
      <c r="E13" s="25">
        <v>9</v>
      </c>
      <c r="F13" s="5" t="s">
        <v>6885</v>
      </c>
      <c r="G13" t="s">
        <v>6869</v>
      </c>
    </row>
    <row r="14" ht="16.9" customHeight="1" spans="1:7">
      <c r="A14" s="11">
        <v>13</v>
      </c>
      <c r="B14" s="20" t="s">
        <v>827</v>
      </c>
      <c r="C14" s="20"/>
      <c r="D14" s="18">
        <v>522239</v>
      </c>
      <c r="E14" s="18">
        <v>12</v>
      </c>
      <c r="F14" s="19" t="s">
        <v>6886</v>
      </c>
      <c r="G14" t="s">
        <v>6869</v>
      </c>
    </row>
    <row r="15" ht="16.9" customHeight="1" spans="1:7">
      <c r="A15" s="11">
        <v>14</v>
      </c>
      <c r="B15" s="20" t="s">
        <v>6887</v>
      </c>
      <c r="C15" s="20"/>
      <c r="D15" s="18">
        <v>522238</v>
      </c>
      <c r="E15" s="18">
        <v>13</v>
      </c>
      <c r="F15" s="19" t="s">
        <v>6888</v>
      </c>
      <c r="G15" t="s">
        <v>6869</v>
      </c>
    </row>
    <row r="16" ht="16.9" customHeight="1" spans="1:7">
      <c r="A16" s="11">
        <v>15</v>
      </c>
      <c r="B16" s="20" t="s">
        <v>6889</v>
      </c>
      <c r="C16" s="20"/>
      <c r="D16" s="18">
        <v>522237</v>
      </c>
      <c r="E16" s="18">
        <v>12</v>
      </c>
      <c r="F16" s="19" t="s">
        <v>6890</v>
      </c>
      <c r="G16" t="s">
        <v>6869</v>
      </c>
    </row>
    <row r="17" ht="16.9" customHeight="1" spans="1:7">
      <c r="A17" s="11">
        <v>16</v>
      </c>
      <c r="B17" s="20" t="s">
        <v>6891</v>
      </c>
      <c r="C17" s="20"/>
      <c r="D17" s="18">
        <v>522235</v>
      </c>
      <c r="E17" s="18">
        <v>12</v>
      </c>
      <c r="F17" s="19" t="s">
        <v>6892</v>
      </c>
      <c r="G17" t="s">
        <v>6869</v>
      </c>
    </row>
    <row r="18" ht="16.9" customHeight="1" spans="1:7">
      <c r="A18" s="11">
        <v>17</v>
      </c>
      <c r="B18" s="20" t="s">
        <v>6893</v>
      </c>
      <c r="C18" s="20"/>
      <c r="D18" s="18">
        <v>522234</v>
      </c>
      <c r="E18" s="18">
        <v>7</v>
      </c>
      <c r="F18" s="19" t="s">
        <v>6894</v>
      </c>
      <c r="G18" t="s">
        <v>6869</v>
      </c>
    </row>
    <row r="19" ht="16.9" customHeight="1" spans="1:7">
      <c r="A19" s="11">
        <v>18</v>
      </c>
      <c r="B19" s="20" t="s">
        <v>6895</v>
      </c>
      <c r="C19" s="20"/>
      <c r="D19" s="18">
        <v>522233</v>
      </c>
      <c r="E19" s="18">
        <v>7</v>
      </c>
      <c r="F19" s="19" t="s">
        <v>6896</v>
      </c>
      <c r="G19" t="s">
        <v>6869</v>
      </c>
    </row>
    <row r="20" ht="16.9" customHeight="1" spans="1:7">
      <c r="A20" s="11">
        <v>19</v>
      </c>
      <c r="B20" s="12" t="s">
        <v>6897</v>
      </c>
      <c r="C20" s="26"/>
      <c r="D20" s="18">
        <v>522232</v>
      </c>
      <c r="E20" s="18">
        <v>23</v>
      </c>
      <c r="F20" s="19" t="s">
        <v>6898</v>
      </c>
      <c r="G20" t="s">
        <v>6869</v>
      </c>
    </row>
    <row r="21" spans="1:7">
      <c r="A21" s="11">
        <v>20</v>
      </c>
      <c r="B21" s="12" t="s">
        <v>6899</v>
      </c>
      <c r="C21" s="15" t="s">
        <v>128</v>
      </c>
      <c r="D21" s="16">
        <v>522240</v>
      </c>
      <c r="E21" s="16">
        <v>5</v>
      </c>
      <c r="F21" s="17" t="s">
        <v>6900</v>
      </c>
      <c r="G21" t="s">
        <v>6901</v>
      </c>
    </row>
    <row r="22" spans="1:7">
      <c r="A22" s="11">
        <v>21</v>
      </c>
      <c r="B22" s="12" t="s">
        <v>6902</v>
      </c>
      <c r="C22" s="15" t="s">
        <v>128</v>
      </c>
      <c r="D22" s="16">
        <v>522240</v>
      </c>
      <c r="E22" s="16">
        <v>12</v>
      </c>
      <c r="F22" s="17" t="s">
        <v>6903</v>
      </c>
      <c r="G22" t="s">
        <v>6901</v>
      </c>
    </row>
    <row r="23" spans="1:7">
      <c r="A23" s="11">
        <v>22</v>
      </c>
      <c r="B23" s="12" t="s">
        <v>800</v>
      </c>
      <c r="C23" s="21" t="s">
        <v>120</v>
      </c>
      <c r="D23" s="16">
        <v>522244</v>
      </c>
      <c r="E23" s="16">
        <v>0</v>
      </c>
      <c r="F23" s="17" t="s">
        <v>806</v>
      </c>
      <c r="G23" t="s">
        <v>6901</v>
      </c>
    </row>
    <row r="24" spans="1:7">
      <c r="A24" s="11">
        <v>23</v>
      </c>
      <c r="B24" s="12" t="s">
        <v>6904</v>
      </c>
      <c r="C24" s="15" t="s">
        <v>128</v>
      </c>
      <c r="D24" s="16">
        <v>522244</v>
      </c>
      <c r="E24" s="16">
        <v>5</v>
      </c>
      <c r="F24" s="17" t="s">
        <v>6905</v>
      </c>
      <c r="G24" t="s">
        <v>6901</v>
      </c>
    </row>
  </sheetData>
  <mergeCells count="3">
    <mergeCell ref="B2:B4"/>
    <mergeCell ref="B6:B9"/>
    <mergeCell ref="B10:B12"/>
  </mergeCell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E7" sqref="E7"/>
    </sheetView>
  </sheetViews>
  <sheetFormatPr defaultColWidth="9" defaultRowHeight="13.5" outlineLevelCol="5"/>
  <cols>
    <col min="5" max="5" width="41.75" customWidth="1"/>
    <col min="6" max="6" width="14.125" customWidth="1"/>
    <col min="7" max="7" width="16.5" customWidth="1"/>
  </cols>
  <sheetData>
    <row r="1" ht="19.9" customHeight="1" spans="1:6">
      <c r="A1" s="1" t="s">
        <v>6906</v>
      </c>
      <c r="B1" s="1"/>
      <c r="C1" s="1"/>
      <c r="D1" s="1"/>
      <c r="E1" s="1"/>
      <c r="F1" s="1"/>
    </row>
    <row r="2" ht="24" customHeight="1" spans="1:6">
      <c r="A2" s="2" t="s">
        <v>99</v>
      </c>
      <c r="B2" s="2" t="s">
        <v>113</v>
      </c>
      <c r="C2" s="2" t="s">
        <v>102</v>
      </c>
      <c r="D2" s="3" t="s">
        <v>103</v>
      </c>
      <c r="E2" s="4" t="s">
        <v>250</v>
      </c>
      <c r="F2" s="5"/>
    </row>
    <row r="3" spans="1:6">
      <c r="A3" s="2">
        <v>1</v>
      </c>
      <c r="B3" s="6" t="s">
        <v>128</v>
      </c>
      <c r="C3" s="7">
        <v>9691</v>
      </c>
      <c r="D3" s="7">
        <v>12</v>
      </c>
      <c r="E3" s="8" t="s">
        <v>6907</v>
      </c>
      <c r="F3" s="5" t="s">
        <v>255</v>
      </c>
    </row>
    <row r="4" spans="1:6">
      <c r="A4" s="2">
        <v>2</v>
      </c>
      <c r="B4" s="6" t="s">
        <v>128</v>
      </c>
      <c r="C4" s="7">
        <v>12836</v>
      </c>
      <c r="D4" s="7">
        <v>12</v>
      </c>
      <c r="E4" s="8" t="s">
        <v>6908</v>
      </c>
      <c r="F4" s="5" t="s">
        <v>255</v>
      </c>
    </row>
    <row r="5" spans="1:6">
      <c r="A5" s="2">
        <v>3</v>
      </c>
      <c r="B5" s="6" t="s">
        <v>128</v>
      </c>
      <c r="C5" s="7">
        <v>12837</v>
      </c>
      <c r="D5" s="7">
        <v>12</v>
      </c>
      <c r="E5" s="8" t="s">
        <v>6909</v>
      </c>
      <c r="F5" s="5" t="s">
        <v>255</v>
      </c>
    </row>
    <row r="6" spans="1:6">
      <c r="A6" s="2">
        <v>4</v>
      </c>
      <c r="B6" s="6" t="s">
        <v>128</v>
      </c>
      <c r="C6" s="7">
        <v>12836</v>
      </c>
      <c r="D6" s="7">
        <v>5</v>
      </c>
      <c r="E6" s="8" t="s">
        <v>6910</v>
      </c>
      <c r="F6" s="5" t="s">
        <v>255</v>
      </c>
    </row>
    <row r="7" spans="1:6">
      <c r="A7" s="2">
        <v>5</v>
      </c>
      <c r="B7" s="6" t="s">
        <v>128</v>
      </c>
      <c r="C7" s="7">
        <v>12837</v>
      </c>
      <c r="D7" s="7">
        <v>5</v>
      </c>
      <c r="E7" s="8" t="s">
        <v>6911</v>
      </c>
      <c r="F7" s="5" t="s">
        <v>255</v>
      </c>
    </row>
    <row r="8" spans="1:6">
      <c r="A8" s="2">
        <v>6</v>
      </c>
      <c r="B8" s="6" t="s">
        <v>128</v>
      </c>
      <c r="C8" s="7">
        <v>639</v>
      </c>
      <c r="D8" s="7">
        <v>23</v>
      </c>
      <c r="E8" s="8" t="s">
        <v>6912</v>
      </c>
      <c r="F8" s="5" t="s">
        <v>255</v>
      </c>
    </row>
    <row r="9" spans="1:6">
      <c r="A9" s="2">
        <v>7</v>
      </c>
      <c r="B9" s="6" t="s">
        <v>128</v>
      </c>
      <c r="C9" s="7">
        <v>2430</v>
      </c>
      <c r="D9" s="7">
        <v>12</v>
      </c>
      <c r="E9" s="8" t="s">
        <v>6913</v>
      </c>
      <c r="F9" s="5" t="s">
        <v>255</v>
      </c>
    </row>
  </sheetData>
  <mergeCells count="1">
    <mergeCell ref="A1: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ECAS（2F）PCAN</vt:lpstr>
      <vt:lpstr>瑞立ECAS（2F）</vt:lpstr>
      <vt:lpstr>换电系统（0xDB）</vt:lpstr>
      <vt:lpstr>燃料电池冷却系统(FTS)8F-PCAN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Seaman</cp:lastModifiedBy>
  <dcterms:created xsi:type="dcterms:W3CDTF">2018-01-16T06:21:00Z</dcterms:created>
  <dcterms:modified xsi:type="dcterms:W3CDTF">2023-05-03T14:00:56Z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A03BF3416907458EB5B9EEC925009B71</vt:lpwstr>
  </property>
  <property fmtid="{D5CDD505-2E9C-101B-9397-08002B2CF9AE}" pid="3" name="KSOProductBuildVer">
    <vt:lpwstr>2052-11.1.0.12763</vt:lpwstr>
  </property>
  <property fmtid="{D5CDD505-2E9C-101B-9397-08002B2CF9AE}" pid="4" name="KSOReadingLayout">
    <vt:bool>false</vt:bool>
  </property>
</Properties>
</file>