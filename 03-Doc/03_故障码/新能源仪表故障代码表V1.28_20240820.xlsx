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gguant\仪表资料\故障清单\新能源故障清单\"/>
    </mc:Choice>
  </mc:AlternateContent>
  <xr:revisionPtr revIDLastSave="0" documentId="13_ncr:1_{D004E1C2-3302-4021-B98B-6D79B7025AFD}" xr6:coauthVersionLast="47" xr6:coauthVersionMax="47" xr10:uidLastSave="{00000000-0000-0000-0000-000000000000}"/>
  <bookViews>
    <workbookView xWindow="28680" yWindow="-1815" windowWidth="29040" windowHeight="17640" tabRatio="816" xr2:uid="{00000000-000D-0000-FFFF-FFFF00000000}"/>
  </bookViews>
  <sheets>
    <sheet name="版本记录" sheetId="13" r:id="rId1"/>
    <sheet name="控制器源地址&amp;跳转页面" sheetId="41" r:id="rId2"/>
    <sheet name="屏蔽故障码列表" sheetId="15" r:id="rId3"/>
    <sheet name="HCU故障代码31, D0-PCAN" sheetId="24" r:id="rId4"/>
    <sheet name="热管理温控集成机组(TMS)82-PCAN" sheetId="51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 EF_PCAN" sheetId="14" r:id="rId12"/>
    <sheet name="空压机（ACU）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&amp;科密瑞立(KB)EPB 合并（50) PCAN" sheetId="49" r:id="rId31"/>
    <sheet name="Knorr  ECAS（2F）BCAN" sheetId="37" r:id="rId32"/>
    <sheet name="瑞立ECAS（2F）" sheetId="38" r:id="rId33"/>
    <sheet name="换电系统（0xDB）" sheetId="39" r:id="rId34"/>
    <sheet name="燃料电池冷却系统(FTS)8F-PCAN" sheetId="40" r:id="rId35"/>
    <sheet name="电液转向机（13）PCAN" sheetId="50" r:id="rId36"/>
  </sheets>
  <definedNames>
    <definedName name="_xlnm._FilterDatabase" localSheetId="16" hidden="1">'ABS KNORR故障码 ）0B PCAN'!$A$1:$C$211</definedName>
    <definedName name="_xlnm._FilterDatabase" localSheetId="18" hidden="1">'BCM（32） BCAN'!$A$2:$E$87</definedName>
    <definedName name="_xlnm._FilterDatabase" localSheetId="19" hidden="1">'DCM （EC）BCAN'!$A$1:$I$27</definedName>
    <definedName name="_xlnm._FilterDatabase" localSheetId="23" hidden="1">'FCU故障码（F5）PCAN'!$A$2:$H$82</definedName>
    <definedName name="_xlnm._FilterDatabase" localSheetId="3" hidden="1">'HCU故障代码31, D0-PCAN'!$A$1:$F$67</definedName>
    <definedName name="_xlnm._FilterDatabase" localSheetId="7" hidden="1">IC!$A$2:$G$35</definedName>
    <definedName name="_xlnm._FilterDatabase" localSheetId="20" hidden="1">'TPMS(SENSATA)33  BCAN'!$A$2:$G$38</definedName>
    <definedName name="_xlnm._FilterDatabase" localSheetId="10" hidden="1">'电池管理系统（BMS）故障代码表F4 PCAN'!$A$2:$J$121</definedName>
    <definedName name="_xlnm._FilterDatabase" localSheetId="4" hidden="1">'热管理温控集成机组(TMS)82-PCAN'!$A$1:$V$327</definedName>
    <definedName name="_xlnm._FilterDatabase" localSheetId="17" hidden="1">'新EBS(KNORR) 0B PCAN'!$F$2:$G$29</definedName>
    <definedName name="_xlnm._FilterDatabase" localSheetId="13" hidden="1">'自动变速箱故障代码表03 PCAN'!$A$2:$F$86</definedName>
  </definedNames>
  <calcPr calcId="181029"/>
</workbook>
</file>

<file path=xl/calcChain.xml><?xml version="1.0" encoding="utf-8"?>
<calcChain xmlns="http://schemas.openxmlformats.org/spreadsheetml/2006/main">
  <c r="F3" i="34" l="1"/>
  <c r="F4" i="34"/>
  <c r="F5" i="34"/>
  <c r="F6" i="34"/>
  <c r="F7" i="34"/>
  <c r="F8" i="34"/>
  <c r="F9" i="34"/>
  <c r="F10" i="34"/>
  <c r="F11" i="34"/>
  <c r="F12" i="34"/>
  <c r="F2" i="34"/>
  <c r="F3" i="33"/>
  <c r="F4" i="33"/>
  <c r="F5" i="33"/>
  <c r="F6" i="33"/>
  <c r="F7" i="33"/>
  <c r="F8" i="33"/>
  <c r="F9" i="33"/>
  <c r="F10" i="33"/>
  <c r="F11" i="33"/>
  <c r="F12" i="33"/>
  <c r="F2" i="33"/>
  <c r="E18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2" i="21"/>
  <c r="H11" i="19"/>
  <c r="H21" i="19"/>
  <c r="H23" i="19"/>
  <c r="H24" i="19"/>
  <c r="H25" i="19"/>
  <c r="E2" i="18"/>
  <c r="E3" i="18"/>
  <c r="E4" i="18"/>
  <c r="E5" i="18"/>
  <c r="E7" i="18"/>
  <c r="E8" i="18"/>
  <c r="E9" i="18"/>
  <c r="E65" i="18"/>
  <c r="E66" i="18"/>
  <c r="E67" i="18"/>
  <c r="E68" i="18"/>
  <c r="E4" i="27" l="1"/>
  <c r="E5" i="27"/>
  <c r="E6" i="27"/>
  <c r="E7" i="27"/>
  <c r="E8" i="27"/>
  <c r="E9" i="27"/>
  <c r="E10" i="27"/>
  <c r="E11" i="27"/>
  <c r="E12" i="27"/>
  <c r="E13" i="27"/>
  <c r="E3" i="27"/>
  <c r="E4" i="26" l="1"/>
  <c r="E5" i="26"/>
  <c r="E6" i="26"/>
  <c r="E7" i="26"/>
  <c r="E8" i="26"/>
  <c r="E9" i="26"/>
  <c r="E10" i="26"/>
  <c r="E11" i="26"/>
  <c r="E12" i="26"/>
  <c r="E13" i="26"/>
  <c r="E3" i="26"/>
  <c r="F6" i="39"/>
  <c r="F7" i="39"/>
  <c r="F12" i="39"/>
  <c r="F14" i="39"/>
  <c r="F22" i="39"/>
  <c r="F24" i="39"/>
  <c r="F4" i="39"/>
  <c r="G6" i="29"/>
  <c r="G8" i="29"/>
  <c r="G10" i="29"/>
  <c r="G11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4" i="29"/>
  <c r="G35" i="29"/>
  <c r="G36" i="29"/>
  <c r="G37" i="29"/>
  <c r="G3" i="29"/>
  <c r="G72" i="28"/>
  <c r="G62" i="28"/>
  <c r="G64" i="28"/>
  <c r="G82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50" i="28"/>
  <c r="G51" i="28"/>
  <c r="G52" i="28"/>
  <c r="G53" i="28"/>
  <c r="G54" i="28"/>
  <c r="G55" i="28"/>
  <c r="G56" i="28"/>
  <c r="G57" i="28"/>
  <c r="G58" i="28"/>
  <c r="G59" i="28"/>
  <c r="G60" i="28"/>
  <c r="G63" i="28"/>
  <c r="G65" i="28"/>
  <c r="G66" i="28"/>
  <c r="G67" i="28"/>
  <c r="G68" i="28"/>
  <c r="G69" i="28"/>
  <c r="G70" i="28"/>
  <c r="G71" i="28"/>
  <c r="G73" i="28"/>
  <c r="G74" i="28"/>
  <c r="G75" i="28"/>
  <c r="G76" i="28"/>
  <c r="G77" i="28"/>
  <c r="G78" i="28"/>
  <c r="G79" i="28"/>
  <c r="G80" i="28"/>
  <c r="G81" i="28"/>
  <c r="G3" i="28"/>
  <c r="F4" i="40"/>
  <c r="F5" i="40"/>
  <c r="F6" i="40"/>
  <c r="F7" i="40"/>
  <c r="F8" i="40"/>
  <c r="F9" i="40"/>
  <c r="F10" i="40"/>
  <c r="F11" i="40"/>
  <c r="F13" i="40"/>
  <c r="F3" i="40"/>
  <c r="H15" i="31"/>
  <c r="H16" i="31"/>
  <c r="H17" i="31"/>
  <c r="H18" i="31"/>
  <c r="H19" i="31"/>
  <c r="H14" i="31"/>
  <c r="H5" i="31"/>
  <c r="H6" i="31"/>
  <c r="H7" i="31"/>
  <c r="H8" i="31"/>
  <c r="H9" i="31"/>
  <c r="H4" i="3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3" i="6"/>
  <c r="F4" i="4"/>
  <c r="F5" i="4"/>
  <c r="F8" i="4"/>
  <c r="F9" i="4"/>
  <c r="F10" i="4"/>
  <c r="F11" i="4"/>
  <c r="F12" i="4"/>
  <c r="F13" i="4"/>
  <c r="F14" i="4"/>
  <c r="F15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" i="4"/>
  <c r="G4" i="7"/>
  <c r="G5" i="7"/>
  <c r="G6" i="7"/>
  <c r="G9" i="7"/>
  <c r="G10" i="7"/>
  <c r="G11" i="7"/>
  <c r="G12" i="7"/>
  <c r="G13" i="7"/>
  <c r="G14" i="7"/>
  <c r="G15" i="7"/>
  <c r="G16" i="7"/>
  <c r="G17" i="7"/>
  <c r="G20" i="7"/>
  <c r="G21" i="7"/>
  <c r="G22" i="7"/>
  <c r="G23" i="7"/>
  <c r="G24" i="7"/>
  <c r="G25" i="7"/>
  <c r="G26" i="7"/>
  <c r="G27" i="7"/>
  <c r="G3" i="7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5" i="8"/>
  <c r="F26" i="8"/>
  <c r="F27" i="8"/>
  <c r="F28" i="8"/>
  <c r="F29" i="8"/>
  <c r="F30" i="8"/>
  <c r="F3" i="8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3" i="5"/>
  <c r="H115" i="2"/>
  <c r="H116" i="2"/>
  <c r="H117" i="2"/>
  <c r="H118" i="2"/>
  <c r="H119" i="2"/>
  <c r="H120" i="2"/>
  <c r="H114" i="2"/>
  <c r="H103" i="2"/>
  <c r="H104" i="2"/>
  <c r="H105" i="2"/>
  <c r="H106" i="2"/>
  <c r="H102" i="2"/>
  <c r="H98" i="2"/>
  <c r="H99" i="2"/>
  <c r="H100" i="2"/>
  <c r="H97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80" i="2"/>
  <c r="H75" i="2"/>
  <c r="H76" i="2"/>
  <c r="H74" i="2"/>
  <c r="H72" i="2"/>
  <c r="H71" i="2"/>
  <c r="H70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51" i="2"/>
  <c r="H49" i="2"/>
  <c r="H48" i="2"/>
  <c r="H46" i="2"/>
  <c r="H42" i="2"/>
  <c r="H39" i="2"/>
  <c r="H36" i="2"/>
  <c r="H31" i="2"/>
  <c r="H22" i="2"/>
  <c r="H23" i="2"/>
  <c r="H24" i="2"/>
  <c r="H25" i="2"/>
  <c r="H26" i="2"/>
  <c r="H27" i="2"/>
  <c r="H21" i="2"/>
  <c r="H15" i="2" l="1"/>
  <c r="H16" i="2"/>
  <c r="H17" i="2"/>
  <c r="H18" i="2"/>
  <c r="H19" i="2"/>
  <c r="H14" i="2"/>
  <c r="H12" i="2"/>
  <c r="H4" i="2"/>
  <c r="H5" i="2"/>
  <c r="H6" i="2"/>
  <c r="H7" i="2"/>
  <c r="H8" i="2"/>
  <c r="H3" i="2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50" i="14"/>
  <c r="H51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2" i="14"/>
  <c r="H73" i="14"/>
  <c r="H74" i="14"/>
  <c r="H75" i="14"/>
  <c r="H76" i="14"/>
  <c r="H77" i="14"/>
  <c r="H4" i="14"/>
  <c r="H5" i="14"/>
  <c r="H7" i="14"/>
  <c r="H8" i="14"/>
  <c r="H9" i="14"/>
  <c r="H10" i="14"/>
  <c r="H11" i="14"/>
  <c r="H12" i="14"/>
  <c r="H13" i="14"/>
  <c r="H14" i="14"/>
  <c r="H15" i="14"/>
  <c r="H17" i="14"/>
  <c r="H18" i="14"/>
  <c r="H19" i="14"/>
  <c r="H3" i="14"/>
  <c r="F3" i="51"/>
  <c r="F4" i="51"/>
  <c r="F5" i="51"/>
  <c r="F6" i="51"/>
  <c r="F7" i="51"/>
  <c r="F8" i="51"/>
  <c r="F9" i="51"/>
  <c r="F10" i="51"/>
  <c r="F11" i="51"/>
  <c r="F17" i="51"/>
  <c r="F18" i="51"/>
  <c r="F19" i="51"/>
  <c r="F20" i="51"/>
  <c r="F21" i="51"/>
  <c r="F22" i="51"/>
  <c r="F23" i="51"/>
  <c r="F24" i="51"/>
  <c r="F30" i="51"/>
  <c r="F31" i="51"/>
  <c r="F32" i="51"/>
  <c r="F33" i="51"/>
  <c r="F34" i="51"/>
  <c r="F35" i="51"/>
  <c r="F36" i="51"/>
  <c r="F37" i="51"/>
  <c r="F38" i="51"/>
  <c r="F44" i="51"/>
  <c r="F45" i="51"/>
  <c r="F46" i="51"/>
  <c r="F47" i="51"/>
  <c r="F51" i="51"/>
  <c r="F55" i="51"/>
  <c r="F60" i="51"/>
  <c r="F63" i="51"/>
  <c r="F68" i="51"/>
  <c r="F71" i="51"/>
  <c r="F72" i="51"/>
  <c r="F73" i="51"/>
  <c r="F2" i="51"/>
  <c r="F325" i="51"/>
  <c r="F326" i="51"/>
  <c r="F327" i="51"/>
  <c r="F324" i="51"/>
  <c r="F75" i="51"/>
  <c r="F76" i="51"/>
  <c r="F77" i="51"/>
  <c r="F78" i="51"/>
  <c r="F79" i="51"/>
  <c r="F80" i="51"/>
  <c r="F81" i="51"/>
  <c r="F82" i="51"/>
  <c r="F83" i="51"/>
  <c r="F84" i="51"/>
  <c r="F85" i="51"/>
  <c r="F86" i="51"/>
  <c r="F93" i="51"/>
  <c r="F94" i="51"/>
  <c r="F95" i="51"/>
  <c r="F97" i="51"/>
  <c r="F98" i="51"/>
  <c r="F100" i="51"/>
  <c r="F101" i="51"/>
  <c r="F103" i="51"/>
  <c r="F104" i="51"/>
  <c r="F105" i="51"/>
  <c r="F106" i="51"/>
  <c r="F107" i="51"/>
  <c r="F108" i="51"/>
  <c r="F109" i="51"/>
  <c r="F110" i="51"/>
  <c r="F111" i="51"/>
  <c r="F112" i="51"/>
  <c r="F113" i="51"/>
  <c r="F123" i="51"/>
  <c r="F124" i="51"/>
  <c r="F125" i="51"/>
  <c r="F126" i="51"/>
  <c r="F127" i="51"/>
  <c r="F128" i="51"/>
  <c r="F129" i="51"/>
  <c r="F130" i="51"/>
  <c r="F131" i="51"/>
  <c r="F132" i="51"/>
  <c r="F133" i="51"/>
  <c r="F134" i="51"/>
  <c r="F135" i="51"/>
  <c r="F136" i="51"/>
  <c r="F137" i="51"/>
  <c r="F138" i="51"/>
  <c r="F139" i="51"/>
  <c r="F140" i="51"/>
  <c r="F141" i="51"/>
  <c r="F142" i="51"/>
  <c r="F143" i="51"/>
  <c r="F144" i="51"/>
  <c r="F145" i="51"/>
  <c r="F146" i="51"/>
  <c r="F147" i="51"/>
  <c r="F148" i="51"/>
  <c r="F149" i="51"/>
  <c r="F150" i="51"/>
  <c r="F151" i="51"/>
  <c r="F152" i="51"/>
  <c r="F153" i="51"/>
  <c r="F154" i="51"/>
  <c r="F155" i="51"/>
  <c r="F156" i="51"/>
  <c r="F157" i="51"/>
  <c r="F158" i="51"/>
  <c r="F159" i="51"/>
  <c r="F160" i="51"/>
  <c r="F161" i="51"/>
  <c r="F162" i="51"/>
  <c r="F163" i="51"/>
  <c r="F164" i="51"/>
  <c r="F165" i="51"/>
  <c r="F166" i="51"/>
  <c r="F167" i="51"/>
  <c r="F168" i="51"/>
  <c r="F169" i="51"/>
  <c r="F170" i="51"/>
  <c r="F171" i="51"/>
  <c r="F172" i="51"/>
  <c r="F173" i="51"/>
  <c r="F174" i="51"/>
  <c r="F175" i="51"/>
  <c r="F176" i="51"/>
  <c r="F177" i="51"/>
  <c r="F178" i="51"/>
  <c r="F179" i="51"/>
  <c r="F181" i="51"/>
  <c r="F182" i="51"/>
  <c r="F184" i="51"/>
  <c r="F185" i="51"/>
  <c r="F186" i="51"/>
  <c r="F191" i="51"/>
  <c r="F192" i="51"/>
  <c r="F193" i="51"/>
  <c r="F194" i="51"/>
  <c r="F197" i="51"/>
  <c r="F199" i="51"/>
  <c r="F200" i="51"/>
  <c r="F201" i="51"/>
  <c r="F204" i="51"/>
  <c r="F206" i="51"/>
  <c r="F207" i="51"/>
  <c r="F208" i="51"/>
  <c r="F209" i="51"/>
  <c r="F212" i="51"/>
  <c r="F214" i="51"/>
  <c r="F215" i="51"/>
  <c r="F216" i="51"/>
  <c r="F219" i="51"/>
  <c r="F221" i="51"/>
  <c r="F222" i="51"/>
  <c r="F223" i="51"/>
  <c r="F226" i="51"/>
  <c r="F228" i="51"/>
  <c r="F229" i="51"/>
  <c r="F230" i="51"/>
  <c r="F231" i="51"/>
  <c r="F232" i="51"/>
  <c r="F237" i="51"/>
  <c r="F238" i="51"/>
  <c r="F239" i="51"/>
  <c r="F244" i="51"/>
  <c r="F245" i="51"/>
  <c r="F246" i="51"/>
  <c r="F251" i="51"/>
  <c r="F252" i="51"/>
  <c r="F253" i="51"/>
  <c r="F258" i="51"/>
  <c r="F259" i="51"/>
  <c r="F260" i="51"/>
  <c r="F265" i="51"/>
  <c r="F266" i="51"/>
  <c r="F267" i="51"/>
  <c r="F268" i="51"/>
  <c r="F273" i="51"/>
  <c r="F274" i="51"/>
  <c r="F275" i="51"/>
  <c r="F276" i="51"/>
  <c r="F281" i="51"/>
  <c r="F282" i="51"/>
  <c r="F283" i="51"/>
  <c r="F284" i="51"/>
  <c r="F285" i="51"/>
  <c r="F286" i="51"/>
  <c r="F287" i="51"/>
  <c r="F288" i="51"/>
  <c r="F289" i="51"/>
  <c r="F290" i="51"/>
  <c r="F291" i="51"/>
  <c r="F292" i="51"/>
  <c r="F293" i="51"/>
  <c r="F297" i="51"/>
  <c r="F298" i="51"/>
  <c r="F299" i="51"/>
  <c r="F303" i="51"/>
  <c r="F304" i="51"/>
  <c r="F305" i="51"/>
  <c r="F306" i="51"/>
  <c r="F307" i="51"/>
  <c r="F308" i="51"/>
  <c r="F312" i="51"/>
  <c r="F313" i="51"/>
  <c r="F314" i="51"/>
  <c r="F318" i="51"/>
  <c r="F319" i="51"/>
  <c r="F320" i="51"/>
  <c r="F321" i="51"/>
  <c r="F74" i="51"/>
  <c r="H3" i="24"/>
  <c r="H9" i="24"/>
  <c r="H12" i="24"/>
  <c r="H13" i="24"/>
  <c r="H23" i="24"/>
  <c r="H39" i="24"/>
  <c r="H40" i="24"/>
  <c r="H48" i="24"/>
  <c r="H49" i="24"/>
  <c r="H50" i="24"/>
  <c r="H52" i="24"/>
  <c r="H54" i="24"/>
  <c r="H55" i="24"/>
  <c r="H56" i="24"/>
  <c r="H57" i="24"/>
  <c r="H68" i="24"/>
  <c r="H69" i="24"/>
  <c r="H70" i="24"/>
  <c r="H71" i="24"/>
  <c r="H72" i="24"/>
  <c r="H73" i="24"/>
  <c r="H76" i="24"/>
  <c r="H78" i="24"/>
  <c r="H79" i="24"/>
  <c r="H80" i="24"/>
  <c r="H81" i="24"/>
  <c r="H84" i="24"/>
  <c r="H86" i="24"/>
  <c r="H87" i="24"/>
  <c r="H88" i="24"/>
  <c r="H89" i="24"/>
  <c r="H94" i="24"/>
  <c r="H95" i="24"/>
  <c r="H96" i="24"/>
  <c r="H97" i="24"/>
  <c r="H102" i="24"/>
  <c r="H103" i="24"/>
  <c r="H104" i="24"/>
  <c r="H105" i="24"/>
  <c r="H110" i="24"/>
  <c r="H111" i="24"/>
  <c r="H112" i="24"/>
  <c r="H113" i="24"/>
  <c r="H114" i="24"/>
  <c r="H115" i="24"/>
  <c r="H116" i="24"/>
  <c r="H117" i="24"/>
  <c r="H123" i="24"/>
  <c r="H124" i="24"/>
  <c r="H125" i="24"/>
  <c r="H126" i="24"/>
  <c r="H127" i="24"/>
  <c r="H128" i="24"/>
  <c r="H129" i="24"/>
  <c r="H130" i="24"/>
  <c r="H131" i="24"/>
  <c r="H137" i="24"/>
  <c r="H138" i="24"/>
  <c r="H139" i="24"/>
  <c r="H142" i="24"/>
  <c r="H143" i="24"/>
  <c r="H144" i="24"/>
  <c r="H145" i="24"/>
  <c r="H150" i="24"/>
  <c r="H153" i="24"/>
  <c r="H158" i="24"/>
  <c r="H161" i="24"/>
  <c r="H166" i="24"/>
  <c r="H167" i="24"/>
  <c r="H168" i="24"/>
  <c r="H169" i="24"/>
  <c r="H170" i="24"/>
  <c r="H171" i="24"/>
  <c r="H177" i="24"/>
  <c r="H178" i="24"/>
  <c r="H179" i="24"/>
  <c r="H182" i="24"/>
  <c r="H183" i="24"/>
  <c r="H188" i="24"/>
  <c r="H191" i="24"/>
  <c r="F27" i="50" l="1"/>
  <c r="F28" i="50"/>
  <c r="F26" i="50"/>
  <c r="F19" i="50"/>
  <c r="F18" i="50"/>
  <c r="F14" i="50"/>
  <c r="F15" i="50"/>
  <c r="F13" i="50"/>
  <c r="F10" i="50"/>
  <c r="F7" i="50"/>
  <c r="F8" i="50"/>
  <c r="F6" i="50"/>
  <c r="F4" i="50"/>
  <c r="F3" i="50"/>
  <c r="R27" i="19" l="1"/>
  <c r="L27" i="19"/>
  <c r="J27" i="19"/>
  <c r="K27" i="19" s="1"/>
  <c r="R26" i="19"/>
  <c r="L26" i="19"/>
  <c r="J26" i="19"/>
  <c r="K26" i="19" s="1"/>
  <c r="R25" i="19"/>
  <c r="L25" i="19"/>
  <c r="J25" i="19"/>
  <c r="K25" i="19" s="1"/>
  <c r="R24" i="19"/>
  <c r="L24" i="19"/>
  <c r="J24" i="19"/>
  <c r="K24" i="19" s="1"/>
  <c r="R23" i="19"/>
  <c r="L23" i="19"/>
  <c r="J23" i="19"/>
  <c r="K23" i="19" s="1"/>
  <c r="R22" i="19"/>
  <c r="L22" i="19"/>
  <c r="J22" i="19"/>
  <c r="K22" i="19" s="1"/>
  <c r="R21" i="19"/>
  <c r="L21" i="19"/>
  <c r="J21" i="19"/>
  <c r="K21" i="19" s="1"/>
  <c r="R20" i="19"/>
  <c r="L20" i="19"/>
  <c r="J20" i="19"/>
  <c r="K20" i="19" s="1"/>
  <c r="R19" i="19"/>
  <c r="L19" i="19"/>
  <c r="J19" i="19"/>
  <c r="K19" i="19" s="1"/>
  <c r="R18" i="19"/>
  <c r="L18" i="19"/>
  <c r="J18" i="19"/>
  <c r="K18" i="19" s="1"/>
  <c r="R17" i="19"/>
  <c r="L17" i="19"/>
  <c r="J17" i="19"/>
  <c r="K17" i="19" s="1"/>
  <c r="R16" i="19"/>
  <c r="L16" i="19"/>
  <c r="J16" i="19"/>
  <c r="K16" i="19" s="1"/>
  <c r="R15" i="19"/>
  <c r="L15" i="19"/>
  <c r="J15" i="19"/>
  <c r="K15" i="19" s="1"/>
  <c r="R14" i="19"/>
  <c r="L14" i="19"/>
  <c r="J14" i="19"/>
  <c r="K14" i="19" s="1"/>
  <c r="R13" i="19"/>
  <c r="L13" i="19"/>
  <c r="J13" i="19"/>
  <c r="K13" i="19" s="1"/>
  <c r="R12" i="19"/>
  <c r="L12" i="19"/>
  <c r="J12" i="19"/>
  <c r="K12" i="19" s="1"/>
  <c r="R11" i="19"/>
  <c r="L11" i="19"/>
  <c r="J11" i="19"/>
  <c r="K11" i="19" s="1"/>
  <c r="R10" i="19"/>
  <c r="L10" i="19"/>
  <c r="J10" i="19"/>
  <c r="K10" i="19" s="1"/>
  <c r="R9" i="19"/>
  <c r="L9" i="19"/>
  <c r="J9" i="19"/>
  <c r="K9" i="19" s="1"/>
  <c r="R8" i="19"/>
  <c r="L8" i="19"/>
  <c r="J8" i="19"/>
  <c r="K8" i="19" s="1"/>
  <c r="R7" i="19"/>
  <c r="L7" i="19"/>
  <c r="J7" i="19"/>
  <c r="K7" i="19" s="1"/>
  <c r="R6" i="19"/>
  <c r="L6" i="19"/>
  <c r="J6" i="19"/>
  <c r="K6" i="19" s="1"/>
  <c r="R5" i="19"/>
  <c r="L5" i="19"/>
  <c r="J5" i="19"/>
  <c r="K5" i="19" s="1"/>
  <c r="R4" i="19"/>
  <c r="L4" i="19"/>
  <c r="J4" i="19"/>
  <c r="K4" i="19" s="1"/>
  <c r="R3" i="19"/>
  <c r="L3" i="19"/>
  <c r="J3" i="19"/>
  <c r="K3" i="19" s="1"/>
  <c r="R2" i="19"/>
  <c r="L2" i="19"/>
  <c r="J2" i="19"/>
  <c r="K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 Ye 顾晔(DFCV技术中心客车开发部车型室)</author>
  </authors>
  <commentList>
    <comment ref="C14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<sst xmlns="http://schemas.openxmlformats.org/spreadsheetml/2006/main" count="6613" uniqueCount="3503">
  <si>
    <t>序号</t>
  </si>
  <si>
    <t>序号</t>
    <phoneticPr fontId="6" type="noConversion"/>
  </si>
  <si>
    <t>故障描述</t>
  </si>
  <si>
    <t>FMI(DEC)</t>
  </si>
  <si>
    <t>单体温度轻微低</t>
  </si>
  <si>
    <t>电池总电压轻微高</t>
  </si>
  <si>
    <t>单体轻微过压</t>
  </si>
  <si>
    <t>单体压差轻微大</t>
  </si>
  <si>
    <t>充电电流轻微大</t>
  </si>
  <si>
    <t>序号</t>
    <phoneticPr fontId="6" type="noConversion"/>
  </si>
  <si>
    <t>SPN(DEC)</t>
  </si>
  <si>
    <t>功率模块故障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</si>
  <si>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</si>
  <si>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</si>
  <si>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</si>
  <si>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</si>
  <si>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</si>
  <si>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</si>
  <si>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</si>
  <si>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t>控制器软件错误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</si>
  <si>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</si>
  <si>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</si>
  <si>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</si>
  <si>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</si>
  <si>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</si>
  <si>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FMI(DEC)</t>
    <phoneticPr fontId="6" type="noConversion"/>
  </si>
  <si>
    <t>电流传感器偏移超出范围</t>
    <phoneticPr fontId="6" type="noConversion"/>
  </si>
  <si>
    <t>TCU电源电压高</t>
  </si>
  <si>
    <t>TCU电源电压低</t>
  </si>
  <si>
    <t>车速没有信号</t>
  </si>
  <si>
    <t>换档位置传感器高于最大值</t>
  </si>
  <si>
    <t>换档位置传感器低于最小值</t>
  </si>
  <si>
    <t>换档位置传感器信号无效</t>
  </si>
  <si>
    <t>选档位置传感器高于最大值</t>
  </si>
  <si>
    <t>选档位置传感器低于最小值</t>
  </si>
  <si>
    <t>选档位置传感器信号无效</t>
  </si>
  <si>
    <t>选档执行机构卡死</t>
  </si>
  <si>
    <t>换档执行机构卡死</t>
  </si>
  <si>
    <t>1、2挡均换挡失败</t>
  </si>
  <si>
    <t>上次断电异常</t>
  </si>
  <si>
    <t>bois软件错误</t>
  </si>
  <si>
    <t>硬件错误</t>
  </si>
  <si>
    <t>换挡数据或离合数据错误</t>
  </si>
  <si>
    <t>变速箱其他故障</t>
  </si>
  <si>
    <t>电流检测故障</t>
  </si>
  <si>
    <t>控制器过载故障</t>
  </si>
  <si>
    <t>输出过流</t>
  </si>
  <si>
    <t>输入欠压</t>
  </si>
  <si>
    <t>输入过压</t>
  </si>
  <si>
    <t>控制器过温故障</t>
  </si>
  <si>
    <t>控制器过温告警</t>
  </si>
  <si>
    <t>电机过温故障</t>
  </si>
  <si>
    <t>电机过温告警</t>
  </si>
  <si>
    <t>输出缺相</t>
  </si>
  <si>
    <t>对地短路</t>
  </si>
  <si>
    <t>失调故障</t>
  </si>
  <si>
    <t>速度偏差</t>
  </si>
  <si>
    <t>SPN（DEC）</t>
    <phoneticPr fontId="6" type="noConversion"/>
  </si>
  <si>
    <t>FMI（DEC）</t>
    <phoneticPr fontId="6" type="noConversion"/>
  </si>
  <si>
    <t>输出短路</t>
  </si>
  <si>
    <t>负载电容过大</t>
  </si>
  <si>
    <t>预充高压压差过大</t>
  </si>
  <si>
    <t>低压电控制失电</t>
  </si>
  <si>
    <t>曾有禁止信号</t>
  </si>
  <si>
    <t>高压输入异常</t>
  </si>
  <si>
    <t>主接触器无法断开</t>
  </si>
  <si>
    <t>主接触器无法闭合</t>
  </si>
  <si>
    <t>故障信息</t>
  </si>
  <si>
    <t>SPN(DEC)</t>
    <phoneticPr fontId="6" type="noConversion"/>
  </si>
  <si>
    <t>FMI(DEC)</t>
    <phoneticPr fontId="6" type="noConversion"/>
  </si>
  <si>
    <t>版本</t>
    <phoneticPr fontId="6" type="noConversion"/>
  </si>
  <si>
    <t>日期</t>
    <phoneticPr fontId="6" type="noConversion"/>
  </si>
  <si>
    <t>设计</t>
    <phoneticPr fontId="6" type="noConversion"/>
  </si>
  <si>
    <t>V1.0</t>
    <phoneticPr fontId="6" type="noConversion"/>
  </si>
  <si>
    <t>更改记录</t>
    <phoneticPr fontId="6" type="noConversion"/>
  </si>
  <si>
    <t xml:space="preserve"> </t>
    <phoneticPr fontId="6" type="noConversion"/>
  </si>
  <si>
    <t>电机堵转</t>
    <phoneticPr fontId="6" type="noConversion"/>
  </si>
  <si>
    <t>PT100短路</t>
  </si>
  <si>
    <t>PT100开路</t>
  </si>
  <si>
    <t>SPN(DEC)</t>
    <phoneticPr fontId="6" type="noConversion"/>
  </si>
  <si>
    <t>FMI(DEC)</t>
    <phoneticPr fontId="6" type="noConversion"/>
  </si>
  <si>
    <t>外部输入高压失电超过3S</t>
  </si>
  <si>
    <t>MCU欠压复位</t>
  </si>
  <si>
    <t>1轴左轮速传感器无传感器信号</t>
    <phoneticPr fontId="6" type="noConversion"/>
  </si>
  <si>
    <t>1轴左轮速传感器传感器短路或断路</t>
    <phoneticPr fontId="6" type="noConversion"/>
  </si>
  <si>
    <t>1轴右轮速传感器无传感器信号</t>
    <phoneticPr fontId="6" type="noConversion"/>
  </si>
  <si>
    <t>1轴右轮速传感器传感器短路或断路</t>
    <phoneticPr fontId="6" type="noConversion"/>
  </si>
  <si>
    <t>2轴左轮速传感器无传感器信号</t>
    <phoneticPr fontId="6" type="noConversion"/>
  </si>
  <si>
    <t>2轴左轮速传感器传感器短路或断路</t>
    <phoneticPr fontId="6" type="noConversion"/>
  </si>
  <si>
    <t>2轴右轮速传感器无传感器信号</t>
    <phoneticPr fontId="6" type="noConversion"/>
  </si>
  <si>
    <t>2轴右轮速传感器传感器短路或断路</t>
    <phoneticPr fontId="6" type="noConversion"/>
  </si>
  <si>
    <t>1轴左压力调节阀电磁阀短路或接地</t>
    <phoneticPr fontId="6" type="noConversion"/>
  </si>
  <si>
    <t>1轴左压力调节阀电磁阀断路</t>
    <phoneticPr fontId="6" type="noConversion"/>
  </si>
  <si>
    <t>1轴右压力调节阀电磁阀短路或接地</t>
    <phoneticPr fontId="6" type="noConversion"/>
  </si>
  <si>
    <t>1轴右压力调节阀电磁阀断路</t>
    <phoneticPr fontId="6" type="noConversion"/>
  </si>
  <si>
    <t>2轴左压力调节阀电磁阀短路或接地</t>
    <phoneticPr fontId="6" type="noConversion"/>
  </si>
  <si>
    <t>2轴左压力调节阀电磁阀断路</t>
    <phoneticPr fontId="6" type="noConversion"/>
  </si>
  <si>
    <t>2轴右压力调节阀电磁阀短路或接地</t>
    <phoneticPr fontId="6" type="noConversion"/>
  </si>
  <si>
    <t>2轴右压力调节阀电磁阀断路</t>
    <phoneticPr fontId="6" type="noConversion"/>
  </si>
  <si>
    <t>左制动气室压力传感器断路</t>
    <phoneticPr fontId="6" type="noConversion"/>
  </si>
  <si>
    <t>右制动气室压力传感器断路</t>
    <phoneticPr fontId="6" type="noConversion"/>
  </si>
  <si>
    <r>
      <t>E2PROM</t>
    </r>
    <r>
      <rPr>
        <sz val="11"/>
        <color theme="1"/>
        <rFont val="宋体"/>
        <family val="3"/>
        <charset val="134"/>
      </rPr>
      <t>校验错误</t>
    </r>
  </si>
  <si>
    <t>电控系统</t>
  </si>
  <si>
    <t>SPN</t>
  </si>
  <si>
    <t>FMI</t>
  </si>
  <si>
    <t>BMS</t>
  </si>
  <si>
    <t xml:space="preserve"> BMS</t>
  </si>
  <si>
    <t>TCU</t>
  </si>
  <si>
    <t>换挡数据或离合器数据错误</t>
  </si>
  <si>
    <t>左制动气室压力传感器失效</t>
  </si>
  <si>
    <t>右制动气室压力传感器失效</t>
  </si>
  <si>
    <t>原始版本</t>
    <phoneticPr fontId="6" type="noConversion"/>
  </si>
  <si>
    <t>序号</t>
    <phoneticPr fontId="19" type="noConversion"/>
  </si>
  <si>
    <t>FMI</t>
    <phoneticPr fontId="20" type="noConversion"/>
  </si>
  <si>
    <t>仪表主页简化故障描述</t>
    <phoneticPr fontId="20" type="noConversion"/>
  </si>
  <si>
    <t>Fault description-IC Homepage</t>
    <phoneticPr fontId="20" type="noConversion"/>
  </si>
  <si>
    <t>EBS:ECU故障(260,0)</t>
  </si>
  <si>
    <t>EBS:ECU故障(261,0)</t>
  </si>
  <si>
    <t>EBS:ECU故障(262,0)</t>
  </si>
  <si>
    <t>EBS:ECU故障(265,0)</t>
  </si>
  <si>
    <t>EBS:ECU故障(273,0)</t>
  </si>
  <si>
    <t>EBS:ECU故障(274,0)</t>
  </si>
  <si>
    <t>EBS:ECU故障(412,0)</t>
  </si>
  <si>
    <t>EBS:ECU故障(415,0)</t>
  </si>
  <si>
    <t>EBS:ECU故障(420,0)</t>
  </si>
  <si>
    <t>EBS:ECU故障(423,0)</t>
  </si>
  <si>
    <t>EBS:ECU故障(424,0)</t>
  </si>
  <si>
    <t>EBS:ECU故障(425,0)</t>
  </si>
  <si>
    <t>EBS:ECU故障(517,0)</t>
  </si>
  <si>
    <t>EBS:ECU故障(518,0)</t>
  </si>
  <si>
    <t>EBS:ECU故障(521,0)</t>
  </si>
  <si>
    <t>EBS:ECU故障(530,0)</t>
  </si>
  <si>
    <t>EBS:EBS系统故障(567,0)</t>
  </si>
  <si>
    <t>EBS:ECU故障或软件不匹配(668,0)</t>
  </si>
  <si>
    <t>EBS:ECU故障(671,0)</t>
  </si>
  <si>
    <t>EBS:ECU故障(674,0)</t>
  </si>
  <si>
    <t>EBS:ECU故障(675,0)</t>
  </si>
  <si>
    <t>EBS:ECU故障(692,0)</t>
  </si>
  <si>
    <t>EBS:ECU故障(693,0)</t>
  </si>
  <si>
    <t>EBS:ECU故障(694,0)</t>
  </si>
  <si>
    <t>EBS:ECU故障(695,0)</t>
  </si>
  <si>
    <t>EBS:ECU故障(697,0)</t>
  </si>
  <si>
    <t>EBS:ECU故障(698,0)</t>
  </si>
  <si>
    <t>EBS:ECU故障(699,0)</t>
  </si>
  <si>
    <t>EBS:ECU故障(700,0)</t>
  </si>
  <si>
    <t>EBS:ECU故障(774,0)</t>
  </si>
  <si>
    <t>EBS:ECU故障(927,0)</t>
  </si>
  <si>
    <t>EBS:ECU故障(928,0)</t>
  </si>
  <si>
    <t>EBS:ECU故障(929,0)</t>
  </si>
  <si>
    <t>EBS:ECU故障(930,0)</t>
  </si>
  <si>
    <t>EBS:ECU故障(933,0)</t>
  </si>
  <si>
    <t>EBS:ECU故障(957,0)</t>
  </si>
  <si>
    <t>EBS:ECU故障(958,0)</t>
  </si>
  <si>
    <t>EBS:ECU故障(959,0)</t>
  </si>
  <si>
    <t>EBS:ECU故障(960,0)</t>
  </si>
  <si>
    <t>EBS:ECU故障(961,0)</t>
  </si>
  <si>
    <t>EBS:ECU故障(962,0)</t>
  </si>
  <si>
    <t>EBS:ECU故障(1038,0)</t>
  </si>
  <si>
    <t>EBS:ECU故障(1041,0)</t>
  </si>
  <si>
    <t>EBS:ECU故障(1042,0)</t>
  </si>
  <si>
    <t>EBS:ECU故障(1294,0)</t>
  </si>
  <si>
    <t>EBS:ECU故障(1297,0)</t>
  </si>
  <si>
    <t>EBS:ECU故障(1298,0)</t>
  </si>
  <si>
    <t>EBS:ECU故障(1537,0)</t>
  </si>
  <si>
    <t>EBS:ECU故障(1626,0)</t>
  </si>
  <si>
    <t>EBS:ECU故障(1627,0)</t>
  </si>
  <si>
    <t>EBS:ECU故障(1628,0)</t>
  </si>
  <si>
    <t>EBS:ECU故障(1630,0)</t>
  </si>
  <si>
    <t>EBS:ECU故障(1631,0)</t>
  </si>
  <si>
    <t>EBS:ECU故障(1634,0)</t>
  </si>
  <si>
    <t>EBS:ECU故障(1636,0)</t>
  </si>
  <si>
    <t>EBS:ECU故障(1637,0)</t>
  </si>
  <si>
    <t>EBS:ECU故障(1638,0)</t>
  </si>
  <si>
    <t>EBS:ECU故障(1639,0)</t>
  </si>
  <si>
    <t>EBS:ECU故障(1645,0)</t>
  </si>
  <si>
    <t>EBS:ECU故障(1646,0)</t>
  </si>
  <si>
    <t>EBS:ECU故障(1647,0)</t>
  </si>
  <si>
    <t>EBS:ECU故障(1656,0)</t>
  </si>
  <si>
    <t>EBS:ECU故障(1657,0)</t>
  </si>
  <si>
    <t>EBS:ECU故障(1658,0)</t>
  </si>
  <si>
    <t>EBS:ECU故障(1660,0)</t>
  </si>
  <si>
    <t>EBS:ECU故障(1661,0)</t>
  </si>
  <si>
    <t>EBS:ECU故障(1664,0)</t>
  </si>
  <si>
    <t>EBS:ECU故障(1667,0)</t>
  </si>
  <si>
    <t>EBS:ECU故障(1668,0)</t>
  </si>
  <si>
    <t>EBS:ECU故障(1675,0)</t>
  </si>
  <si>
    <t>EBS:ECU故障(1676,0)</t>
  </si>
  <si>
    <t>EBS:ECU故障(1680,0)</t>
  </si>
  <si>
    <t>EBS:ECU故障(1806,0)</t>
  </si>
  <si>
    <t>EBS:ECU故障(1811,0)</t>
  </si>
  <si>
    <t>EBS:ECU故障(1851,0)</t>
  </si>
  <si>
    <t>EBS:ECU故障(2573,0)</t>
  </si>
  <si>
    <t>EBS:挂车CAN通讯故障(3161,0)</t>
  </si>
  <si>
    <t>EBS:内部CAN通讯故障(3586,0)</t>
  </si>
  <si>
    <t>EBS:内部CAN通讯故障(3594,0)</t>
  </si>
  <si>
    <t>EBS:内部CAN通讯故障(3597,0)</t>
  </si>
  <si>
    <t>EBS:内部CAN通讯故障(3598,0)</t>
  </si>
  <si>
    <t>EBS:内部CAN通讯故障(3853,0)</t>
  </si>
  <si>
    <t>EBS:电磁阀或线路故障(7968,0)</t>
  </si>
  <si>
    <t>EBS:电磁阀或线路故障(8224,0)</t>
  </si>
  <si>
    <t>EBS:电磁阀或线路故障(8480,0)</t>
  </si>
  <si>
    <t>EBS:电磁阀或线路故障(8736,0)</t>
  </si>
  <si>
    <t>EBS:转向角度传感器未标定(13056,0)</t>
  </si>
  <si>
    <t>EBS:横摆率传感器异常(13312,0)</t>
  </si>
  <si>
    <t>EBS:气压传感器供电电压低(14614,0)</t>
  </si>
  <si>
    <t>EBS:脚阀故障(15386,0)</t>
  </si>
  <si>
    <t>EBS:脚阀故障(15395,0)</t>
  </si>
  <si>
    <t>EBS:脚阀故障(15410,0)</t>
  </si>
  <si>
    <t>EBS:脚阀故障(15638,0)</t>
  </si>
  <si>
    <t>EBS:脚阀故障(15639,0)</t>
  </si>
  <si>
    <t>EBS:脚阀故障(15894,0)</t>
  </si>
  <si>
    <t>EBS:脚阀故障(15895,0)</t>
  </si>
  <si>
    <t>EBS:脚阀故障(16660,0)</t>
  </si>
  <si>
    <t>EBS:脚阀故障(16661,0)</t>
  </si>
  <si>
    <t>EBS:ECU内部故障(17153,0)</t>
  </si>
  <si>
    <t>EBS:EPM配置错误或线束故障(18432,0)</t>
  </si>
  <si>
    <t>EBS:EPM配置错误(18588,0)</t>
  </si>
  <si>
    <t>EBS:EPM故障(18589,0)</t>
  </si>
  <si>
    <t>EBS:EPM故障(18592,0)</t>
  </si>
  <si>
    <t>EBS:ECU配置错误(18689,0)</t>
  </si>
  <si>
    <t>EBS:ECU内部故障(18738,0)</t>
  </si>
  <si>
    <t>EBS:挂车阀未配置(24576,0)</t>
  </si>
  <si>
    <t>EBS:轮速传感器故障(25600,0)</t>
  </si>
  <si>
    <t>EBS:轮速传感器故障(25856,0)</t>
  </si>
  <si>
    <t>EBS:轮速传感器故障(26112,0)</t>
  </si>
  <si>
    <t>EBS:轮速传感器故障(26624,0)</t>
  </si>
  <si>
    <t>EBS:轮速传感器故障(26880,0)</t>
  </si>
  <si>
    <t>EBS:EPM故障(25645,0)</t>
  </si>
  <si>
    <t>EBS:EPM故障(25901,0)</t>
  </si>
  <si>
    <t>EBS:EPM故障(26157,0)</t>
  </si>
  <si>
    <t>EBS:EPM故障(26413,0)</t>
  </si>
  <si>
    <t>EBS:EPM故障(26669,0)</t>
  </si>
  <si>
    <t>EBS:EPM故障(26925,0)</t>
  </si>
  <si>
    <t>EBS:EPM故障(33283,0)</t>
  </si>
  <si>
    <t>EBS:EPM故障(33539,0)</t>
  </si>
  <si>
    <t>EBS:EPM故障(33795,0)</t>
  </si>
  <si>
    <t>EBS:EPM故障(34051,0)</t>
  </si>
  <si>
    <t>EBS:EPM故障(34307,0)</t>
  </si>
  <si>
    <t>EBS:EPM故障(34563,0)</t>
  </si>
  <si>
    <t>EBS:EPM故障(33287,0)</t>
  </si>
  <si>
    <t>EBS:EPM故障(33543,0)</t>
  </si>
  <si>
    <t>EBS:EPM故障(33799,0)</t>
  </si>
  <si>
    <t>EBS:EPM故障(34055,0)</t>
  </si>
  <si>
    <t>EBS:EPM故障(34311,0)</t>
  </si>
  <si>
    <t>EBS:EPM故障(34567,0)</t>
  </si>
  <si>
    <t>EBS:EPM故障(33289,0)</t>
  </si>
  <si>
    <t>EBS:EPM故障(33545,0)</t>
  </si>
  <si>
    <t>EBS:EPM故障(33801,0)</t>
  </si>
  <si>
    <t>EBS:EPM故障(34057,0)</t>
  </si>
  <si>
    <t>EBS:EPM故障(34313,0)</t>
  </si>
  <si>
    <t>EBS:EPM故障(34569,0)</t>
  </si>
  <si>
    <t>EBS:EPM故障(33325,0)</t>
  </si>
  <si>
    <t>EBS:EPM故障(33581,0)</t>
  </si>
  <si>
    <t>EBS:EPM故障(33837,0)</t>
  </si>
  <si>
    <t>EBS:EPM故障(34093,0)</t>
  </si>
  <si>
    <t>EBS:EPM故障(34349,0)</t>
  </si>
  <si>
    <t>EBS:EPM故障(34605,0)</t>
  </si>
  <si>
    <t>EBS:EPM故障(33430,0)</t>
  </si>
  <si>
    <t>EBS:EPM故障(33686,0)</t>
  </si>
  <si>
    <t>EBS:EPM故障(33942,0)</t>
  </si>
  <si>
    <t>EBS:EPM故障(34198,0)</t>
  </si>
  <si>
    <t>EBS:EPM故障(34454,0)</t>
  </si>
  <si>
    <t>EBS:EPM故障(34710,0)</t>
  </si>
  <si>
    <t>EBS:EPM故障(33431,0)</t>
  </si>
  <si>
    <t>EBS:EPM故障(33687,0)</t>
  </si>
  <si>
    <t>EBS:EPM故障(33943,0)</t>
  </si>
  <si>
    <t>EBS:EPM故障(34199,0)</t>
  </si>
  <si>
    <t>EBS:EPM故障(34455,0)</t>
  </si>
  <si>
    <t>EBS:EPM故障(34711,0)</t>
  </si>
  <si>
    <t>EBS:EPM故障(33436,0)</t>
  </si>
  <si>
    <t>EBS:EPM故障(33692,0)</t>
  </si>
  <si>
    <t>EBS:EPM故障(33948,0)</t>
  </si>
  <si>
    <t>EBS:EPM故障(34204,0)</t>
  </si>
  <si>
    <t>EBS:EPM故障(34460,0)</t>
  </si>
  <si>
    <t>EBS:EPM故障(34716,0)</t>
  </si>
  <si>
    <t>EBS:EPM故障(33437,0)</t>
  </si>
  <si>
    <t>EBS:EPM故障(33693,0)</t>
  </si>
  <si>
    <t>EBS:EPM故障(33949,0)</t>
  </si>
  <si>
    <t>EBS:EPM故障(34205,0)</t>
  </si>
  <si>
    <t>EBS:EPM故障(34461,0)</t>
  </si>
  <si>
    <t>EBS:EPM故障(34717,0)</t>
  </si>
  <si>
    <t>EBS:EPM故障(33440,0)</t>
  </si>
  <si>
    <t>EBS:EPM故障(33696,0)</t>
  </si>
  <si>
    <t>EBS:EPM故障(33952,0)</t>
  </si>
  <si>
    <t>EBS:EPM故障(34208,0)</t>
  </si>
  <si>
    <t>EBS:EPM故障(34464,0)</t>
  </si>
  <si>
    <t>EBS:EPM故障(34720,0)</t>
  </si>
  <si>
    <t>EBS:EPM或ECU故障(33442,0)</t>
  </si>
  <si>
    <t>EBS:EPM或ECU故障(33698,0)</t>
  </si>
  <si>
    <t>EBS:EPM或ECU故障(33954,0)</t>
  </si>
  <si>
    <t>EBS:EPM或ECU故障(34210,0)</t>
  </si>
  <si>
    <t>EBS:EPM或ECU故障(34466,0)</t>
  </si>
  <si>
    <t>EBS:EPM或ECU故障(34722,0)</t>
  </si>
  <si>
    <t>EBS:线路故障(35873,0)</t>
  </si>
  <si>
    <t>EBS:线路故障(36129,0)</t>
  </si>
  <si>
    <t>EBS:线路故障(36385,0)</t>
  </si>
  <si>
    <t>EBS:线路故障(36641,0)</t>
  </si>
  <si>
    <t>EBS:线路故障(36897,0)</t>
  </si>
  <si>
    <t>EBS:线路故障(37153,0)</t>
  </si>
  <si>
    <t>EBS:线路故障(35874,0)</t>
  </si>
  <si>
    <t>EBS:线路故障(36130,0)</t>
  </si>
  <si>
    <t>EBS:线路故障(36386,0)</t>
  </si>
  <si>
    <t>EBS:线路故障(36642,0)</t>
  </si>
  <si>
    <t>EBS:线路故障(36898,0)</t>
  </si>
  <si>
    <t>EBS:线路故障(37154,0)</t>
  </si>
  <si>
    <t>EBS:线路故障(35875,0)</t>
  </si>
  <si>
    <t>EBS:线路故障(36131,0)</t>
  </si>
  <si>
    <t>EBS:线路故障(36387,0)</t>
  </si>
  <si>
    <t>EBS:线路故障(36643,0)</t>
  </si>
  <si>
    <t>EBS:线路故障(36899,0)</t>
  </si>
  <si>
    <t>EBS:线路故障(37155,0)</t>
  </si>
  <si>
    <t>EBS:CAN通讯故障(38410,0)</t>
  </si>
  <si>
    <t>EBS:CAN通讯故障(38666,0)</t>
  </si>
  <si>
    <t>EBS:CAN通讯故障(38922,0)</t>
  </si>
  <si>
    <t>EBS:CAN通讯故障(39178,0)</t>
  </si>
  <si>
    <t>EBS:CAN通讯故障(39434,0)</t>
  </si>
  <si>
    <t>EBS:CAN通讯故障(39690,0)</t>
  </si>
  <si>
    <t>EBS:CAN通讯故障(38411,0)</t>
  </si>
  <si>
    <t>EBS:CAN通讯故障(38667,0)</t>
  </si>
  <si>
    <t>EBS:CAN通讯故障(38923,0)</t>
  </si>
  <si>
    <t>EBS:CAN通讯故障(39179,0)</t>
  </si>
  <si>
    <t>EBS:CAN通讯故障(39435,0)</t>
  </si>
  <si>
    <t>EBS:CAN通讯故障(39691,0)</t>
  </si>
  <si>
    <t>EBS:CAN通讯故障(38413,0)</t>
  </si>
  <si>
    <t>EBS:CAN通讯故障(38669,0)</t>
  </si>
  <si>
    <t>EBS:CAN通讯故障(38925,0)</t>
  </si>
  <si>
    <t>EBS:CAN通讯故障(39181,0)</t>
  </si>
  <si>
    <t>EBS:CAN通讯故障(39437,0)</t>
  </si>
  <si>
    <t>EBS:CAN通讯故障(39693,0)</t>
  </si>
  <si>
    <t>EBS:CAN通讯故障(38414,0)</t>
  </si>
  <si>
    <t>EBS:CAN通讯故障(38670,0)</t>
  </si>
  <si>
    <t>EBS:CAN通讯故障(38926,0)</t>
  </si>
  <si>
    <t>EBS:CAN通讯故障(39182,0)</t>
  </si>
  <si>
    <t>EBS:CAN通讯故障(39438,0)</t>
  </si>
  <si>
    <t>EBS:CAN通讯故障(39694,0)</t>
  </si>
  <si>
    <t>EBS:CAN通讯故障(38570,0)</t>
  </si>
  <si>
    <t>EBS:CAN通讯故障(38571,0)</t>
  </si>
  <si>
    <t>EBS:CAN通讯故障(38572,0)</t>
  </si>
  <si>
    <t>EBS:CAN通讯故障(38573,0)</t>
  </si>
  <si>
    <t>EBS:CAN通讯故障(38574,0)</t>
  </si>
  <si>
    <t>EBS:CAN通讯故障(38575,0)</t>
  </si>
  <si>
    <t>EBS:CAN通讯故障(38576,0)</t>
  </si>
  <si>
    <t>EBS:CAN通讯故障(38577,0)</t>
  </si>
  <si>
    <t>EBS:CAN通讯故障(38826,0)</t>
  </si>
  <si>
    <t>EBS:CAN通讯故障(38827,0)</t>
  </si>
  <si>
    <t>EBS:CAN通讯故障(38828,0)</t>
  </si>
  <si>
    <t>EBS:CAN通讯故障(38829,0)</t>
  </si>
  <si>
    <t>EBS:CAN通讯故障(38830,0)</t>
  </si>
  <si>
    <t>EBS:CAN通讯故障(38831,0)</t>
  </si>
  <si>
    <t>EBS:CAN通讯故障(38832,0)</t>
  </si>
  <si>
    <t>EBS:CAN通讯故障(38833,0)</t>
  </si>
  <si>
    <t>EBS:CAN通讯故障(39082,0)</t>
  </si>
  <si>
    <t>EBS:CAN通讯故障(39083,0)</t>
  </si>
  <si>
    <t>EBS:CAN通讯故障(39084,0)</t>
  </si>
  <si>
    <t>EBS:CAN通讯故障(39085,0)</t>
  </si>
  <si>
    <t>EBS:CAN通讯故障(39086,0)</t>
  </si>
  <si>
    <t>EBS:CAN通讯故障(39087,0)</t>
  </si>
  <si>
    <t>EBS:CAN通讯故障(39088,0)</t>
  </si>
  <si>
    <t>EBS:CAN通讯故障(39089,0)</t>
  </si>
  <si>
    <t>EBS:CAN通讯故障(39338,0)</t>
  </si>
  <si>
    <t>EBS:CAN通讯故障(39339,0)</t>
  </si>
  <si>
    <t>EBS:CAN通讯故障(39340,0)</t>
  </si>
  <si>
    <t>EBS:CAN通讯故障(39341,0)</t>
  </si>
  <si>
    <t>EBS:CAN通讯故障(39342,0)</t>
  </si>
  <si>
    <t>EBS:CAN通讯故障(39343,0)</t>
  </si>
  <si>
    <t>EBS:CAN通讯故障(39344,0)</t>
  </si>
  <si>
    <t>EBS:CAN通讯故障(39345,0)</t>
  </si>
  <si>
    <t>EBS:CAN通讯故障(39594,0)</t>
  </si>
  <si>
    <t>EBS:CAN通讯故障(39595,0)</t>
  </si>
  <si>
    <t>EBS:CAN通讯故障(39596,0)</t>
  </si>
  <si>
    <t>EBS:CAN通讯故障(39597,0)</t>
  </si>
  <si>
    <t>EBS:CAN通讯故障(39598,0)</t>
  </si>
  <si>
    <t>EBS:CAN通讯故障(39599,0)</t>
  </si>
  <si>
    <t>EBS:CAN通讯故障(39600,0)</t>
  </si>
  <si>
    <t>EBS:CAN通讯故障(39601,0)</t>
  </si>
  <si>
    <t>EBS:CAN通讯故障(39850,0)</t>
  </si>
  <si>
    <t>EBS:CAN通讯故障(39851,0)</t>
  </si>
  <si>
    <t>EBS:CAN通讯故障(39852,0)</t>
  </si>
  <si>
    <t>EBS:CAN通讯故障(39853,0)</t>
  </si>
  <si>
    <t>EBS:CAN通讯故障(39854,0)</t>
  </si>
  <si>
    <t>EBS:CAN通讯故障(39855,0)</t>
  </si>
  <si>
    <t>EBS:CAN通讯故障(39856,0)</t>
  </si>
  <si>
    <t>EBS:CAN通讯故障(39857,0)</t>
  </si>
  <si>
    <t>EBS:EPM故障(40982,0)</t>
  </si>
  <si>
    <t>EBS:EPM故障(41238,0)</t>
  </si>
  <si>
    <t>EBS:EPM故障(41494,0)</t>
  </si>
  <si>
    <t>EBS:EPM故障(41750,0)</t>
  </si>
  <si>
    <t>EBS:EPM故障(42006,0)</t>
  </si>
  <si>
    <t>EBS:EPM故障(42262,0)</t>
  </si>
  <si>
    <t>EBS:EPM故障(40990,0)</t>
  </si>
  <si>
    <t>EBS:EPM故障(41246,0)</t>
  </si>
  <si>
    <t>EBS:EPM故障(41502,0)</t>
  </si>
  <si>
    <t>EBS:EPM故障(41758,0)</t>
  </si>
  <si>
    <t>EBS:EPM故障(42014,0)</t>
  </si>
  <si>
    <t>EBS:EPM故障(42270,0)</t>
  </si>
  <si>
    <t>EBS:EPM故障(40992,0)</t>
  </si>
  <si>
    <t>EBS:EPM故障(41248,0)</t>
  </si>
  <si>
    <t>EBS:EPM故障(41504,0)</t>
  </si>
  <si>
    <t>EBS:EPM故障(41760,0)</t>
  </si>
  <si>
    <t>EBS:EPM故障(42016,0)</t>
  </si>
  <si>
    <t>EBS:EPM故障(42272,0)</t>
  </si>
  <si>
    <t>EBS:EPM故障(40993,0)</t>
  </si>
  <si>
    <t>EBS:EPM故障(41249,0)</t>
  </si>
  <si>
    <t>EBS:EPM故障(41505,0)</t>
  </si>
  <si>
    <t>EBS:EPM故障(41761,0)</t>
  </si>
  <si>
    <t>EBS:EPM故障(42017,0)</t>
  </si>
  <si>
    <t>EBS:EPM故障(42273,0)</t>
  </si>
  <si>
    <t>EBS:EPM故障(41003,0)</t>
  </si>
  <si>
    <t>EBS:EPM故障(41259,0)</t>
  </si>
  <si>
    <t>EBS:EPM故障(41515,0)</t>
  </si>
  <si>
    <t>EBS:EPM故障(41771,0)</t>
  </si>
  <si>
    <t>EBS:EPM故障(42027,0)</t>
  </si>
  <si>
    <t>EBS:EPM故障(42283,0)</t>
  </si>
  <si>
    <t>EBS:EPM故障(41004,0)</t>
  </si>
  <si>
    <t>EBS:EPM故障(41260,0)</t>
  </si>
  <si>
    <t>EBS:EPM故障(41516,0)</t>
  </si>
  <si>
    <t>EBS:EPM故障(41772,0)</t>
  </si>
  <si>
    <t>EBS:EPM故障(42028,0)</t>
  </si>
  <si>
    <t>EBS:EPM故障(42284,0)</t>
  </si>
  <si>
    <t>EBS:线路故障(43542,0)</t>
  </si>
  <si>
    <t>EBS:线路故障(43798,0)</t>
  </si>
  <si>
    <t>EBS:线路故障(44054,0)</t>
  </si>
  <si>
    <t>EBS:线路故障(44310,0)</t>
  </si>
  <si>
    <t>EBS:线路故障(44566,0)</t>
  </si>
  <si>
    <t>EBS:线路故障(44822,0)</t>
  </si>
  <si>
    <t>EBS:EPM故障(43550,0)</t>
  </si>
  <si>
    <t>EBS:EPM故障(43806,0)</t>
  </si>
  <si>
    <t>EBS:EPM故障(44062,0)</t>
  </si>
  <si>
    <t>EBS:EPM故障(44318,0)</t>
  </si>
  <si>
    <t>EBS:EPM故障(44574,0)</t>
  </si>
  <si>
    <t>EBS:EPM故障(44830,0)</t>
  </si>
  <si>
    <t>EBS:EPM故障(43552,0)</t>
  </si>
  <si>
    <t>EBS:EPM故障(43808,0)</t>
  </si>
  <si>
    <t>EBS:EPM故障(44064,0)</t>
  </si>
  <si>
    <t>EBS:EPM故障(44320,0)</t>
  </si>
  <si>
    <t>EBS:EPM故障(44576,0)</t>
  </si>
  <si>
    <t>EBS:EPM故障(44832,0)</t>
  </si>
  <si>
    <t>EBS:EPM故障(43553,0)</t>
  </si>
  <si>
    <t>EBS:EPM故障(43809,0)</t>
  </si>
  <si>
    <t>EBS:EPM故障(44065,0)</t>
  </si>
  <si>
    <t>EBS:EPM故障(44321,0)</t>
  </si>
  <si>
    <t>EBS:EPM故障(44577,0)</t>
  </si>
  <si>
    <t>EBS:EPM故障(44833,0)</t>
  </si>
  <si>
    <t>EBS:EPM故障(43563,0)</t>
  </si>
  <si>
    <t>EBS:EPM故障(43819,0)</t>
  </si>
  <si>
    <t>EBS:EPM故障(44075,0)</t>
  </si>
  <si>
    <t>EBS:EPM故障(44331,0)</t>
  </si>
  <si>
    <t>EBS:EPM故障(44587,0)</t>
  </si>
  <si>
    <t>EBS:EPM故障(44843,0)</t>
  </si>
  <si>
    <t>EBS:EPM故障(43564,0)</t>
  </si>
  <si>
    <t>EBS:EPM故障(43820,0)</t>
  </si>
  <si>
    <t>EBS:EPM故障(44076,0)</t>
  </si>
  <si>
    <t>EBS:EPM故障(44332,0)</t>
  </si>
  <si>
    <t>EBS:EPM故障(44588,0)</t>
  </si>
  <si>
    <t>EBS:EPM故障(44844,0)</t>
  </si>
  <si>
    <t>EBS:线路故障(46102,0)</t>
  </si>
  <si>
    <t>EBS:线路故障(46358,0)</t>
  </si>
  <si>
    <t>EBS:线路故障(46614,0)</t>
  </si>
  <si>
    <t>EBS:线路故障(46870,0)</t>
  </si>
  <si>
    <t>EBS:线路故障(47126,0)</t>
  </si>
  <si>
    <t>EBS:线路故障(47382,0)</t>
  </si>
  <si>
    <t>EBS:EPM故障(46110,0)</t>
  </si>
  <si>
    <t>EBS:EPM故障(46366,0)</t>
  </si>
  <si>
    <t>EBS:EPM故障(46622,0)</t>
  </si>
  <si>
    <t>EBS:EPM故障(46878,0)</t>
  </si>
  <si>
    <t>EBS:EPM故障(47134,0)</t>
  </si>
  <si>
    <t>EBS:EPM故障(47390,0)</t>
  </si>
  <si>
    <t>EBS:EPM故障(46112,0)</t>
  </si>
  <si>
    <t>EBS:EPM故障(46368,0)</t>
  </si>
  <si>
    <t>EBS:EPM故障(46624,0)</t>
  </si>
  <si>
    <t>EBS:EPM故障(46880,0)</t>
  </si>
  <si>
    <t>EBS:EPM故障(47136,0)</t>
  </si>
  <si>
    <t>EBS:EPM故障(47392,0)</t>
  </si>
  <si>
    <t>EBS:EPM故障(46113,0)</t>
  </si>
  <si>
    <t>EBS:EPM故障(46369,0)</t>
  </si>
  <si>
    <t>EBS:EPM故障(46625,0)</t>
  </si>
  <si>
    <t>EBS:EPM故障(46881,0)</t>
  </si>
  <si>
    <t>EBS:EPM故障(47137,0)</t>
  </si>
  <si>
    <t>EBS:EPM故障(47393,0)</t>
  </si>
  <si>
    <t>EBS:EPM故障(46123,0)</t>
  </si>
  <si>
    <t>EBS:EPM故障(46379,0)</t>
  </si>
  <si>
    <t>EBS:EPM故障(46635,0)</t>
  </si>
  <si>
    <t>EBS:EPM故障(46891,0)</t>
  </si>
  <si>
    <t>EBS:EPM故障(47147,0)</t>
  </si>
  <si>
    <t>EBS:EPM故障(47403,0)</t>
  </si>
  <si>
    <t>EBS:EPM故障(48662,0)</t>
  </si>
  <si>
    <t>EBS:EPM故障(48918,0)</t>
  </si>
  <si>
    <t>EBS:EPM故障(49174,0)</t>
  </si>
  <si>
    <t>EBS:EPM故障(49430,0)</t>
  </si>
  <si>
    <t>EBS:EPM故障(49686,0)</t>
  </si>
  <si>
    <t>EBS:EPM故障(49942,0)</t>
  </si>
  <si>
    <t>EBS:EPM故障(48663,0)</t>
  </si>
  <si>
    <t>EBS:EPM故障(48919,0)</t>
  </si>
  <si>
    <t>EBS:EPM故障(49175,0)</t>
  </si>
  <si>
    <t>EBS:EPM故障(49431,0)</t>
  </si>
  <si>
    <t>EBS:EPM故障(49687,0)</t>
  </si>
  <si>
    <t>EBS:EPM故障(49943,0)</t>
  </si>
  <si>
    <t>EBS:EPM故障(48667,0)</t>
  </si>
  <si>
    <t>EBS:EPM故障(48923,0)</t>
  </si>
  <si>
    <t>EBS:EPM故障(49179,0)</t>
  </si>
  <si>
    <t>EBS:EPM故障(49435,0)</t>
  </si>
  <si>
    <t>EBS:EPM故障(49691,0)</t>
  </si>
  <si>
    <t>EBS:EPM故障(49947,0)</t>
  </si>
  <si>
    <t>EBS:EPM故障(48668,0)</t>
  </si>
  <si>
    <t>EBS:EPM故障(48924,0)</t>
  </si>
  <si>
    <t>EBS:EPM故障(49180,0)</t>
  </si>
  <si>
    <t>EBS:EPM故障(49436,0)</t>
  </si>
  <si>
    <t>EBS:EPM故障(49692,0)</t>
  </si>
  <si>
    <t>EBS:EPM故障(49948,0)</t>
  </si>
  <si>
    <t>EBS:气路故障(51260,0)</t>
  </si>
  <si>
    <t>EBS:气路故障(51516,0)</t>
  </si>
  <si>
    <t>EBS:气路故障(51772,0)</t>
  </si>
  <si>
    <t>EBS:气路故障(52028,0)</t>
  </si>
  <si>
    <t>EBS:气路故障(52284,0)</t>
  </si>
  <si>
    <t>EBS:气路故障(52540,0)</t>
  </si>
  <si>
    <t>EBS:EPM故障(51261,0)</t>
  </si>
  <si>
    <t>EBS:EPM故障(51517,0)</t>
  </si>
  <si>
    <t>EBS:EPM故障(51773,0)</t>
  </si>
  <si>
    <t>EBS:EPM故障(52029,0)</t>
  </si>
  <si>
    <t>EBS:EPM故障(52285,0)</t>
  </si>
  <si>
    <t>EBS:EPM故障(52541,0)</t>
  </si>
  <si>
    <t>EBS:气路故障(51262,0)</t>
  </si>
  <si>
    <t>EBS:气路故障(51518,0)</t>
  </si>
  <si>
    <t>EBS:气路故障(51774,0)</t>
  </si>
  <si>
    <t>EBS:气路故障(52030,0)</t>
  </si>
  <si>
    <t>EBS:气路故障(52286,0)</t>
  </si>
  <si>
    <t>EBS:气路故障(52542,0)</t>
  </si>
  <si>
    <t>EBS:EBS故障(51263,0)</t>
  </si>
  <si>
    <t>EBS:EBS故障(51519,0)</t>
  </si>
  <si>
    <t>EBS:EBS故障(51775,0)</t>
  </si>
  <si>
    <t>EBS:EBS故障(52031,0)</t>
  </si>
  <si>
    <t>EBS:EBS故障(52287,0)</t>
  </si>
  <si>
    <t>EBS:EBS故障(52543,0)</t>
  </si>
  <si>
    <t>EBS:气路故障(51266,0)</t>
  </si>
  <si>
    <t>EBS:气路故障(51522,0)</t>
  </si>
  <si>
    <t>EBS:气路故障(51778,0)</t>
  </si>
  <si>
    <t>EBS:气路故障(52034,0)</t>
  </si>
  <si>
    <t>EBS:气路故障(52290,0)</t>
  </si>
  <si>
    <t>EBS:气路故障(52546,0)</t>
  </si>
  <si>
    <t>EBS:气路故障(51267,0)</t>
  </si>
  <si>
    <t>EBS:气路故障(51523,0)</t>
  </si>
  <si>
    <t>EBS:气路故障(51779,0)</t>
  </si>
  <si>
    <t>EBS:气路故障(52035,0)</t>
  </si>
  <si>
    <t>EBS:气路故障(52291,0)</t>
  </si>
  <si>
    <t>EBS:气路故障(52547,0)</t>
  </si>
  <si>
    <t>EBS:EPM故障(51268,0)</t>
  </si>
  <si>
    <t>EBS:EPM故障(51524,0)</t>
  </si>
  <si>
    <t>EBS:EPM故障(51780,0)</t>
  </si>
  <si>
    <t>EBS:EPM故障(52036,0)</t>
  </si>
  <si>
    <t>EBS:EPM故障(52292,0)</t>
  </si>
  <si>
    <t>EBS:EPM故障(52548,0)</t>
  </si>
  <si>
    <t>EBS:EBS故障(51269,0)</t>
  </si>
  <si>
    <t>EBS:EBS故障(51525,0)</t>
  </si>
  <si>
    <t>EBS:EBS故障(51781,0)</t>
  </si>
  <si>
    <t>EBS:EBS故障(52037,0)</t>
  </si>
  <si>
    <t>EBS:EBS故障(52293,0)</t>
  </si>
  <si>
    <t>EBS:EBS故障(52549,0)</t>
  </si>
  <si>
    <t>EBS:EPM故障(51270,0)</t>
  </si>
  <si>
    <t>EBS:EPM故障(51526,0)</t>
  </si>
  <si>
    <t>EBS:EPM故障(51782,0)</t>
  </si>
  <si>
    <t>EBS:EPM故障(52038,0)</t>
  </si>
  <si>
    <t>EBS:EPM故障(52294,0)</t>
  </si>
  <si>
    <t>EBS:EPM故障(52550,0)</t>
  </si>
  <si>
    <t>EBS:EPM故障(51271,0)</t>
  </si>
  <si>
    <t>EBS:EPM故障(51527,0)</t>
  </si>
  <si>
    <t>EBS:EPM故障(51783,0)</t>
  </si>
  <si>
    <t>EBS:EPM故障(52039,0)</t>
  </si>
  <si>
    <t>EBS:EPM故障(52295,0)</t>
  </si>
  <si>
    <t>EBS:EPM故障(52551,0)</t>
  </si>
  <si>
    <t>SPN</t>
    <phoneticPr fontId="19" type="noConversion"/>
  </si>
  <si>
    <t>FMI</t>
    <phoneticPr fontId="19" type="noConversion"/>
  </si>
  <si>
    <t>BCM:位置灯继电器开路</t>
  </si>
  <si>
    <r>
      <t>V</t>
    </r>
    <r>
      <rPr>
        <sz val="11"/>
        <color theme="1"/>
        <rFont val="宋体"/>
        <family val="3"/>
        <charset val="134"/>
        <scheme val="minor"/>
      </rPr>
      <t xml:space="preserve">ar_ui_ErrNo := </t>
    </r>
    <phoneticPr fontId="20" type="noConversion"/>
  </si>
  <si>
    <t>;</t>
    <phoneticPr fontId="20" type="noConversion"/>
  </si>
  <si>
    <t>BCM:位置灯继电器短路</t>
  </si>
  <si>
    <t>BCM:远光灯继电器开路</t>
  </si>
  <si>
    <t>BCM:远光灯继电器短路</t>
  </si>
  <si>
    <t>BCM:辅助远光灯继电器开路</t>
  </si>
  <si>
    <t>BCM:辅助远光灯继电器短路</t>
  </si>
  <si>
    <t>BCM:近光灯继电器开路</t>
  </si>
  <si>
    <t>BCM:近光灯继电器短路</t>
  </si>
  <si>
    <t>BCM:前雾灯继电器开路</t>
  </si>
  <si>
    <t>BCM:前雾灯继电器短路</t>
  </si>
  <si>
    <t>BCM:昼间行车灯短路</t>
  </si>
  <si>
    <t>BCM:主车左前转向灯开路</t>
  </si>
  <si>
    <t>BCM:主车左前转向灯短路</t>
  </si>
  <si>
    <t>BCM:主车右前转向灯开路</t>
  </si>
  <si>
    <t>BCM:主车右前转向灯短路</t>
  </si>
  <si>
    <t>BCM:主车左侧转向灯开路</t>
  </si>
  <si>
    <t>BCM:主车左侧转向灯短路</t>
  </si>
  <si>
    <t>BCM:主车左侧转向灯过载</t>
  </si>
  <si>
    <t>BCM:主车右侧转向灯开路</t>
  </si>
  <si>
    <t>BCM:主车右侧转向灯短路</t>
  </si>
  <si>
    <t>BCM:主车右侧转向灯过载</t>
  </si>
  <si>
    <t>BCM:主车左后转向灯开路</t>
  </si>
  <si>
    <t>BCM:主车左后转向灯短路</t>
  </si>
  <si>
    <t>BCM:主车左后转向灯过载</t>
  </si>
  <si>
    <t>BCM:主车右后转向灯开路</t>
  </si>
  <si>
    <t>BCM:主车右后转向灯短路</t>
  </si>
  <si>
    <t>BCM:主车右后转向灯过载</t>
  </si>
  <si>
    <t>BCM:主车制动灯开路</t>
  </si>
  <si>
    <t>BCM:主车制动灯短路</t>
  </si>
  <si>
    <t>BCM:主车制动灯过载</t>
  </si>
  <si>
    <t>BCM:主车倒车灯开路</t>
  </si>
  <si>
    <t>BCM:主车倒车灯短路</t>
  </si>
  <si>
    <t>BCM:主车倒车灯过载</t>
  </si>
  <si>
    <t>BCM:主车后雾灯开路</t>
  </si>
  <si>
    <t>BCM:主车后雾灯短路</t>
  </si>
  <si>
    <t>BCM:主车后雾灯过载</t>
  </si>
  <si>
    <t>BCM:主车后位置灯开路</t>
  </si>
  <si>
    <t>BCM:主车后位置灯短路</t>
  </si>
  <si>
    <t>BCM:主车后位置灯过载</t>
  </si>
  <si>
    <t>BCM:挂车左转向灯开路</t>
  </si>
  <si>
    <t>BCM:挂车左转向灯短路</t>
  </si>
  <si>
    <t>BCM:挂车左转向灯过载</t>
  </si>
  <si>
    <t>BCM:挂车右转向灯开路</t>
  </si>
  <si>
    <t>BCM:挂车右转向灯短路</t>
  </si>
  <si>
    <t>BCM:挂车右转向灯过载</t>
  </si>
  <si>
    <t>BCM:挂车制动灯开路</t>
  </si>
  <si>
    <t>BCM:挂车制动灯短路</t>
  </si>
  <si>
    <t>BCM:挂车制动灯过载</t>
  </si>
  <si>
    <t>BCM:挂车倒车灯开路</t>
  </si>
  <si>
    <t>BCM:挂车倒车灯短路</t>
  </si>
  <si>
    <t>BCM:挂车倒车灯过载</t>
  </si>
  <si>
    <t>BCM:挂车后雾灯开路</t>
  </si>
  <si>
    <t>BCM:挂车后雾灯短路</t>
  </si>
  <si>
    <t>BCM:挂车后雾灯过载</t>
  </si>
  <si>
    <t>BCM:雨刮高速继电器开路</t>
  </si>
  <si>
    <t>BCM:雨刮高速继电器短路</t>
  </si>
  <si>
    <t>BCM:雨刮低速继电器开路</t>
  </si>
  <si>
    <t>BCM:雨刮低速继电器短路</t>
  </si>
  <si>
    <t>BCM:洗涤电机开路</t>
  </si>
  <si>
    <t>BCM:洗涤电机短路</t>
  </si>
  <si>
    <t>BCM:洗涤电机过载</t>
  </si>
  <si>
    <t>BCM:危险报警指示灯短路</t>
  </si>
  <si>
    <t>BCM:灯光旋钮背光灯短路</t>
  </si>
  <si>
    <t>BCM:电源1故障</t>
    <phoneticPr fontId="20" type="noConversion"/>
  </si>
  <si>
    <t>BCM:电源2故障</t>
    <phoneticPr fontId="20" type="noConversion"/>
  </si>
  <si>
    <t>BCM:电源3故障</t>
    <phoneticPr fontId="20" type="noConversion"/>
  </si>
  <si>
    <t>BCM:电源4故障</t>
    <phoneticPr fontId="20" type="noConversion"/>
  </si>
  <si>
    <t>BCM:5V传感器电源短路到电源</t>
  </si>
  <si>
    <t>BCM:5V传感器电源短路到地</t>
  </si>
  <si>
    <t>BCM:气喇叭电磁阀开路</t>
  </si>
  <si>
    <t>BCM:气喇叭电磁阀短路</t>
  </si>
  <si>
    <t>BCM:电喇叭继电器开路</t>
  </si>
  <si>
    <t>BCM:电喇叭继电器短路</t>
  </si>
  <si>
    <t>BCM:阅读灯短路</t>
  </si>
  <si>
    <t>BCM:后照灯继电器开路</t>
  </si>
  <si>
    <t>BCM:后照灯继电器短路</t>
  </si>
  <si>
    <t>BCM:轮间差速电磁阀开路</t>
  </si>
  <si>
    <t>BCM:轮间差速电磁阀短路</t>
  </si>
  <si>
    <t>BCM:轴间差速电磁阀开路</t>
  </si>
  <si>
    <t>BCM:轴间差速电磁阀短路</t>
  </si>
  <si>
    <t>BCM:取力电磁阀开路</t>
  </si>
  <si>
    <t>BCM:取力电磁阀短路</t>
  </si>
  <si>
    <t>BCM:预留传感器信号短路到电源</t>
    <phoneticPr fontId="20" type="noConversion"/>
  </si>
  <si>
    <t>BCM:预留传感器信号短路到地</t>
    <phoneticPr fontId="20" type="noConversion"/>
  </si>
  <si>
    <t>BCM:电源电压过高</t>
  </si>
  <si>
    <t>BCM:电源电压过低</t>
    <phoneticPr fontId="20" type="noConversion"/>
  </si>
  <si>
    <t>原始故障描述(兼容D760&amp;D320&amp;D560 DCM)</t>
    <phoneticPr fontId="20" type="noConversion"/>
  </si>
  <si>
    <t>1</t>
    <phoneticPr fontId="20" type="noConversion"/>
  </si>
  <si>
    <t>518001</t>
    <phoneticPr fontId="20" type="noConversion"/>
  </si>
  <si>
    <t>5</t>
    <phoneticPr fontId="20" type="noConversion"/>
  </si>
  <si>
    <t>DCM:司机侧玻璃升降电机开路</t>
  </si>
  <si>
    <t>DCM:driver side window motor open circuit</t>
  </si>
  <si>
    <t>DCM:left window motor open circuit(518001,5)</t>
  </si>
  <si>
    <t>51800105,</t>
  </si>
  <si>
    <t>51800105:</t>
  </si>
  <si>
    <t>2</t>
    <phoneticPr fontId="20" type="noConversion"/>
  </si>
  <si>
    <t>6</t>
    <phoneticPr fontId="20" type="noConversion"/>
  </si>
  <si>
    <t>DCM:司机侧玻璃升降电机短路到地</t>
  </si>
  <si>
    <t>DCM:driver side window motor grounded circuit</t>
  </si>
  <si>
    <t>DCM:left window motor short to GND(518001,6)</t>
    <phoneticPr fontId="20" type="noConversion"/>
  </si>
  <si>
    <t>51800106,</t>
  </si>
  <si>
    <t>51800106:</t>
  </si>
  <si>
    <t>3</t>
  </si>
  <si>
    <t>518002</t>
    <phoneticPr fontId="20" type="noConversion"/>
  </si>
  <si>
    <t>DCM:司机侧门锁电机开路</t>
  </si>
  <si>
    <t>DCM:driver side door lock motor open circuit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</si>
  <si>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</si>
  <si>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</si>
  <si>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</si>
  <si>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</si>
  <si>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</si>
  <si>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</si>
  <si>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DCM:left lock motor short to GND(518002,6)</t>
  </si>
  <si>
    <t>51800206,</t>
  </si>
  <si>
    <t>51800206:</t>
  </si>
  <si>
    <t>5</t>
  </si>
  <si>
    <t>518003</t>
    <phoneticPr fontId="20" type="noConversion"/>
  </si>
  <si>
    <t>DCM:司机侧后视镜上下调节电机开路</t>
  </si>
  <si>
    <t>DCM:upper and lower motor of driver side rearview mirror open circuit</t>
    <phoneticPr fontId="20" type="noConversion"/>
  </si>
  <si>
    <t>DCM:left back mirror motor open circuit(518003,5)</t>
    <phoneticPr fontId="20" type="noConversion"/>
  </si>
  <si>
    <t>51800305,</t>
  </si>
  <si>
    <t>51800305:</t>
  </si>
  <si>
    <t>6</t>
  </si>
  <si>
    <t>DCM:司机侧后视镜上下调节电机短路到地</t>
  </si>
  <si>
    <t>DCM:upper and lower motor of driver side rearview mirror grounded circuit</t>
  </si>
  <si>
    <t>DCM:left back mirror motor short to GND(518003,6)</t>
    <phoneticPr fontId="20" type="noConversion"/>
  </si>
  <si>
    <t>51800306,</t>
  </si>
  <si>
    <t>51800306:</t>
  </si>
  <si>
    <t>7</t>
  </si>
  <si>
    <t>518004</t>
    <phoneticPr fontId="20" type="noConversion"/>
  </si>
  <si>
    <t>DCM:司机侧后视镜左右调节电机开路</t>
  </si>
  <si>
    <t>DCM:left and right motor of driver side rearview mirror open circuit</t>
  </si>
  <si>
    <t>DCM:left back mirror motor open circuit(518004,5)</t>
    <phoneticPr fontId="20" type="noConversion"/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</si>
  <si>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</si>
  <si>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</si>
  <si>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</si>
  <si>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</si>
  <si>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</si>
  <si>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DCM:left back mirror motor short to GND(518004,6)</t>
    <phoneticPr fontId="20" type="noConversion"/>
  </si>
  <si>
    <t>51800406,</t>
  </si>
  <si>
    <t>51800406:</t>
  </si>
  <si>
    <t>9</t>
  </si>
  <si>
    <t>518005</t>
    <phoneticPr fontId="20" type="noConversion"/>
  </si>
  <si>
    <t>DCM:司机侧后视镜加热器开路</t>
  </si>
  <si>
    <t>DCM:heater of driver side rearview mirror open circuit</t>
  </si>
  <si>
    <t>DCM:left back mirror heater open circuit(518005,5)</t>
    <phoneticPr fontId="20" type="noConversion"/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</si>
  <si>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</si>
  <si>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</si>
  <si>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</si>
  <si>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</si>
  <si>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</si>
  <si>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DCM:left back mirror heater short to GND(518005,6)</t>
    <phoneticPr fontId="20" type="noConversion"/>
  </si>
  <si>
    <t>51800506,</t>
  </si>
  <si>
    <t>51800506:</t>
  </si>
  <si>
    <t>11</t>
  </si>
  <si>
    <t>518006</t>
  </si>
  <si>
    <t>DCM:乘客侧玻璃升降电机开路</t>
  </si>
  <si>
    <t>DCM:passenger side window motor open circuit</t>
  </si>
  <si>
    <t>RDCM:right window motor open circuit(518006,5)</t>
    <phoneticPr fontId="20" type="noConversion"/>
  </si>
  <si>
    <t>51800605,</t>
  </si>
  <si>
    <t>51800605:</t>
  </si>
  <si>
    <t>12</t>
  </si>
  <si>
    <t>518006</t>
    <phoneticPr fontId="20" type="noConversion"/>
  </si>
  <si>
    <t>DCM:乘客侧玻璃升降电机短路到地</t>
  </si>
  <si>
    <t>DCM:passenger side window motor grounded circuit</t>
  </si>
  <si>
    <t>RDCM:right window motor short to GND(518006,6)</t>
  </si>
  <si>
    <t>51800606,</t>
  </si>
  <si>
    <t>51800606:</t>
  </si>
  <si>
    <t>13</t>
  </si>
  <si>
    <t>518007</t>
    <phoneticPr fontId="20" type="noConversion"/>
  </si>
  <si>
    <t>DCM:乘客侧门锁电机开路</t>
  </si>
  <si>
    <t>DCM:right door lock motor open circuit</t>
  </si>
  <si>
    <t>DCM:right lock motor open circuit(518007,5)</t>
    <phoneticPr fontId="20" type="noConversion"/>
  </si>
  <si>
    <t>51800705,</t>
  </si>
  <si>
    <t>51800705:</t>
  </si>
  <si>
    <t>14</t>
  </si>
  <si>
    <t>DCM:乘客侧门锁电机短路到地</t>
  </si>
  <si>
    <t>DCM:right door lock motor grounded circuit</t>
  </si>
  <si>
    <t>DCM:right lock motor short to GND(518007,6)</t>
  </si>
  <si>
    <t>51800706,</t>
  </si>
  <si>
    <t>51800706:</t>
  </si>
  <si>
    <t>15</t>
  </si>
  <si>
    <t>518008</t>
    <phoneticPr fontId="20" type="noConversion"/>
  </si>
  <si>
    <t>DCM:乘客侧后视镜上下调节电机开路</t>
  </si>
  <si>
    <t>DCM:upper and lower motor of passenger side rearview mirror open circuit</t>
  </si>
  <si>
    <t>DCM:right back mirror motor open circuit(518008,5)</t>
    <phoneticPr fontId="20" type="noConversion"/>
  </si>
  <si>
    <t>51800805,</t>
  </si>
  <si>
    <t>51800805:</t>
  </si>
  <si>
    <t>16</t>
  </si>
  <si>
    <t>DCM:乘客侧后视镜上下调节电机短路到地</t>
  </si>
  <si>
    <t>DCM:upper and lower motor of passenger side rearview mirror grounded circuit</t>
  </si>
  <si>
    <t>DCM:right back mirror motor short to GND(518008,6)</t>
    <phoneticPr fontId="20" type="noConversion"/>
  </si>
  <si>
    <t>51800806,</t>
  </si>
  <si>
    <t>51800806:</t>
  </si>
  <si>
    <t>17</t>
  </si>
  <si>
    <t>518009</t>
    <phoneticPr fontId="20" type="noConversion"/>
  </si>
  <si>
    <t>DCM:乘客侧后视镜左右调节电机开路</t>
  </si>
  <si>
    <t>DCM:left and right motor of passenger side rearview open circuit</t>
  </si>
  <si>
    <t>DCM:right back mirror motor open circuit(518009,5)</t>
    <phoneticPr fontId="20" type="noConversion"/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</si>
  <si>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</si>
  <si>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</si>
  <si>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</si>
  <si>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</si>
  <si>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</si>
  <si>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DCM:right back mirror motor short to GND(518009,6)</t>
    <phoneticPr fontId="20" type="noConversion"/>
  </si>
  <si>
    <t>51800906,</t>
  </si>
  <si>
    <t>51800906:</t>
  </si>
  <si>
    <t>19</t>
  </si>
  <si>
    <t>518010</t>
    <phoneticPr fontId="20" type="noConversion"/>
  </si>
  <si>
    <t>DCM:乘客侧后视镜加热器开路</t>
  </si>
  <si>
    <t>DCM:heater of passenger side rearview mirror open circuit</t>
  </si>
  <si>
    <t>DCM:right back mirror heater open circuit(518010,5)</t>
    <phoneticPr fontId="20" type="noConversion"/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</si>
  <si>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</si>
  <si>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</si>
  <si>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</si>
  <si>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</si>
  <si>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</si>
  <si>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DCM:right back mirror heater short to GND(518010,6)</t>
    <phoneticPr fontId="20" type="noConversion"/>
  </si>
  <si>
    <t>51801006,</t>
  </si>
  <si>
    <t>51801006:</t>
  </si>
  <si>
    <t>21</t>
  </si>
  <si>
    <t>518011</t>
    <phoneticPr fontId="20" type="noConversion"/>
  </si>
  <si>
    <t>DCM:后视镜加热指示灯短路到地</t>
  </si>
  <si>
    <t>DCM:defrog indication lamp grounded circuit</t>
  </si>
  <si>
    <t>DCM:defrog indicator short to GND(518011,6)</t>
    <phoneticPr fontId="20" type="noConversion"/>
  </si>
  <si>
    <t>51801106,</t>
  </si>
  <si>
    <t>51801106:</t>
  </si>
  <si>
    <t>22</t>
  </si>
  <si>
    <t>518012</t>
    <phoneticPr fontId="20" type="noConversion"/>
  </si>
  <si>
    <t>4</t>
    <phoneticPr fontId="20" type="noConversion"/>
  </si>
  <si>
    <t>DCM:电源1故障</t>
  </si>
  <si>
    <t>DCM:power 1 fault</t>
  </si>
  <si>
    <t>DCM:power 1 failure(518012,4)</t>
    <phoneticPr fontId="20" type="noConversion"/>
  </si>
  <si>
    <t>51801204,</t>
  </si>
  <si>
    <t>51801204:</t>
  </si>
  <si>
    <t>23</t>
  </si>
  <si>
    <t>518013</t>
    <phoneticPr fontId="20" type="noConversion"/>
  </si>
  <si>
    <t>DCM:电源2故障</t>
  </si>
  <si>
    <t>DCM:power 2 fault</t>
  </si>
  <si>
    <t>DCM:power 2 failure(518013,4)</t>
    <phoneticPr fontId="20" type="noConversion"/>
  </si>
  <si>
    <t>51801304,</t>
  </si>
  <si>
    <t>51801304:</t>
  </si>
  <si>
    <t>24</t>
  </si>
  <si>
    <t>518014</t>
    <phoneticPr fontId="20" type="noConversion"/>
  </si>
  <si>
    <t>DCM:电源3故障</t>
  </si>
  <si>
    <t>DCM:power 3 fault</t>
  </si>
  <si>
    <t>DCM:power 3 failure(518014,4)</t>
    <phoneticPr fontId="20" type="noConversion"/>
  </si>
  <si>
    <t>51801404,</t>
  </si>
  <si>
    <t>51801404:</t>
  </si>
  <si>
    <t>25</t>
  </si>
  <si>
    <t>DCM:电源电压过高</t>
    <phoneticPr fontId="20" type="noConversion"/>
  </si>
  <si>
    <t>DCM:power supply voltage high</t>
  </si>
  <si>
    <t>DCM:power supply voltage high(518017,0)</t>
  </si>
  <si>
    <t>51801700,</t>
  </si>
  <si>
    <t>51801700:</t>
  </si>
  <si>
    <t>26</t>
  </si>
  <si>
    <t>DCM:电源电压过低</t>
    <phoneticPr fontId="20" type="noConversion"/>
  </si>
  <si>
    <t>DCM:power supply voltage low</t>
  </si>
  <si>
    <t>DCM:power supply voltage low(518017,1)</t>
  </si>
  <si>
    <t>51801701,</t>
  </si>
  <si>
    <t>51801701:</t>
  </si>
  <si>
    <t>原始故障描述</t>
    <phoneticPr fontId="20" type="noConversion"/>
  </si>
  <si>
    <t>故障策略/备注</t>
    <phoneticPr fontId="20" type="noConversion"/>
  </si>
  <si>
    <t>仪表:车速传感器电压低或短路到地</t>
  </si>
  <si>
    <t>仪表:后桥回路气压传感器电压高或短路到电源</t>
  </si>
  <si>
    <t>仪表:后桥回路气压传感器电压低或短路到地</t>
  </si>
  <si>
    <t>仪表:仪表内部故障</t>
  </si>
  <si>
    <t>仪表:仪表实时时钟故障</t>
  </si>
  <si>
    <t>仪表:CAN 1 bus off</t>
    <phoneticPr fontId="20" type="noConversion"/>
  </si>
  <si>
    <t>仪表:CAN 1总线故障(523008,8)</t>
    <phoneticPr fontId="20" type="noConversion"/>
  </si>
  <si>
    <t>仪表:CAN 2 bus off</t>
    <phoneticPr fontId="20" type="noConversion"/>
  </si>
  <si>
    <t>仪表:CAN 2总线故障(523009,8)</t>
    <phoneticPr fontId="20" type="noConversion"/>
  </si>
  <si>
    <t>仪表:BCM CAN报文超时</t>
    <phoneticPr fontId="20" type="noConversion"/>
  </si>
  <si>
    <t>仪表:BCM报文超时(523010,8)</t>
    <phoneticPr fontId="20" type="noConversion"/>
  </si>
  <si>
    <t>仪表:第一桥左轮摩擦片磨损</t>
  </si>
  <si>
    <t>仪表:第一桥右轮摩擦片磨损</t>
  </si>
  <si>
    <t>仪表:第二桥左轮摩擦片磨损</t>
  </si>
  <si>
    <t>仪表:第二桥右轮摩擦片磨损</t>
  </si>
  <si>
    <t>仪表:第三桥左轮摩擦片磨损</t>
  </si>
  <si>
    <t>仪表:第三桥右轮摩擦片磨损</t>
  </si>
  <si>
    <t>仪表:第四桥左轮摩擦片磨损</t>
  </si>
  <si>
    <t>仪表:第四桥右轮摩擦片磨损</t>
  </si>
  <si>
    <t>仪表:TPMS CAN报文超时</t>
    <phoneticPr fontId="20" type="noConversion"/>
  </si>
  <si>
    <t>仪表:ABS CAN报文超时</t>
    <phoneticPr fontId="20" type="noConversion"/>
  </si>
  <si>
    <t>配置ABS系统的车辆,若ABS系统完全失效(总线无0B源地址报文)；
仪表点亮ABS黄色指示灯,同时仪表LCD显示:ABS系统失效</t>
  </si>
  <si>
    <t>仪表:环境温度传感器信号异常</t>
    <phoneticPr fontId="20" type="noConversion"/>
  </si>
  <si>
    <t>仪表:环境温度传感器短路到地</t>
  </si>
  <si>
    <t>仪表:AMT CAN报文超时</t>
    <phoneticPr fontId="20" type="noConversion"/>
  </si>
  <si>
    <t>仪表:ECAS CAN报文超时</t>
    <phoneticPr fontId="20" type="noConversion"/>
  </si>
  <si>
    <t>仪表:ECAS CAN报文超时(523045,8)</t>
    <phoneticPr fontId="20" type="noConversion"/>
  </si>
  <si>
    <t>仪表:LDWS CAN报文超时</t>
    <phoneticPr fontId="20" type="noConversion"/>
  </si>
  <si>
    <t>仪表:AEBS CAN报文超时</t>
    <phoneticPr fontId="20" type="noConversion"/>
  </si>
  <si>
    <t>原始故障描述(东风商用车通讯协议和故障代码20180322)</t>
    <phoneticPr fontId="20" type="noConversion"/>
  </si>
  <si>
    <t>1</t>
  </si>
  <si>
    <t>运动状态下位置17胎压传感器信号丢失超过15分钟</t>
  </si>
  <si>
    <t>左前传感器信号丢失</t>
  </si>
  <si>
    <t>TPMS:alxe 1 left sensor signal lost(520001,9)</t>
    <phoneticPr fontId="20" type="noConversion"/>
  </si>
  <si>
    <t>2</t>
  </si>
  <si>
    <t>运动状态下位置19胎压传感器信号丢失超过15分钟</t>
  </si>
  <si>
    <t>右前传感器信号丢失</t>
  </si>
  <si>
    <t>TPMS:alxe 1 right sensor signal lost(520002,9)</t>
    <phoneticPr fontId="20" type="noConversion"/>
  </si>
  <si>
    <t>运动状态下位置26胎压传感器信号丢失超过15分钟</t>
  </si>
  <si>
    <t>二轴左外传感器信号丢失</t>
  </si>
  <si>
    <t>TPMS:alxe 2 L1 sensor signal lost(520003,9)</t>
    <phoneticPr fontId="20" type="noConversion"/>
  </si>
  <si>
    <t>运动状态下位置27胎压传感器信号丢失超过15分钟</t>
  </si>
  <si>
    <t>二轴左内传感器信号丢失</t>
  </si>
  <si>
    <t>TPMS:alxe 2 L2 sensor signal lost(520004,9)</t>
    <phoneticPr fontId="20" type="noConversion"/>
  </si>
  <si>
    <t>运动状态下位置29胎压传感器信号丢失超过15分钟</t>
  </si>
  <si>
    <t>二轴右内传感器信号丢失</t>
  </si>
  <si>
    <t>TPMS:alxe 2 R2 sensor signal lost(520005,9)</t>
    <phoneticPr fontId="20" type="noConversion"/>
  </si>
  <si>
    <t>运动状态下位置2A胎压传感器信号丢失超过15分钟</t>
  </si>
  <si>
    <t>二轴右外传感器信号丢失</t>
  </si>
  <si>
    <t>TPMS:alxe 2 R1 sensor signal lost(520006,9)</t>
    <phoneticPr fontId="20" type="noConversion"/>
  </si>
  <si>
    <t>运动状态下位置36胎压传感器信号丢失超过15分钟</t>
  </si>
  <si>
    <t>三轴左外传感器信号丢失</t>
  </si>
  <si>
    <t>TPMS:alxe 3 L1 sensor signal lost(520007,9)</t>
    <phoneticPr fontId="20" type="noConversion"/>
  </si>
  <si>
    <t>运动状态下位置37胎压传感器信号丢失超过15分钟</t>
  </si>
  <si>
    <t>三轴左内传感器信号丢失</t>
  </si>
  <si>
    <t>TPMS:alxe 3 L2 sensor signal lost(520008,9)</t>
    <phoneticPr fontId="20" type="noConversion"/>
  </si>
  <si>
    <t>运动状态下位置39胎压传感器信号丢失超过15分钟</t>
  </si>
  <si>
    <t>三轴右内传感器信号丢失</t>
  </si>
  <si>
    <t>TPMS:alxe 3 R2 sensor signal lost(520009,9)</t>
    <phoneticPr fontId="20" type="noConversion"/>
  </si>
  <si>
    <t>运动状态下位置3A胎压传感器信号丢失超过15分钟</t>
  </si>
  <si>
    <t>三轴右外传感器信号丢失</t>
  </si>
  <si>
    <t>TPMS:alxe 3 R1 sensor signal lost(520010,9)</t>
    <phoneticPr fontId="20" type="noConversion"/>
  </si>
  <si>
    <t>运动状态下位置46胎压传感器信号丢失超过15分钟</t>
  </si>
  <si>
    <t>四轴左外传感器信号丢失</t>
  </si>
  <si>
    <t>TPMS:alxe 4 L1 sensor signal lost(520011,9)</t>
    <phoneticPr fontId="20" type="noConversion"/>
  </si>
  <si>
    <t>运动状态下位置47胎压传感器信号丢失超过15分钟</t>
  </si>
  <si>
    <t>四轴左内传感器信号丢失</t>
  </si>
  <si>
    <t>TPMS:alxe 4 L2 sensor signal lost(520012,9)</t>
    <phoneticPr fontId="20" type="noConversion"/>
  </si>
  <si>
    <t>运动状态下位置49胎压传感器信号丢失超过15分钟</t>
  </si>
  <si>
    <t>四轴右内传感器信号丢失</t>
  </si>
  <si>
    <t>TPMS:alxe 4 R2 sensor signal lost(520013,9)</t>
    <phoneticPr fontId="20" type="noConversion"/>
  </si>
  <si>
    <t>运动状态下位置4A胎压传感器信号丢失超过15分钟</t>
  </si>
  <si>
    <t>四轴右外传感器信号丢失</t>
  </si>
  <si>
    <t>TPMS:alxe 4 R1 sensor signal lost(520014,9)</t>
    <phoneticPr fontId="20" type="noConversion"/>
  </si>
  <si>
    <t>5个传送周期内位置17胎压传感器电池电量低于10%</t>
  </si>
  <si>
    <t>左前传感器电量低</t>
  </si>
  <si>
    <t>TPMS:alxe 1 L sensor low battery(3509,24)</t>
    <phoneticPr fontId="20" type="noConversion"/>
  </si>
  <si>
    <t>5个传送周期内位置19胎压传感器电池电量低于10%</t>
  </si>
  <si>
    <t>右前传感器电量低</t>
  </si>
  <si>
    <t>TPMS:alxe 1 R sensor low battery(3510,24)</t>
    <phoneticPr fontId="20" type="noConversion"/>
  </si>
  <si>
    <t>5个传送周期内位置26胎压传感器电池电量低于10%</t>
  </si>
  <si>
    <t>二轴左外传感器电量低</t>
  </si>
  <si>
    <t>TPMS:alxe 2 L1 sensor low battery(3511,24)</t>
    <phoneticPr fontId="20" type="noConversion"/>
  </si>
  <si>
    <t>5个传送周期内位置27胎压传感器电池电量低于10%</t>
  </si>
  <si>
    <t>二轴左内传感器电量低</t>
  </si>
  <si>
    <t>TPMS:alxe 2 L2 sensor low battery(3512,24)</t>
    <phoneticPr fontId="20" type="noConversion"/>
  </si>
  <si>
    <t>5个传送周期内位置29胎压传感器电池电量低于10%</t>
  </si>
  <si>
    <t>二轴右内传感器电量低</t>
  </si>
  <si>
    <t>TPMS:alxe 2 R2 sensor low battery(3513,24)</t>
    <phoneticPr fontId="20" type="noConversion"/>
  </si>
  <si>
    <t>5个传送周期内位置2A胎压传感器电池电量低于10%</t>
  </si>
  <si>
    <t>二轴右外传感器电量低</t>
  </si>
  <si>
    <t>TPMS:alxe 2 R1 sensor low battery(3514,24)</t>
    <phoneticPr fontId="20" type="noConversion"/>
  </si>
  <si>
    <t>5个传送周期内位置36胎压传感器电池电量低于10%</t>
  </si>
  <si>
    <t>三轴左外传感器电量低</t>
  </si>
  <si>
    <t>TPMS:alxe 3 L1 sensor low battery(5125,24)</t>
    <phoneticPr fontId="20" type="noConversion"/>
  </si>
  <si>
    <t>5个传送周期内位置37胎压传感器电池电量低于10%</t>
  </si>
  <si>
    <t>三轴左内传感器电量低</t>
  </si>
  <si>
    <t>TPMS:alxe 3 L2 sensor low battery(5126,24)</t>
    <phoneticPr fontId="20" type="noConversion"/>
  </si>
  <si>
    <t>5个传送周期内位置39胎压传感器电池电量低于10%</t>
  </si>
  <si>
    <t>三轴右内传感器电量低</t>
  </si>
  <si>
    <t>TPMS:alxe 3 R2 sensor low battery(5127,24)</t>
    <phoneticPr fontId="20" type="noConversion"/>
  </si>
  <si>
    <t>5个传送周期内位置3A胎压传感器电池电量低于10%</t>
  </si>
  <si>
    <t>三轴右外传感器电量低</t>
  </si>
  <si>
    <t>TPMS:alxe 3 R1 sensor low battery(5128,24)</t>
    <phoneticPr fontId="20" type="noConversion"/>
  </si>
  <si>
    <t>5个传送周期内位置46胎压传感器电池电量低于10%</t>
  </si>
  <si>
    <t>四轴左外传感器电量低</t>
  </si>
  <si>
    <t>TPMS:alxe 4 L1 sensor low battery(5129,24)</t>
    <phoneticPr fontId="20" type="noConversion"/>
  </si>
  <si>
    <t>5个传送周期内位置47胎压传感器电池电量低于10%</t>
  </si>
  <si>
    <t>四轴左内传感器电量低</t>
  </si>
  <si>
    <t>TPMS:alxe 4 L2 sensor low battery(5130,24)</t>
    <phoneticPr fontId="20" type="noConversion"/>
  </si>
  <si>
    <t>27</t>
  </si>
  <si>
    <t>5个传送周期内位置49胎压传感器电池电量低于10%</t>
  </si>
  <si>
    <t>四轴右内传感器电量低</t>
  </si>
  <si>
    <t>TPMS:alxe 4 R2 sensor low battery(5131,24)</t>
    <phoneticPr fontId="20" type="noConversion"/>
  </si>
  <si>
    <t>28</t>
  </si>
  <si>
    <t>5个传送周期内位置4A胎压传感器电池电量低于10%</t>
  </si>
  <si>
    <t>四轴右外传感器电量低</t>
  </si>
  <si>
    <t>TPMS:alxe 4 R1 sensor low battery(5132,24)</t>
    <phoneticPr fontId="20" type="noConversion"/>
  </si>
  <si>
    <t>29</t>
  </si>
  <si>
    <t>5个传送周期内位置08胎压传感器电池电量低于10%</t>
  </si>
  <si>
    <t>备胎传感器电量低</t>
  </si>
  <si>
    <t>TPMS:spare tyre sensor low battery(5133,24)</t>
    <phoneticPr fontId="20" type="noConversion"/>
  </si>
  <si>
    <t>30</t>
  </si>
  <si>
    <t>唤醒接收器报文发出后超过10秒钟未收到接收器信号</t>
    <phoneticPr fontId="20" type="noConversion"/>
  </si>
  <si>
    <t>接收器18信号丢失</t>
    <phoneticPr fontId="20" type="noConversion"/>
  </si>
  <si>
    <t>TPMS:receiver 18 signal lost(519001,9)</t>
    <phoneticPr fontId="20" type="noConversion"/>
  </si>
  <si>
    <t>31</t>
  </si>
  <si>
    <t>唤醒接收器报文发出后超过10秒钟未收到接收器信号</t>
  </si>
  <si>
    <t>接收器27信号丢失</t>
  </si>
  <si>
    <t>TPMS:receiver 27 signal lost(519002,10)</t>
    <phoneticPr fontId="20" type="noConversion"/>
  </si>
  <si>
    <t>32</t>
  </si>
  <si>
    <t>接收器29信号丢失</t>
  </si>
  <si>
    <t>TPMS:receiver 29 signal lost(519003,11)</t>
    <phoneticPr fontId="20" type="noConversion"/>
  </si>
  <si>
    <t>33</t>
  </si>
  <si>
    <t>胎压控制器对接收器进行配置时出现错误</t>
    <phoneticPr fontId="20" type="noConversion"/>
  </si>
  <si>
    <t>接收器配置错误</t>
  </si>
  <si>
    <t>TPMS:receiver configured error(518005,11)</t>
    <phoneticPr fontId="20" type="noConversion"/>
  </si>
  <si>
    <t>34</t>
  </si>
  <si>
    <t>胎压控制器供电电压低于20V超过5秒钟</t>
  </si>
  <si>
    <t>控制器电压过低</t>
    <phoneticPr fontId="20" type="noConversion"/>
  </si>
  <si>
    <t>TPMS:ECU power supply voltage low(168,4)</t>
    <phoneticPr fontId="20" type="noConversion"/>
  </si>
  <si>
    <t>35</t>
  </si>
  <si>
    <t>胎压控制器供电电压高于32V超过5秒钟</t>
  </si>
  <si>
    <t>控制器电压过高</t>
  </si>
  <si>
    <t>TPMS:ECU power supply voltage high(168,3)</t>
    <phoneticPr fontId="20" type="noConversion"/>
  </si>
  <si>
    <t>36</t>
  </si>
  <si>
    <t>胎压控制器超过5秒钟未收到点火报文</t>
  </si>
  <si>
    <t>点火报文丢失</t>
  </si>
  <si>
    <t>TPMS:ON CAN signal timeout(518002,9)</t>
    <phoneticPr fontId="20" type="noConversion"/>
  </si>
  <si>
    <t>37</t>
  </si>
  <si>
    <t>胎压控制器超过5秒钟未收到环境温度报文</t>
  </si>
  <si>
    <t>环境温度报文丢失</t>
  </si>
  <si>
    <t>TPMS:AMB CAN message timeout(171,9)</t>
    <phoneticPr fontId="20" type="noConversion"/>
  </si>
  <si>
    <t>ID：18FECA41，车身CAN</t>
    <phoneticPr fontId="20" type="noConversion"/>
  </si>
  <si>
    <t>Fault description</t>
  </si>
  <si>
    <t>仪表主界面故障描述</t>
    <phoneticPr fontId="19" type="noConversion"/>
  </si>
  <si>
    <t>66</t>
    <phoneticPr fontId="19" type="noConversion"/>
  </si>
  <si>
    <t>9</t>
    <phoneticPr fontId="19" type="noConversion"/>
  </si>
  <si>
    <t>系统未标定</t>
    <phoneticPr fontId="19" type="noConversion"/>
  </si>
  <si>
    <t>HJYX：Nocalibrated（66,9）</t>
    <phoneticPr fontId="20" type="noConversion"/>
  </si>
  <si>
    <t>67</t>
    <phoneticPr fontId="19" type="noConversion"/>
  </si>
  <si>
    <t>12</t>
    <phoneticPr fontId="19" type="noConversion"/>
  </si>
  <si>
    <t>前摄像头故障</t>
    <phoneticPr fontId="19" type="noConversion"/>
  </si>
  <si>
    <t>HJYX：camera failure（67,12）</t>
    <phoneticPr fontId="20" type="noConversion"/>
  </si>
  <si>
    <t>68</t>
    <phoneticPr fontId="19" type="noConversion"/>
  </si>
  <si>
    <t>12</t>
    <phoneticPr fontId="19" type="noConversion"/>
  </si>
  <si>
    <t>左前摄像头故障</t>
    <phoneticPr fontId="19" type="noConversion"/>
  </si>
  <si>
    <t>HJYX：camera failure（68,12）</t>
    <phoneticPr fontId="20" type="noConversion"/>
  </si>
  <si>
    <t>69</t>
    <phoneticPr fontId="19" type="noConversion"/>
  </si>
  <si>
    <t>左后摄像头故障</t>
    <phoneticPr fontId="19" type="noConversion"/>
  </si>
  <si>
    <t>HJYX：camera failure（69,12）</t>
    <phoneticPr fontId="20" type="noConversion"/>
  </si>
  <si>
    <t>70</t>
    <phoneticPr fontId="19" type="noConversion"/>
  </si>
  <si>
    <t>右前摄像头故障</t>
    <phoneticPr fontId="19" type="noConversion"/>
  </si>
  <si>
    <t>HJYX：camera failure（70,12）</t>
    <phoneticPr fontId="20" type="noConversion"/>
  </si>
  <si>
    <t>71</t>
    <phoneticPr fontId="19" type="noConversion"/>
  </si>
  <si>
    <t>右后摄像头故障</t>
    <phoneticPr fontId="19" type="noConversion"/>
  </si>
  <si>
    <t>HJYX：camera failure（71,12）</t>
    <phoneticPr fontId="20" type="noConversion"/>
  </si>
  <si>
    <t>72</t>
    <phoneticPr fontId="19" type="noConversion"/>
  </si>
  <si>
    <t>控制器故障</t>
    <phoneticPr fontId="19" type="noConversion"/>
  </si>
  <si>
    <t>HJYX：ECU failure（72,12）</t>
    <phoneticPr fontId="20" type="noConversion"/>
  </si>
  <si>
    <t>73</t>
    <phoneticPr fontId="19" type="noConversion"/>
  </si>
  <si>
    <t>SD卡异常</t>
    <phoneticPr fontId="19" type="noConversion"/>
  </si>
  <si>
    <t>HJYX：SD failure（73,12）</t>
    <phoneticPr fontId="20" type="noConversion"/>
  </si>
  <si>
    <t>ID：18FECAE7,车身CAN</t>
    <phoneticPr fontId="20" type="noConversion"/>
  </si>
  <si>
    <t>仪表主界面故障描述</t>
    <phoneticPr fontId="19" type="noConversion"/>
  </si>
  <si>
    <t>摄像头开路故障</t>
    <phoneticPr fontId="19" type="noConversion"/>
  </si>
  <si>
    <t>摄像头短路故障</t>
    <phoneticPr fontId="19" type="noConversion"/>
  </si>
  <si>
    <t>红外灯开路故障</t>
    <phoneticPr fontId="19" type="noConversion"/>
  </si>
  <si>
    <t>红外灯短路故障</t>
    <phoneticPr fontId="19" type="noConversion"/>
  </si>
  <si>
    <t>原始故障描述</t>
    <phoneticPr fontId="20" type="noConversion"/>
  </si>
  <si>
    <t>BMS:单体温度严重低</t>
  </si>
  <si>
    <t>BMS:温差轻微大</t>
  </si>
  <si>
    <t>BMS:温差一般大</t>
  </si>
  <si>
    <t>BMS:单体压差轻微大</t>
  </si>
  <si>
    <t>BMS:充电电流轻微大</t>
  </si>
  <si>
    <t>BMS:充电电流一般大</t>
  </si>
  <si>
    <t>BMS:放电电流轻微大</t>
  </si>
  <si>
    <t>BMS:放电电流一般大</t>
  </si>
  <si>
    <t>BMS:电池SOC轻微低</t>
  </si>
  <si>
    <t>BMS:电池SOC高</t>
  </si>
  <si>
    <t>BMS:高压互锁故障</t>
  </si>
  <si>
    <t>BMS:充电插座温度掉线</t>
  </si>
  <si>
    <t>仪表显示内容</t>
    <phoneticPr fontId="6" type="noConversion"/>
  </si>
  <si>
    <t>仪表显示内容</t>
    <phoneticPr fontId="6" type="noConversion"/>
  </si>
  <si>
    <t>仪表显示内容</t>
    <phoneticPr fontId="6" type="noConversion"/>
  </si>
  <si>
    <t>仪表显示内容</t>
    <phoneticPr fontId="6" type="noConversion"/>
  </si>
  <si>
    <t>HCU:PDU正极继电器使能信号对电短路(21019,3)</t>
    <phoneticPr fontId="20" type="noConversion"/>
  </si>
  <si>
    <t>SPN</t>
    <phoneticPr fontId="6" type="noConversion"/>
  </si>
  <si>
    <t>FMI</t>
    <phoneticPr fontId="6" type="noConversion"/>
  </si>
  <si>
    <t>SPN</t>
    <phoneticPr fontId="6" type="noConversion"/>
  </si>
  <si>
    <t>SPN</t>
    <phoneticPr fontId="6" type="noConversion"/>
  </si>
  <si>
    <t>HCU:蓄电池电压信号超上限(168,16)</t>
    <phoneticPr fontId="20" type="noConversion"/>
  </si>
  <si>
    <t>HCU:蓄电池电压信号不合理(168,2)</t>
    <phoneticPr fontId="20" type="noConversion"/>
  </si>
  <si>
    <t>HCU:DC/DC输出电压信号超上限(169,16)</t>
    <phoneticPr fontId="20" type="noConversion"/>
  </si>
  <si>
    <t>HCU:DC/DC输出电压信号不合理(169,2)</t>
    <phoneticPr fontId="20" type="noConversion"/>
  </si>
  <si>
    <t>HCU:T15信号电压故障-过高(158,16)</t>
    <phoneticPr fontId="20" type="noConversion"/>
  </si>
  <si>
    <t>HCU:T15信号电压故障-过低(158,18)</t>
    <phoneticPr fontId="20" type="noConversion"/>
  </si>
  <si>
    <t>HCU:T15信号电压故障-合理性(158,2)</t>
    <phoneticPr fontId="20" type="noConversion"/>
  </si>
  <si>
    <t>HCU:制动灯开关故障-合理性(597,2)</t>
    <phoneticPr fontId="20" type="noConversion"/>
  </si>
  <si>
    <t>HCU:CAN1通讯故障(21004,12)</t>
    <phoneticPr fontId="20" type="noConversion"/>
  </si>
  <si>
    <t>HCU:ABS制动灯继电器对地短路(21005,4)</t>
    <phoneticPr fontId="20" type="noConversion"/>
  </si>
  <si>
    <t>HCU:ABS制动灯继电器对电源短路(21005,3)</t>
    <phoneticPr fontId="20" type="noConversion"/>
  </si>
  <si>
    <t>HCU:ABS制动灯继电器控制线路故障(21005,6)</t>
    <phoneticPr fontId="20" type="noConversion"/>
  </si>
  <si>
    <t>HCU:制动踏板传感器电源故障(21006,16)</t>
    <phoneticPr fontId="20" type="noConversion"/>
  </si>
  <si>
    <t>HCU:制动踏板传感器电源故障(21006,5)</t>
    <phoneticPr fontId="20" type="noConversion"/>
  </si>
  <si>
    <t>HCU:制动踏板传感器电源故障(21006,6)</t>
    <phoneticPr fontId="20" type="noConversion"/>
  </si>
  <si>
    <t>HCU:制动踏板传感器故障(21007,18)</t>
    <phoneticPr fontId="20" type="noConversion"/>
  </si>
  <si>
    <t>HCU:制动踏板传感器故障(21007,2)</t>
    <phoneticPr fontId="20" type="noConversion"/>
  </si>
  <si>
    <t>HCU:电子加速踏板电源故障(21008,16)</t>
    <phoneticPr fontId="20" type="noConversion"/>
  </si>
  <si>
    <t>HCU:电子加速踏板电源故障(21008,18)</t>
    <phoneticPr fontId="20" type="noConversion"/>
  </si>
  <si>
    <t>HCU:电子加速踏板电源故障(21008,5)</t>
    <phoneticPr fontId="20" type="noConversion"/>
  </si>
  <si>
    <t>HCU:电子加速踏板电源故障(21008,6)</t>
    <phoneticPr fontId="20" type="noConversion"/>
  </si>
  <si>
    <t>HCU:电子加速踏板信号故障(91,18)</t>
    <phoneticPr fontId="20" type="noConversion"/>
  </si>
  <si>
    <t>HCU:电子加速踏板信号故障(91,2)</t>
    <phoneticPr fontId="20" type="noConversion"/>
  </si>
  <si>
    <t>HCU:电子加速踏板电源故障(21009,16)</t>
    <phoneticPr fontId="20" type="noConversion"/>
  </si>
  <si>
    <t>HCU:电子加速踏板电源故障(21009,18)</t>
    <phoneticPr fontId="20" type="noConversion"/>
  </si>
  <si>
    <t>HCU:电子加速踏板电源故障(21009,5)</t>
    <phoneticPr fontId="20" type="noConversion"/>
  </si>
  <si>
    <t>HCU:电子加速踏板电源故障(21009,6)</t>
    <phoneticPr fontId="20" type="noConversion"/>
  </si>
  <si>
    <t>HCU:电子加速踏板信号故障(29,18)</t>
    <phoneticPr fontId="20" type="noConversion"/>
  </si>
  <si>
    <t>HCU:电子加速踏板信号故障(29,2)</t>
    <phoneticPr fontId="20" type="noConversion"/>
  </si>
  <si>
    <t>HCU:DCDC使能信号对地短路(21012,4)</t>
    <phoneticPr fontId="20" type="noConversion"/>
  </si>
  <si>
    <t>HCU:DCDC使能信号对电短路(21012,3)</t>
    <phoneticPr fontId="20" type="noConversion"/>
  </si>
  <si>
    <t>HCU:DCDC使能信号控制线路故障(21012,6)</t>
    <phoneticPr fontId="20" type="noConversion"/>
  </si>
  <si>
    <t>HCU:空调使能继电器对地短路(21013,4)</t>
    <phoneticPr fontId="20" type="noConversion"/>
  </si>
  <si>
    <t>HCU:空调使能继电器对电短路(21013,3)</t>
    <phoneticPr fontId="20" type="noConversion"/>
  </si>
  <si>
    <t>HCU:空调使能继电器控制线路故障(21013,6)</t>
    <phoneticPr fontId="20" type="noConversion"/>
  </si>
  <si>
    <t>HCU:PTC使能继电器对地短路(21014,4)</t>
    <phoneticPr fontId="20" type="noConversion"/>
  </si>
  <si>
    <t>HCU:PTC使能继电器对电短路(21014,3)</t>
    <phoneticPr fontId="20" type="noConversion"/>
  </si>
  <si>
    <t>HCU:PTC使能继电器控制线路故障(21014,6)</t>
    <phoneticPr fontId="20" type="noConversion"/>
  </si>
  <si>
    <t>HCU:紧急切断继电器对地短路(21015,4)</t>
    <phoneticPr fontId="20" type="noConversion"/>
  </si>
  <si>
    <t>HCU:紧急切断继电器对电短路(21015,3)</t>
    <phoneticPr fontId="20" type="noConversion"/>
  </si>
  <si>
    <t>HCU:紧急切断继电器控制线路故障(21015,6)</t>
    <phoneticPr fontId="20" type="noConversion"/>
  </si>
  <si>
    <t>HCU:下电数据不能保存(630,12)</t>
    <phoneticPr fontId="20" type="noConversion"/>
  </si>
  <si>
    <t>HCU:静态RAM检测不能通过(21016,12)</t>
    <phoneticPr fontId="20" type="noConversion"/>
  </si>
  <si>
    <t>HCU:内部SPI通讯故障(21018,12)</t>
    <phoneticPr fontId="20" type="noConversion"/>
  </si>
  <si>
    <t>HCU:PDU正极继电器使能信号对地短路(21019,4)</t>
    <phoneticPr fontId="20" type="noConversion"/>
  </si>
  <si>
    <t>HCU:PDU正极继电器线路故障(21019,6)</t>
    <phoneticPr fontId="20" type="noConversion"/>
  </si>
  <si>
    <t>HCU:倒车灯输出对地短路或者过温(21022,4)</t>
    <phoneticPr fontId="20" type="noConversion"/>
  </si>
  <si>
    <t>HCU:倒车灯输出对电短路或者开路(21022,3)</t>
    <phoneticPr fontId="20" type="noConversion"/>
  </si>
  <si>
    <t>HCU:倒车灯输出控制线路故障(21022,6)</t>
    <phoneticPr fontId="20" type="noConversion"/>
  </si>
  <si>
    <t>HCU:制动踏板传感器电源故障21056,16)</t>
    <phoneticPr fontId="20" type="noConversion"/>
  </si>
  <si>
    <t>HCU:制动踏板传感器电源故障(21056,18)</t>
    <phoneticPr fontId="20" type="noConversion"/>
  </si>
  <si>
    <t>HCU:制动踏板传感器电源故障(21056,5)</t>
    <phoneticPr fontId="20" type="noConversion"/>
  </si>
  <si>
    <t>HCU:制动踏板传感器电源故障(21056,6)</t>
    <phoneticPr fontId="20" type="noConversion"/>
  </si>
  <si>
    <t>HCU:制动踏板传感器信号故障(21067,2)</t>
    <phoneticPr fontId="20" type="noConversion"/>
  </si>
  <si>
    <t>配置EBS系统的车辆,若EBS系统完全失效(总线无0B源地址报文)；
仪表点亮EBS红色指示灯,同时仪表LCD显示:EBS系统失效</t>
    <phoneticPr fontId="20" type="noConversion"/>
  </si>
  <si>
    <t>仪表显示内容</t>
  </si>
  <si>
    <t>仪表:AMT CAN报文超时(523042,8)</t>
    <phoneticPr fontId="20" type="noConversion"/>
  </si>
  <si>
    <t>SCU供电电压过高</t>
    <phoneticPr fontId="6" type="noConversion"/>
  </si>
  <si>
    <t>SCU供电电压过低</t>
    <phoneticPr fontId="6" type="noConversion"/>
  </si>
  <si>
    <t>SCU CAN故障</t>
    <phoneticPr fontId="6" type="noConversion"/>
  </si>
  <si>
    <t>旋钮开关异常1</t>
    <phoneticPr fontId="6" type="noConversion"/>
  </si>
  <si>
    <t>旋钮开关异常2</t>
    <phoneticPr fontId="6" type="noConversion"/>
  </si>
  <si>
    <t>A/M开关信号异常</t>
    <phoneticPr fontId="6" type="noConversion"/>
  </si>
  <si>
    <t>A/M开关对地短路或卡滞</t>
    <phoneticPr fontId="6" type="noConversion"/>
  </si>
  <si>
    <t>M+开关信号异常</t>
    <phoneticPr fontId="6" type="noConversion"/>
  </si>
  <si>
    <t>M-开关信号异常</t>
    <phoneticPr fontId="6" type="noConversion"/>
  </si>
  <si>
    <t>E/P开关信号异常</t>
    <phoneticPr fontId="6" type="noConversion"/>
  </si>
  <si>
    <t>E/P开关对地短路或卡滞</t>
    <phoneticPr fontId="6" type="noConversion"/>
  </si>
  <si>
    <t>HCU:电源线开路或信号线短路到地(21007,5)</t>
    <phoneticPr fontId="6" type="noConversion"/>
  </si>
  <si>
    <t>HCU:制动踏板传感器信号故障(21067,18)</t>
    <phoneticPr fontId="20" type="noConversion"/>
  </si>
  <si>
    <t>HCU:制动踏板传感器电源故障(21006,18)</t>
    <phoneticPr fontId="20" type="noConversion"/>
  </si>
  <si>
    <t>HCU:CAN2通讯故障(21003,12)</t>
    <phoneticPr fontId="20" type="noConversion"/>
  </si>
  <si>
    <t>5B</t>
    <phoneticPr fontId="6" type="noConversion"/>
  </si>
  <si>
    <t>5C</t>
    <phoneticPr fontId="6" type="noConversion"/>
  </si>
  <si>
    <t>5D</t>
    <phoneticPr fontId="6" type="noConversion"/>
  </si>
  <si>
    <t>仪表:TPMS CAN报文超时(523033,8)</t>
    <phoneticPr fontId="20" type="noConversion"/>
  </si>
  <si>
    <t>仪表:ABS CAN报文超时(523036,8)</t>
    <phoneticPr fontId="20" type="noConversion"/>
  </si>
  <si>
    <t>仪表:EBS CAN报文超时</t>
    <phoneticPr fontId="20" type="noConversion"/>
  </si>
  <si>
    <t>仪表:EBS CAN报文超时(523037,8)</t>
    <phoneticPr fontId="20" type="noConversion"/>
  </si>
  <si>
    <t>报该故障时,环境温度发0xFE00</t>
    <phoneticPr fontId="20" type="noConversion"/>
  </si>
  <si>
    <t>LDWS:车道偏离系统标定未完成</t>
    <phoneticPr fontId="20" type="noConversion"/>
  </si>
  <si>
    <t>FCWS:前方碰撞系统故障</t>
    <phoneticPr fontId="20" type="noConversion"/>
  </si>
  <si>
    <t>FCWS:前方碰撞系统前视相机未标定</t>
    <phoneticPr fontId="20" type="noConversion"/>
  </si>
  <si>
    <t>FCWS:前方碰撞系统前视相机故障</t>
    <phoneticPr fontId="20" type="noConversion"/>
  </si>
  <si>
    <t>LDWS:车道偏离系统故障</t>
    <phoneticPr fontId="20" type="noConversion"/>
  </si>
  <si>
    <t>LDWS:车道偏离系统前视相机未标定</t>
    <phoneticPr fontId="20" type="noConversion"/>
  </si>
  <si>
    <t>LDWS:车道偏离系统前视相机故障</t>
    <phoneticPr fontId="20" type="noConversion"/>
  </si>
  <si>
    <t>BSD:右盲区探测系统标定未完成</t>
    <phoneticPr fontId="20" type="noConversion"/>
  </si>
  <si>
    <t>BSD:右盲区探测系统未标定</t>
    <phoneticPr fontId="20" type="noConversion"/>
  </si>
  <si>
    <t>BSD:右盲区探测系统相机故障</t>
    <phoneticPr fontId="20" type="noConversion"/>
  </si>
  <si>
    <t>LDWS:车道偏离系统标定未完成</t>
    <phoneticPr fontId="20" type="noConversion"/>
  </si>
  <si>
    <t>FCWS:前方碰撞系统故障</t>
    <phoneticPr fontId="20" type="noConversion"/>
  </si>
  <si>
    <t>FCWS:前方碰撞系统前视相机未标定</t>
    <phoneticPr fontId="20" type="noConversion"/>
  </si>
  <si>
    <t>FCWS:前方碰撞系统前视相机故障</t>
    <phoneticPr fontId="20" type="noConversion"/>
  </si>
  <si>
    <t>LDWS:车道偏离系统故障</t>
    <phoneticPr fontId="20" type="noConversion"/>
  </si>
  <si>
    <t>LDWS:车道偏离系统前视相机未标定</t>
    <phoneticPr fontId="20" type="noConversion"/>
  </si>
  <si>
    <t>LDWS:车道偏离系统前视相机故障</t>
    <phoneticPr fontId="20" type="noConversion"/>
  </si>
  <si>
    <t>BSD:右盲区探测系统标定未完成</t>
    <phoneticPr fontId="20" type="noConversion"/>
  </si>
  <si>
    <t>BSD:右盲区探测系统未标定</t>
    <phoneticPr fontId="20" type="noConversion"/>
  </si>
  <si>
    <t>BSD:右盲区探测系统相机故障</t>
    <phoneticPr fontId="20" type="noConversion"/>
  </si>
  <si>
    <t>V1.1</t>
    <phoneticPr fontId="6" type="noConversion"/>
  </si>
  <si>
    <t>“仪表：环境温度传感器短路到电源或开路（171,3）”改为“仪表：环境温度传感器或线路故障(171,3)”</t>
    <phoneticPr fontId="6" type="noConversion"/>
  </si>
  <si>
    <t>仪表:环境温度传感器电压高或短路到电源或开路</t>
    <phoneticPr fontId="20" type="noConversion"/>
  </si>
  <si>
    <t>从机组1一级故障</t>
  </si>
  <si>
    <t>充电绝缘阻值低</t>
    <phoneticPr fontId="20" type="noConversion"/>
  </si>
  <si>
    <t>ACAN通讯故障</t>
  </si>
  <si>
    <t>插枪连接信号异常</t>
  </si>
  <si>
    <t>电子锁故障</t>
  </si>
  <si>
    <t>火警探测器故障</t>
  </si>
  <si>
    <t>换电连接器过温故障</t>
  </si>
  <si>
    <t>换电连接器锁止故障</t>
  </si>
  <si>
    <t>换电连接器连接故障</t>
  </si>
  <si>
    <t>换电控制器CAN信息超时</t>
  </si>
  <si>
    <t>加热膜加热回路故障</t>
    <phoneticPr fontId="20" type="noConversion"/>
  </si>
  <si>
    <t>输出缺相故障</t>
  </si>
  <si>
    <t>转速偏差过大故障</t>
  </si>
  <si>
    <t>主动放电故障</t>
  </si>
  <si>
    <t>仪表:车速传感器电压高或短路到电源</t>
    <phoneticPr fontId="20" type="noConversion"/>
  </si>
  <si>
    <t>仪表:前桥回路气压传感器电压高或短路到电源</t>
    <phoneticPr fontId="20" type="noConversion"/>
  </si>
  <si>
    <t>仪表:前桥回路气压传感器电压低或短路到地</t>
    <phoneticPr fontId="20" type="noConversion"/>
  </si>
  <si>
    <t>FMI（DEC）</t>
  </si>
  <si>
    <t>燃电系统:输出电流超过极限值（三级）</t>
    <phoneticPr fontId="6" type="noConversion"/>
  </si>
  <si>
    <t>FCU:输出电流超过极限值（11181,0)</t>
    <phoneticPr fontId="6" type="noConversion"/>
  </si>
  <si>
    <t>燃电系统:氢气压力高限值（三级）</t>
    <phoneticPr fontId="6" type="noConversion"/>
  </si>
  <si>
    <t>燃电系统:氢气压力低限值（三级）</t>
    <phoneticPr fontId="6" type="noConversion"/>
  </si>
  <si>
    <t>燃电系统:循环水压高限值（三级）</t>
    <phoneticPr fontId="6" type="noConversion"/>
  </si>
  <si>
    <t>燃电系统:循环水压低限值（三级）</t>
    <phoneticPr fontId="6" type="noConversion"/>
  </si>
  <si>
    <t>燃电系统:空压高限值（三级）</t>
    <phoneticPr fontId="6" type="noConversion"/>
  </si>
  <si>
    <t>燃电系统:空压低限值（三级）</t>
    <phoneticPr fontId="6" type="noConversion"/>
  </si>
  <si>
    <t>燃电系统:水入温度高限值（三级）</t>
    <phoneticPr fontId="6" type="noConversion"/>
  </si>
  <si>
    <t>燃电系统:最小单池电压限值（三级）</t>
    <phoneticPr fontId="6" type="noConversion"/>
  </si>
  <si>
    <t>燃电系统:电堆电流高限值（三级）</t>
    <phoneticPr fontId="6" type="noConversion"/>
  </si>
  <si>
    <t>燃电系统:电堆电压低限值（三级）</t>
    <phoneticPr fontId="6" type="noConversion"/>
  </si>
  <si>
    <t>燃电系统:回流泵电流高限值（三级）</t>
    <phoneticPr fontId="6" type="noConversion"/>
  </si>
  <si>
    <t>燃电系统:升压DC通讯故障（三级）</t>
    <phoneticPr fontId="6" type="noConversion"/>
  </si>
  <si>
    <t>燃电系统:VCU通讯故障（三级）</t>
    <phoneticPr fontId="6" type="noConversion"/>
  </si>
  <si>
    <t>燃电系统:输出电流超过极限值（二级）</t>
    <phoneticPr fontId="6" type="noConversion"/>
  </si>
  <si>
    <t>燃电系统:氢气压力高限值（二级）</t>
    <phoneticPr fontId="6" type="noConversion"/>
  </si>
  <si>
    <t>燃电系统:氢气压力低限值（二级）</t>
    <phoneticPr fontId="6" type="noConversion"/>
  </si>
  <si>
    <t>燃电系统:循环水压高限值（二级）</t>
    <phoneticPr fontId="6" type="noConversion"/>
  </si>
  <si>
    <t>燃电系统:循环水压低限值（二级）</t>
    <phoneticPr fontId="6" type="noConversion"/>
  </si>
  <si>
    <t>燃电系统:空压高限值（二级）</t>
    <phoneticPr fontId="6" type="noConversion"/>
  </si>
  <si>
    <t>燃电系统:空压低限值（二级）</t>
    <phoneticPr fontId="6" type="noConversion"/>
  </si>
  <si>
    <t>燃电系统:水入温度高限值（二级）</t>
    <phoneticPr fontId="6" type="noConversion"/>
  </si>
  <si>
    <t>燃电系统:水出温度高限值（二级）</t>
    <phoneticPr fontId="6" type="noConversion"/>
  </si>
  <si>
    <t>燃电系统:最小单池电压限值（二级）</t>
    <phoneticPr fontId="6" type="noConversion"/>
  </si>
  <si>
    <t>燃电系统:电堆电流高限值（二级）</t>
    <phoneticPr fontId="6" type="noConversion"/>
  </si>
  <si>
    <t>燃电系统:电堆电压低限值（二级）</t>
    <phoneticPr fontId="6" type="noConversion"/>
  </si>
  <si>
    <t>燃电系统:回流泵电流高限值（二级）</t>
    <phoneticPr fontId="6" type="noConversion"/>
  </si>
  <si>
    <t>燃电系统：空压机通讯故障（二级）</t>
    <phoneticPr fontId="6" type="noConversion"/>
  </si>
  <si>
    <t>燃电系统：回流泵通讯故障（二级）</t>
    <phoneticPr fontId="6" type="noConversion"/>
  </si>
  <si>
    <t>燃电系统：巡检1通讯故障（二级）</t>
    <phoneticPr fontId="6" type="noConversion"/>
  </si>
  <si>
    <t>燃电系统：巡检2通讯故障（二级）</t>
    <phoneticPr fontId="6" type="noConversion"/>
  </si>
  <si>
    <t>燃电系统：电压电流传感器通讯故障（二级）</t>
    <phoneticPr fontId="6" type="noConversion"/>
  </si>
  <si>
    <t>燃电系统：电堆电压高（二级）</t>
    <phoneticPr fontId="6" type="noConversion"/>
  </si>
  <si>
    <t>燃电系统:输出电流超过极限值（一级）</t>
    <phoneticPr fontId="6" type="noConversion"/>
  </si>
  <si>
    <t>燃电系统:氢气压力高限值（一级）</t>
    <phoneticPr fontId="6" type="noConversion"/>
  </si>
  <si>
    <t>燃电系统:氢气压力低限值（一级）</t>
    <phoneticPr fontId="6" type="noConversion"/>
  </si>
  <si>
    <t>燃电系统:循环水压高限值（一级）</t>
    <phoneticPr fontId="6" type="noConversion"/>
  </si>
  <si>
    <t>燃电系统:循环水压低限值（一级）</t>
    <phoneticPr fontId="6" type="noConversion"/>
  </si>
  <si>
    <t>燃电系统:空压高限值（一级）</t>
    <phoneticPr fontId="6" type="noConversion"/>
  </si>
  <si>
    <t>燃电系统:空压低限值（一级）</t>
    <phoneticPr fontId="6" type="noConversion"/>
  </si>
  <si>
    <t>燃电系统:水入温度高限值（一级）</t>
    <phoneticPr fontId="6" type="noConversion"/>
  </si>
  <si>
    <t>燃电系统:水出温度高限值（一级）</t>
    <phoneticPr fontId="6" type="noConversion"/>
  </si>
  <si>
    <t>燃电系统:最小单池电压限值（一级）</t>
    <phoneticPr fontId="6" type="noConversion"/>
  </si>
  <si>
    <t>燃电系统:电堆电流高限值（一级）</t>
    <phoneticPr fontId="6" type="noConversion"/>
  </si>
  <si>
    <t>燃电系统:电堆电压低限值（一级）</t>
    <phoneticPr fontId="6" type="noConversion"/>
  </si>
  <si>
    <t>燃电系统:回流泵电流高限值（一级）</t>
    <phoneticPr fontId="6" type="noConversion"/>
  </si>
  <si>
    <t>序号</t>
    <phoneticPr fontId="6" type="noConversion"/>
  </si>
  <si>
    <t>仪表显示内容</t>
    <phoneticPr fontId="6" type="noConversion"/>
  </si>
  <si>
    <t>瓶压过高＞42 Mpa</t>
  </si>
  <si>
    <t>瓶压过高＞38 Mpa</t>
  </si>
  <si>
    <t>瓶压过低＜2 Mpa</t>
  </si>
  <si>
    <t>瓶压过低＜3 Mpa</t>
  </si>
  <si>
    <t>管压过高＞1.35 Mpa</t>
  </si>
  <si>
    <t>管压过高＞1.5 Mpa</t>
  </si>
  <si>
    <t>管压过低＜0.85 Mpa</t>
  </si>
  <si>
    <t>管压过低＜0.75 Mpa</t>
  </si>
  <si>
    <t>瓶温过高 ＞85℃</t>
  </si>
  <si>
    <t>瓶温过高 ＞70℃</t>
  </si>
  <si>
    <t>氢气泄露 ＞10000PPM</t>
  </si>
  <si>
    <t>氢气泄露 ＞6000PPM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</si>
  <si>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</si>
  <si>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</si>
  <si>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</si>
  <si>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</si>
  <si>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</si>
  <si>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</si>
  <si>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</si>
  <si>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</si>
  <si>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</si>
  <si>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</si>
  <si>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</si>
  <si>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</si>
  <si>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</si>
  <si>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</si>
  <si>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</si>
  <si>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</si>
  <si>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</si>
  <si>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</si>
  <si>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</si>
  <si>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</si>
  <si>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</si>
  <si>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</si>
  <si>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</si>
  <si>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6" type="noConversion"/>
  </si>
  <si>
    <t>DCDC 通信丢失故障</t>
    <phoneticPr fontId="6" type="noConversion"/>
  </si>
  <si>
    <t>DCDC 电容端过压</t>
    <phoneticPr fontId="6" type="noConversion"/>
  </si>
  <si>
    <t>SPN（DEC）</t>
  </si>
  <si>
    <t>点灯策略</t>
  </si>
  <si>
    <t>(DEC)</t>
  </si>
  <si>
    <t>电机冷却风扇故障</t>
  </si>
  <si>
    <t>Warn</t>
  </si>
  <si>
    <t>进水温度传感器故障</t>
  </si>
  <si>
    <t>出水温度传感器故障</t>
  </si>
  <si>
    <t>进水温度传感器掉线</t>
  </si>
  <si>
    <t>出水温度传感器掉线</t>
  </si>
  <si>
    <t>仪表显示</t>
    <phoneticPr fontId="6" type="noConversion"/>
  </si>
  <si>
    <t>故障描述</t>
    <phoneticPr fontId="6" type="noConversion"/>
  </si>
  <si>
    <t>仪表:LDWS CAN报文超时(523047,8)</t>
    <phoneticPr fontId="20" type="noConversion"/>
  </si>
  <si>
    <t>仪表:AEBS CAN报文超时(523048,8)</t>
    <phoneticPr fontId="20" type="noConversion"/>
  </si>
  <si>
    <t>氢气泄露</t>
  </si>
  <si>
    <t>车载供氢系统故障</t>
    <phoneticPr fontId="20" type="noConversion"/>
  </si>
  <si>
    <t>瓶温过低</t>
    <phoneticPr fontId="20" type="noConversion"/>
  </si>
  <si>
    <t>车载供氢系统故障</t>
    <phoneticPr fontId="20" type="noConversion"/>
  </si>
  <si>
    <t>电堆电压高</t>
  </si>
  <si>
    <t>空压机通讯故障</t>
  </si>
  <si>
    <t>巡检1通讯故障</t>
    <phoneticPr fontId="20" type="noConversion"/>
  </si>
  <si>
    <t>电堆散热器控制器通讯故障</t>
    <phoneticPr fontId="20" type="noConversion"/>
  </si>
  <si>
    <t>空压机控制器过温警告</t>
    <phoneticPr fontId="20" type="noConversion"/>
  </si>
  <si>
    <t>空压机控制器过温报警</t>
    <phoneticPr fontId="20" type="noConversion"/>
  </si>
  <si>
    <t>空压机过温警告</t>
    <phoneticPr fontId="20" type="noConversion"/>
  </si>
  <si>
    <t>空压机过温报警</t>
    <phoneticPr fontId="20" type="noConversion"/>
  </si>
  <si>
    <t>燃料电池系统故障</t>
    <phoneticPr fontId="20" type="noConversion"/>
  </si>
  <si>
    <t>DCDC 电容端过压</t>
  </si>
  <si>
    <t>DCDC 通信丢失故障</t>
    <phoneticPr fontId="6" type="noConversion"/>
  </si>
  <si>
    <t>20210625新增</t>
    <phoneticPr fontId="6" type="noConversion"/>
  </si>
  <si>
    <t>20210625描述更改</t>
    <phoneticPr fontId="6" type="noConversion"/>
  </si>
  <si>
    <t>V1.2</t>
    <phoneticPr fontId="6" type="noConversion"/>
  </si>
  <si>
    <t>V1.3</t>
    <phoneticPr fontId="6" type="noConversion"/>
  </si>
  <si>
    <t>电机故障码增加3个，同时更改超速报警描述</t>
    <phoneticPr fontId="6" type="noConversion"/>
  </si>
  <si>
    <t>电机故障描述更改，“保护”改为“停机”等</t>
    <phoneticPr fontId="6" type="noConversion"/>
  </si>
  <si>
    <t>母线过压保护</t>
    <phoneticPr fontId="6" type="noConversion"/>
  </si>
  <si>
    <t>母线欠压保护</t>
    <phoneticPr fontId="6" type="noConversion"/>
  </si>
  <si>
    <t>电机转速超速保护，3300rpm≤n＜3600rpm</t>
    <phoneticPr fontId="6" type="noConversion"/>
  </si>
  <si>
    <t>电机转速超速停机，n≥3600rpm</t>
    <phoneticPr fontId="6" type="noConversion"/>
  </si>
  <si>
    <t>电机绕组过温保护</t>
    <phoneticPr fontId="6" type="noConversion"/>
  </si>
  <si>
    <t>电机绕组过温停机</t>
    <phoneticPr fontId="6" type="noConversion"/>
  </si>
  <si>
    <t>电机过载</t>
    <phoneticPr fontId="6" type="noConversion"/>
  </si>
  <si>
    <t>V1.4</t>
    <phoneticPr fontId="6" type="noConversion"/>
  </si>
  <si>
    <t>氢系统故障码描述更改</t>
    <phoneticPr fontId="6" type="noConversion"/>
  </si>
  <si>
    <t>低压供电欠压报警</t>
    <phoneticPr fontId="6" type="noConversion"/>
  </si>
  <si>
    <t>HMS异常</t>
    <phoneticPr fontId="6" type="noConversion"/>
  </si>
  <si>
    <t>整车急停有效</t>
    <phoneticPr fontId="6" type="noConversion"/>
  </si>
  <si>
    <t>专用冷却液液位过低</t>
    <phoneticPr fontId="6" type="noConversion"/>
  </si>
  <si>
    <t>20211104更新</t>
    <phoneticPr fontId="6" type="noConversion"/>
  </si>
  <si>
    <t>故障名称</t>
  </si>
  <si>
    <t xml:space="preserve">Red </t>
  </si>
  <si>
    <t>输出过压</t>
  </si>
  <si>
    <t xml:space="preserve">Amber </t>
  </si>
  <si>
    <t>过温告警</t>
  </si>
  <si>
    <t>模块故障</t>
  </si>
  <si>
    <t>仪表显示</t>
  </si>
  <si>
    <t>点灯策略</t>
    <phoneticPr fontId="6" type="noConversion"/>
  </si>
  <si>
    <t>仪表显示</t>
    <phoneticPr fontId="6" type="noConversion"/>
  </si>
  <si>
    <t xml:space="preserve">输出严重过压 </t>
  </si>
  <si>
    <t xml:space="preserve">输出过流 </t>
  </si>
  <si>
    <t xml:space="preserve">过温保护 </t>
  </si>
  <si>
    <t xml:space="preserve">输入过压 </t>
  </si>
  <si>
    <t xml:space="preserve">输入欠压 </t>
  </si>
  <si>
    <t xml:space="preserve">输出欠压 </t>
  </si>
  <si>
    <t xml:space="preserve">通讯故障 </t>
  </si>
  <si>
    <t xml:space="preserve">辅源欠压 </t>
  </si>
  <si>
    <t>辅驱接触器无法闭合</t>
  </si>
  <si>
    <t>上装用电硬线请求丢失</t>
  </si>
  <si>
    <t xml:space="preserve">辅驱接触器无法断开 </t>
  </si>
  <si>
    <t xml:space="preserve">其他接触器粘连 </t>
  </si>
  <si>
    <t>V1.5</t>
    <phoneticPr fontId="6" type="noConversion"/>
  </si>
  <si>
    <t>交流充电正接触器无法闭合故障报警</t>
    <phoneticPr fontId="20" type="noConversion"/>
  </si>
  <si>
    <t>充电电流超限报警</t>
    <phoneticPr fontId="20" type="noConversion"/>
  </si>
  <si>
    <t>充电插座NTC故障</t>
    <phoneticPr fontId="20" type="noConversion"/>
  </si>
  <si>
    <t>SOC差异过大报警</t>
    <phoneticPr fontId="20" type="noConversion"/>
  </si>
  <si>
    <t>主回路预充或预检故障</t>
    <phoneticPr fontId="20" type="noConversion"/>
  </si>
  <si>
    <t>辅件回路预充或预检故障</t>
    <phoneticPr fontId="20" type="noConversion"/>
  </si>
  <si>
    <t>BMS-DC-DC故障</t>
    <phoneticPr fontId="20" type="noConversion"/>
  </si>
  <si>
    <t>交流充电正接触器无法断开故障报警</t>
    <phoneticPr fontId="20" type="noConversion"/>
  </si>
  <si>
    <t>交流充电负接触器无法闭合故障报警</t>
    <phoneticPr fontId="20" type="noConversion"/>
  </si>
  <si>
    <t>交流充电负接触器无法断开故障报警</t>
    <phoneticPr fontId="20" type="noConversion"/>
  </si>
  <si>
    <t>备注</t>
    <phoneticPr fontId="20" type="noConversion"/>
  </si>
  <si>
    <t>电池冷却系统(TMS)源地址改为0x82.
BMS系统故障码更新，更改描述和新增故障。</t>
    <phoneticPr fontId="6" type="noConversion"/>
  </si>
  <si>
    <t>V1.6</t>
    <phoneticPr fontId="6" type="noConversion"/>
  </si>
  <si>
    <t>“电机转速超速报警保护”和“电机转速超速停机保护”两个故障增加蜂鸣</t>
    <phoneticPr fontId="6" type="noConversion"/>
  </si>
  <si>
    <t>V1.6增加蜂鸣</t>
    <phoneticPr fontId="6" type="noConversion"/>
  </si>
  <si>
    <t>V1.6增加蜂鸣</t>
    <phoneticPr fontId="6" type="noConversion"/>
  </si>
  <si>
    <t>HCU:非正常复位发生(21017,12)</t>
    <phoneticPr fontId="20" type="noConversion"/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</si>
  <si>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</si>
  <si>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</si>
  <si>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</si>
  <si>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</si>
  <si>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</si>
  <si>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</si>
  <si>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</si>
  <si>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</si>
  <si>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</si>
  <si>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V1.7_20220419新增故障</t>
    <phoneticPr fontId="6" type="noConversion"/>
  </si>
  <si>
    <t>辅驱接触器预充失败</t>
  </si>
  <si>
    <t>上装接触器预充失败</t>
  </si>
  <si>
    <t>辅助电源欠压</t>
  </si>
  <si>
    <t>辅助电源过压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</si>
  <si>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</si>
  <si>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</si>
  <si>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</si>
  <si>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</si>
  <si>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</si>
  <si>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t>V1.7</t>
    <phoneticPr fontId="6" type="noConversion"/>
  </si>
  <si>
    <t>过温报警</t>
  </si>
  <si>
    <t>电流检测（零漂）故障</t>
  </si>
  <si>
    <t>控制器过温报警</t>
  </si>
  <si>
    <t>超速故障</t>
  </si>
  <si>
    <t>相间短路故障</t>
  </si>
  <si>
    <t>硬件故障</t>
  </si>
  <si>
    <t>控制器温度传感器断路故障</t>
  </si>
  <si>
    <t>控制器温度传感器短路故障</t>
  </si>
  <si>
    <t>故障描述</t>
    <phoneticPr fontId="6" type="noConversion"/>
  </si>
  <si>
    <t>输入过流</t>
  </si>
  <si>
    <t>硬件保护故障</t>
  </si>
  <si>
    <t>输出反向过流</t>
  </si>
  <si>
    <t>输出过载</t>
  </si>
  <si>
    <t>软启动失败</t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</si>
  <si>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  <phoneticPr fontId="6" type="noConversion"/>
  </si>
  <si>
    <t>故障代码同SHEET《电机故障代码表EF_PCAN》，仅源地址不同</t>
    <phoneticPr fontId="6" type="noConversion"/>
  </si>
  <si>
    <t>故障描述</t>
    <phoneticPr fontId="6" type="noConversion"/>
  </si>
  <si>
    <t>输入欠压</t>
    <phoneticPr fontId="6" type="noConversion"/>
  </si>
  <si>
    <t>输入过压</t>
    <phoneticPr fontId="6" type="noConversion"/>
  </si>
  <si>
    <t>EEPROM故障</t>
    <phoneticPr fontId="6" type="noConversion"/>
  </si>
  <si>
    <t>过流故障</t>
    <phoneticPr fontId="6" type="noConversion"/>
  </si>
  <si>
    <t>过温故障</t>
    <phoneticPr fontId="6" type="noConversion"/>
  </si>
  <si>
    <t>过载故障</t>
    <phoneticPr fontId="6" type="noConversion"/>
  </si>
  <si>
    <t>输出缺相</t>
    <phoneticPr fontId="6" type="noConversion"/>
  </si>
  <si>
    <t>CAN通讯中断故障</t>
    <phoneticPr fontId="6" type="noConversion"/>
  </si>
  <si>
    <t>电机过载故障</t>
    <phoneticPr fontId="6" type="noConversion"/>
  </si>
  <si>
    <t>CAN通讯超时故障</t>
    <phoneticPr fontId="6" type="noConversion"/>
  </si>
  <si>
    <t>电机过温故障</t>
    <phoneticPr fontId="6" type="noConversion"/>
  </si>
  <si>
    <t>V1.7_20220419“LSST”改为“LSCU”</t>
    <phoneticPr fontId="6" type="noConversion"/>
  </si>
  <si>
    <t>V1.8</t>
    <phoneticPr fontId="6" type="noConversion"/>
  </si>
  <si>
    <t>换电系统：换电连接器瞬断轻微故障</t>
    <phoneticPr fontId="20" type="noConversion"/>
  </si>
  <si>
    <t>522243</t>
    <phoneticPr fontId="20" type="noConversion"/>
  </si>
  <si>
    <t>15</t>
    <phoneticPr fontId="20" type="noConversion"/>
  </si>
  <si>
    <t>16</t>
    <phoneticPr fontId="20" type="noConversion"/>
  </si>
  <si>
    <t>0</t>
    <phoneticPr fontId="20" type="noConversion"/>
  </si>
  <si>
    <t>BMS中增加三个换电系统故障，便函DM22052520</t>
    <phoneticPr fontId="6" type="noConversion"/>
  </si>
  <si>
    <t>V1.9</t>
    <phoneticPr fontId="6" type="noConversion"/>
  </si>
  <si>
    <t>换电系统：换电连接器瞬断一般故障</t>
    <phoneticPr fontId="20" type="noConversion"/>
  </si>
  <si>
    <t>换电系统：换电连接器瞬断严重故障</t>
    <phoneticPr fontId="20" type="noConversion"/>
  </si>
  <si>
    <t>换电连接器温感断线故障</t>
    <phoneticPr fontId="20" type="noConversion"/>
  </si>
  <si>
    <t>换电控制器自检故障</t>
    <phoneticPr fontId="20" type="noConversion"/>
  </si>
  <si>
    <t>换电控制器低压供电电压异常报警</t>
    <phoneticPr fontId="20" type="noConversion"/>
  </si>
  <si>
    <t>换电系统电池箱不匹配</t>
    <phoneticPr fontId="20" type="noConversion"/>
  </si>
  <si>
    <t>TCU与VECU通讯故障</t>
  </si>
  <si>
    <t>TCU与MCU通讯故障</t>
  </si>
  <si>
    <t>坡道传感器通讯故障</t>
  </si>
  <si>
    <t>坡度信号零位标定错误</t>
  </si>
  <si>
    <t>AMT摘挡失败</t>
  </si>
  <si>
    <t>AMT挂档失败</t>
  </si>
  <si>
    <t>变速箱油温过高停机</t>
  </si>
  <si>
    <t>变速箱油温偏高报警</t>
  </si>
  <si>
    <t>油温传感器断路</t>
  </si>
  <si>
    <t>油温传感器短路</t>
  </si>
  <si>
    <t>加速度芯片故障</t>
  </si>
  <si>
    <t>EPB:(158,10)</t>
  </si>
  <si>
    <t>EPB:(158,3)</t>
  </si>
  <si>
    <t>EPB:(168,0)</t>
  </si>
  <si>
    <t>EPB:(168,1)</t>
  </si>
  <si>
    <t>EPB:(168,12)</t>
  </si>
  <si>
    <t>EPB:(168,5)</t>
  </si>
  <si>
    <t>EPB:(3132,3)</t>
  </si>
  <si>
    <t>EPB:(3132,4)</t>
  </si>
  <si>
    <t>EPB:(3132,5)</t>
  </si>
  <si>
    <t>EPB:(3136,0)</t>
  </si>
  <si>
    <t>EPB:(617,7)</t>
  </si>
  <si>
    <t>EPB:(618,7)</t>
  </si>
  <si>
    <t>EPB:(619,14)</t>
  </si>
  <si>
    <t>EPB:(619,7)</t>
  </si>
  <si>
    <t>EPB:(629,13)</t>
  </si>
  <si>
    <t>EPB:(629,2)</t>
  </si>
  <si>
    <t>EPB:(629,9)</t>
  </si>
  <si>
    <t>EPB:(630,13)</t>
  </si>
  <si>
    <t>EPB:(630,2)</t>
  </si>
  <si>
    <t>V1.10</t>
    <phoneticPr fontId="6" type="noConversion"/>
  </si>
  <si>
    <t>油泵过压</t>
  </si>
  <si>
    <t>油泵欠压</t>
  </si>
  <si>
    <t>油泵短路</t>
  </si>
  <si>
    <t>油泵过流</t>
  </si>
  <si>
    <t>油泵电机堵转</t>
  </si>
  <si>
    <t>油泵控制器过温</t>
  </si>
  <si>
    <t>油泵电机超速</t>
  </si>
  <si>
    <t>V1.10_20220723新增</t>
    <phoneticPr fontId="6" type="noConversion"/>
  </si>
  <si>
    <t>V1.10_20220724新增</t>
  </si>
  <si>
    <t>V1.10_20220726新增</t>
  </si>
  <si>
    <t>V1.10_20220727新增</t>
  </si>
  <si>
    <t>V1.10_20220725新增</t>
  </si>
  <si>
    <t>V1.10_20220728新增</t>
  </si>
  <si>
    <t>V1.10_20220729新增</t>
  </si>
  <si>
    <t>BMS中增加换电系统故障，赵鹏辉邮件20220429；
自动变速箱故障更新；普刚邮件20220610
增加瑞立EPB故障清单；</t>
    <phoneticPr fontId="6" type="noConversion"/>
  </si>
  <si>
    <t>ECAS:控制器严重内部故障</t>
  </si>
  <si>
    <t>ECAS:控制器内部校验错误</t>
  </si>
  <si>
    <t>ECAS:控制器内部EEPROM兼容性故障</t>
  </si>
  <si>
    <t>ECAS:控制器软件与硬件不兼容故障</t>
  </si>
  <si>
    <t>ECAS:控制器硬件故障</t>
  </si>
  <si>
    <t>ECAS:控制器bootloader软件不兼容</t>
  </si>
  <si>
    <t>ECAS:控制器驱动软件故障</t>
  </si>
  <si>
    <t>ECAS:控制器软件驱动ROM测试故障</t>
  </si>
  <si>
    <t>ECAS:控制器EEPROM配置不可信故障</t>
  </si>
  <si>
    <t>ECAS:控制器EEPROM参数不可信</t>
  </si>
  <si>
    <t>ECAS:控制器电压过高</t>
  </si>
  <si>
    <t>ECAS:控制器电压过低</t>
  </si>
  <si>
    <t>ECAS:车辆起动时控制器供电电压过低</t>
  </si>
  <si>
    <t>ECAS:控制器电压传感器电压超过范围值</t>
  </si>
  <si>
    <t>ECAS:控制器电压传感器电压短路到地</t>
  </si>
  <si>
    <t>ECAS:控制器电压传感器电压短路到电源</t>
  </si>
  <si>
    <t>ECAS:ECAS进口电磁阀电源线短路到低</t>
  </si>
  <si>
    <t>ECAS:ECAS进口电磁阀电源线短路到高</t>
  </si>
  <si>
    <t>ECAS:ECAS进口电磁阀电源线开路</t>
  </si>
  <si>
    <t>ECAS:ECAS进口电磁阀电源线与其余线束短路</t>
  </si>
  <si>
    <t>ECAS:ECAS出口电磁阀电源线短路到低</t>
  </si>
  <si>
    <t>ECAS:ECAS出口电磁阀电源线短路到高</t>
  </si>
  <si>
    <t>ECAS:ECAS出口电磁阀电源线开路</t>
  </si>
  <si>
    <t>ECAS:ECAS出口电磁阀电源线与其余线束短路</t>
  </si>
  <si>
    <t>ECAS:ECAS电磁阀地线短路到低</t>
  </si>
  <si>
    <t>ECAS:ECAS电磁阀地线短路到高</t>
  </si>
  <si>
    <t>ECAS:ECAS电磁阀地线开路</t>
  </si>
  <si>
    <t>ECAS:ECAS电磁阀地线与其余线束短路</t>
  </si>
  <si>
    <t>ECAS:ECAS传感器组配置错误</t>
  </si>
  <si>
    <t>ECU的EEPROM数据写入故障</t>
    <phoneticPr fontId="6" type="noConversion"/>
  </si>
  <si>
    <t>ECU内部VFF电源故障</t>
    <phoneticPr fontId="6" type="noConversion"/>
  </si>
  <si>
    <t>阀电源与主电源短路</t>
    <phoneticPr fontId="6" type="noConversion"/>
  </si>
  <si>
    <t>阀电源与地线短路</t>
    <phoneticPr fontId="6" type="noConversion"/>
  </si>
  <si>
    <t>遥控器电源与主电源短路</t>
    <phoneticPr fontId="6" type="noConversion"/>
  </si>
  <si>
    <t>遥控器或电缆线电气故障</t>
    <phoneticPr fontId="6" type="noConversion"/>
  </si>
  <si>
    <t>前桥高度传感器与地线短路</t>
    <phoneticPr fontId="6" type="noConversion"/>
  </si>
  <si>
    <t>前桥高度传感器开路</t>
    <phoneticPr fontId="6" type="noConversion"/>
  </si>
  <si>
    <t>前桥高度传感器超出范围</t>
    <phoneticPr fontId="6" type="noConversion"/>
  </si>
  <si>
    <t>左后高度传感器与地线短路</t>
    <phoneticPr fontId="6" type="noConversion"/>
  </si>
  <si>
    <t>左后高度传感器与主电源短路</t>
    <phoneticPr fontId="6" type="noConversion"/>
  </si>
  <si>
    <t>左后高度传感器超出范围</t>
    <phoneticPr fontId="6" type="noConversion"/>
  </si>
  <si>
    <t>右后高度传感器与地线短路</t>
    <phoneticPr fontId="6" type="noConversion"/>
  </si>
  <si>
    <t>右后高度传感器与电源短路</t>
    <phoneticPr fontId="6" type="noConversion"/>
  </si>
  <si>
    <t>右后高度传感器超出范围</t>
    <phoneticPr fontId="6" type="noConversion"/>
  </si>
  <si>
    <t>前桥阀与地线短路</t>
    <phoneticPr fontId="6" type="noConversion"/>
  </si>
  <si>
    <t>前桥阀与电源短路</t>
    <phoneticPr fontId="6" type="noConversion"/>
  </si>
  <si>
    <t>前桥阀开路</t>
    <phoneticPr fontId="6" type="noConversion"/>
  </si>
  <si>
    <t>左后阀与地线短路</t>
    <phoneticPr fontId="6" type="noConversion"/>
  </si>
  <si>
    <t>左后阀与电源短路</t>
    <phoneticPr fontId="6" type="noConversion"/>
  </si>
  <si>
    <t>左后阀开路</t>
    <phoneticPr fontId="6" type="noConversion"/>
  </si>
  <si>
    <t>后桥中央阀与地线短路</t>
    <phoneticPr fontId="6" type="noConversion"/>
  </si>
  <si>
    <t>后桥中央阀与电源短路</t>
    <phoneticPr fontId="6" type="noConversion"/>
  </si>
  <si>
    <t>后桥中央阀开路</t>
    <phoneticPr fontId="6" type="noConversion"/>
  </si>
  <si>
    <t>右后阀与地线短路</t>
    <phoneticPr fontId="6" type="noConversion"/>
  </si>
  <si>
    <t>右后阀与电源短路</t>
    <phoneticPr fontId="6" type="noConversion"/>
  </si>
  <si>
    <t>右后阀开路</t>
    <phoneticPr fontId="6" type="noConversion"/>
  </si>
  <si>
    <t>第三桥左电磁阀与地线短路</t>
    <phoneticPr fontId="6" type="noConversion"/>
  </si>
  <si>
    <t>第三桥左电磁阀与阀电源短路</t>
    <phoneticPr fontId="6" type="noConversion"/>
  </si>
  <si>
    <t>第三桥左电磁阀开路</t>
    <phoneticPr fontId="6" type="noConversion"/>
  </si>
  <si>
    <t>第三桥右电磁阀与地线短路</t>
    <phoneticPr fontId="6" type="noConversion"/>
  </si>
  <si>
    <t>第三桥右电磁阀与阀电源短路</t>
    <phoneticPr fontId="6" type="noConversion"/>
  </si>
  <si>
    <t>第三桥右电磁阀开路</t>
    <phoneticPr fontId="6" type="noConversion"/>
  </si>
  <si>
    <t>第三桥中央电磁阀与地线短路</t>
    <phoneticPr fontId="6" type="noConversion"/>
  </si>
  <si>
    <t>第三桥中央电磁阀与阀电源短路</t>
    <phoneticPr fontId="6" type="noConversion"/>
  </si>
  <si>
    <t>第三桥中央电磁阀开路</t>
    <phoneticPr fontId="6" type="noConversion"/>
  </si>
  <si>
    <t>提升电磁阀与地线短路</t>
    <phoneticPr fontId="6" type="noConversion"/>
  </si>
  <si>
    <t>提升电磁阀与阀电源短路</t>
    <phoneticPr fontId="6" type="noConversion"/>
  </si>
  <si>
    <t>提升电磁阀开路</t>
    <phoneticPr fontId="6" type="noConversion"/>
  </si>
  <si>
    <t>故障描述</t>
    <phoneticPr fontId="20" type="noConversion"/>
  </si>
  <si>
    <t xml:space="preserve"> 仪表显示内容</t>
    <phoneticPr fontId="6" type="noConversion"/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</si>
  <si>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  <phoneticPr fontId="6" type="noConversion"/>
  </si>
  <si>
    <t>换电机构锁止故障</t>
  </si>
  <si>
    <t>换电连接器温感故障</t>
  </si>
  <si>
    <t>换电控制器自检故障</t>
  </si>
  <si>
    <t>换电控制器输入电压异常</t>
  </si>
  <si>
    <t>换电系统无线通讯故障</t>
  </si>
  <si>
    <t>换电过程中驻车状态异常</t>
  </si>
  <si>
    <t>换电机构电磁阀或电机故障</t>
  </si>
  <si>
    <t>换电机构液压或气压异常</t>
  </si>
  <si>
    <t>换电系统换电柜不匹配</t>
    <phoneticPr fontId="6" type="noConversion"/>
  </si>
  <si>
    <t>V1.11</t>
    <phoneticPr fontId="6" type="noConversion"/>
  </si>
  <si>
    <t>源地址0xA7</t>
    <phoneticPr fontId="6" type="noConversion"/>
  </si>
  <si>
    <t>仪表显示</t>
    <phoneticPr fontId="6" type="noConversion"/>
  </si>
  <si>
    <t>CAN通讯异常</t>
  </si>
  <si>
    <t>源地址0xA8</t>
    <phoneticPr fontId="6" type="noConversion"/>
  </si>
  <si>
    <t>SPN</t>
    <phoneticPr fontId="6" type="noConversion"/>
  </si>
  <si>
    <t>FMI</t>
    <phoneticPr fontId="6" type="noConversion"/>
  </si>
  <si>
    <t>V1.11新增</t>
    <phoneticPr fontId="6" type="noConversion"/>
  </si>
  <si>
    <t>V1.11新增</t>
    <phoneticPr fontId="6" type="noConversion"/>
  </si>
  <si>
    <t>控制器</t>
    <phoneticPr fontId="20" type="noConversion"/>
  </si>
  <si>
    <t>源地址</t>
    <phoneticPr fontId="20" type="noConversion"/>
  </si>
  <si>
    <t>can通道</t>
    <phoneticPr fontId="20" type="noConversion"/>
  </si>
  <si>
    <t>整车控制器（HCU）</t>
    <phoneticPr fontId="20" type="noConversion"/>
  </si>
  <si>
    <t>0x31</t>
    <phoneticPr fontId="20" type="noConversion"/>
  </si>
  <si>
    <t>PCAN</t>
    <phoneticPr fontId="20" type="noConversion"/>
  </si>
  <si>
    <t>电池冷却系统(TMS)</t>
    <phoneticPr fontId="20" type="noConversion"/>
  </si>
  <si>
    <t>低压转向(LSCU)</t>
    <phoneticPr fontId="20" type="noConversion"/>
  </si>
  <si>
    <t>0x4D</t>
    <phoneticPr fontId="20" type="noConversion"/>
  </si>
  <si>
    <t>BCAN</t>
  </si>
  <si>
    <t>高压转向故障代码表(HSCU)</t>
    <phoneticPr fontId="20" type="noConversion"/>
  </si>
  <si>
    <t>0x2E</t>
    <phoneticPr fontId="20" type="noConversion"/>
  </si>
  <si>
    <t>组合仪表（IC）</t>
    <phoneticPr fontId="20" type="noConversion"/>
  </si>
  <si>
    <t>0x17</t>
    <phoneticPr fontId="20" type="noConversion"/>
  </si>
  <si>
    <t>BCAN</t>
    <phoneticPr fontId="20" type="noConversion"/>
  </si>
  <si>
    <t>SCU</t>
    <phoneticPr fontId="20" type="noConversion"/>
  </si>
  <si>
    <t>0x05</t>
    <phoneticPr fontId="20" type="noConversion"/>
  </si>
  <si>
    <t>0x0B</t>
    <phoneticPr fontId="20" type="noConversion"/>
  </si>
  <si>
    <t xml:space="preserve">0xF4 </t>
    <phoneticPr fontId="20" type="noConversion"/>
  </si>
  <si>
    <t>电机控制器（MCU）</t>
    <phoneticPr fontId="20" type="noConversion"/>
  </si>
  <si>
    <t>0xEF 0xF0</t>
    <phoneticPr fontId="20" type="noConversion"/>
  </si>
  <si>
    <t xml:space="preserve">0x30 </t>
    <phoneticPr fontId="20" type="noConversion"/>
  </si>
  <si>
    <t>自动变速箱（AMT）</t>
    <phoneticPr fontId="20" type="noConversion"/>
  </si>
  <si>
    <t>0x03</t>
    <phoneticPr fontId="20" type="noConversion"/>
  </si>
  <si>
    <t>0x1A</t>
    <phoneticPr fontId="20" type="noConversion"/>
  </si>
  <si>
    <t>高压配电盒（PDU）</t>
    <phoneticPr fontId="20" type="noConversion"/>
  </si>
  <si>
    <t>0x1E</t>
    <phoneticPr fontId="20" type="noConversion"/>
  </si>
  <si>
    <t>ABS KNORR</t>
    <phoneticPr fontId="20" type="noConversion"/>
  </si>
  <si>
    <t>EBS KNORR</t>
    <phoneticPr fontId="20" type="noConversion"/>
  </si>
  <si>
    <t>BCM</t>
    <phoneticPr fontId="20" type="noConversion"/>
  </si>
  <si>
    <t>0x32</t>
    <phoneticPr fontId="20" type="noConversion"/>
  </si>
  <si>
    <t>DCM</t>
    <phoneticPr fontId="20" type="noConversion"/>
  </si>
  <si>
    <t>0xEC</t>
    <phoneticPr fontId="20" type="noConversion"/>
  </si>
  <si>
    <t>TPMS</t>
    <phoneticPr fontId="20" type="noConversion"/>
  </si>
  <si>
    <t>0x33</t>
    <phoneticPr fontId="20" type="noConversion"/>
  </si>
  <si>
    <t>环景影像（HJYX）</t>
    <phoneticPr fontId="20" type="noConversion"/>
  </si>
  <si>
    <t>0x41</t>
    <phoneticPr fontId="20" type="noConversion"/>
  </si>
  <si>
    <t>疲劳驾驶（DFMS）</t>
    <phoneticPr fontId="20" type="noConversion"/>
  </si>
  <si>
    <t>0xE7</t>
    <phoneticPr fontId="20" type="noConversion"/>
  </si>
  <si>
    <t>燃料电池控制器（FCU）</t>
    <phoneticPr fontId="20" type="noConversion"/>
  </si>
  <si>
    <t>0xF5</t>
    <phoneticPr fontId="20" type="noConversion"/>
  </si>
  <si>
    <t>0xF6</t>
    <phoneticPr fontId="20" type="noConversion"/>
  </si>
  <si>
    <t>燃电DCDC</t>
    <phoneticPr fontId="20" type="noConversion"/>
  </si>
  <si>
    <t>冷却系统（ATS）</t>
    <phoneticPr fontId="20" type="noConversion"/>
  </si>
  <si>
    <t>0xA7 0xA8</t>
    <phoneticPr fontId="20" type="noConversion"/>
  </si>
  <si>
    <t>外挂DCDC</t>
    <phoneticPr fontId="20" type="noConversion"/>
  </si>
  <si>
    <t>0x84 0x85</t>
    <phoneticPr fontId="20" type="noConversion"/>
  </si>
  <si>
    <t>0x50</t>
    <phoneticPr fontId="20" type="noConversion"/>
  </si>
  <si>
    <t>空气悬架（ECAS）KNORR/瑞立</t>
    <phoneticPr fontId="20" type="noConversion"/>
  </si>
  <si>
    <t>0x2F</t>
    <phoneticPr fontId="20" type="noConversion"/>
  </si>
  <si>
    <t>0xDB</t>
    <phoneticPr fontId="20" type="noConversion"/>
  </si>
  <si>
    <t>燃料电池冷却系统（FTS）</t>
    <phoneticPr fontId="20" type="noConversion"/>
  </si>
  <si>
    <t>0x8F</t>
    <phoneticPr fontId="20" type="noConversion"/>
  </si>
  <si>
    <t>V1.12</t>
    <phoneticPr fontId="6" type="noConversion"/>
  </si>
  <si>
    <t>仅针对KT1D车型，AMT故障码清单更新.胡蜜DM22120917</t>
    <phoneticPr fontId="6" type="noConversion"/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</si>
  <si>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  <phoneticPr fontId="6" type="noConversion"/>
  </si>
  <si>
    <t>仪表:第五桥右轮摩擦片磨损</t>
    <phoneticPr fontId="20" type="noConversion"/>
  </si>
  <si>
    <t>仪表:第五桥左轮摩擦片磨损</t>
    <phoneticPr fontId="20" type="noConversion"/>
  </si>
  <si>
    <t>V1.13</t>
    <phoneticPr fontId="6" type="noConversion"/>
  </si>
  <si>
    <t>针对10×4车型，IC故障码清单更新</t>
    <phoneticPr fontId="6" type="noConversion"/>
  </si>
  <si>
    <t>故障等级</t>
    <phoneticPr fontId="6" type="noConversion"/>
  </si>
  <si>
    <t>A</t>
    <phoneticPr fontId="6" type="noConversion"/>
  </si>
  <si>
    <t>HCU:蓄电池电压信号超下限(168,18)       </t>
    <phoneticPr fontId="20" type="noConversion"/>
  </si>
  <si>
    <t>B</t>
    <phoneticPr fontId="6" type="noConversion"/>
  </si>
  <si>
    <t>HCU:HCU与Tbox间通讯异常（1746,9）</t>
    <phoneticPr fontId="6" type="noConversion"/>
  </si>
  <si>
    <t>HCU:车辆监管、即将激活限速限扭（1746,2）</t>
    <phoneticPr fontId="6" type="noConversion"/>
  </si>
  <si>
    <t>HCU:干燥器压力开关信号不合理（21068,2）</t>
    <phoneticPr fontId="6" type="noConversion"/>
  </si>
  <si>
    <t>HCU:整车气路或空压机漏气（21069,2）</t>
    <phoneticPr fontId="6" type="noConversion"/>
  </si>
  <si>
    <t>C</t>
    <phoneticPr fontId="6" type="noConversion"/>
  </si>
  <si>
    <t>V1.14</t>
    <phoneticPr fontId="6" type="noConversion"/>
  </si>
  <si>
    <t>D</t>
    <phoneticPr fontId="6" type="noConversion"/>
  </si>
  <si>
    <t>故障等级</t>
    <phoneticPr fontId="20" type="noConversion"/>
  </si>
  <si>
    <t>A</t>
    <phoneticPr fontId="20" type="noConversion"/>
  </si>
  <si>
    <t>A</t>
    <phoneticPr fontId="20" type="noConversion"/>
  </si>
  <si>
    <t>燃料电池回路预充或预检故障</t>
    <phoneticPr fontId="20" type="noConversion"/>
  </si>
  <si>
    <t>B</t>
  </si>
  <si>
    <t>B</t>
    <phoneticPr fontId="20" type="noConversion"/>
  </si>
  <si>
    <t>C</t>
    <phoneticPr fontId="20" type="noConversion"/>
  </si>
  <si>
    <t>D</t>
    <phoneticPr fontId="20" type="noConversion"/>
  </si>
  <si>
    <t>DCDC过热</t>
  </si>
  <si>
    <t>DCDC短路保护</t>
  </si>
  <si>
    <t>DCDC通信丢失故障</t>
  </si>
  <si>
    <t>V1.14由522026，12更新为（522028，12）</t>
    <phoneticPr fontId="6" type="noConversion"/>
  </si>
  <si>
    <t>温控机组故障（所有故障）</t>
  </si>
  <si>
    <t>TMS系统故障（水位传感器故障）</t>
    <phoneticPr fontId="6" type="noConversion"/>
  </si>
  <si>
    <t>V1.14 删除</t>
    <phoneticPr fontId="6" type="noConversion"/>
  </si>
  <si>
    <t>换电连接器温感开路故障</t>
  </si>
  <si>
    <t>1.新能源故障码净化（DM23030203）故障等级A、B显示，C、D仪表不显示
2.补充EBS故障码列表 新增785-792行（2022.11.01已通知）</t>
    <phoneticPr fontId="6" type="noConversion"/>
  </si>
  <si>
    <t>V1.15</t>
    <phoneticPr fontId="6" type="noConversion"/>
  </si>
  <si>
    <t>科密瑞立EPB</t>
    <phoneticPr fontId="6" type="noConversion"/>
  </si>
  <si>
    <t>PCAN</t>
    <phoneticPr fontId="6" type="noConversion"/>
  </si>
  <si>
    <t>0x50</t>
    <phoneticPr fontId="6" type="noConversion"/>
  </si>
  <si>
    <t>Knorr EPB</t>
    <phoneticPr fontId="20" type="noConversion"/>
  </si>
  <si>
    <t>V1.15新增</t>
    <phoneticPr fontId="6" type="noConversion"/>
  </si>
  <si>
    <t>新增科密瑞立EPB故障码清单(徐冕 20230323邮件)，原瑞立EPB更新为Knorr EPB</t>
    <phoneticPr fontId="6" type="noConversion"/>
  </si>
  <si>
    <t>V1.16</t>
    <phoneticPr fontId="6" type="noConversion"/>
  </si>
  <si>
    <t>Light</t>
    <phoneticPr fontId="6" type="noConversion"/>
  </si>
  <si>
    <t>Warn</t>
    <phoneticPr fontId="6" type="noConversion"/>
  </si>
  <si>
    <t>B提示类</t>
    <phoneticPr fontId="6" type="noConversion"/>
  </si>
  <si>
    <t>Red</t>
    <phoneticPr fontId="6" type="noConversion"/>
  </si>
  <si>
    <t>Amber</t>
    <phoneticPr fontId="6" type="noConversion"/>
  </si>
  <si>
    <t>B提示类</t>
    <phoneticPr fontId="20" type="noConversion"/>
  </si>
  <si>
    <t>换挡电机故障</t>
  </si>
  <si>
    <t>换挡电机动作与换挡位置方向不匹配</t>
  </si>
  <si>
    <t>Red</t>
  </si>
  <si>
    <t>Amber</t>
  </si>
  <si>
    <t>V1.16新增</t>
    <phoneticPr fontId="6" type="noConversion"/>
  </si>
  <si>
    <t>Light</t>
    <phoneticPr fontId="6" type="noConversion"/>
  </si>
  <si>
    <t>Stop</t>
    <phoneticPr fontId="6" type="noConversion"/>
  </si>
  <si>
    <t>Warning</t>
    <phoneticPr fontId="6" type="noConversion"/>
  </si>
  <si>
    <t>Stop</t>
    <phoneticPr fontId="6" type="noConversion"/>
  </si>
  <si>
    <t>V1.16删除</t>
    <phoneticPr fontId="6" type="noConversion"/>
  </si>
  <si>
    <t>Warning</t>
    <phoneticPr fontId="6" type="noConversion"/>
  </si>
  <si>
    <t>通讯故障</t>
    <phoneticPr fontId="6" type="noConversion"/>
  </si>
  <si>
    <t>系统类别</t>
    <phoneticPr fontId="20" type="noConversion"/>
  </si>
  <si>
    <t>B</t>
    <phoneticPr fontId="20" type="noConversion"/>
  </si>
  <si>
    <t>A</t>
    <phoneticPr fontId="20" type="noConversion"/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</si>
  <si>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  <phoneticPr fontId="6" type="noConversion"/>
  </si>
  <si>
    <t>V1.17</t>
    <phoneticPr fontId="6" type="noConversion"/>
  </si>
  <si>
    <t>V1.18</t>
    <phoneticPr fontId="6" type="noConversion"/>
  </si>
  <si>
    <t>Knorr EPB故障码净化</t>
  </si>
  <si>
    <t>ABS通讯故障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</si>
  <si>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：未接收HCU报文（639，5）</t>
    </r>
    <phoneticPr fontId="6" type="noConversion"/>
  </si>
  <si>
    <t>新增 焦作博瑞克ABS故障码 DM23060803</t>
    <phoneticPr fontId="6" type="noConversion"/>
  </si>
  <si>
    <t>V1.18新增</t>
    <phoneticPr fontId="6" type="noConversion"/>
  </si>
  <si>
    <t>V1.18删除</t>
    <phoneticPr fontId="6" type="noConversion"/>
  </si>
  <si>
    <t>V1.19</t>
    <phoneticPr fontId="6" type="noConversion"/>
  </si>
  <si>
    <t>新增 KT1D改制-集成热管理系统 王贝贝邮件20230703</t>
    <phoneticPr fontId="6" type="noConversion"/>
  </si>
  <si>
    <t>V1.20</t>
    <phoneticPr fontId="6" type="noConversion"/>
  </si>
  <si>
    <t>V1.20_20230828纠正</t>
    <phoneticPr fontId="6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</si>
  <si>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低</t>
    </r>
    <r>
      <rPr>
        <sz val="11"/>
        <color theme="1"/>
        <rFont val="宋体"/>
        <family val="3"/>
        <charset val="134"/>
      </rPr>
      <t>高</t>
    </r>
    <phoneticPr fontId="6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</si>
  <si>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高</t>
    </r>
    <r>
      <rPr>
        <sz val="11"/>
        <color theme="1"/>
        <rFont val="宋体"/>
        <family val="3"/>
        <charset val="134"/>
      </rPr>
      <t>低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</si>
  <si>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：控制器或线路故障(629,12)</t>
    </r>
    <phoneticPr fontId="6" type="noConversion"/>
  </si>
  <si>
    <r>
      <t>ABS：</t>
    </r>
    <r>
      <rPr>
        <sz val="11"/>
        <rFont val="宋体"/>
        <family val="3"/>
        <charset val="134"/>
        <scheme val="minor"/>
      </rPr>
      <t>通讯线路故障（639，4）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</si>
  <si>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</si>
  <si>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</si>
  <si>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</si>
  <si>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</si>
  <si>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rFont val="宋体"/>
        <family val="3"/>
        <charset val="134"/>
        <scheme val="minor"/>
      </rPr>
      <t>前</t>
    </r>
    <r>
      <rPr>
        <sz val="11"/>
        <color theme="1"/>
        <rFont val="宋体"/>
        <family val="2"/>
        <charset val="134"/>
        <scheme val="minor"/>
      </rPr>
      <t>桥左电磁阀或线路故障(795,4)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</si>
  <si>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：前桥左电磁阀或线路故障(795,5)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</si>
  <si>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</si>
  <si>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：前桥右电磁阀或线路故障(796,5)</t>
    </r>
    <phoneticPr fontId="6" type="noConversion"/>
  </si>
  <si>
    <t>V1.20_20230828更新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</si>
  <si>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</si>
  <si>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</si>
  <si>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后桥左轮速传感器或线路故障(791,12)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</si>
  <si>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：后桥左轮速传感器或线路故障(791,8)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</si>
  <si>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</si>
  <si>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</si>
  <si>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前桥右轮速传感器或线路故障(790,8)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</si>
  <si>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：前桥右轮速传感器或线路故障(790,12)</t>
    </r>
    <phoneticPr fontId="6" type="noConversion"/>
  </si>
  <si>
    <r>
      <t>ASR</t>
    </r>
    <r>
      <rPr>
        <strike/>
        <sz val="11"/>
        <color rgb="FFFF0000"/>
        <rFont val="宋体"/>
        <family val="3"/>
        <charset val="134"/>
      </rPr>
      <t>电磁阀断路</t>
    </r>
  </si>
  <si>
    <r>
      <t>ABS：</t>
    </r>
    <r>
      <rPr>
        <strike/>
        <sz val="11"/>
        <color rgb="FFFF0000"/>
        <rFont val="宋体"/>
        <family val="2"/>
        <charset val="134"/>
        <scheme val="minor"/>
      </rPr>
      <t>ASR电磁阀断路(806,4)</t>
    </r>
    <phoneticPr fontId="6" type="noConversion"/>
  </si>
  <si>
    <t>ABS：左制动气室压力传感器失效(116,5)</t>
    <phoneticPr fontId="6" type="noConversion"/>
  </si>
  <si>
    <t>ABS：右制动气室压力传感器失效(117,5)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</si>
  <si>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左气室压力传感器或线路故障(116,4)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</si>
  <si>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右气室压力传感器或线路故障(117,4)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</si>
  <si>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供电电压异常(627,3)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</si>
  <si>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供电电压异常(627,4)</t>
    </r>
    <phoneticPr fontId="6" type="noConversion"/>
  </si>
  <si>
    <t>新增 AMT油温传感器故障-胡蜜邮件20230828
更新 博瑞克ABS故障码 - DM23060803</t>
    <phoneticPr fontId="6" type="noConversion"/>
  </si>
  <si>
    <t>V1.21</t>
    <phoneticPr fontId="6" type="noConversion"/>
  </si>
  <si>
    <t>更新 KT1D改制-集成热管理系统 王贝贝邮件20230831</t>
    <phoneticPr fontId="6" type="noConversion"/>
  </si>
  <si>
    <t>V1.22</t>
    <phoneticPr fontId="6" type="noConversion"/>
  </si>
  <si>
    <t>返回目录</t>
    <phoneticPr fontId="6" type="noConversion"/>
  </si>
  <si>
    <t>返回目录</t>
    <phoneticPr fontId="6" type="noConversion"/>
  </si>
  <si>
    <t>再生制动(ABS焦作博瑞克)</t>
    <phoneticPr fontId="20" type="noConversion"/>
  </si>
  <si>
    <t>更新 空压机故障码 潘峰微信20230920 DM补</t>
    <phoneticPr fontId="6" type="noConversion"/>
  </si>
  <si>
    <t xml:space="preserve">源地址：0x8F  </t>
    <phoneticPr fontId="6" type="noConversion"/>
  </si>
  <si>
    <t>EBS:ESC传感器未标定(13795,0)</t>
    <phoneticPr fontId="20" type="noConversion"/>
  </si>
  <si>
    <t>EBS:横摆率传感器标定故障(13795,0)</t>
    <phoneticPr fontId="20" type="noConversion"/>
  </si>
  <si>
    <t>0x0B</t>
  </si>
  <si>
    <t>EBS:ESC传感器未标定(13793,0)</t>
    <phoneticPr fontId="20" type="noConversion"/>
  </si>
  <si>
    <t>EBS:横摆率传感器标定故障(13793,0)</t>
    <phoneticPr fontId="20" type="noConversion"/>
  </si>
  <si>
    <t>EBS:SAS传感器未标定(13282,0)</t>
    <phoneticPr fontId="20" type="noConversion"/>
  </si>
  <si>
    <t>EBS:转向角度传感器未标定(13282,0)</t>
    <phoneticPr fontId="20" type="noConversion"/>
  </si>
  <si>
    <t>EBS:SAS传感器未标定(13281,0)</t>
    <phoneticPr fontId="20" type="noConversion"/>
  </si>
  <si>
    <t>EBS:转向角度传感器未标定(13281,0)</t>
    <phoneticPr fontId="20" type="noConversion"/>
  </si>
  <si>
    <t>EBS:SAS传感器未标定(13270,0)</t>
    <phoneticPr fontId="20" type="noConversion"/>
  </si>
  <si>
    <t>EBS:转向角度传感器未标定(13270,0)</t>
    <phoneticPr fontId="20" type="noConversion"/>
  </si>
  <si>
    <t>EBS:SAS传感器未标定(13268,0)</t>
    <phoneticPr fontId="20" type="noConversion"/>
  </si>
  <si>
    <t>EBS:转向角度传感器未标定(13268,0)</t>
    <phoneticPr fontId="20" type="noConversion"/>
  </si>
  <si>
    <t>EBS:SAS传感器未标定(13012,0)</t>
    <phoneticPr fontId="20" type="noConversion"/>
  </si>
  <si>
    <t>EBS:转向角度传感器未标定(13012,0)</t>
    <phoneticPr fontId="20" type="noConversion"/>
  </si>
  <si>
    <t>EBS:(24864,0)</t>
  </si>
  <si>
    <t>辅助阀线束短路到蓄电池</t>
    <phoneticPr fontId="20" type="noConversion"/>
  </si>
  <si>
    <t>EBS:(24832,0)</t>
  </si>
  <si>
    <t>EBS配置异常</t>
    <phoneticPr fontId="20" type="noConversion"/>
  </si>
  <si>
    <t>EBS:(65229,0)</t>
  </si>
  <si>
    <t>EBS:ECU故障(65229,0)</t>
  </si>
  <si>
    <t>EBS:(65113,0)</t>
  </si>
  <si>
    <t>EBS:ECU故障(65113,0)</t>
  </si>
  <si>
    <t>EBS:(65026,0)</t>
  </si>
  <si>
    <t>EBS:ECU故障(65026,0)</t>
  </si>
  <si>
    <t>EBS:(65025,0)</t>
  </si>
  <si>
    <t>EBS:ECU故障(65025,0)</t>
  </si>
  <si>
    <t>EBS:(53575,0)</t>
  </si>
  <si>
    <t>EBS:EPM故障(53575,0)</t>
  </si>
  <si>
    <t>EBS:(53319,0)</t>
  </si>
  <si>
    <t>EBS:EPM故障(53319,0)</t>
  </si>
  <si>
    <t>EBS:(53063,0)</t>
  </si>
  <si>
    <t>EBS:EPM故障(53063,0)</t>
  </si>
  <si>
    <t>EBS:(52807,0)</t>
  </si>
  <si>
    <t>EBS:EPM故障(52807,0)</t>
  </si>
  <si>
    <t>EBS:(52551,0)</t>
  </si>
  <si>
    <t>EBS:(52295,0)</t>
  </si>
  <si>
    <t>EBS:(52039,0)</t>
  </si>
  <si>
    <t>EBS:(51783,0)</t>
  </si>
  <si>
    <t>EBS:(51527,0)</t>
  </si>
  <si>
    <t>EBS:(51271,0)</t>
  </si>
  <si>
    <t>EBS:(53574,0)</t>
  </si>
  <si>
    <t>EBS:EPM故障(53574,0)</t>
  </si>
  <si>
    <t>EBS:(53318,0)</t>
  </si>
  <si>
    <t>EBS:EPM故障(53318,0)</t>
  </si>
  <si>
    <t>EBS:(53062,0)</t>
  </si>
  <si>
    <t>EBS:EPM故障(53062,0)</t>
  </si>
  <si>
    <t>EBS:(52806,0)</t>
  </si>
  <si>
    <t>EBS:EPM故障(52806,0)</t>
  </si>
  <si>
    <t>EBS:(52550,0)</t>
  </si>
  <si>
    <t>EBS:(52294,0)</t>
  </si>
  <si>
    <t>EBS:(52038,0)</t>
  </si>
  <si>
    <t>EBS:(51782,0)</t>
  </si>
  <si>
    <t>EBS:(51526,0)</t>
  </si>
  <si>
    <t>EBS:(51270,0)</t>
  </si>
  <si>
    <t>EBS:(53573,0)</t>
  </si>
  <si>
    <t>EBS:EBS故障(53573,0)</t>
  </si>
  <si>
    <t>EBS:(53317,0)</t>
  </si>
  <si>
    <t>EBS:EBS故障(53317,0)</t>
  </si>
  <si>
    <t>EBS:(53061,0)</t>
  </si>
  <si>
    <t>EBS:EBS故障(53061,0)</t>
  </si>
  <si>
    <t>EBS:(52805,0)</t>
  </si>
  <si>
    <t>EBS:EBS故障(52805,0)</t>
  </si>
  <si>
    <t>EBS:(52549,0)</t>
  </si>
  <si>
    <t>EBS:(52293,0)</t>
  </si>
  <si>
    <t>EBS:(52037,0)</t>
  </si>
  <si>
    <t>EBS:(51781,0)</t>
  </si>
  <si>
    <t>EBS:(51525,0)</t>
  </si>
  <si>
    <t>EBS:(51269,0)</t>
  </si>
  <si>
    <t>EBS:(53572,0)</t>
  </si>
  <si>
    <t>EBS:EPM故障(53572,0)</t>
  </si>
  <si>
    <t>EBS:(53316,0)</t>
  </si>
  <si>
    <t>EBS:EPM故障(53316,0)</t>
  </si>
  <si>
    <t>EBS:(53060,0)</t>
  </si>
  <si>
    <t>EBS:EPM故障(53060,0)</t>
  </si>
  <si>
    <t>EBS:(52804,0)</t>
  </si>
  <si>
    <t>EBS:EPM故障(52804,0)</t>
  </si>
  <si>
    <t>EBS:(52548,0)</t>
  </si>
  <si>
    <t>EBS:(52292,0)</t>
  </si>
  <si>
    <t>EBS:(52036,0)</t>
  </si>
  <si>
    <t>EBS:(51780,0)</t>
  </si>
  <si>
    <t>EBS:(51524,0)</t>
  </si>
  <si>
    <t>EBS:(51268,0)</t>
  </si>
  <si>
    <t>EBS:(53571,0)</t>
  </si>
  <si>
    <t>EBS:气路故障(53571,0)</t>
  </si>
  <si>
    <t>EBS:(53315,0)</t>
  </si>
  <si>
    <t>EBS:气路故障(53315,0)</t>
  </si>
  <si>
    <t>EBS:(53059,0)</t>
  </si>
  <si>
    <t>EBS:气路故障(53059,0)</t>
  </si>
  <si>
    <t>EBS:(52803,0)</t>
  </si>
  <si>
    <t>EBS:气路故障(52803,0)</t>
  </si>
  <si>
    <t>EBS:(52547,0)</t>
  </si>
  <si>
    <t>EBS:(52291,0)</t>
  </si>
  <si>
    <t>EBS:(52035,0)</t>
  </si>
  <si>
    <t>EBS:(51779,0)</t>
  </si>
  <si>
    <t>EBS:(51523,0)</t>
  </si>
  <si>
    <t>EBS:(51267,0)</t>
  </si>
  <si>
    <t>EBS:(53570,0)</t>
  </si>
  <si>
    <t>EBS:气路故障(53570,0)</t>
  </si>
  <si>
    <t>EBS:(53314,0)</t>
  </si>
  <si>
    <t>EBS:气路故障(53314,0)</t>
  </si>
  <si>
    <t>EBS:(53058,0)</t>
  </si>
  <si>
    <t>EBS:气路故障(53058,0)</t>
  </si>
  <si>
    <t>EBS:(52802,0)</t>
  </si>
  <si>
    <t>EBS:气路故障(52802,0)</t>
  </si>
  <si>
    <t>EBS:(52546,0)</t>
  </si>
  <si>
    <t>EBS:(52290,0)</t>
  </si>
  <si>
    <t>EBS:(52034,0)</t>
  </si>
  <si>
    <t>EBS:(51778,0)</t>
  </si>
  <si>
    <t>EBS:(51522,0)</t>
  </si>
  <si>
    <t>EBS:(51266,0)</t>
  </si>
  <si>
    <t>EBS:(53567,0)</t>
  </si>
  <si>
    <t>EBS:EBS故障(53567,0)</t>
  </si>
  <si>
    <t>EBS:(53311,0)</t>
  </si>
  <si>
    <t>EBS:EBS故障(53311,0)</t>
  </si>
  <si>
    <t>EBS:(53055,0)</t>
  </si>
  <si>
    <t>EBS:EBS故障(53055,0)</t>
  </si>
  <si>
    <t>EBS:(52799,0)</t>
  </si>
  <si>
    <t>EBS:EBS故障(52799,0)</t>
  </si>
  <si>
    <t>EBS:(52543,0)</t>
  </si>
  <si>
    <t>EBS:(52287,0)</t>
  </si>
  <si>
    <t>EBS:(52031,0)</t>
  </si>
  <si>
    <t>EBS:(51775,0)</t>
  </si>
  <si>
    <t>EBS:(51519,0)</t>
  </si>
  <si>
    <t>EBS:(51263,0)</t>
  </si>
  <si>
    <t>EBS:(53566,0)</t>
  </si>
  <si>
    <t>EBS:气路故障(53566,0)</t>
  </si>
  <si>
    <t>EBS:(53310,0)</t>
  </si>
  <si>
    <t>EBS:气路故障(53310,0)</t>
  </si>
  <si>
    <t>EBS:(53054,0)</t>
  </si>
  <si>
    <t>EBS:气路故障(53054,0)</t>
  </si>
  <si>
    <t>EBS:(52798,0)</t>
  </si>
  <si>
    <t>EBS:气路故障(52798,0)</t>
  </si>
  <si>
    <t>EBS:(52542,0)</t>
  </si>
  <si>
    <t>EBS:(52286,0)</t>
  </si>
  <si>
    <t>EBS:(52030,0)</t>
  </si>
  <si>
    <t>EBS:(51774,0)</t>
  </si>
  <si>
    <t>EBS:(51518,0)</t>
  </si>
  <si>
    <t>EBS:(51262,0)</t>
  </si>
  <si>
    <t>EBS:(53565,0)</t>
  </si>
  <si>
    <t>EBS:EPM故障(53565,0)</t>
  </si>
  <si>
    <t>EBS:(53309,0)</t>
  </si>
  <si>
    <t>EBS:EPM故障(53309,0)</t>
  </si>
  <si>
    <t>EBS:(53053,0)</t>
  </si>
  <si>
    <t>EBS:EPM故障(53053,0)</t>
  </si>
  <si>
    <t>EBS:(52797,0)</t>
  </si>
  <si>
    <t>EBS:EPM故障(52797,0)</t>
  </si>
  <si>
    <t>EBS:(52541,0)</t>
  </si>
  <si>
    <t>EBS:(52285,0)</t>
  </si>
  <si>
    <t>EBS:(52029,0)</t>
  </si>
  <si>
    <t>EBS:(51773,0)</t>
  </si>
  <si>
    <t>EBS:(51517,0)</t>
  </si>
  <si>
    <t>EBS:(51261,0)</t>
  </si>
  <si>
    <t>EBS:(53564,0)</t>
  </si>
  <si>
    <t>EBS:气路故障(53564,0)</t>
  </si>
  <si>
    <t>EBS:(53308,0)</t>
  </si>
  <si>
    <t>EBS:气路故障(53308,0)</t>
  </si>
  <si>
    <t>EBS:(53052,0)</t>
  </si>
  <si>
    <t>EBS:气路故障(53052,0)</t>
  </si>
  <si>
    <t>EBS:(52796,0)</t>
  </si>
  <si>
    <t>EBS:气路故障(52796,0)</t>
  </si>
  <si>
    <t>EBS:(52540,0)</t>
  </si>
  <si>
    <t>EBS:(52284,0)</t>
  </si>
  <si>
    <t>EBS:(52028,0)</t>
  </si>
  <si>
    <t>EBS:(51772,0)</t>
  </si>
  <si>
    <t>EBS:(51516,0)</t>
  </si>
  <si>
    <t>EBS:(51260,0)</t>
  </si>
  <si>
    <t>EBS:(50972,0)</t>
  </si>
  <si>
    <t>EBS:EPM故障(50972,0)</t>
  </si>
  <si>
    <t>EBS:(50716,0)</t>
  </si>
  <si>
    <t>EBS:EPM故障(50716,0)</t>
  </si>
  <si>
    <t>EBS:(50460,0)</t>
  </si>
  <si>
    <t>EBS:EPM故障(50460,0)</t>
  </si>
  <si>
    <t>EBS:(50204,0)</t>
  </si>
  <si>
    <t>EBS:EPM故障(50204,0)</t>
  </si>
  <si>
    <t>EBS:(49948,0)</t>
  </si>
  <si>
    <t>EBS:(49692,0)</t>
  </si>
  <si>
    <t>EBS:(49436,0)</t>
  </si>
  <si>
    <t>EBS:(49180,0)</t>
  </si>
  <si>
    <t>EBS:(48924,0)</t>
  </si>
  <si>
    <t>EBS:(48668,0)</t>
  </si>
  <si>
    <t>EBS:(50971,0)</t>
  </si>
  <si>
    <t>EBS:EPM故障(50971,0)</t>
  </si>
  <si>
    <t>EBS:(50715,0)</t>
  </si>
  <si>
    <t>EBS:EPM故障(50715,0)</t>
  </si>
  <si>
    <t>EBS:(50459,0)</t>
  </si>
  <si>
    <t>EBS:EPM故障(50459,0)</t>
  </si>
  <si>
    <t>EBS:(50203,0)</t>
  </si>
  <si>
    <t>EBS:EPM故障(50203,0)</t>
  </si>
  <si>
    <t>EBS:(49947,0)</t>
  </si>
  <si>
    <t>EBS:(49691,0)</t>
  </si>
  <si>
    <t>EBS:(49435,0)</t>
  </si>
  <si>
    <t>EBS:(49179,0)</t>
  </si>
  <si>
    <t>EBS:(48923,0)</t>
  </si>
  <si>
    <t>EBS:(48667,0)</t>
  </si>
  <si>
    <t>EBS:(50967,0)</t>
  </si>
  <si>
    <t>EBS:EPM故障(50967,0)</t>
  </si>
  <si>
    <t>EBS:(50711,0)</t>
  </si>
  <si>
    <t>EBS:EPM故障(50711,0)</t>
  </si>
  <si>
    <t>EBS:(50455,0)</t>
  </si>
  <si>
    <t>EBS:EPM故障(50455,0)</t>
  </si>
  <si>
    <t>EBS:(50199,0)</t>
  </si>
  <si>
    <t>EBS:EPM故障(50199,0)</t>
  </si>
  <si>
    <t>EBS:(49943,0)</t>
  </si>
  <si>
    <t>EBS:(49687,0)</t>
  </si>
  <si>
    <t>EBS:(49431,0)</t>
  </si>
  <si>
    <t>EBS:(49175,0)</t>
  </si>
  <si>
    <t>EBS:(48919,0)</t>
  </si>
  <si>
    <t>EBS:(48663,0)</t>
  </si>
  <si>
    <t>EBS:(50966,0)</t>
  </si>
  <si>
    <t>EBS:EPM故障(50966,0)</t>
  </si>
  <si>
    <t>EBS:(50710,0)</t>
  </si>
  <si>
    <t>EBS:EPM故障(50710,0)</t>
  </si>
  <si>
    <t>EBS:(50454,0)</t>
  </si>
  <si>
    <t>EBS:EPM故障(50454,0)</t>
  </si>
  <si>
    <t>EBS:(50198,0)</t>
  </si>
  <si>
    <t>EBS:EPM故障(50198,0)</t>
  </si>
  <si>
    <t>EBS:(49942,0)</t>
  </si>
  <si>
    <t>EBS:(49686,0)</t>
  </si>
  <si>
    <t>EBS:(49430,0)</t>
  </si>
  <si>
    <t>EBS:(49174,0)</t>
  </si>
  <si>
    <t>EBS:(48918,0)</t>
  </si>
  <si>
    <t>EBS:(48662,0)</t>
  </si>
  <si>
    <t>EBS:(48427,0)</t>
  </si>
  <si>
    <t>EBS:EPM故障(48427,0)</t>
  </si>
  <si>
    <t>EBS:(48171,0)</t>
  </si>
  <si>
    <t>EBS:EPM故障(48171,0)</t>
  </si>
  <si>
    <t>EBS:(47915,0)</t>
  </si>
  <si>
    <t>EBS:EPM故障(47915,0)</t>
  </si>
  <si>
    <t>EBS:(47659,0)</t>
  </si>
  <si>
    <t>EBS:EPM故障(47659,0)</t>
  </si>
  <si>
    <t>EBS:(47403,0)</t>
  </si>
  <si>
    <t>EBS:(47147,0)</t>
  </si>
  <si>
    <t>EBS:(46891,0)</t>
  </si>
  <si>
    <t>EBS:(46635,0)</t>
  </si>
  <si>
    <t>EBS:(46379,0)</t>
  </si>
  <si>
    <t>EBS:(46123,0)</t>
  </si>
  <si>
    <t>EBS:(48417,0)</t>
  </si>
  <si>
    <t>EBS:EPM故障(48417,0)</t>
  </si>
  <si>
    <t>EBS:(48161,0)</t>
  </si>
  <si>
    <t>EBS:EPM故障(48161,0)</t>
  </si>
  <si>
    <t>EBS:(47905,0)</t>
  </si>
  <si>
    <t>EBS:EPM故障(47905,0)</t>
  </si>
  <si>
    <t>EBS:(47649,0)</t>
  </si>
  <si>
    <t>EBS:EPM故障(47649,0)</t>
  </si>
  <si>
    <t>EBS:(47393,0)</t>
  </si>
  <si>
    <t>EBS:(47137,0)</t>
  </si>
  <si>
    <t>EBS:(46881,0)</t>
  </si>
  <si>
    <t>EBS:(46625,0)</t>
  </si>
  <si>
    <t>EBS:(46369,0)</t>
  </si>
  <si>
    <t>EBS:(46113,0)</t>
  </si>
  <si>
    <t>EBS:(48416,0)</t>
  </si>
  <si>
    <t>EBS:EPM故障(48416,0)</t>
  </si>
  <si>
    <t>EBS:(48160,0)</t>
  </si>
  <si>
    <t>EBS:EPM故障(48160,0)</t>
  </si>
  <si>
    <t>EBS:(47904,0)</t>
  </si>
  <si>
    <t>EBS:EPM故障(47904,0)</t>
  </si>
  <si>
    <t>EBS:(47648,0)</t>
  </si>
  <si>
    <t>EBS:EPM故障(47648,0)</t>
  </si>
  <si>
    <t>EBS:(47392,0)</t>
  </si>
  <si>
    <t>EBS:(47136,0)</t>
  </si>
  <si>
    <t>EBS:(46880,0)</t>
  </si>
  <si>
    <t>EBS:(46624,0)</t>
  </si>
  <si>
    <t>EBS:(46368,0)</t>
  </si>
  <si>
    <t>EBS:(46112,0)</t>
  </si>
  <si>
    <t>EBS:(48414,0)</t>
  </si>
  <si>
    <t>EBS:EPM故障(48414,0)</t>
  </si>
  <si>
    <t>EBS:(48158,0)</t>
  </si>
  <si>
    <t>EBS:EPM故障(48158,0)</t>
  </si>
  <si>
    <t>EBS:(47902,0)</t>
  </si>
  <si>
    <t>EBS:EPM故障(47902,0)</t>
  </si>
  <si>
    <t>EBS:(47646,0)</t>
  </si>
  <si>
    <t>EBS:EPM故障(47646,0)</t>
  </si>
  <si>
    <t>EBS:(47390,0)</t>
  </si>
  <si>
    <t>EBS:(47134,0)</t>
  </si>
  <si>
    <t>EBS:(46878,0)</t>
  </si>
  <si>
    <t>EBS:(46622,0)</t>
  </si>
  <si>
    <t>EBS:(46366,0)</t>
  </si>
  <si>
    <t>EBS:(46110,0)</t>
  </si>
  <si>
    <t>EBS:(48406,0)</t>
  </si>
  <si>
    <t>EBS:线路故障(48406,0)</t>
  </si>
  <si>
    <t>EBS:(48150,0)</t>
  </si>
  <si>
    <t>EBS:线路故障(48150,0)</t>
  </si>
  <si>
    <t>EBS:(47894,0)</t>
  </si>
  <si>
    <t>EBS:线路故障(47894,0)</t>
  </si>
  <si>
    <t>EBS:(47638,0)</t>
  </si>
  <si>
    <t>EBS:线路故障(47638,0)</t>
  </si>
  <si>
    <t>EBS:(47382,0)</t>
  </si>
  <si>
    <t>EBS:(47126,0)</t>
  </si>
  <si>
    <t>EBS:(46870,0)</t>
  </si>
  <si>
    <t>EBS:(46614,0)</t>
  </si>
  <si>
    <t>EBS:(46358,0)</t>
  </si>
  <si>
    <t>EBS:(46102,0)</t>
  </si>
  <si>
    <t>EBS:(45868,0)</t>
  </si>
  <si>
    <t>EBS:EPM故障(45868,0)</t>
  </si>
  <si>
    <t>EBS:(45612,0)</t>
  </si>
  <si>
    <t>EBS:EPM故障(45612,0)</t>
  </si>
  <si>
    <t>EBS:(45356,0)</t>
  </si>
  <si>
    <t>EBS:EPM故障(45356,0)</t>
  </si>
  <si>
    <t>EBS:(45100,0)</t>
  </si>
  <si>
    <t>EBS:EPM故障(45100,0)</t>
  </si>
  <si>
    <t>EBS:(44844,0)</t>
  </si>
  <si>
    <t>EBS:(44588,0)</t>
  </si>
  <si>
    <t>EBS:(44332,0)</t>
  </si>
  <si>
    <t>EBS:(44076,0)</t>
  </si>
  <si>
    <t>EBS:(43820,0)</t>
  </si>
  <si>
    <t>EBS:(43564,0)</t>
  </si>
  <si>
    <t>EBS:(45867,0)</t>
  </si>
  <si>
    <t>EBS:EPM故障(45867,0)</t>
  </si>
  <si>
    <t>EBS:(45611,0)</t>
  </si>
  <si>
    <t>EBS:EPM故障(45611,0)</t>
  </si>
  <si>
    <t>EBS:(45355,0)</t>
  </si>
  <si>
    <t>EBS:EPM故障(45355,0)</t>
  </si>
  <si>
    <t>EBS:(45099,0)</t>
  </si>
  <si>
    <t>EBS:EPM故障(45099,0)</t>
  </si>
  <si>
    <t>EBS:(44843,0)</t>
  </si>
  <si>
    <t>EBS:(44587,0)</t>
  </si>
  <si>
    <t>EBS:(44331,0)</t>
  </si>
  <si>
    <t>EBS:(44075,0)</t>
  </si>
  <si>
    <t>EBS:(43819,0)</t>
  </si>
  <si>
    <t>EBS:(43563,0)</t>
  </si>
  <si>
    <t>EBS:(45857,0)</t>
  </si>
  <si>
    <t>EBS:EPM故障(45857,0)</t>
  </si>
  <si>
    <t>EBS:(45601,0)</t>
  </si>
  <si>
    <t>EBS:EPM故障(45601,0)</t>
  </si>
  <si>
    <t>EBS:(45345,0)</t>
  </si>
  <si>
    <t>EBS:EPM故障(45345,0)</t>
  </si>
  <si>
    <t>EBS:(45089,0)</t>
  </si>
  <si>
    <t>EBS:EPM故障(45089,0)</t>
  </si>
  <si>
    <t>EBS:(44833,0)</t>
  </si>
  <si>
    <t>EBS:(44577,0)</t>
  </si>
  <si>
    <t>EBS:(44321,0)</t>
  </si>
  <si>
    <t>EBS:(44065,0)</t>
  </si>
  <si>
    <t>EBS:(43809,0)</t>
  </si>
  <si>
    <t>EBS:(43553,0)</t>
  </si>
  <si>
    <t>EBS:(45856,0)</t>
  </si>
  <si>
    <t>EBS:EPM故障(45856,0)</t>
  </si>
  <si>
    <t>EBS:(45600,0)</t>
  </si>
  <si>
    <t>EBS:EPM故障(45600,0)</t>
  </si>
  <si>
    <t>EBS:(45344,0)</t>
  </si>
  <si>
    <t>EBS:EPM故障(45344,0)</t>
  </si>
  <si>
    <t>EBS:(45088,0)</t>
  </si>
  <si>
    <t>EBS:EPM故障(45088,0)</t>
  </si>
  <si>
    <t>EBS:(44832,0)</t>
  </si>
  <si>
    <t>EBS:(44576,0)</t>
  </si>
  <si>
    <t>EBS:(44320,0)</t>
  </si>
  <si>
    <t>EBS:(44064,0)</t>
  </si>
  <si>
    <t>EBS:(43808,0)</t>
  </si>
  <si>
    <t>EBS:(43552,0)</t>
  </si>
  <si>
    <t>EBS:(45854,0)</t>
  </si>
  <si>
    <t>EBS:EPM故障(45854,0)</t>
  </si>
  <si>
    <t>EBS:(45598,0)</t>
  </si>
  <si>
    <t>EBS:EPM故障(45598,0)</t>
  </si>
  <si>
    <t>EBS:(45342,0)</t>
  </si>
  <si>
    <t>EBS:EPM故障(45342,0)</t>
  </si>
  <si>
    <t>EBS:(45086,0)</t>
  </si>
  <si>
    <t>EBS:EPM故障(45068,0)</t>
  </si>
  <si>
    <t>EBS:(44830,0)</t>
  </si>
  <si>
    <t>EBS:(44574,0)</t>
  </si>
  <si>
    <t>EBS:(44318,0)</t>
  </si>
  <si>
    <t>EBS:(44062,0)</t>
  </si>
  <si>
    <t>EBS:(43806,0)</t>
  </si>
  <si>
    <t>EBS:(43550,0)</t>
  </si>
  <si>
    <t>EBS:(45846,0)</t>
  </si>
  <si>
    <t>EBS:线路故障(45846,0)</t>
  </si>
  <si>
    <t>EBS:(45590,0)</t>
  </si>
  <si>
    <t>EBS:线路故障(45590,0)</t>
  </si>
  <si>
    <t>EBS:(45334,0)</t>
  </si>
  <si>
    <t>EBS:线路故障(45334,0)</t>
  </si>
  <si>
    <t>EBS:(45078,0)</t>
  </si>
  <si>
    <t>EBS:线路故障(45078,0)</t>
  </si>
  <si>
    <t>EBS:(44822,0)</t>
  </si>
  <si>
    <t>EBS:(44566,0)</t>
  </si>
  <si>
    <t>EBS:(44310,0)</t>
  </si>
  <si>
    <t>EBS:(44054,0)</t>
  </si>
  <si>
    <t>EBS:(43798,0)</t>
  </si>
  <si>
    <t>EBS:(43542,0)</t>
  </si>
  <si>
    <t>EBS:(43308,0)</t>
  </si>
  <si>
    <t>EBS:EPM故障(43308,0)</t>
  </si>
  <si>
    <t>EBS:(43052,0)</t>
  </si>
  <si>
    <t>EBS:EPM故障(43052,0)</t>
  </si>
  <si>
    <t>EBS:(42796,0)</t>
  </si>
  <si>
    <t>EBS:EPM故障(42796,0)</t>
  </si>
  <si>
    <t>EBS:(42540,0)</t>
  </si>
  <si>
    <t>EBS:EPM故障(42540,0)</t>
  </si>
  <si>
    <t>EBS:(42284,0)</t>
  </si>
  <si>
    <t>EBS:(42028,0)</t>
  </si>
  <si>
    <t>EBS:(41772,0)</t>
  </si>
  <si>
    <t>EBS:(41516,0)</t>
  </si>
  <si>
    <t>EBS:(41260,0)</t>
  </si>
  <si>
    <t>EBS:(41004,0)</t>
  </si>
  <si>
    <t>EBS:(43307,0)</t>
  </si>
  <si>
    <t>EBS:EPM故障(43307,0)</t>
  </si>
  <si>
    <t>EBS:(43051,0)</t>
  </si>
  <si>
    <t>EBS:EPM故障(43051,0)</t>
  </si>
  <si>
    <t>EBS:(42795,0)</t>
  </si>
  <si>
    <t>EBS:EPM故障(42795,0)</t>
  </si>
  <si>
    <t>EBS:(42539,0)</t>
  </si>
  <si>
    <t>EBS:EPM故障(42539,0)</t>
  </si>
  <si>
    <t>EBS:(42283,0)</t>
  </si>
  <si>
    <t>EBS:(42027,0)</t>
  </si>
  <si>
    <t>EBS:(41771,0)</t>
  </si>
  <si>
    <t>EBS:(41515,0)</t>
  </si>
  <si>
    <t>EBS:(41259,0)</t>
  </si>
  <si>
    <t>EBS:(41003,0)</t>
  </si>
  <si>
    <t>EBS:(43297,0)</t>
  </si>
  <si>
    <t>EBS:EPM故障(43297,0)</t>
  </si>
  <si>
    <t>EBS:(43041,0)</t>
  </si>
  <si>
    <t>EBS:EPM故障(43041,0)</t>
  </si>
  <si>
    <t>EBS:(42785,0)</t>
  </si>
  <si>
    <t>EBS:EPM故障(42785,0)</t>
  </si>
  <si>
    <t>EBS:(42529,0)</t>
  </si>
  <si>
    <t>EBS:EPM故障(42529,0)</t>
  </si>
  <si>
    <t>EBS:(42273,0)</t>
  </si>
  <si>
    <t>EBS:(42017,0)</t>
  </si>
  <si>
    <t>EBS:(41761,0)</t>
  </si>
  <si>
    <t>EBS:(41505,0)</t>
  </si>
  <si>
    <t>EBS:(41249,0)</t>
  </si>
  <si>
    <t>EBS:(40993,0)</t>
  </si>
  <si>
    <t>EBS:(43296,0)</t>
  </si>
  <si>
    <t>EBS:EPM故障(43296,0)</t>
  </si>
  <si>
    <t>EBS:(43040,0)</t>
  </si>
  <si>
    <t>EBS:EPM故障(43040,0)</t>
  </si>
  <si>
    <t>EBS:(42784,0)</t>
  </si>
  <si>
    <t>EBS:EPM故障(42784,0)</t>
  </si>
  <si>
    <t>EBS:(42528,0)</t>
  </si>
  <si>
    <t>EBS:EPM故障(42528,0)</t>
  </si>
  <si>
    <t>EBS:(42272,0)</t>
  </si>
  <si>
    <t>EBS:(42016,0)</t>
  </si>
  <si>
    <t>EBS:(41760,0)</t>
  </si>
  <si>
    <t>EBS:(41504,0)</t>
  </si>
  <si>
    <t>EBS:(41248,0)</t>
  </si>
  <si>
    <t>EBS:(40992,0)</t>
  </si>
  <si>
    <t>EBS:(43294,0)</t>
  </si>
  <si>
    <t>EBS:EPM故障(43294,0)</t>
  </si>
  <si>
    <t>EBS:(43038,0)</t>
  </si>
  <si>
    <t>EBS:EPM故障(43038,0)</t>
  </si>
  <si>
    <t>EBS:(42782,0)</t>
  </si>
  <si>
    <t>EBS:EPM故障(42782,0)</t>
  </si>
  <si>
    <t>EBS:(42526,0)</t>
  </si>
  <si>
    <t>EBS:EPM故障(42526,0)</t>
  </si>
  <si>
    <t>EBS:(42270,0)</t>
  </si>
  <si>
    <t>EBS:(42014,0)</t>
  </si>
  <si>
    <t>EBS:(41758,0)</t>
  </si>
  <si>
    <t>EBS:(41502,0)</t>
  </si>
  <si>
    <t>EBS:(41246,0)</t>
  </si>
  <si>
    <t>EBS:(40990,0)</t>
  </si>
  <si>
    <t>EBS:(43286,0)</t>
  </si>
  <si>
    <t>EBS:EPM故障(43286,0)</t>
  </si>
  <si>
    <t>EBS:(43030,0)</t>
  </si>
  <si>
    <t>EBS:EPM故障(43030,0)</t>
  </si>
  <si>
    <t>EBS:(42774,0)</t>
  </si>
  <si>
    <t>EBS:EPM故障(42774,0)</t>
  </si>
  <si>
    <t>EBS:(42518,0)</t>
  </si>
  <si>
    <t>EBS:EPM故障(42518,0)</t>
  </si>
  <si>
    <t>EBS:(42262,0)</t>
  </si>
  <si>
    <t>EBS:(42006,0)</t>
  </si>
  <si>
    <t>EBS:(41750,0)</t>
  </si>
  <si>
    <t>EBS:(41494,0)</t>
  </si>
  <si>
    <t>EBS:(41238,0)</t>
  </si>
  <si>
    <t>EBS:(40982,0)</t>
  </si>
  <si>
    <t>EBS:(40881,0)</t>
  </si>
  <si>
    <t>EBS:CAN通讯故障(40881,0)</t>
  </si>
  <si>
    <t>EBS:(40880,0)</t>
  </si>
  <si>
    <t>EBS:CAN通讯故障(40880,0)</t>
  </si>
  <si>
    <t>EBS:(40879,0)</t>
  </si>
  <si>
    <t>EBS:CAN通讯故障(40879,0)</t>
  </si>
  <si>
    <t>EBS:(40878,0)</t>
  </si>
  <si>
    <t>EBS:CAN通讯故障(40878,0)</t>
  </si>
  <si>
    <t>EBS:(40877,0)</t>
  </si>
  <si>
    <t>EBS:CAN通讯故障(40877,0)</t>
  </si>
  <si>
    <t>EBS:(40876,0)</t>
  </si>
  <si>
    <t>EBS:CAN通讯故障(40876,0)</t>
  </si>
  <si>
    <t>EBS:(40875,0)</t>
  </si>
  <si>
    <t>EBS:CAN通讯故障(40875,0)</t>
  </si>
  <si>
    <t>EBS:(40874,0)</t>
  </si>
  <si>
    <t>EBS:CAN通讯故障(40874,0)</t>
  </si>
  <si>
    <t>EBS:(40625,0)</t>
  </si>
  <si>
    <t>EBS:CAN通讯故障(40625,0)</t>
  </si>
  <si>
    <t>EBS:(40624,0)</t>
  </si>
  <si>
    <t>EBS:CAN通讯故障(40624,0)</t>
  </si>
  <si>
    <t>EBS:(40623,0)</t>
  </si>
  <si>
    <t>EBS:CAN通讯故障(40623,0)</t>
  </si>
  <si>
    <t>EBS:(40622,0)</t>
  </si>
  <si>
    <t>EBS:CAN通讯故障(40622,0)</t>
  </si>
  <si>
    <t>EBS:(40621,0)</t>
  </si>
  <si>
    <t>EBS:CAN通讯故障(40621,0)</t>
  </si>
  <si>
    <t>EBS:(40620,0)</t>
  </si>
  <si>
    <t>EBS:CAN通讯故障(40620,0)</t>
  </si>
  <si>
    <t>EBS:(40619,0)</t>
  </si>
  <si>
    <t>EBS:CAN通讯故障(40619,0)</t>
  </si>
  <si>
    <t>EBS:(40618,0)</t>
  </si>
  <si>
    <t>EBS:CAN通讯故障(40618,0)</t>
  </si>
  <si>
    <t>EBS:(40369,0)</t>
  </si>
  <si>
    <t>EBS:CAN通讯故障(40369,0)</t>
  </si>
  <si>
    <t>EBS:(40368,0)</t>
  </si>
  <si>
    <t>EBS:CAN通讯故障(40368,0)</t>
  </si>
  <si>
    <t>EBS:(40367,0)</t>
  </si>
  <si>
    <t>EBS:CAN通讯故障(40367,0)</t>
  </si>
  <si>
    <t>EBS:(40366,0)</t>
  </si>
  <si>
    <t>EBS:CAN通讯故障(40366,0)</t>
  </si>
  <si>
    <t>EBS:(40365,0)</t>
  </si>
  <si>
    <t>EBS:CAN通讯故障(40365,0)</t>
  </si>
  <si>
    <t>EBS:(40364,0)</t>
  </si>
  <si>
    <t>EBS:CAN通讯故障(40364,0)</t>
  </si>
  <si>
    <t>EBS:(40363,0)</t>
  </si>
  <si>
    <t>EBS:CAN通讯故障(40363,0)</t>
  </si>
  <si>
    <t>EBS:(40362,0)</t>
  </si>
  <si>
    <t>EBS:CAN通讯故障(40362,0)</t>
  </si>
  <si>
    <t>EBS:(40113,0)</t>
  </si>
  <si>
    <t>EBS:CAN通讯故障(40113,0)</t>
  </si>
  <si>
    <t>EBS:(40112,0)</t>
  </si>
  <si>
    <t>EBS:CAN通讯故障(40112,0)</t>
  </si>
  <si>
    <t>EBS:(40111,0)</t>
  </si>
  <si>
    <t>EBS:CAN通讯故障(40111,0)</t>
  </si>
  <si>
    <t>EBS:(40110,0)</t>
  </si>
  <si>
    <t>EBS:CAN通讯故障(40110,0)</t>
  </si>
  <si>
    <t>EBS:(40109,0)</t>
  </si>
  <si>
    <t>EBS:CAN通讯故障(40109,0)</t>
  </si>
  <si>
    <t>EBS:(40108,0)</t>
  </si>
  <si>
    <t>EBS:CAN通讯故障(40108,0)</t>
  </si>
  <si>
    <t>EBS:(40107,0)</t>
  </si>
  <si>
    <t>EBS:CAN通讯故障(40107,0)</t>
  </si>
  <si>
    <t>EBS:(40106,0)</t>
  </si>
  <si>
    <t>EBS:CAN通讯故障(40106,0)</t>
  </si>
  <si>
    <t>EBS:(39857,0)</t>
  </si>
  <si>
    <t>EBS:(39856,0)</t>
  </si>
  <si>
    <t>EBS:(39855,0)</t>
  </si>
  <si>
    <t>EBS:(39854,0)</t>
  </si>
  <si>
    <t>EBS:(39853,0)</t>
  </si>
  <si>
    <t>EBS:(39852,0)</t>
  </si>
  <si>
    <t>EBS:(39851,0)</t>
  </si>
  <si>
    <t>EBS:(39850,0)</t>
  </si>
  <si>
    <t>EBS:(39601,0)</t>
  </si>
  <si>
    <t>EBS:(39600,0)</t>
  </si>
  <si>
    <t>EBS:(39599,0)</t>
  </si>
  <si>
    <t>EBS:(39598,0)</t>
  </si>
  <si>
    <t>EBS:(39597,0)</t>
  </si>
  <si>
    <t>EBS:(39596,0)</t>
  </si>
  <si>
    <t>EBS:(39595,0)</t>
  </si>
  <si>
    <t>EBS:(39594,0)</t>
  </si>
  <si>
    <t>EBS:(39345,0)</t>
  </si>
  <si>
    <t>EBS:(39344,0)</t>
  </si>
  <si>
    <t>EBS:(39343,0)</t>
  </si>
  <si>
    <t>EBS:(39342,0)</t>
  </si>
  <si>
    <t>EBS:(39341,0)</t>
  </si>
  <si>
    <t>EBS:(39340,0)</t>
  </si>
  <si>
    <t>EBS:(39339,0)</t>
  </si>
  <si>
    <t>EBS:(39338,0)</t>
  </si>
  <si>
    <t>EBS:(39089,0)</t>
  </si>
  <si>
    <t>EBS:(39088,0)</t>
  </si>
  <si>
    <t>EBS:(39087,0)</t>
  </si>
  <si>
    <t>EBS:(39086,0)</t>
  </si>
  <si>
    <t>EBS:(39085,0)</t>
  </si>
  <si>
    <t>EBS:(39084,0)</t>
  </si>
  <si>
    <t>EBS:(39083,0)</t>
  </si>
  <si>
    <t>EBS:(39082,0)</t>
  </si>
  <si>
    <t>EBS:(38833,0)</t>
  </si>
  <si>
    <t>EBS:(38832,0)</t>
  </si>
  <si>
    <t>EBS:(38831,0)</t>
  </si>
  <si>
    <t>EBS:(38830,0)</t>
  </si>
  <si>
    <t>EBS:(38829,0)</t>
  </si>
  <si>
    <t>EBS:(38828,0)</t>
  </si>
  <si>
    <t>EBS:(38827,0)</t>
  </si>
  <si>
    <t>EBS:(38826,0)</t>
  </si>
  <si>
    <t>EBS:(38577,0)</t>
  </si>
  <si>
    <t>EBS:(38576,0)</t>
  </si>
  <si>
    <t>EBS:(38575,0)</t>
  </si>
  <si>
    <t>EBS:(38574,0)</t>
  </si>
  <si>
    <t>EBS:(38573,0)</t>
  </si>
  <si>
    <t>EBS:(38572,0)</t>
  </si>
  <si>
    <t>EBS:(38571,0)</t>
  </si>
  <si>
    <t>EBS:(38570,0)</t>
  </si>
  <si>
    <t>EBS:(40718,0)</t>
  </si>
  <si>
    <t>EBS:CAN通讯故障(40718,0)</t>
  </si>
  <si>
    <t>EBS:(40462,0)</t>
  </si>
  <si>
    <t>EBS:CAN通讯故障(40462,0)</t>
  </si>
  <si>
    <t>EBS:(40206,0)</t>
  </si>
  <si>
    <t>EBS:CAN通讯故障(40206,0)</t>
  </si>
  <si>
    <t>EBS:(39950,0)</t>
  </si>
  <si>
    <t>EBS:CAN通讯故障(39950,0)</t>
  </si>
  <si>
    <t>EBS:(39694,0)</t>
  </si>
  <si>
    <t>EBS:(39438,0)</t>
  </si>
  <si>
    <t>EBS:(39182,0)</t>
  </si>
  <si>
    <t>EBS:(38926,0)</t>
  </si>
  <si>
    <t>EBS:(38670,0)</t>
  </si>
  <si>
    <t>EBS:(38414,0)</t>
  </si>
  <si>
    <t>EBS:(40717,0)</t>
  </si>
  <si>
    <t>EBS:CAN通讯故障(40717,0)</t>
  </si>
  <si>
    <t>EBS:(40461,0)</t>
  </si>
  <si>
    <t>EBS:CAN通讯故障(40461,0)</t>
  </si>
  <si>
    <t>EBS:(40205,0)</t>
  </si>
  <si>
    <t>EBS:CAN通讯故障(40205,0)</t>
  </si>
  <si>
    <t>EBS:(39949,0)</t>
  </si>
  <si>
    <t>EBS:CAN通讯故障(39949,0)</t>
  </si>
  <si>
    <t>EBS:(39693,0)</t>
  </si>
  <si>
    <t>EBS:(39437,0)</t>
  </si>
  <si>
    <t>EBS:(39181,0)</t>
  </si>
  <si>
    <t>EBS:(38925,0)</t>
  </si>
  <si>
    <t>EBS:(38669,0)</t>
  </si>
  <si>
    <t>EBS:(38413,0)</t>
  </si>
  <si>
    <t>EBS:(40715,0)</t>
  </si>
  <si>
    <t>EBS:CAN通讯故障(40715,0)</t>
  </si>
  <si>
    <t>EBS:(40459,0)</t>
  </si>
  <si>
    <t>EBS:CAN通讯故障(40459,0)</t>
  </si>
  <si>
    <t>EBS:(40203,0)</t>
  </si>
  <si>
    <t>EBS:CAN通讯故障(40203,0)</t>
  </si>
  <si>
    <t>EBS:(39947,0)</t>
  </si>
  <si>
    <t>EBS:CAN通讯故障(39947,0)</t>
  </si>
  <si>
    <t>EBS:(39691,0)</t>
  </si>
  <si>
    <t>EBS:(39435,0)</t>
  </si>
  <si>
    <t>EBS:(39179,0)</t>
  </si>
  <si>
    <t>EBS:(38923,0)</t>
  </si>
  <si>
    <t>EBS:(38667,0)</t>
  </si>
  <si>
    <t>EBS:(38411,0)</t>
  </si>
  <si>
    <t>EBS:(40714,0)</t>
  </si>
  <si>
    <t>EBS:CAN通讯故障(40714,0)</t>
  </si>
  <si>
    <t>EBS:(40458,0)</t>
  </si>
  <si>
    <t>EBS:CAN通讯故障(40458,0)</t>
  </si>
  <si>
    <t>EBS:(40202,0)</t>
  </si>
  <si>
    <t>EBS:CAN通讯故障(40202,0)</t>
  </si>
  <si>
    <t>EBS:(39946,0)</t>
  </si>
  <si>
    <t>EBS:CAN通讯故障(39946,0)</t>
  </si>
  <si>
    <t>EBS:(39690,0)</t>
  </si>
  <si>
    <t>EBS:(39434,0)</t>
  </si>
  <si>
    <t>EBS:(39178,0)</t>
  </si>
  <si>
    <t>EBS:(38922,0)</t>
  </si>
  <si>
    <t>EBS:(38666,0)</t>
  </si>
  <si>
    <t>EBS:(38410,0)</t>
  </si>
  <si>
    <t>EBS:(38179,0)</t>
  </si>
  <si>
    <t>EBS:线路故障(38179,0)</t>
  </si>
  <si>
    <t>EBS:(37923,0)</t>
  </si>
  <si>
    <t>EBS:线路故障(37923,0)</t>
  </si>
  <si>
    <t>EBS:(37667,0)</t>
  </si>
  <si>
    <t>EBS:线路故障(37667,0)</t>
  </si>
  <si>
    <t>EBS:(37411,0)</t>
  </si>
  <si>
    <t>EBS:线路故障(37411,0)</t>
  </si>
  <si>
    <t>EBS:(37155,0)</t>
  </si>
  <si>
    <t>EBS:(36899,0)</t>
  </si>
  <si>
    <t>EBS:(36643,0)</t>
  </si>
  <si>
    <t>EBS:(36387,0)</t>
  </si>
  <si>
    <t>EBS:(36131,0)</t>
  </si>
  <si>
    <t>EBS:(35875,0)</t>
  </si>
  <si>
    <t>EBS:(38178,0)</t>
  </si>
  <si>
    <t>EBS:线路故障(38178,0)</t>
  </si>
  <si>
    <t>EBS:(37922,0)</t>
  </si>
  <si>
    <t>EBS:线路故障(37922,0)</t>
  </si>
  <si>
    <t>EBS:(37666,0)</t>
  </si>
  <si>
    <t>EBS:线路故障(37666,0)</t>
  </si>
  <si>
    <t>EBS:(37410,0)</t>
  </si>
  <si>
    <t>EBS:线路故障(37410,0)</t>
  </si>
  <si>
    <t>EBS:(37154,0)</t>
  </si>
  <si>
    <t>EBS:(36898,0)</t>
  </si>
  <si>
    <t>EBS:(36642,0)</t>
  </si>
  <si>
    <t>EBS:(36386,0)</t>
  </si>
  <si>
    <t>EBS:(36130,0)</t>
  </si>
  <si>
    <t>EBS:(35874,0)</t>
  </si>
  <si>
    <t>EBS:(38177,0)</t>
  </si>
  <si>
    <t>EBS:线路故障(38177,0)</t>
  </si>
  <si>
    <t>EBS:(37921,0)</t>
  </si>
  <si>
    <t>EBS:线路故障(37921,0)</t>
  </si>
  <si>
    <t>EBS:(37665,0)</t>
  </si>
  <si>
    <t>EBS:线路故障(37665,0)</t>
  </si>
  <si>
    <t>EBS:(37409,0)</t>
  </si>
  <si>
    <t>EBS:线路故障(37409,0)</t>
  </si>
  <si>
    <t>EBS:(37153,0)</t>
  </si>
  <si>
    <t>EBS:(36897,0)</t>
  </si>
  <si>
    <t>EBS:(36641,0)</t>
  </si>
  <si>
    <t>EBS:(36385,0)</t>
  </si>
  <si>
    <t>EBS:(36129,0)</t>
  </si>
  <si>
    <t>EBS:(35873,0)</t>
  </si>
  <si>
    <t>EBS:(35746,0)</t>
  </si>
  <si>
    <t>EBS:EPM或ECU故障(35746,0)</t>
  </si>
  <si>
    <t>EBS:(35490,0)</t>
  </si>
  <si>
    <t>EBS:EPM或ECU故障(35490,0)</t>
  </si>
  <si>
    <t>EBS:(35234,0)</t>
  </si>
  <si>
    <t>EBS:EPM或ECU故障(35234,0)</t>
  </si>
  <si>
    <t>EBS:(34978,0)</t>
  </si>
  <si>
    <t>EBS:EPM或ECU故障(34978,0)</t>
  </si>
  <si>
    <t>EBS:(34722,0)</t>
  </si>
  <si>
    <t>EBS:(34466,0)</t>
  </si>
  <si>
    <t>EBS:(34210,0)</t>
  </si>
  <si>
    <t>EBS:(33954,0)</t>
  </si>
  <si>
    <t>EBS:(33698,0)</t>
  </si>
  <si>
    <t>EBS:(33442,0)</t>
  </si>
  <si>
    <t>EBS:(35744,0)</t>
  </si>
  <si>
    <t>EBS:EPM故障(35744,0)</t>
  </si>
  <si>
    <t>EBS:(35488,0)</t>
  </si>
  <si>
    <t>EBS:EPM故障(35488,0)</t>
  </si>
  <si>
    <t>EBS:(35232,0)</t>
  </si>
  <si>
    <t>EBS:EPM故障(35232,0)</t>
  </si>
  <si>
    <t>EBS:(34976,0)</t>
  </si>
  <si>
    <t>EBS:EPM故障(34976,0)</t>
  </si>
  <si>
    <t>EBS:(34720,0)</t>
  </si>
  <si>
    <t>EBS:(34464,0)</t>
  </si>
  <si>
    <t>EBS:(34208,0)</t>
  </si>
  <si>
    <t>EBS:(33952,0)</t>
  </si>
  <si>
    <t>EBS:(33696,0)</t>
  </si>
  <si>
    <t>EBS:(33440,0)</t>
  </si>
  <si>
    <t>EBS:(35741,0)</t>
  </si>
  <si>
    <t>EBS:EPM故障(35741,0)</t>
  </si>
  <si>
    <t>EBS:(35485,0)</t>
  </si>
  <si>
    <t>EBS:EPM故障(35485,0)</t>
  </si>
  <si>
    <t>EBS:(35229,0)</t>
  </si>
  <si>
    <t>EBS:EPM故障(35229,0)</t>
  </si>
  <si>
    <t>EBS:(34973,0)</t>
  </si>
  <si>
    <t>EBS:EPM故障(34973,0)</t>
  </si>
  <si>
    <t>EBS:(34717,0)</t>
  </si>
  <si>
    <t>EBS:(34461,0)</t>
  </si>
  <si>
    <t>EBS:(34205,0)</t>
  </si>
  <si>
    <t>EBS:(33949,0)</t>
  </si>
  <si>
    <t>EBS:(33693,0)</t>
  </si>
  <si>
    <t>EBS:(33437,0)</t>
  </si>
  <si>
    <t>EBS:(35740,0)</t>
  </si>
  <si>
    <t>EBS:EPM故障(35740,0)</t>
  </si>
  <si>
    <t>EBS:(35484,0)</t>
  </si>
  <si>
    <t>EBS:EPM故障(35484,0)</t>
  </si>
  <si>
    <t>EBS:(35228,0)</t>
  </si>
  <si>
    <t>EBS:EPM故障(35228,0)</t>
  </si>
  <si>
    <t>EBS:(34972,0)</t>
  </si>
  <si>
    <t>EBS:EPM故障(34972,0)</t>
  </si>
  <si>
    <t>EBS:(34716,0)</t>
  </si>
  <si>
    <t>EBS:(34460,0)</t>
  </si>
  <si>
    <t>EBS:(34204,0)</t>
  </si>
  <si>
    <t>EBS:(33948,0)</t>
  </si>
  <si>
    <t>EBS:(33692,0)</t>
  </si>
  <si>
    <t>EBS:(33436,0)</t>
  </si>
  <si>
    <t>EBS:(35735,0)</t>
  </si>
  <si>
    <t>EBS:EPM故障(35735,0)</t>
  </si>
  <si>
    <t>EBS:(35479,0)</t>
  </si>
  <si>
    <t>EBS:EPM故障(35479,0)</t>
  </si>
  <si>
    <t>EBS:(35223,0)</t>
  </si>
  <si>
    <t>EBS:EPM故障(35223,0)</t>
  </si>
  <si>
    <t>EBS:(34967,0)</t>
  </si>
  <si>
    <t>EBS:EPM故障(34967,0)</t>
  </si>
  <si>
    <t>EBS:(34711,0)</t>
  </si>
  <si>
    <t>EBS:(34455,0)</t>
  </si>
  <si>
    <t>EBS:(34199,0)</t>
  </si>
  <si>
    <t>EBS:(33943,0)</t>
  </si>
  <si>
    <t>EBS:(33687,0)</t>
  </si>
  <si>
    <t>EBS:(33431,0)</t>
  </si>
  <si>
    <t>EBS:(35734,0)</t>
  </si>
  <si>
    <t>EBS:EPM故障(35734,0)</t>
  </si>
  <si>
    <t>EBS:(35478,0)</t>
  </si>
  <si>
    <t>EBS:EPM故障(35478,0)</t>
  </si>
  <si>
    <t>EBS:(35222,0)</t>
  </si>
  <si>
    <t>EBS:EPM故障(35222,0)</t>
  </si>
  <si>
    <t>EBS:(34966,0)</t>
  </si>
  <si>
    <t>EBS:EPM故障(34966,0)</t>
  </si>
  <si>
    <t>EBS:(34710,0)</t>
  </si>
  <si>
    <t>EBS:(34454,0)</t>
  </si>
  <si>
    <t>EBS:(34198,0)</t>
  </si>
  <si>
    <t>EBS:(33942,0)</t>
  </si>
  <si>
    <t>EBS:(33686,0)</t>
  </si>
  <si>
    <t>EBS:(33430,0)</t>
  </si>
  <si>
    <t>EBS:(35629,0)</t>
  </si>
  <si>
    <t>EBS:EPM故障(35629,0)</t>
  </si>
  <si>
    <t>EBS:(35373,0)</t>
  </si>
  <si>
    <t>EBS:EPM故障(35373,0)</t>
  </si>
  <si>
    <t>EBS:(35117,0)</t>
  </si>
  <si>
    <t>EBS:EPM故障(35117,0)</t>
  </si>
  <si>
    <t>EBS:(34861,0)</t>
  </si>
  <si>
    <t>EBS:EPM故障(34861,0)</t>
  </si>
  <si>
    <t>EBS:(34605,0)</t>
  </si>
  <si>
    <t>EBS:(34349,0)</t>
  </si>
  <si>
    <t>EBS:(34093,0)</t>
  </si>
  <si>
    <t>EBS:(33837,0)</t>
  </si>
  <si>
    <t>EBS:(33581,0)</t>
  </si>
  <si>
    <t>EBS:(33325,0)</t>
  </si>
  <si>
    <t>EBS:(35593,0)</t>
  </si>
  <si>
    <t>EBS:EPM故障(35593,0)</t>
  </si>
  <si>
    <t>EBS:(35337,0)</t>
  </si>
  <si>
    <t>EBS:EPM故障(35337,0)</t>
  </si>
  <si>
    <t>EBS:(35081,0)</t>
  </si>
  <si>
    <t>EBS:EPM故障(35081,0)</t>
  </si>
  <si>
    <t>EBS:(34825,0)</t>
  </si>
  <si>
    <t>EBS:EPM故障(34825,0)</t>
  </si>
  <si>
    <t>EBS:(34569,0)</t>
  </si>
  <si>
    <t>EBS:(34313,0)</t>
  </si>
  <si>
    <t>EBS:(34057,0)</t>
  </si>
  <si>
    <t>EBS:(33801,0)</t>
  </si>
  <si>
    <t>EBS:(33545,0)</t>
  </si>
  <si>
    <t>EBS:(33289,0)</t>
  </si>
  <si>
    <t>EBS:(35591,0)</t>
  </si>
  <si>
    <t>EBS:EPM故障(35591,0)</t>
  </si>
  <si>
    <t>EBS:(35335,0)</t>
  </si>
  <si>
    <t>EBS:EPM故障(35335,0)</t>
  </si>
  <si>
    <t>EBS:(35079,0)</t>
  </si>
  <si>
    <t>EBS:EPM故障(35079,0)</t>
  </si>
  <si>
    <t>EBS:(34823,0)</t>
  </si>
  <si>
    <t>EBS:EPM故障(34823,0)</t>
  </si>
  <si>
    <t>EBS:(34567,0)</t>
  </si>
  <si>
    <t>EBS:(34311,0)</t>
  </si>
  <si>
    <t>EBS:(34055,0)</t>
  </si>
  <si>
    <t>EBS:(33799,0)</t>
  </si>
  <si>
    <t>EBS:(33543,0)</t>
  </si>
  <si>
    <t>EBS:(33287,0)</t>
  </si>
  <si>
    <t>EBS:(35587,0)</t>
  </si>
  <si>
    <t>EBS:EPM故障(35587,4)</t>
  </si>
  <si>
    <t>EBS:(35331,0)</t>
  </si>
  <si>
    <t>EBS:EPM故障(35331,0)</t>
  </si>
  <si>
    <t>EBS:(35075,0)</t>
  </si>
  <si>
    <t>EBS:EPM故障(35075,0)</t>
  </si>
  <si>
    <t>EBS:(34819,0)</t>
  </si>
  <si>
    <t>EBS:EPM故障(34819,0)</t>
  </si>
  <si>
    <t>EBS:(34563,0)</t>
  </si>
  <si>
    <t>EBS:(34307,0)</t>
  </si>
  <si>
    <t>EBS:(34051,0)</t>
  </si>
  <si>
    <t>EBS:(33795,0)</t>
  </si>
  <si>
    <t>EBS:(33539,0)</t>
  </si>
  <si>
    <t>EBS:(33283,0)</t>
  </si>
  <si>
    <t>EBS:(27949,0)</t>
  </si>
  <si>
    <t>EBS:EPM故障(27949,0)</t>
  </si>
  <si>
    <t>EBS:(27693,0)</t>
  </si>
  <si>
    <t>EBS:EPM故障(27693,0)</t>
  </si>
  <si>
    <t>EBS:(27437,0)</t>
  </si>
  <si>
    <t>EBS:EPM故障(27437,0)</t>
  </si>
  <si>
    <t>EBS:(27181,0)</t>
  </si>
  <si>
    <t>EBS:EPM故障(27181,0)</t>
  </si>
  <si>
    <t>EBS:(26925,0)</t>
  </si>
  <si>
    <t>EBS:(26669,0)</t>
  </si>
  <si>
    <t>EBS:(26413,0)</t>
  </si>
  <si>
    <t>EBS:(26157,0)</t>
  </si>
  <si>
    <t>EBS:(25901,0)</t>
  </si>
  <si>
    <t>EBS:(25645,0)</t>
  </si>
  <si>
    <t>EBS:(27904,0)</t>
  </si>
  <si>
    <t>EBS:轮速传感器故障(27904,0)</t>
  </si>
  <si>
    <t>EBS:(27648,0)</t>
  </si>
  <si>
    <t>EBS:轮速传感器故障(27648,0)</t>
  </si>
  <si>
    <t>EBS:(27392,0)</t>
  </si>
  <si>
    <t>EBS:轮速传感器故障(27392,0)</t>
  </si>
  <si>
    <t>EBS:(27136,0)</t>
  </si>
  <si>
    <t>EBS:轮速传感器故障(27136,0)</t>
  </si>
  <si>
    <t>EBS:(26880,0)</t>
  </si>
  <si>
    <t>EBS:(26624,0)</t>
  </si>
  <si>
    <t>EBS:(26368,0)</t>
  </si>
  <si>
    <t>EBS:轮速传感器故障(26368,0)</t>
  </si>
  <si>
    <t>EBS:(26112,0)</t>
  </si>
  <si>
    <t>EBS:(25856,0)</t>
  </si>
  <si>
    <t>EBS:(25600,0)</t>
  </si>
  <si>
    <t>EBS:(25088,0)</t>
  </si>
  <si>
    <t>EBS:线路故障(25088,0)</t>
  </si>
  <si>
    <t>EBS:(24576,0)</t>
  </si>
  <si>
    <t>EBS:(18738,0)</t>
  </si>
  <si>
    <t>EBS:(18689,0)</t>
  </si>
  <si>
    <t>EBS:(18592,0)</t>
  </si>
  <si>
    <t>EBS:(18589,0)</t>
  </si>
  <si>
    <t>EBS:(18588,0)</t>
  </si>
  <si>
    <t>EBS:(18432,0)</t>
  </si>
  <si>
    <t>EBS:(17153,0)</t>
  </si>
  <si>
    <t>EBS:(16661,0)</t>
  </si>
  <si>
    <t>EBS:(16660,0)</t>
  </si>
  <si>
    <t>EBS:(15895,0)</t>
  </si>
  <si>
    <t>EBS:(15894,0)</t>
  </si>
  <si>
    <t>EBS:(15639,0)</t>
  </si>
  <si>
    <t>EBS:(15638,0)</t>
  </si>
  <si>
    <t>EBS:(15410,0)</t>
  </si>
  <si>
    <t>EBS:(15395,0)</t>
  </si>
  <si>
    <t>EBS:(15386,0)</t>
  </si>
  <si>
    <t>EBS:(14614,0)</t>
  </si>
  <si>
    <t>EBS:(13312,0)</t>
  </si>
  <si>
    <t>EBS:(13056,0)</t>
  </si>
  <si>
    <t>EBS:(9216,0)</t>
  </si>
  <si>
    <t>EBS:电磁阀或线路故障(9216,0)</t>
  </si>
  <si>
    <t>EBS:(8992,0)</t>
  </si>
  <si>
    <t>EBS:电磁阀或线路故障(8992,0)</t>
  </si>
  <si>
    <t>EBS:(8736,0)</t>
  </si>
  <si>
    <t>EBS:(8480,0)</t>
  </si>
  <si>
    <t>EBS:(8224,0)</t>
  </si>
  <si>
    <t>EBS:(7968,0)</t>
  </si>
  <si>
    <t>EBS:(4953,0)</t>
  </si>
  <si>
    <t>EBS:ECU故障(4953,0)</t>
  </si>
  <si>
    <t>EBS:(3853,0)</t>
  </si>
  <si>
    <t>EBS:(3598,0)</t>
  </si>
  <si>
    <t>EBS:(3597,0)</t>
  </si>
  <si>
    <t>EBS:(3594,0)</t>
  </si>
  <si>
    <t>EBS:(3586,0)</t>
  </si>
  <si>
    <t>EBS:(3161,0)</t>
  </si>
  <si>
    <t>EBS:(2573,0)</t>
  </si>
  <si>
    <t>EBS:(1851,0)</t>
  </si>
  <si>
    <t>EBS:(1811,0)</t>
  </si>
  <si>
    <t>EBS:(1806,0)</t>
  </si>
  <si>
    <t>EBS:(1680,0)</t>
  </si>
  <si>
    <t>EBS:(1678,0)</t>
  </si>
  <si>
    <t>EBS:ECU故障(1678,0)</t>
  </si>
  <si>
    <t>EBS:(1676,0)</t>
  </si>
  <si>
    <t>EBS:(1675,0)</t>
  </si>
  <si>
    <t>EBS:(1669,0)</t>
  </si>
  <si>
    <t>EBS:ECU故障(1669,0)</t>
  </si>
  <si>
    <t>EBS:(1668,0)</t>
  </si>
  <si>
    <t>EBS:(1667,0)</t>
  </si>
  <si>
    <t>EBS:(1666,0)</t>
  </si>
  <si>
    <t>EBS:ECU故障(1666,0)</t>
  </si>
  <si>
    <t>EBS:(1664,0)</t>
  </si>
  <si>
    <t>EBS:(1661,0)</t>
  </si>
  <si>
    <t>EBS:(1660,0)</t>
  </si>
  <si>
    <t>EBS:(1658,0)</t>
  </si>
  <si>
    <t>EBS:(1657,0)</t>
  </si>
  <si>
    <t>EBS:(1656,0)</t>
  </si>
  <si>
    <t>EBS:(1647,0)</t>
  </si>
  <si>
    <t>EBS:(1646,0)</t>
  </si>
  <si>
    <t>EBS:(1645,0)</t>
  </si>
  <si>
    <t>EBS:(1639,0)</t>
  </si>
  <si>
    <t>EBS:(1638,0)</t>
  </si>
  <si>
    <t>EBS:(1637,0)</t>
  </si>
  <si>
    <t>EBS:(1636,0)</t>
  </si>
  <si>
    <t>EBS:(1634,0)</t>
  </si>
  <si>
    <t>EBS:(1631,0)</t>
  </si>
  <si>
    <t>EBS:(1630,0)</t>
  </si>
  <si>
    <t>EBS:(1628,0)</t>
  </si>
  <si>
    <t>EBS:(1627,0)</t>
  </si>
  <si>
    <t>EBS:(1626,0)</t>
  </si>
  <si>
    <t>EBS:(1537,0)</t>
  </si>
  <si>
    <t>EBS:(1298,0)</t>
  </si>
  <si>
    <t>EBS:(1297,0)</t>
  </si>
  <si>
    <t>EBS:(1294,0)</t>
  </si>
  <si>
    <t>EBS:(1042,0)</t>
  </si>
  <si>
    <t>EBS:(1041,0)</t>
  </si>
  <si>
    <t>EBS:(1038,0)</t>
  </si>
  <si>
    <t>EBS:(962,0)</t>
  </si>
  <si>
    <t>EBS:(961,0)</t>
  </si>
  <si>
    <t>EBS:(960,0)</t>
  </si>
  <si>
    <t>EBS:(959,0)</t>
  </si>
  <si>
    <t>EBS:(958,0)</t>
  </si>
  <si>
    <t>EBS:(957,0)</t>
  </si>
  <si>
    <t>EBS:(933,0)</t>
  </si>
  <si>
    <t>EBS:(930,0)</t>
  </si>
  <si>
    <t>EBS:(929,0)</t>
  </si>
  <si>
    <t>EBS:(928,0)</t>
  </si>
  <si>
    <t>EBS:(927,0)</t>
  </si>
  <si>
    <t>EBS:(774,0)</t>
  </si>
  <si>
    <t>EBS:(700,0)</t>
  </si>
  <si>
    <t>EBS:(699,0)</t>
  </si>
  <si>
    <t>EBS:(698,0)</t>
  </si>
  <si>
    <t>EBS:(697,0)</t>
  </si>
  <si>
    <t>EBS:(695,0)</t>
  </si>
  <si>
    <t>EBS:(694,0)</t>
  </si>
  <si>
    <t>EBS:(693,0)</t>
  </si>
  <si>
    <t>EBS:(692,0)</t>
  </si>
  <si>
    <t>EBS:(675,0)</t>
  </si>
  <si>
    <t>EBS:(674,0)</t>
  </si>
  <si>
    <t>EBS:(671,0)</t>
  </si>
  <si>
    <t>EBS:(668,0)</t>
  </si>
  <si>
    <t>EBS:(567,0)</t>
  </si>
  <si>
    <t>EBS:(530,0)</t>
  </si>
  <si>
    <t>EBS:(521,0)</t>
  </si>
  <si>
    <t>EBS:(518,0)</t>
  </si>
  <si>
    <t>EBS:(517,0)</t>
  </si>
  <si>
    <t>EBS:(425,0)</t>
  </si>
  <si>
    <t>EBS:(424,0)</t>
  </si>
  <si>
    <t>EBS:(423,0)</t>
  </si>
  <si>
    <t>EBS:(420,0)</t>
  </si>
  <si>
    <t>EBS:(415,0)</t>
  </si>
  <si>
    <t>EBS:(412,0)</t>
  </si>
  <si>
    <t>EBS:(274,0)</t>
  </si>
  <si>
    <t>EBS:(273,0)</t>
  </si>
  <si>
    <t>EBS:(265,0)</t>
  </si>
  <si>
    <t>EBS:(262,0)</t>
  </si>
  <si>
    <t>EBS:(261,0)</t>
  </si>
  <si>
    <t>EBS:(260,0)</t>
  </si>
  <si>
    <t>仪表显示</t>
    <phoneticPr fontId="20" type="noConversion"/>
  </si>
  <si>
    <t>中文描述(全称)</t>
  </si>
  <si>
    <t>系统源</t>
  </si>
  <si>
    <t>序号</t>
    <phoneticPr fontId="20" type="noConversion"/>
  </si>
  <si>
    <t>V1.23</t>
  </si>
  <si>
    <t>EPB:(14930,11)</t>
    <phoneticPr fontId="20" type="noConversion"/>
  </si>
  <si>
    <t>EPB:(14674,11)</t>
    <phoneticPr fontId="20" type="noConversion"/>
  </si>
  <si>
    <t>EPB:(14418,11)</t>
    <phoneticPr fontId="20" type="noConversion"/>
  </si>
  <si>
    <t>EPB:(14162,3)</t>
    <phoneticPr fontId="20" type="noConversion"/>
  </si>
  <si>
    <t>EPB:(13906,6)</t>
    <phoneticPr fontId="20" type="noConversion"/>
  </si>
  <si>
    <t>EPB:(13906,5)</t>
    <phoneticPr fontId="20" type="noConversion"/>
  </si>
  <si>
    <t>EPB:(13906,3)</t>
    <phoneticPr fontId="20" type="noConversion"/>
  </si>
  <si>
    <t>EPB:(13394,6)</t>
    <phoneticPr fontId="20" type="noConversion"/>
  </si>
  <si>
    <t>EPB:(13394,5)</t>
    <phoneticPr fontId="20" type="noConversion"/>
  </si>
  <si>
    <t>EPB:(13394,3)</t>
    <phoneticPr fontId="20" type="noConversion"/>
  </si>
  <si>
    <t>EPB:(13138,5)</t>
    <phoneticPr fontId="20" type="noConversion"/>
  </si>
  <si>
    <t>EPB:(13138,4)</t>
    <phoneticPr fontId="20" type="noConversion"/>
  </si>
  <si>
    <t>EPB:(13138,3)</t>
    <phoneticPr fontId="20" type="noConversion"/>
  </si>
  <si>
    <t>EPB:(12370,6)</t>
    <phoneticPr fontId="20" type="noConversion"/>
  </si>
  <si>
    <t>EPB:(12370,5)</t>
    <phoneticPr fontId="20" type="noConversion"/>
  </si>
  <si>
    <t>EPB:(12370,3)</t>
    <phoneticPr fontId="20" type="noConversion"/>
  </si>
  <si>
    <t>EPB:(4289,5)</t>
    <phoneticPr fontId="20" type="noConversion"/>
  </si>
  <si>
    <t>EPB:(193,9)</t>
    <phoneticPr fontId="20" type="noConversion"/>
  </si>
  <si>
    <t>返回</t>
    <phoneticPr fontId="6" type="noConversion"/>
  </si>
  <si>
    <t>ABS:制动压力传感器1/2标定错误</t>
    <phoneticPr fontId="20" type="noConversion"/>
  </si>
  <si>
    <t>ABS:制动压力传感器未标定（1066,13）</t>
    <phoneticPr fontId="6" type="noConversion"/>
  </si>
  <si>
    <t>ABS:转向角度传感器标定错误</t>
    <phoneticPr fontId="20" type="noConversion"/>
  </si>
  <si>
    <t>ABS:SAS传感器未标定(1807,13)</t>
    <phoneticPr fontId="6" type="noConversion"/>
  </si>
  <si>
    <t>ABS:横摆角度传感器标定错误</t>
    <phoneticPr fontId="20" type="noConversion"/>
  </si>
  <si>
    <t>ABS:ESC传感器未标定(1808,13)</t>
    <phoneticPr fontId="6" type="noConversion"/>
  </si>
  <si>
    <t>ABS:横向加速度传感器标定错误</t>
    <phoneticPr fontId="20" type="noConversion"/>
  </si>
  <si>
    <t>ABS:ESC传感器未标定(1809,13)</t>
    <phoneticPr fontId="6" type="noConversion"/>
  </si>
  <si>
    <t>V1.23更新</t>
    <phoneticPr fontId="6" type="noConversion"/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</si>
  <si>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  <phoneticPr fontId="6" type="noConversion"/>
  </si>
  <si>
    <t>V1.24</t>
    <phoneticPr fontId="6" type="noConversion"/>
  </si>
  <si>
    <t>更新 AMT故障码（绿控）DM23082811，胡蜜邮件20231117</t>
    <phoneticPr fontId="6" type="noConversion"/>
  </si>
  <si>
    <t>上官彤</t>
    <phoneticPr fontId="6" type="noConversion"/>
  </si>
  <si>
    <t>返回目录</t>
  </si>
  <si>
    <t>V1.25</t>
    <phoneticPr fontId="6" type="noConversion"/>
  </si>
  <si>
    <t>AMT故障码分类更新，刘鑫邮件20231208</t>
    <phoneticPr fontId="6" type="noConversion"/>
  </si>
  <si>
    <t>取力器电磁阀开路故障</t>
    <phoneticPr fontId="20" type="noConversion"/>
  </si>
  <si>
    <t xml:space="preserve">换档位置传感器高于最大值 </t>
  </si>
  <si>
    <t xml:space="preserve">换档位置传感器低于最小值 </t>
  </si>
  <si>
    <t>换挡位置传感器供电电压低于最小值</t>
  </si>
  <si>
    <t>换挡位置传感器供电电压高于最大值</t>
  </si>
  <si>
    <t>换档位置传感器信号抖动</t>
  </si>
  <si>
    <t>换档位置传感器信号歪曲</t>
  </si>
  <si>
    <t xml:space="preserve">换档位置传感器信号无效 </t>
  </si>
  <si>
    <t>传动比不匹配</t>
  </si>
  <si>
    <t xml:space="preserve">TCU自学习失败 </t>
  </si>
  <si>
    <t>TCU自学习位置不合理</t>
  </si>
  <si>
    <t>TCU自学习区间不合理</t>
  </si>
  <si>
    <t>TCU自动标定超时</t>
  </si>
  <si>
    <t>摘挡失败</t>
  </si>
  <si>
    <t>MCU转速响应失败</t>
  </si>
  <si>
    <t>VCU CAN信号间歇性丢失故障</t>
  </si>
  <si>
    <t>MCU CAN信号间歇性丢失故障</t>
  </si>
  <si>
    <t>手柄CAN信号间歇性丢失故障</t>
  </si>
  <si>
    <t>1挡传动粘滞故障</t>
  </si>
  <si>
    <t>2挡传动粘滞故障</t>
  </si>
  <si>
    <t xml:space="preserve">久隆电液转向机：ECU电控单元失效                                                   </t>
  </si>
  <si>
    <t>久隆电液转向机：ECU过温故障</t>
  </si>
  <si>
    <t>久隆电液转向机：系统进入热保护</t>
  </si>
  <si>
    <t>久隆电液转向机：无效软件</t>
  </si>
  <si>
    <t>久隆电液转向机：液压系统失效</t>
  </si>
  <si>
    <t>久隆电液转向机：无效扭矩值</t>
  </si>
  <si>
    <t>久隆电液转向机：无效角度值</t>
  </si>
  <si>
    <t>久隆电液转向机：传感器供电异常</t>
  </si>
  <si>
    <t>久隆电液转向机：方向盘中间位置未标定</t>
    <phoneticPr fontId="55" type="noConversion"/>
  </si>
  <si>
    <t>久隆电液转向机：15电端口信号异常</t>
  </si>
  <si>
    <t>久隆电液转向机：CAN网络－连接失败</t>
  </si>
  <si>
    <t>久隆电液转向机：电压过高（关闭）</t>
  </si>
  <si>
    <t>久隆电液转向机：电压过低（关闭）</t>
  </si>
  <si>
    <t xml:space="preserve">久隆电液转向机：电压过高（警告） </t>
  </si>
  <si>
    <t>久隆电液转向机：电压过低（警告）</t>
  </si>
  <si>
    <t>久隆电液转向机：转子角度无效</t>
  </si>
  <si>
    <t>久隆电液转向机：控制器温度传感器故障</t>
  </si>
  <si>
    <t>久隆电液转向机：TCO1- 信号超时</t>
  </si>
  <si>
    <t>久隆电液转向机：TCO1 信号错误或无效</t>
  </si>
  <si>
    <t>久隆电液转向机：EEC1- 信号超时</t>
  </si>
  <si>
    <t>久隆电液转向机： EEC1- 信号源错误或无效</t>
  </si>
  <si>
    <t>久隆电液转向机： 信号超时</t>
  </si>
  <si>
    <t>久隆电液转向机： 信号源错误或无效</t>
  </si>
  <si>
    <t>电液转向机（EHPS）</t>
    <phoneticPr fontId="20" type="noConversion"/>
  </si>
  <si>
    <t>备注</t>
    <phoneticPr fontId="6" type="noConversion"/>
  </si>
  <si>
    <t>久隆电液转向机：EPS1CTL_ADU报文超时</t>
    <phoneticPr fontId="55" type="noConversion"/>
  </si>
  <si>
    <t>久隆电液转向机：EPS1CTL_ADU报文无效</t>
    <phoneticPr fontId="55" type="noConversion"/>
  </si>
  <si>
    <t>久隆电液转向机：控制器未配置</t>
  </si>
  <si>
    <t>/</t>
    <phoneticPr fontId="55" type="noConversion"/>
  </si>
  <si>
    <t>EHPS：方向盘中间位置未标定</t>
    <phoneticPr fontId="55" type="noConversion"/>
  </si>
  <si>
    <t>B类</t>
    <phoneticPr fontId="20" type="noConversion"/>
  </si>
  <si>
    <t>C类</t>
    <phoneticPr fontId="20" type="noConversion"/>
  </si>
  <si>
    <t>D类</t>
    <phoneticPr fontId="20" type="noConversion"/>
  </si>
  <si>
    <t>0x13</t>
    <phoneticPr fontId="6" type="noConversion"/>
  </si>
  <si>
    <t>V1.26</t>
    <phoneticPr fontId="6" type="noConversion"/>
  </si>
  <si>
    <t>新增 玖隆电液转向机故障码，窦桂忠邮件20240510</t>
    <phoneticPr fontId="6" type="noConversion"/>
  </si>
  <si>
    <t>V1.26_20240510新增</t>
    <phoneticPr fontId="6" type="noConversion"/>
  </si>
  <si>
    <t>0x82（原0x4E）</t>
    <phoneticPr fontId="20" type="noConversion"/>
  </si>
  <si>
    <t>D</t>
  </si>
  <si>
    <t>V1.27</t>
    <phoneticPr fontId="6" type="noConversion"/>
  </si>
  <si>
    <t>修改BMS故障码，根据DM23030203</t>
    <phoneticPr fontId="6" type="noConversion"/>
  </si>
  <si>
    <t>V1.28大版本更新</t>
    <phoneticPr fontId="6" type="noConversion"/>
  </si>
  <si>
    <t>HCU:DC/DC输出电压信号超下限(169,18)   </t>
    <phoneticPr fontId="20" type="noConversion"/>
  </si>
  <si>
    <t>C</t>
  </si>
  <si>
    <t>故障等级B</t>
    <phoneticPr fontId="6" type="noConversion"/>
  </si>
  <si>
    <t>故障等级C</t>
    <phoneticPr fontId="6" type="noConversion"/>
  </si>
  <si>
    <t>故障等级A</t>
    <phoneticPr fontId="6" type="noConversion"/>
  </si>
  <si>
    <t>0x31，0xD0</t>
    <phoneticPr fontId="20" type="noConversion"/>
  </si>
  <si>
    <t>源地址</t>
    <phoneticPr fontId="6" type="noConversion"/>
  </si>
  <si>
    <t>0x31</t>
    <phoneticPr fontId="6" type="noConversion"/>
  </si>
  <si>
    <t>新增</t>
    <phoneticPr fontId="6" type="noConversion"/>
  </si>
  <si>
    <t>HCU:电池高压冷却水泵开路故障（522084,5）</t>
    <phoneticPr fontId="6" type="noConversion"/>
  </si>
  <si>
    <t>HCU:电池高压冷却水泵短路故障（522084,12）</t>
    <phoneticPr fontId="6" type="noConversion"/>
  </si>
  <si>
    <t>HCU:电池高压冷却水泵空转故障（522084,21）</t>
    <phoneticPr fontId="6" type="noConversion"/>
  </si>
  <si>
    <t>HCU:电池高压冷却水泵通讯故障（522084,2）</t>
    <phoneticPr fontId="6" type="noConversion"/>
  </si>
  <si>
    <t>HCU:电机高压冷却水泵空转故障（522143,21）</t>
    <phoneticPr fontId="6" type="noConversion"/>
  </si>
  <si>
    <t>HCU:电机高压冷却水泵通讯故障（522143,2）</t>
    <phoneticPr fontId="6" type="noConversion"/>
  </si>
  <si>
    <t>HCU:高压风扇1开路故障（522088,5）</t>
    <phoneticPr fontId="6" type="noConversion"/>
  </si>
  <si>
    <t>HCU:高压风扇1短路故障（522088,12）</t>
    <phoneticPr fontId="6" type="noConversion"/>
  </si>
  <si>
    <t>HCU:高压风扇1堵转故障（522088,22）</t>
    <phoneticPr fontId="6" type="noConversion"/>
  </si>
  <si>
    <t>HCU:高压风扇1通讯故障（522088，2）</t>
    <phoneticPr fontId="6" type="noConversion"/>
  </si>
  <si>
    <t>HCU:高压风扇2开路故障（522089，5）</t>
    <phoneticPr fontId="6" type="noConversion"/>
  </si>
  <si>
    <t>HCU:高压风扇2短路故障（522089,12）</t>
    <phoneticPr fontId="6" type="noConversion"/>
  </si>
  <si>
    <t>HCU:高压风扇2堵转故障（522089,22）</t>
    <phoneticPr fontId="6" type="noConversion"/>
  </si>
  <si>
    <t>HCU:高压风扇2通讯故障（522089，2）</t>
    <phoneticPr fontId="6" type="noConversion"/>
  </si>
  <si>
    <t>HCU:高压风扇3开路故障（522090，5）</t>
    <phoneticPr fontId="6" type="noConversion"/>
  </si>
  <si>
    <t>HCU:高压风扇3短路故障（522090,12）</t>
    <phoneticPr fontId="6" type="noConversion"/>
  </si>
  <si>
    <t>HCU:高压风扇3堵转故障（522090,22）</t>
    <phoneticPr fontId="6" type="noConversion"/>
  </si>
  <si>
    <t>HCU:高压风扇3通讯故障（522090，2）</t>
    <phoneticPr fontId="6" type="noConversion"/>
  </si>
  <si>
    <t>HCU:电池高压冷却水泵过流故障（522084,6）</t>
    <phoneticPr fontId="6" type="noConversion"/>
  </si>
  <si>
    <t>HCU:电机高压冷却水泵过流故障（522143,6）</t>
    <phoneticPr fontId="6" type="noConversion"/>
  </si>
  <si>
    <t>HCU:电机高压冷却水泵开路故障（522143,5）</t>
    <phoneticPr fontId="6" type="noConversion"/>
  </si>
  <si>
    <t>HCU:电机高压冷却水泵短路故障（522143,12）</t>
    <phoneticPr fontId="6" type="noConversion"/>
  </si>
  <si>
    <t>HCU:PTC1 高压反接（522122,1）</t>
    <phoneticPr fontId="6" type="noConversion"/>
  </si>
  <si>
    <t>HCU:PTC1 发热芯短路（522122,0）</t>
    <phoneticPr fontId="6" type="noConversion"/>
  </si>
  <si>
    <t>HCU:PTC1 干烧（522122,25）</t>
    <phoneticPr fontId="6" type="noConversion"/>
  </si>
  <si>
    <t>HCU:PTC1 IGBT故障（522122,5）</t>
    <phoneticPr fontId="6" type="noConversion"/>
  </si>
  <si>
    <t>HCU:PTC1 1级故障（522122,20）</t>
    <phoneticPr fontId="6" type="noConversion"/>
  </si>
  <si>
    <t>HCU:PTC1 通讯故障（522123,19）</t>
    <phoneticPr fontId="6" type="noConversion"/>
  </si>
  <si>
    <t>HCU:PTC1 水温传感器故障（522123,21）</t>
    <phoneticPr fontId="6" type="noConversion"/>
  </si>
  <si>
    <t>HCU:PTC1 2级故障（522123,12）</t>
    <phoneticPr fontId="6" type="noConversion"/>
  </si>
  <si>
    <t>HCU:PTC2 高压反接（522141,1）</t>
    <phoneticPr fontId="6" type="noConversion"/>
  </si>
  <si>
    <t>HCU:PTC2 发热芯短路（522141,0）</t>
    <phoneticPr fontId="6" type="noConversion"/>
  </si>
  <si>
    <t>HCU:PTC2 干烧（522141,25）</t>
    <phoneticPr fontId="6" type="noConversion"/>
  </si>
  <si>
    <t>HCU:PTC2 IGBT故障（522141,5）</t>
    <phoneticPr fontId="6" type="noConversion"/>
  </si>
  <si>
    <t>HCU:PTC2 1级故障（522141,20）</t>
    <phoneticPr fontId="6" type="noConversion"/>
  </si>
  <si>
    <t>HCU:PTC2 通讯故障（522141,19）</t>
    <phoneticPr fontId="6" type="noConversion"/>
  </si>
  <si>
    <t>HCU:PTC2 水温传感器故障（522142,21）</t>
    <phoneticPr fontId="6" type="noConversion"/>
  </si>
  <si>
    <t>HCU:PTC1 NTC故障（522123,22）</t>
    <phoneticPr fontId="6" type="noConversion"/>
  </si>
  <si>
    <t>HCU:PTC2 NTC故障（522142,22）</t>
    <phoneticPr fontId="6" type="noConversion"/>
  </si>
  <si>
    <t>HCU:PTC2 2级故障（522142,12）</t>
    <phoneticPr fontId="6" type="noConversion"/>
  </si>
  <si>
    <t>HCU：电机冷却液液位低</t>
    <phoneticPr fontId="6" type="noConversion"/>
  </si>
  <si>
    <t>HCU：电池冷却液液位低</t>
  </si>
  <si>
    <t>HCU:冷媒压力高（522126,16）</t>
    <phoneticPr fontId="6" type="noConversion"/>
  </si>
  <si>
    <t>HCU:快充冷媒压力高（522134,16）</t>
    <phoneticPr fontId="6" type="noConversion"/>
  </si>
  <si>
    <t>0xD0</t>
    <phoneticPr fontId="20" type="noConversion"/>
  </si>
  <si>
    <t>HCU:冷媒压力低（522127,18）</t>
    <phoneticPr fontId="6" type="noConversion"/>
  </si>
  <si>
    <t>HCU:快充冷媒压力高（522137,18）</t>
    <phoneticPr fontId="6" type="noConversion"/>
  </si>
  <si>
    <t>HCU:空调压缩机通讯故障（522128,19）</t>
    <phoneticPr fontId="6" type="noConversion"/>
  </si>
  <si>
    <t>HCU:空调压缩机故障锁死（522128,20）</t>
    <phoneticPr fontId="6" type="noConversion"/>
  </si>
  <si>
    <t>HCU:快充空调压缩机通讯故障（522129,19）</t>
    <phoneticPr fontId="6" type="noConversion"/>
  </si>
  <si>
    <t>HCU:快充空调压缩机故障锁死（522129,20）</t>
    <phoneticPr fontId="6" type="noConversion"/>
  </si>
  <si>
    <t>新增（仅显示文字，不显示SPNFMI）</t>
    <phoneticPr fontId="6" type="noConversion"/>
  </si>
  <si>
    <t>V1.28</t>
  </si>
  <si>
    <t>V1.28版本更新</t>
    <phoneticPr fontId="6" type="noConversion"/>
  </si>
  <si>
    <t>A</t>
  </si>
  <si>
    <t>母线过压停机（软件保护）</t>
    <phoneticPr fontId="6" type="noConversion"/>
  </si>
  <si>
    <t>母线过压停机（硬件保护）</t>
    <phoneticPr fontId="6" type="noConversion"/>
  </si>
  <si>
    <t>母线欠压停机</t>
    <phoneticPr fontId="6" type="noConversion"/>
  </si>
  <si>
    <t>母线电流过流停机（软件保护）</t>
    <phoneticPr fontId="6" type="noConversion"/>
  </si>
  <si>
    <t>母线电流过流停机（硬件保护）</t>
    <phoneticPr fontId="6" type="noConversion"/>
  </si>
  <si>
    <t>控制器功率模块温度过温保护</t>
    <phoneticPr fontId="6" type="noConversion"/>
  </si>
  <si>
    <t>控制器功率模块温度过温停机</t>
    <phoneticPr fontId="6" type="noConversion"/>
  </si>
  <si>
    <t>删除故障</t>
    <phoneticPr fontId="6" type="noConversion"/>
  </si>
  <si>
    <t>相电流过载（软件保护）</t>
    <phoneticPr fontId="6" type="noConversion"/>
  </si>
  <si>
    <t>相电流高于最大允许电流（硬件保护）</t>
    <phoneticPr fontId="6" type="noConversion"/>
  </si>
  <si>
    <t>24V供电电源过压</t>
    <phoneticPr fontId="6" type="noConversion"/>
  </si>
  <si>
    <t>24V供电电源欠压</t>
    <phoneticPr fontId="6" type="noConversion"/>
  </si>
  <si>
    <t>CAN通讯错误</t>
    <phoneticPr fontId="6" type="noConversion"/>
  </si>
  <si>
    <t>IGBT温度传感器信号超过最大范围</t>
    <phoneticPr fontId="6" type="noConversion"/>
  </si>
  <si>
    <t xml:space="preserve">初始化故障 </t>
    <phoneticPr fontId="6" type="noConversion"/>
  </si>
  <si>
    <t>取力器电磁阀开路故障</t>
  </si>
  <si>
    <t>TCU电源电压高</t>
    <phoneticPr fontId="20" type="noConversion"/>
  </si>
  <si>
    <t>传感器短路或取力器无法断开</t>
  </si>
  <si>
    <t>传感器开路或取力器无法闭合</t>
  </si>
  <si>
    <t>一轴位移传感器故障</t>
  </si>
  <si>
    <t>二轴位移传感器故障</t>
    <phoneticPr fontId="20" type="noConversion"/>
  </si>
  <si>
    <t>三轴位移传感器故障</t>
  </si>
  <si>
    <t>一轴电磁阀故障</t>
  </si>
  <si>
    <t>二轴电磁阀故障</t>
    <phoneticPr fontId="20" type="noConversion"/>
  </si>
  <si>
    <t>三轴电磁阀故障</t>
  </si>
  <si>
    <t>输入轴转速传感器故障</t>
    <phoneticPr fontId="20" type="noConversion"/>
  </si>
  <si>
    <t>输出轴转速传感器故障</t>
  </si>
  <si>
    <t>挂挡失败故障</t>
    <phoneticPr fontId="20" type="noConversion"/>
  </si>
  <si>
    <t>返回目录</t>
    <phoneticPr fontId="20" type="noConversion"/>
  </si>
  <si>
    <t>HCU:制动踏板传感器故障(21007,16)</t>
    <phoneticPr fontId="20" type="noConversion"/>
  </si>
  <si>
    <t>HCU:电子加速踏板信号故障(91,16)</t>
    <phoneticPr fontId="20" type="noConversion"/>
  </si>
  <si>
    <t>HCU:电子加速踏板信号故障(29,16)</t>
    <phoneticPr fontId="20" type="noConversion"/>
  </si>
  <si>
    <t>HCU:制动踏板传感器信号故障(21067,16)</t>
    <phoneticPr fontId="20" type="noConversion"/>
  </si>
  <si>
    <t>V1.28版本更新</t>
    <phoneticPr fontId="20" type="noConversion"/>
  </si>
  <si>
    <t>故障等级B</t>
    <phoneticPr fontId="20" type="noConversion"/>
  </si>
  <si>
    <t>故障等级A</t>
    <phoneticPr fontId="20" type="noConversion"/>
  </si>
  <si>
    <t>单体严重过压</t>
    <phoneticPr fontId="20" type="noConversion"/>
  </si>
  <si>
    <t>单体明显过压</t>
    <phoneticPr fontId="20" type="noConversion"/>
  </si>
  <si>
    <t>单体一般过压</t>
    <phoneticPr fontId="20" type="noConversion"/>
  </si>
  <si>
    <t>单体一般欠压</t>
    <phoneticPr fontId="20" type="noConversion"/>
  </si>
  <si>
    <t>单体明显欠压</t>
    <phoneticPr fontId="20" type="noConversion"/>
  </si>
  <si>
    <t>单体严重欠压</t>
    <phoneticPr fontId="20" type="noConversion"/>
  </si>
  <si>
    <t>文字显示更新</t>
    <phoneticPr fontId="20" type="noConversion"/>
  </si>
  <si>
    <t>总电压一般过压</t>
    <phoneticPr fontId="20" type="noConversion"/>
  </si>
  <si>
    <t>总电压明显过压</t>
    <phoneticPr fontId="20" type="noConversion"/>
  </si>
  <si>
    <t>总电压严重过压</t>
    <phoneticPr fontId="20" type="noConversion"/>
  </si>
  <si>
    <t>总电压一般欠压</t>
    <phoneticPr fontId="20" type="noConversion"/>
  </si>
  <si>
    <t>总电压明显欠压</t>
    <phoneticPr fontId="20" type="noConversion"/>
  </si>
  <si>
    <t>总电压严重欠压</t>
    <phoneticPr fontId="20" type="noConversion"/>
  </si>
  <si>
    <t>可充电储能系统不匹配故障</t>
    <phoneticPr fontId="20" type="noConversion"/>
  </si>
  <si>
    <t>电池单体一般高温</t>
    <phoneticPr fontId="20" type="noConversion"/>
  </si>
  <si>
    <t>电池单体明显高温</t>
    <phoneticPr fontId="20" type="noConversion"/>
  </si>
  <si>
    <t>电池单体严重高温</t>
    <phoneticPr fontId="20" type="noConversion"/>
  </si>
  <si>
    <t>BMS提示：电池低温</t>
    <phoneticPr fontId="20" type="noConversion"/>
  </si>
  <si>
    <t>温差严重过大</t>
  </si>
  <si>
    <t>BMS:电池包火灾报警</t>
    <phoneticPr fontId="20" type="noConversion"/>
  </si>
  <si>
    <t>脉冲放电电流严重超限</t>
    <phoneticPr fontId="20" type="noConversion"/>
  </si>
  <si>
    <t>脉冲回充电流严重超限</t>
    <phoneticPr fontId="20" type="noConversion"/>
  </si>
  <si>
    <t>BMS提示：充电桩状态异常</t>
    <phoneticPr fontId="20" type="noConversion"/>
  </si>
  <si>
    <t>电流传感器故障</t>
  </si>
  <si>
    <t>行车绝缘一般过低</t>
    <phoneticPr fontId="20" type="noConversion"/>
  </si>
  <si>
    <t>行车绝缘明显过低</t>
    <phoneticPr fontId="20" type="noConversion"/>
  </si>
  <si>
    <t>行车绝缘严重过低</t>
    <phoneticPr fontId="20" type="noConversion"/>
  </si>
  <si>
    <t>电池单体过放</t>
    <phoneticPr fontId="20" type="noConversion"/>
  </si>
  <si>
    <t>电池SOC明显过低报警</t>
  </si>
  <si>
    <t>电池SOC严重过低报警</t>
  </si>
  <si>
    <t>BMS提示：电池电量低</t>
  </si>
  <si>
    <t>BMS提示：电池电量低</t>
    <phoneticPr fontId="20" type="noConversion"/>
  </si>
  <si>
    <t>SOC跳变故障报警</t>
  </si>
  <si>
    <t>BMS低压供电电压异常</t>
    <phoneticPr fontId="20" type="noConversion"/>
  </si>
  <si>
    <t>新增</t>
    <phoneticPr fontId="20" type="noConversion"/>
  </si>
  <si>
    <t>旧版SPN，适配21年BMS</t>
    <phoneticPr fontId="20" type="noConversion"/>
  </si>
  <si>
    <t>521360</t>
  </si>
  <si>
    <t>0</t>
  </si>
  <si>
    <t>脉冲放电电流一般超限</t>
    <phoneticPr fontId="20" type="noConversion"/>
  </si>
  <si>
    <t>脉冲放电电流明显超限</t>
    <phoneticPr fontId="20" type="noConversion"/>
  </si>
  <si>
    <t>脉冲回充电流一般超限</t>
    <phoneticPr fontId="20" type="noConversion"/>
  </si>
  <si>
    <t>脉冲回充电流明显超限</t>
    <phoneticPr fontId="20" type="noConversion"/>
  </si>
  <si>
    <t>电流传感器故障</t>
    <phoneticPr fontId="20" type="noConversion"/>
  </si>
  <si>
    <t>热管理机组故障</t>
  </si>
  <si>
    <t>BMS</t>
    <phoneticPr fontId="20" type="noConversion"/>
  </si>
  <si>
    <t>内部通信故障</t>
    <phoneticPr fontId="20" type="noConversion"/>
  </si>
  <si>
    <t>BMS提示：请检查手动维修开关</t>
    <phoneticPr fontId="20" type="noConversion"/>
  </si>
  <si>
    <t>主正接触器无法闭合故障</t>
    <phoneticPr fontId="20" type="noConversion"/>
  </si>
  <si>
    <t>主正接触器无法断开故障</t>
    <phoneticPr fontId="20" type="noConversion"/>
  </si>
  <si>
    <t>主负接触器无法闭合故障</t>
    <phoneticPr fontId="20" type="noConversion"/>
  </si>
  <si>
    <t>主负接触器无法断开故障</t>
    <phoneticPr fontId="20" type="noConversion"/>
  </si>
  <si>
    <t>直流充电A正接触器无法闭合故障</t>
    <phoneticPr fontId="20" type="noConversion"/>
  </si>
  <si>
    <t>直流充电A正接触器无法断开故障</t>
    <phoneticPr fontId="20" type="noConversion"/>
  </si>
  <si>
    <t>直流充电B正接触器无法断开故障</t>
    <phoneticPr fontId="20" type="noConversion"/>
  </si>
  <si>
    <t>直流充电B负接触器无法闭合故障</t>
    <phoneticPr fontId="20" type="noConversion"/>
  </si>
  <si>
    <t>直流充电B负接触器无法断开故障</t>
    <phoneticPr fontId="20" type="noConversion"/>
  </si>
  <si>
    <t>直流充电B正接触器无法闭合故障</t>
    <phoneticPr fontId="20" type="noConversion"/>
  </si>
  <si>
    <t>直流充电A负接触器无法断开故障</t>
    <phoneticPr fontId="20" type="noConversion"/>
  </si>
  <si>
    <t>直流充电A负接触器无法闭合故障</t>
    <phoneticPr fontId="20" type="noConversion"/>
  </si>
  <si>
    <t>支路断路故障</t>
    <phoneticPr fontId="20" type="noConversion"/>
  </si>
  <si>
    <t>加热膜或TMS接触器故障无法闭合</t>
    <phoneticPr fontId="20" type="noConversion"/>
  </si>
  <si>
    <t>充电插座明显过温</t>
    <phoneticPr fontId="20" type="noConversion"/>
  </si>
  <si>
    <t>充电插座严重过温</t>
    <phoneticPr fontId="20" type="noConversion"/>
  </si>
  <si>
    <t>BMS提示：充电插座故障</t>
  </si>
  <si>
    <t>燃料电池回路接触器无法断开故障</t>
  </si>
  <si>
    <t>燃料电池回路接触器无法闭合故障</t>
    <phoneticPr fontId="20" type="noConversion"/>
  </si>
  <si>
    <t>燃料电池回路电流传感器故障</t>
  </si>
  <si>
    <t>DC-DC回路接触器无法断开故障</t>
    <phoneticPr fontId="20" type="noConversion"/>
  </si>
  <si>
    <t>DC-DC回路接触器无法闭合故障</t>
    <phoneticPr fontId="20" type="noConversion"/>
  </si>
  <si>
    <t>欧标充电桩状态异常</t>
    <phoneticPr fontId="20" type="noConversion"/>
  </si>
  <si>
    <t>EVCC故障</t>
    <phoneticPr fontId="20" type="noConversion"/>
  </si>
  <si>
    <t>持续放电一般过流</t>
  </si>
  <si>
    <t>持续放电明显过流</t>
  </si>
  <si>
    <t>持续放电严重过流</t>
  </si>
  <si>
    <t>行车持续回充一般过流</t>
  </si>
  <si>
    <t>行车持续回充明显过流</t>
  </si>
  <si>
    <t>行车持续回充严重过流</t>
  </si>
  <si>
    <t>充电电流超限报警（旧版SPN）</t>
  </si>
  <si>
    <t>充电时放电电流过大</t>
  </si>
  <si>
    <t>充电时放电电流过大</t>
    <phoneticPr fontId="20" type="noConversion"/>
  </si>
  <si>
    <t>BMS提示：充电枪连接状态异常</t>
  </si>
  <si>
    <t>插枪连接信号异常（旧版SPN）</t>
  </si>
  <si>
    <t>充电绝缘阻值低（旧版SPN）</t>
    <phoneticPr fontId="20" type="noConversion"/>
  </si>
  <si>
    <t>ACAN通讯故障（旧版SPN）</t>
    <phoneticPr fontId="20" type="noConversion"/>
  </si>
  <si>
    <t>加热膜加热回路故障（旧版SPN）</t>
    <phoneticPr fontId="20" type="noConversion"/>
  </si>
  <si>
    <t>电池包自保护故障</t>
    <phoneticPr fontId="20" type="noConversion"/>
  </si>
  <si>
    <t>电池管理系统（BMS）</t>
    <phoneticPr fontId="20" type="noConversion"/>
  </si>
  <si>
    <t>坡道传感器零位不匹配请重新标定</t>
  </si>
  <si>
    <t>加速度传感器未知故障</t>
  </si>
  <si>
    <t>车速信号无效</t>
    <phoneticPr fontId="20" type="noConversion"/>
  </si>
  <si>
    <t>车速传感器信号错误</t>
  </si>
  <si>
    <t>取力器电磁阀短电故障</t>
  </si>
  <si>
    <t>取力器电磁阀短地故障</t>
  </si>
  <si>
    <t xml:space="preserve">取力器停车取力器有车速 </t>
  </si>
  <si>
    <t>取力器堵转</t>
  </si>
  <si>
    <t>取力器闭合电机转速异常</t>
  </si>
  <si>
    <t>取力器结合故障</t>
  </si>
  <si>
    <t>取力器断开故障</t>
  </si>
  <si>
    <t>二轴位移传感器故障</t>
  </si>
  <si>
    <t>二轴电磁阀故障</t>
  </si>
  <si>
    <t>整车CAN通讯故障</t>
  </si>
  <si>
    <t>电机CAN通讯故障</t>
  </si>
  <si>
    <t>CAN收不到选档面板信号/手柄CAN信号完全丢失故障</t>
  </si>
  <si>
    <t>VCU CAN信号完全丢失故障</t>
  </si>
  <si>
    <t>MCU CAN信号完全丢失故障</t>
  </si>
  <si>
    <t>自学习数据错误</t>
  </si>
  <si>
    <t>整车参数标定错误</t>
    <phoneticPr fontId="20" type="noConversion"/>
  </si>
  <si>
    <t>挂挡失败故障</t>
  </si>
  <si>
    <t>换挡电机回路开路</t>
  </si>
  <si>
    <t>换挡电机电流偏大</t>
  </si>
  <si>
    <t>MCU扭矩响应失败</t>
  </si>
  <si>
    <t>变速箱其它故障</t>
  </si>
  <si>
    <r>
      <t>TCU</t>
    </r>
    <r>
      <rPr>
        <sz val="10"/>
        <color rgb="FF000000"/>
        <rFont val="微软雅黑"/>
        <family val="2"/>
        <charset val="134"/>
      </rPr>
      <t>程序配置错误</t>
    </r>
  </si>
  <si>
    <r>
      <t>TCU</t>
    </r>
    <r>
      <rPr>
        <sz val="10"/>
        <color rgb="FF000000"/>
        <rFont val="微软雅黑"/>
        <family val="2"/>
        <charset val="134"/>
      </rPr>
      <t>查询故障码失败</t>
    </r>
  </si>
  <si>
    <r>
      <t>E2</t>
    </r>
    <r>
      <rPr>
        <sz val="10"/>
        <color rgb="FF000000"/>
        <rFont val="微软雅黑"/>
        <family val="2"/>
        <charset val="134"/>
      </rPr>
      <t>读取数据异常</t>
    </r>
  </si>
  <si>
    <t xml:space="preserve">主驱接触器预充失败 </t>
  </si>
  <si>
    <t>EEPROM故障</t>
  </si>
  <si>
    <t>V1.28 故障等级调整为B</t>
    <phoneticPr fontId="6" type="noConversion"/>
  </si>
  <si>
    <t>V1.28 故障等级调整为C</t>
    <phoneticPr fontId="6" type="noConversion"/>
  </si>
  <si>
    <t xml:space="preserve">EEPROM故障 </t>
  </si>
  <si>
    <t xml:space="preserve">过流故障 </t>
  </si>
  <si>
    <t xml:space="preserve">过温故障 </t>
  </si>
  <si>
    <t xml:space="preserve">控制器过载故障 </t>
  </si>
  <si>
    <t xml:space="preserve">输出缺相 </t>
  </si>
  <si>
    <t xml:space="preserve">CAN 通讯中断故障 </t>
  </si>
  <si>
    <t xml:space="preserve">CAN 通讯超时故障 </t>
  </si>
  <si>
    <t xml:space="preserve">电机过载故障 </t>
  </si>
  <si>
    <t xml:space="preserve">控制器过温故障 </t>
  </si>
  <si>
    <t xml:space="preserve">转速偏差过大 </t>
  </si>
  <si>
    <t xml:space="preserve">PT100 短路 </t>
  </si>
  <si>
    <t xml:space="preserve">PT100 开路 </t>
  </si>
  <si>
    <t>谐调故障</t>
    <phoneticPr fontId="6" type="noConversion"/>
  </si>
  <si>
    <t>空压机（ACU）</t>
    <phoneticPr fontId="20" type="noConversion"/>
  </si>
  <si>
    <t>V1.28更新仪表显示内容为“ACU”</t>
    <phoneticPr fontId="6" type="noConversion"/>
  </si>
  <si>
    <t xml:space="preserve">超长时间输出报警 </t>
  </si>
  <si>
    <t xml:space="preserve">压力开关故障 </t>
  </si>
  <si>
    <t>V1.28 故障等级更新为B</t>
    <phoneticPr fontId="6" type="noConversion"/>
  </si>
  <si>
    <t xml:space="preserve">压力开关短路或气压传感器故障 </t>
    <phoneticPr fontId="6" type="noConversion"/>
  </si>
  <si>
    <t xml:space="preserve">压力开关断路或制动系统漏气 </t>
    <phoneticPr fontId="6" type="noConversion"/>
  </si>
  <si>
    <t>高压转低压模块（DCDC）</t>
    <phoneticPr fontId="20" type="noConversion"/>
  </si>
  <si>
    <t xml:space="preserve">辅源过压 </t>
  </si>
  <si>
    <t>DCDC输出电压合理性故障</t>
    <phoneticPr fontId="20" type="noConversion"/>
  </si>
  <si>
    <t>DCDC预充故障</t>
    <phoneticPr fontId="20" type="noConversion"/>
  </si>
  <si>
    <t>模块硬件故障</t>
    <phoneticPr fontId="6" type="noConversion"/>
  </si>
  <si>
    <t>V1.28 新增</t>
    <phoneticPr fontId="6" type="noConversion"/>
  </si>
  <si>
    <t>LSST</t>
    <phoneticPr fontId="6" type="noConversion"/>
  </si>
  <si>
    <t>诊断维修使用中文描述</t>
    <phoneticPr fontId="20" type="noConversion"/>
  </si>
  <si>
    <t>SPN*</t>
    <phoneticPr fontId="20" type="noConversion"/>
  </si>
  <si>
    <t>FMI*</t>
    <phoneticPr fontId="20" type="noConversion"/>
  </si>
  <si>
    <t>故障等级*</t>
    <phoneticPr fontId="20" type="noConversion"/>
  </si>
  <si>
    <t>CAN通讯异常</t>
    <phoneticPr fontId="20" type="noConversion"/>
  </si>
  <si>
    <t>TMS CAN通讯异常</t>
    <phoneticPr fontId="20" type="noConversion"/>
  </si>
  <si>
    <t>PTC高压反接</t>
  </si>
  <si>
    <t>PTC发热芯短路</t>
  </si>
  <si>
    <t>PTC干烧</t>
    <phoneticPr fontId="20" type="noConversion"/>
  </si>
  <si>
    <t>PTC IGBT击穿/故障</t>
    <phoneticPr fontId="20" type="noConversion"/>
  </si>
  <si>
    <t>PTC通讯故障</t>
    <phoneticPr fontId="20" type="noConversion"/>
  </si>
  <si>
    <t>PTC温度过高</t>
    <phoneticPr fontId="20" type="noConversion"/>
  </si>
  <si>
    <t>PTC过电流</t>
    <phoneticPr fontId="20" type="noConversion"/>
  </si>
  <si>
    <t>PTC过电压</t>
    <phoneticPr fontId="20" type="noConversion"/>
  </si>
  <si>
    <t>PTC欠电压</t>
    <phoneticPr fontId="20" type="noConversion"/>
  </si>
  <si>
    <t>PTC IGBT芯片温度过高</t>
    <phoneticPr fontId="20" type="noConversion"/>
  </si>
  <si>
    <t>PTC进水/出水温度传感器故障</t>
  </si>
  <si>
    <t>PTC NTC坏</t>
    <phoneticPr fontId="20" type="noConversion"/>
  </si>
  <si>
    <t>PTC1 高压反接</t>
    <phoneticPr fontId="20" type="noConversion"/>
  </si>
  <si>
    <t>PTC1 发热芯短路</t>
    <phoneticPr fontId="20" type="noConversion"/>
  </si>
  <si>
    <t>PTC1 干烧</t>
    <phoneticPr fontId="20" type="noConversion"/>
  </si>
  <si>
    <t>PTC1 IGBT故障</t>
    <phoneticPr fontId="20" type="noConversion"/>
  </si>
  <si>
    <t>PTC1 1级故障</t>
    <phoneticPr fontId="20" type="noConversion"/>
  </si>
  <si>
    <t>PTC1 通讯故障</t>
    <phoneticPr fontId="20" type="noConversion"/>
  </si>
  <si>
    <t>PTC1 出水口温度过高</t>
    <phoneticPr fontId="20" type="noConversion"/>
  </si>
  <si>
    <t>PTC1 过流故障</t>
    <phoneticPr fontId="20" type="noConversion"/>
  </si>
  <si>
    <t>PTC1 过压故障</t>
    <phoneticPr fontId="20" type="noConversion"/>
  </si>
  <si>
    <t>PTC1 欠压故障</t>
    <phoneticPr fontId="20" type="noConversion"/>
  </si>
  <si>
    <t>PTC1 IGBT过温</t>
    <phoneticPr fontId="20" type="noConversion"/>
  </si>
  <si>
    <t>PTC1 水温传感器故障</t>
    <phoneticPr fontId="20" type="noConversion"/>
  </si>
  <si>
    <t>PTC1 NTC坏</t>
    <phoneticPr fontId="20" type="noConversion"/>
  </si>
  <si>
    <t>PTC1 2级故障</t>
    <phoneticPr fontId="20" type="noConversion"/>
  </si>
  <si>
    <t>PTC2 高压反接</t>
    <phoneticPr fontId="20" type="noConversion"/>
  </si>
  <si>
    <t>PTC2 发热芯短路</t>
    <phoneticPr fontId="20" type="noConversion"/>
  </si>
  <si>
    <t>PTC2 干烧</t>
    <phoneticPr fontId="20" type="noConversion"/>
  </si>
  <si>
    <t>PTC2 IGBT故障</t>
    <phoneticPr fontId="20" type="noConversion"/>
  </si>
  <si>
    <t>PTC2 1级故障</t>
    <phoneticPr fontId="20" type="noConversion"/>
  </si>
  <si>
    <t>PTC2 通讯故障</t>
    <phoneticPr fontId="20" type="noConversion"/>
  </si>
  <si>
    <t>PTC2 出水口温度过高</t>
    <phoneticPr fontId="20" type="noConversion"/>
  </si>
  <si>
    <t>PTC2 过流故障</t>
    <phoneticPr fontId="20" type="noConversion"/>
  </si>
  <si>
    <t>PTC2 过压故障</t>
    <phoneticPr fontId="20" type="noConversion"/>
  </si>
  <si>
    <t>PTC2 欠压故障</t>
    <phoneticPr fontId="20" type="noConversion"/>
  </si>
  <si>
    <t>PTC2 IGBT过温</t>
    <phoneticPr fontId="20" type="noConversion"/>
  </si>
  <si>
    <t>PTC2 水温传感器故障</t>
    <phoneticPr fontId="20" type="noConversion"/>
  </si>
  <si>
    <t>PTC2 NTC坏</t>
    <phoneticPr fontId="20" type="noConversion"/>
  </si>
  <si>
    <t>PTC2 2级故障</t>
    <phoneticPr fontId="20" type="noConversion"/>
  </si>
  <si>
    <t>压缩机过电流</t>
    <phoneticPr fontId="20" type="noConversion"/>
  </si>
  <si>
    <t>压缩机过电压</t>
    <phoneticPr fontId="20" type="noConversion"/>
  </si>
  <si>
    <t>压缩机欠电压</t>
    <phoneticPr fontId="20" type="noConversion"/>
  </si>
  <si>
    <t>压缩机通讯故障</t>
    <phoneticPr fontId="20" type="noConversion"/>
  </si>
  <si>
    <t>压缩机过温</t>
    <phoneticPr fontId="20" type="noConversion"/>
  </si>
  <si>
    <t>压缩机启动失败</t>
    <phoneticPr fontId="20" type="noConversion"/>
  </si>
  <si>
    <t>压缩机过载/过功率报警</t>
    <phoneticPr fontId="20" type="noConversion"/>
  </si>
  <si>
    <t>压缩机失速</t>
    <phoneticPr fontId="20" type="noConversion"/>
  </si>
  <si>
    <t>空调压缩机长时过流</t>
    <phoneticPr fontId="20" type="noConversion"/>
  </si>
  <si>
    <t>空调压缩机短时过流</t>
    <phoneticPr fontId="20" type="noConversion"/>
  </si>
  <si>
    <t>空调压缩机过压故障</t>
    <phoneticPr fontId="20" type="noConversion"/>
  </si>
  <si>
    <t>空调压缩机欠压故障</t>
    <phoneticPr fontId="20" type="noConversion"/>
  </si>
  <si>
    <t>空调压缩机通讯故障</t>
    <phoneticPr fontId="20" type="noConversion"/>
  </si>
  <si>
    <t>空调压缩机过温故障</t>
    <phoneticPr fontId="20" type="noConversion"/>
  </si>
  <si>
    <t>空调压缩机内部故障</t>
    <phoneticPr fontId="20" type="noConversion"/>
  </si>
  <si>
    <t>空调压缩机故障锁死</t>
    <phoneticPr fontId="20" type="noConversion"/>
  </si>
  <si>
    <t>快充空调压缩机长时过流</t>
    <phoneticPr fontId="20" type="noConversion"/>
  </si>
  <si>
    <t>快充空调压缩机短时过流</t>
    <phoneticPr fontId="20" type="noConversion"/>
  </si>
  <si>
    <t>快充空调压缩机过压故障</t>
    <phoneticPr fontId="20" type="noConversion"/>
  </si>
  <si>
    <t>快充空调压缩机欠压故障</t>
    <phoneticPr fontId="20" type="noConversion"/>
  </si>
  <si>
    <t>快充空调压缩机通讯故障</t>
    <phoneticPr fontId="20" type="noConversion"/>
  </si>
  <si>
    <t>快充空调压缩机过温故障</t>
    <phoneticPr fontId="20" type="noConversion"/>
  </si>
  <si>
    <t>快充空调压缩机内部故障</t>
    <phoneticPr fontId="20" type="noConversion"/>
  </si>
  <si>
    <t>快充空调压缩机故障锁死</t>
    <phoneticPr fontId="20" type="noConversion"/>
  </si>
  <si>
    <t>高压传感器 2级故障</t>
  </si>
  <si>
    <t>低压传感器 2级故障</t>
  </si>
  <si>
    <t>机组进水温度传感器 2级故障</t>
    <phoneticPr fontId="20" type="noConversion"/>
  </si>
  <si>
    <t>机组出水温度传感器 2级故障</t>
  </si>
  <si>
    <t>水位传感器 2级故障</t>
  </si>
  <si>
    <t>排气温度传感器2级</t>
    <phoneticPr fontId="20" type="noConversion"/>
  </si>
  <si>
    <t>电机冷却进水温度传感器开路故障</t>
    <phoneticPr fontId="20" type="noConversion"/>
  </si>
  <si>
    <t>电机冷却进水温度传感器短路到地故障</t>
    <phoneticPr fontId="20" type="noConversion"/>
  </si>
  <si>
    <t>电机冷却进水温度传感器短路到电源故障</t>
    <phoneticPr fontId="20" type="noConversion"/>
  </si>
  <si>
    <t>电机冷却回水温度传感器开路故障</t>
    <phoneticPr fontId="20" type="noConversion"/>
  </si>
  <si>
    <t>电机冷却回水温度传感器短路到地故障</t>
    <phoneticPr fontId="20" type="noConversion"/>
  </si>
  <si>
    <t>电机冷却回水温度传感器短路到电源故障</t>
    <phoneticPr fontId="20" type="noConversion"/>
  </si>
  <si>
    <t>电池冷却进水温度传感器开路故障</t>
    <phoneticPr fontId="20" type="noConversion"/>
  </si>
  <si>
    <t>电池冷却进水温度传感器短路到地故障</t>
    <phoneticPr fontId="20" type="noConversion"/>
  </si>
  <si>
    <t>电池冷却进水温度传感器短路到电源故障</t>
    <phoneticPr fontId="20" type="noConversion"/>
  </si>
  <si>
    <t>电池冷却回水温度传感器开路故障</t>
    <phoneticPr fontId="20" type="noConversion"/>
  </si>
  <si>
    <t>电池冷却回水温度传感器短路到地故障</t>
    <phoneticPr fontId="20" type="noConversion"/>
  </si>
  <si>
    <t>电池冷却回水温度传感器短路到电源故障</t>
    <phoneticPr fontId="20" type="noConversion"/>
  </si>
  <si>
    <t>燃料电池冷却进水温度传感器开路故障</t>
    <phoneticPr fontId="20" type="noConversion"/>
  </si>
  <si>
    <t>燃料电池冷却进水温度传感器短路到地故障</t>
    <phoneticPr fontId="20" type="noConversion"/>
  </si>
  <si>
    <t>燃料电池冷却进水温度传感器短路到电源故障</t>
    <phoneticPr fontId="20" type="noConversion"/>
  </si>
  <si>
    <t>燃料电池冷却回水温度传感器开路故障</t>
    <phoneticPr fontId="20" type="noConversion"/>
  </si>
  <si>
    <t>燃料电池冷却回水温度传感器短路到地故障</t>
    <phoneticPr fontId="20" type="noConversion"/>
  </si>
  <si>
    <t>燃料电池冷却回水温度传感器短路到电源故障</t>
    <phoneticPr fontId="20" type="noConversion"/>
  </si>
  <si>
    <t>电机冷却液位传感器开路故障</t>
    <phoneticPr fontId="20" type="noConversion"/>
  </si>
  <si>
    <t>电机冷却液位传感器短路到地故障</t>
    <phoneticPr fontId="20" type="noConversion"/>
  </si>
  <si>
    <t>电机冷却液位传感器短路到电源故障</t>
    <phoneticPr fontId="20" type="noConversion"/>
  </si>
  <si>
    <t>电池冷却液位传感器开路故障</t>
    <phoneticPr fontId="20" type="noConversion"/>
  </si>
  <si>
    <t>电池冷却液位传感器短路到地故障</t>
    <phoneticPr fontId="20" type="noConversion"/>
  </si>
  <si>
    <t>电池冷却液位传感器短路到电源故障</t>
    <phoneticPr fontId="20" type="noConversion"/>
  </si>
  <si>
    <t>燃料电池冷却液位传感器开路故障</t>
    <phoneticPr fontId="20" type="noConversion"/>
  </si>
  <si>
    <t>燃料电池冷却液位传感器短路到地故障</t>
    <phoneticPr fontId="20" type="noConversion"/>
  </si>
  <si>
    <t>燃料电池冷却液位传感器短路到电源故障</t>
    <phoneticPr fontId="20" type="noConversion"/>
  </si>
  <si>
    <t>冷媒高压压力传感器开路故障</t>
    <phoneticPr fontId="20" type="noConversion"/>
  </si>
  <si>
    <t>冷媒高压压力传感器短路到地故障</t>
    <phoneticPr fontId="20" type="noConversion"/>
  </si>
  <si>
    <t>冷媒高压压力传感器短路到电源故障</t>
    <phoneticPr fontId="20" type="noConversion"/>
  </si>
  <si>
    <t>冷媒低压压力传感器开路故障</t>
    <phoneticPr fontId="20" type="noConversion"/>
  </si>
  <si>
    <t>冷媒低压压力传感器短路到地故障</t>
    <phoneticPr fontId="20" type="noConversion"/>
  </si>
  <si>
    <t>冷媒低压压力传感器短路到电源故障</t>
    <phoneticPr fontId="20" type="noConversion"/>
  </si>
  <si>
    <t>冷媒温度传感器开路故障</t>
    <phoneticPr fontId="20" type="noConversion"/>
  </si>
  <si>
    <t>冷媒温度传感器短路到地故障</t>
    <phoneticPr fontId="20" type="noConversion"/>
  </si>
  <si>
    <t>冷媒温度传感器短路到电源故障</t>
    <phoneticPr fontId="20" type="noConversion"/>
  </si>
  <si>
    <t>电机冷却流量传感器开路故障</t>
    <phoneticPr fontId="20" type="noConversion"/>
  </si>
  <si>
    <t>电机冷却流量传感器短路到地故障</t>
    <phoneticPr fontId="20" type="noConversion"/>
  </si>
  <si>
    <t>电机冷却流量传感器短路到电源故障</t>
    <phoneticPr fontId="20" type="noConversion"/>
  </si>
  <si>
    <t>电池冷却流量传感器开路故障</t>
    <phoneticPr fontId="20" type="noConversion"/>
  </si>
  <si>
    <t>电池冷却流量传感器短路到地故障</t>
    <phoneticPr fontId="20" type="noConversion"/>
  </si>
  <si>
    <t>电池冷却流量传感器短路到电源故障</t>
    <phoneticPr fontId="20" type="noConversion"/>
  </si>
  <si>
    <t>燃料电池冷却流量传感器开路故障</t>
    <phoneticPr fontId="20" type="noConversion"/>
  </si>
  <si>
    <t>燃料电池冷却流量传感器短路到地故障</t>
    <phoneticPr fontId="20" type="noConversion"/>
  </si>
  <si>
    <t>燃料电池冷却流量传感器短路到电源故障</t>
    <phoneticPr fontId="20" type="noConversion"/>
  </si>
  <si>
    <t>快充高压压力传感器开路故障</t>
    <phoneticPr fontId="20" type="noConversion"/>
  </si>
  <si>
    <t>快充高压压力传感器短路到地故障</t>
    <phoneticPr fontId="20" type="noConversion"/>
  </si>
  <si>
    <t>快充高压压力传感器短路到电源故障</t>
    <phoneticPr fontId="20" type="noConversion"/>
  </si>
  <si>
    <t>快充低压力传感器开路故障</t>
    <phoneticPr fontId="20" type="noConversion"/>
  </si>
  <si>
    <t>快充低压力传感器短路到地故障</t>
    <phoneticPr fontId="20" type="noConversion"/>
  </si>
  <si>
    <t>快充低压力传感器短路到电源故障</t>
    <phoneticPr fontId="20" type="noConversion"/>
  </si>
  <si>
    <t>快充冷媒温度传感器开路故障</t>
    <phoneticPr fontId="20" type="noConversion"/>
  </si>
  <si>
    <t>快充冷媒温度传感器短路到地故障</t>
    <phoneticPr fontId="20" type="noConversion"/>
  </si>
  <si>
    <t>快充冷媒温度传感器短路到电源故障</t>
    <phoneticPr fontId="20" type="noConversion"/>
  </si>
  <si>
    <t>快充排气温度传感器开路故障</t>
    <phoneticPr fontId="20" type="noConversion"/>
  </si>
  <si>
    <t>快充排气温度传感器短路到地故障</t>
    <phoneticPr fontId="20" type="noConversion"/>
  </si>
  <si>
    <t>快充排气温度传感器短路到电源故障</t>
    <phoneticPr fontId="20" type="noConversion"/>
  </si>
  <si>
    <t>暖风芯体出水温度传感器开路故障</t>
    <phoneticPr fontId="20" type="noConversion"/>
  </si>
  <si>
    <t>暖风芯体出水温度传感器短路到地故障</t>
    <phoneticPr fontId="20" type="noConversion"/>
  </si>
  <si>
    <t>暖风芯体出水温度传感器短路到电源故障</t>
    <phoneticPr fontId="20" type="noConversion"/>
  </si>
  <si>
    <t>Chiller出水温度传感器开路故障</t>
    <phoneticPr fontId="20" type="noConversion"/>
  </si>
  <si>
    <t>Chiller出水温度传感器短路到地故障</t>
    <phoneticPr fontId="20" type="noConversion"/>
  </si>
  <si>
    <t>Chiller出水温度传感器短路到电源故障</t>
    <phoneticPr fontId="20" type="noConversion"/>
  </si>
  <si>
    <t>水冷冷凝器出水温度传感器开路故障</t>
    <phoneticPr fontId="20" type="noConversion"/>
  </si>
  <si>
    <t>水冷冷凝器出水温度传感器短路到地故障</t>
    <phoneticPr fontId="20" type="noConversion"/>
  </si>
  <si>
    <t>水冷冷凝器出水温度传感器短路到电源故障</t>
    <phoneticPr fontId="20" type="noConversion"/>
  </si>
  <si>
    <t>水冷冷凝器出口高压压力传感器开路故障</t>
    <phoneticPr fontId="20" type="noConversion"/>
  </si>
  <si>
    <t>水冷冷凝器出口高压压力传感器短路到地故障</t>
    <phoneticPr fontId="20" type="noConversion"/>
  </si>
  <si>
    <t>水冷冷凝器出口高压压力传感器短路到电源故障</t>
    <phoneticPr fontId="20" type="noConversion"/>
  </si>
  <si>
    <t>风冷冷凝器出口高压压力传感器开路故障</t>
    <phoneticPr fontId="20" type="noConversion"/>
  </si>
  <si>
    <t>风冷冷凝器出口高压压力传感器短路到地故障</t>
    <phoneticPr fontId="20" type="noConversion"/>
  </si>
  <si>
    <t>风冷冷凝器出口高压压力传感器短路到电源故障</t>
    <phoneticPr fontId="20" type="noConversion"/>
  </si>
  <si>
    <t>水冷冷凝器出口冷媒温度传感器开路故障</t>
    <phoneticPr fontId="20" type="noConversion"/>
  </si>
  <si>
    <t>水冷冷凝器出口冷媒温度传感器短路到地故障</t>
    <phoneticPr fontId="20" type="noConversion"/>
  </si>
  <si>
    <t>水冷冷凝器出口冷媒温度传感器短路到电源故障</t>
    <phoneticPr fontId="20" type="noConversion"/>
  </si>
  <si>
    <t>风冷冷凝器出口冷媒温度传感器开路故障</t>
    <phoneticPr fontId="20" type="noConversion"/>
  </si>
  <si>
    <t>风冷冷凝器出口冷媒温度传感器短路到地故障</t>
    <phoneticPr fontId="20" type="noConversion"/>
  </si>
  <si>
    <t>风冷冷凝器出口冷媒温度传感器短路到电源故障</t>
    <phoneticPr fontId="20" type="noConversion"/>
  </si>
  <si>
    <t>高压预充 1级故障</t>
  </si>
  <si>
    <t>预充接触器 1级故障</t>
  </si>
  <si>
    <t>主接触器1级故障</t>
  </si>
  <si>
    <t>主接触器开路故障</t>
    <phoneticPr fontId="20" type="noConversion"/>
  </si>
  <si>
    <t>主接触器短路到地故障</t>
    <phoneticPr fontId="20" type="noConversion"/>
  </si>
  <si>
    <t>主接触器短路到电源故障</t>
    <phoneticPr fontId="20" type="noConversion"/>
  </si>
  <si>
    <t>预充接触器开路故障</t>
    <phoneticPr fontId="20" type="noConversion"/>
  </si>
  <si>
    <t>预充接触器短路到地故障</t>
    <phoneticPr fontId="20" type="noConversion"/>
  </si>
  <si>
    <t>预充接触器短路到电源故障</t>
    <phoneticPr fontId="20" type="noConversion"/>
  </si>
  <si>
    <t>高压预充 1级故障</t>
    <phoneticPr fontId="20" type="noConversion"/>
  </si>
  <si>
    <t>DCDC 1级故障</t>
  </si>
  <si>
    <t>DCDC通讯故障</t>
    <phoneticPr fontId="20" type="noConversion"/>
  </si>
  <si>
    <t>DCDC过电流</t>
    <phoneticPr fontId="20" type="noConversion"/>
  </si>
  <si>
    <t>DCDC输入过电压</t>
    <phoneticPr fontId="20" type="noConversion"/>
  </si>
  <si>
    <t>DCDC输入欠电压</t>
    <phoneticPr fontId="20" type="noConversion"/>
  </si>
  <si>
    <t>DCDC输出过压</t>
    <phoneticPr fontId="20" type="noConversion"/>
  </si>
  <si>
    <t>DCDC输出欠压</t>
    <phoneticPr fontId="20" type="noConversion"/>
  </si>
  <si>
    <t>DCDC低压输入电压过高</t>
    <phoneticPr fontId="20" type="noConversion"/>
  </si>
  <si>
    <t>DCDC低压输入电压过低</t>
    <phoneticPr fontId="20" type="noConversion"/>
  </si>
  <si>
    <t>从机组1二级故障</t>
  </si>
  <si>
    <t>从机组1丢失</t>
  </si>
  <si>
    <t>从机组2一级故障</t>
  </si>
  <si>
    <t>从机组2二级故障</t>
  </si>
  <si>
    <t>从机组2丢失</t>
  </si>
  <si>
    <t>低压供电2级故障</t>
  </si>
  <si>
    <t>水泵过电流</t>
    <phoneticPr fontId="20" type="noConversion"/>
  </si>
  <si>
    <t>水泵过电压</t>
    <phoneticPr fontId="20" type="noConversion"/>
  </si>
  <si>
    <t>水泵欠电压</t>
    <phoneticPr fontId="20" type="noConversion"/>
  </si>
  <si>
    <t>水泵过温</t>
    <phoneticPr fontId="20" type="noConversion"/>
  </si>
  <si>
    <t>水泵空转</t>
    <phoneticPr fontId="20" type="noConversion"/>
  </si>
  <si>
    <t>水泵堵转</t>
    <phoneticPr fontId="20" type="noConversion"/>
  </si>
  <si>
    <t>电池冷却水泵开路故障</t>
    <phoneticPr fontId="20" type="noConversion"/>
  </si>
  <si>
    <t>电池冷却水泵短路故障</t>
    <phoneticPr fontId="20" type="noConversion"/>
  </si>
  <si>
    <t>电池冷却水泵过压故障</t>
    <phoneticPr fontId="20" type="noConversion"/>
  </si>
  <si>
    <t>电池冷却水泵欠压故障</t>
    <phoneticPr fontId="20" type="noConversion"/>
  </si>
  <si>
    <t>电池冷却水泵过流故障</t>
    <phoneticPr fontId="20" type="noConversion"/>
  </si>
  <si>
    <t>电池冷却水泵过温故障</t>
    <phoneticPr fontId="20" type="noConversion"/>
  </si>
  <si>
    <t>电池冷却水泵空转故障</t>
    <phoneticPr fontId="20" type="noConversion"/>
  </si>
  <si>
    <t>电池高压冷却水泵开路故障</t>
    <phoneticPr fontId="20" type="noConversion"/>
  </si>
  <si>
    <t>电池高压冷却水泵短路故障</t>
    <phoneticPr fontId="20" type="noConversion"/>
  </si>
  <si>
    <t>电池高压冷却水泵过压故障</t>
    <phoneticPr fontId="20" type="noConversion"/>
  </si>
  <si>
    <t>电池高压冷却水泵欠压故障</t>
    <phoneticPr fontId="20" type="noConversion"/>
  </si>
  <si>
    <t>电池高压冷却水泵过流故障</t>
    <phoneticPr fontId="20" type="noConversion"/>
  </si>
  <si>
    <t>电池高压冷却水泵过温故障</t>
    <phoneticPr fontId="20" type="noConversion"/>
  </si>
  <si>
    <t>电池高压冷却水泵空转故障</t>
    <phoneticPr fontId="20" type="noConversion"/>
  </si>
  <si>
    <t>电池高压冷却水泵通讯故障</t>
    <phoneticPr fontId="20" type="noConversion"/>
  </si>
  <si>
    <t>电机冷却水泵1开路故障</t>
    <phoneticPr fontId="20" type="noConversion"/>
  </si>
  <si>
    <t>电机冷却水泵1短路故障</t>
    <phoneticPr fontId="20" type="noConversion"/>
  </si>
  <si>
    <t>电机冷却水泵1过压故障</t>
    <phoneticPr fontId="20" type="noConversion"/>
  </si>
  <si>
    <t>电机冷却水泵1欠压故障</t>
    <phoneticPr fontId="20" type="noConversion"/>
  </si>
  <si>
    <t>电机冷却水泵1过流故障</t>
    <phoneticPr fontId="20" type="noConversion"/>
  </si>
  <si>
    <t>电机冷却水泵1过温故障</t>
    <phoneticPr fontId="20" type="noConversion"/>
  </si>
  <si>
    <t>电机冷却水泵1空转故障</t>
    <phoneticPr fontId="20" type="noConversion"/>
  </si>
  <si>
    <t>电机冷却水泵2开路故障</t>
    <phoneticPr fontId="20" type="noConversion"/>
  </si>
  <si>
    <t>电机冷却水泵2短路故障</t>
    <phoneticPr fontId="20" type="noConversion"/>
  </si>
  <si>
    <t>电机冷却水泵2过压故障</t>
    <phoneticPr fontId="20" type="noConversion"/>
  </si>
  <si>
    <t>电机冷却水泵2欠压故障</t>
    <phoneticPr fontId="20" type="noConversion"/>
  </si>
  <si>
    <t>电机冷却水泵2过流故障</t>
    <phoneticPr fontId="20" type="noConversion"/>
  </si>
  <si>
    <t>电机冷却水泵2过温故障</t>
    <phoneticPr fontId="20" type="noConversion"/>
  </si>
  <si>
    <t>电机冷却水泵2空转故障</t>
    <phoneticPr fontId="20" type="noConversion"/>
  </si>
  <si>
    <t>电机高压冷却水泵开路故障</t>
    <phoneticPr fontId="20" type="noConversion"/>
  </si>
  <si>
    <t>电机高压冷却水泵短路故障</t>
    <phoneticPr fontId="20" type="noConversion"/>
  </si>
  <si>
    <t>电机高压冷却水泵过压故障</t>
    <phoneticPr fontId="20" type="noConversion"/>
  </si>
  <si>
    <t>电机高压冷却水泵欠压故障</t>
    <phoneticPr fontId="20" type="noConversion"/>
  </si>
  <si>
    <t>电机高压冷却水泵过流故障</t>
    <phoneticPr fontId="20" type="noConversion"/>
  </si>
  <si>
    <t>电机高压冷却水泵过温故障</t>
    <phoneticPr fontId="20" type="noConversion"/>
  </si>
  <si>
    <t>电机高压冷却水泵空转故障</t>
    <phoneticPr fontId="20" type="noConversion"/>
  </si>
  <si>
    <t>电机高压冷却水泵通讯故障</t>
    <phoneticPr fontId="20" type="noConversion"/>
  </si>
  <si>
    <t>冷凝风扇 2级故障</t>
  </si>
  <si>
    <t>电机风扇1开路故障</t>
    <phoneticPr fontId="20" type="noConversion"/>
  </si>
  <si>
    <t>电机风扇1短路故障</t>
    <phoneticPr fontId="20" type="noConversion"/>
  </si>
  <si>
    <t>电机风扇1过压故障</t>
    <phoneticPr fontId="20" type="noConversion"/>
  </si>
  <si>
    <t>电机风扇1欠压故障</t>
    <phoneticPr fontId="20" type="noConversion"/>
  </si>
  <si>
    <t>电机风扇1过流故障</t>
    <phoneticPr fontId="20" type="noConversion"/>
  </si>
  <si>
    <t>电机风扇1过温故障</t>
    <phoneticPr fontId="20" type="noConversion"/>
  </si>
  <si>
    <t>电机风扇1堵转故障</t>
    <phoneticPr fontId="20" type="noConversion"/>
  </si>
  <si>
    <t>电机风扇2开路故障</t>
  </si>
  <si>
    <t>电机风扇2短路故障</t>
  </si>
  <si>
    <t>电机风扇2过压故障</t>
  </si>
  <si>
    <t>电机风扇2欠压故障</t>
  </si>
  <si>
    <t>电机风扇2过流故障</t>
  </si>
  <si>
    <t>电机风扇2过温故障</t>
  </si>
  <si>
    <t>电机风扇2堵转故障</t>
  </si>
  <si>
    <t>电机风扇3开路故障</t>
  </si>
  <si>
    <t>电机风扇3短路故障</t>
  </si>
  <si>
    <t>电机风扇3过压故障</t>
  </si>
  <si>
    <t>电机风扇3欠压故障</t>
  </si>
  <si>
    <t>电机风扇3过流故障</t>
  </si>
  <si>
    <t>电机风扇3过温故障</t>
  </si>
  <si>
    <t>电机风扇3堵转故障</t>
  </si>
  <si>
    <t>电机风扇4开路故障</t>
  </si>
  <si>
    <t>电机风扇4短路故障</t>
    <phoneticPr fontId="20" type="noConversion"/>
  </si>
  <si>
    <t>电机风扇4过压故障</t>
  </si>
  <si>
    <t>电机风扇4欠压故障</t>
  </si>
  <si>
    <t>电机风扇4过流故障</t>
  </si>
  <si>
    <t>电机风扇4过温故障</t>
  </si>
  <si>
    <t>电机风扇4堵转故障</t>
  </si>
  <si>
    <t>高压风扇1开路故障</t>
    <phoneticPr fontId="20" type="noConversion"/>
  </si>
  <si>
    <t>高压风扇1短路故障</t>
    <phoneticPr fontId="20" type="noConversion"/>
  </si>
  <si>
    <t>高压风扇1过压故障</t>
    <phoneticPr fontId="20" type="noConversion"/>
  </si>
  <si>
    <t>高压风扇1欠压故障</t>
    <phoneticPr fontId="20" type="noConversion"/>
  </si>
  <si>
    <t>高压风扇1过流故障</t>
    <phoneticPr fontId="20" type="noConversion"/>
  </si>
  <si>
    <t>高压风扇1过温故障</t>
    <phoneticPr fontId="20" type="noConversion"/>
  </si>
  <si>
    <t>高压风扇1堵转故障</t>
    <phoneticPr fontId="20" type="noConversion"/>
  </si>
  <si>
    <t>高压风扇2开路故障</t>
  </si>
  <si>
    <t>高压风扇2短路故障</t>
  </si>
  <si>
    <t>高压风扇2过压故障</t>
  </si>
  <si>
    <t>高压风扇2欠压故障</t>
  </si>
  <si>
    <t>高压风扇2过流故障</t>
  </si>
  <si>
    <t>高压风扇2过温故障</t>
  </si>
  <si>
    <t>高压风扇2堵转故障</t>
  </si>
  <si>
    <t>高压风扇2通讯故障</t>
    <phoneticPr fontId="20" type="noConversion"/>
  </si>
  <si>
    <t>高压风扇3开路故障</t>
  </si>
  <si>
    <t>高压风扇3短路故障</t>
  </si>
  <si>
    <t>高压风扇3过压故障</t>
  </si>
  <si>
    <t>高压风扇3欠压故障</t>
  </si>
  <si>
    <t>高压风扇3过流故障</t>
  </si>
  <si>
    <t>高压风扇3过温故障</t>
  </si>
  <si>
    <t>高压风扇3堵转故障</t>
  </si>
  <si>
    <t>高压风扇3通讯故障</t>
    <phoneticPr fontId="20" type="noConversion"/>
  </si>
  <si>
    <t>加热电磁阀开路故障</t>
    <phoneticPr fontId="20" type="noConversion"/>
  </si>
  <si>
    <t>加热电磁阀短路到地故障</t>
    <phoneticPr fontId="20" type="noConversion"/>
  </si>
  <si>
    <t>加热电磁阀短路到电源故障</t>
    <phoneticPr fontId="20" type="noConversion"/>
  </si>
  <si>
    <t>制冷电磁阀开路故障</t>
    <phoneticPr fontId="20" type="noConversion"/>
  </si>
  <si>
    <t>制冷电磁阀短路到地故障</t>
    <phoneticPr fontId="20" type="noConversion"/>
  </si>
  <si>
    <t>制冷电磁阀短路到电源故障</t>
    <phoneticPr fontId="20" type="noConversion"/>
  </si>
  <si>
    <t>车身暖风电磁阀开路故障</t>
    <phoneticPr fontId="20" type="noConversion"/>
  </si>
  <si>
    <t>车身暖风电磁阀短路到地故障</t>
    <phoneticPr fontId="20" type="noConversion"/>
  </si>
  <si>
    <t>车身暖风电磁阀短路到电源故障</t>
    <phoneticPr fontId="20" type="noConversion"/>
  </si>
  <si>
    <t>三通阀短路故障</t>
    <phoneticPr fontId="20" type="noConversion"/>
  </si>
  <si>
    <t>三通阀开路故障</t>
    <phoneticPr fontId="20" type="noConversion"/>
  </si>
  <si>
    <t>三通阀过流故障</t>
    <phoneticPr fontId="20" type="noConversion"/>
  </si>
  <si>
    <t>三通阀过温故障</t>
    <phoneticPr fontId="20" type="noConversion"/>
  </si>
  <si>
    <t>三通阀电压异常</t>
    <phoneticPr fontId="20" type="noConversion"/>
  </si>
  <si>
    <t>三通阀通讯错误</t>
    <phoneticPr fontId="20" type="noConversion"/>
  </si>
  <si>
    <t>四通阀短路故障</t>
    <phoneticPr fontId="20" type="noConversion"/>
  </si>
  <si>
    <t>四通阀开路故障</t>
    <phoneticPr fontId="20" type="noConversion"/>
  </si>
  <si>
    <t>四通阀过流故障</t>
    <phoneticPr fontId="20" type="noConversion"/>
  </si>
  <si>
    <t>四通阀过温故障</t>
    <phoneticPr fontId="20" type="noConversion"/>
  </si>
  <si>
    <t>四通阀电压异常</t>
    <phoneticPr fontId="20" type="noConversion"/>
  </si>
  <si>
    <t>四通阀通讯错误</t>
    <phoneticPr fontId="20" type="noConversion"/>
  </si>
  <si>
    <t>电子膨胀阀开路故障</t>
    <phoneticPr fontId="20" type="noConversion"/>
  </si>
  <si>
    <t>电子膨胀阀短路到地故障</t>
    <phoneticPr fontId="20" type="noConversion"/>
  </si>
  <si>
    <t>电子膨胀阀短路到电源故障</t>
    <phoneticPr fontId="20" type="noConversion"/>
  </si>
  <si>
    <t>六通阀短路故障</t>
    <phoneticPr fontId="20" type="noConversion"/>
  </si>
  <si>
    <t>六通阀开路故障</t>
    <phoneticPr fontId="20" type="noConversion"/>
  </si>
  <si>
    <t>六通阀过流故障</t>
    <phoneticPr fontId="20" type="noConversion"/>
  </si>
  <si>
    <t>六通阀过温故障</t>
    <phoneticPr fontId="20" type="noConversion"/>
  </si>
  <si>
    <t>六通阀电压异常</t>
    <phoneticPr fontId="20" type="noConversion"/>
  </si>
  <si>
    <t>六通阀通讯错误</t>
    <phoneticPr fontId="20" type="noConversion"/>
  </si>
  <si>
    <t>五通阀短路故障</t>
    <phoneticPr fontId="20" type="noConversion"/>
  </si>
  <si>
    <t>五通阀开路故障</t>
    <phoneticPr fontId="20" type="noConversion"/>
  </si>
  <si>
    <t>五通阀过流故障</t>
    <phoneticPr fontId="20" type="noConversion"/>
  </si>
  <si>
    <t>五通阀过温故障</t>
    <phoneticPr fontId="20" type="noConversion"/>
  </si>
  <si>
    <t>五通阀电压异常</t>
    <phoneticPr fontId="20" type="noConversion"/>
  </si>
  <si>
    <t>五通阀通讯错误</t>
    <phoneticPr fontId="20" type="noConversion"/>
  </si>
  <si>
    <t>电机冷却液液位低</t>
    <phoneticPr fontId="20" type="noConversion"/>
  </si>
  <si>
    <t>电池冷却液液位低</t>
  </si>
  <si>
    <t>冷媒压力高</t>
    <phoneticPr fontId="20" type="noConversion"/>
  </si>
  <si>
    <t>快充冷媒压力高</t>
    <phoneticPr fontId="20" type="noConversion"/>
  </si>
  <si>
    <t>冷媒压力低</t>
    <phoneticPr fontId="20" type="noConversion"/>
  </si>
  <si>
    <t>快充冷媒压力低</t>
    <phoneticPr fontId="20" type="noConversion"/>
  </si>
  <si>
    <t>水泵故障</t>
    <phoneticPr fontId="20" type="noConversion"/>
  </si>
  <si>
    <t>DCDC 2级故障</t>
    <phoneticPr fontId="20" type="noConversion"/>
  </si>
  <si>
    <t>压缩机 2级故障</t>
    <phoneticPr fontId="20" type="noConversion"/>
  </si>
  <si>
    <t>TMS：电机冷却液液位低</t>
    <phoneticPr fontId="6" type="noConversion"/>
  </si>
  <si>
    <t>PTC 1级故障</t>
    <phoneticPr fontId="20" type="noConversion"/>
  </si>
  <si>
    <t>PTC 2级故障</t>
    <phoneticPr fontId="20" type="noConversion"/>
  </si>
  <si>
    <t>旧版仪表界面显示</t>
    <phoneticPr fontId="20" type="noConversion"/>
  </si>
  <si>
    <t>新版显示</t>
    <phoneticPr fontId="6" type="noConversion"/>
  </si>
  <si>
    <t>HCU：电池冷却液液位低</t>
    <phoneticPr fontId="6" type="noConversion"/>
  </si>
  <si>
    <t>油泵通讯故障</t>
    <phoneticPr fontId="6" type="noConversion"/>
  </si>
  <si>
    <t xml:space="preserve">电机温度传感器对地短路 </t>
  </si>
  <si>
    <t xml:space="preserve">控制器温度传感器断线 </t>
  </si>
  <si>
    <t xml:space="preserve">控制器温度传感器对地短路 </t>
  </si>
  <si>
    <t>电子冷却风扇故障</t>
  </si>
  <si>
    <t>高压风扇1故障</t>
    <phoneticPr fontId="20" type="noConversion"/>
  </si>
  <si>
    <t>高压风扇2故障</t>
  </si>
  <si>
    <t>高压风扇3故障</t>
  </si>
  <si>
    <t>高压风扇4故障</t>
  </si>
  <si>
    <t>进水温度传感器故障</t>
    <phoneticPr fontId="20" type="noConversion"/>
  </si>
  <si>
    <t>出水温度传感器故障</t>
    <phoneticPr fontId="20" type="noConversion"/>
  </si>
  <si>
    <t>液位低或液位传感器故障</t>
  </si>
  <si>
    <t>FTS：冷却液液位低</t>
  </si>
  <si>
    <t>FCU：专用冷却液液位过低</t>
    <phoneticPr fontId="6" type="noConversion"/>
  </si>
  <si>
    <t>V1.28新增</t>
    <phoneticPr fontId="6" type="noConversion"/>
  </si>
  <si>
    <t>FTS异常</t>
  </si>
  <si>
    <t>V1.28版本 从HMS改为HMU</t>
    <phoneticPr fontId="6" type="noConversion"/>
  </si>
  <si>
    <t>氢管理系统（HMU）</t>
    <phoneticPr fontId="20" type="noConversion"/>
  </si>
  <si>
    <t>换电系统（PECU）</t>
    <phoneticPr fontId="20" type="noConversion"/>
  </si>
  <si>
    <t>换电控制器接收CAN信息超时</t>
  </si>
  <si>
    <t>V1.28版本显示</t>
    <phoneticPr fontId="6" type="noConversion"/>
  </si>
  <si>
    <r>
      <t xml:space="preserve">故障码大版本更新-DM24041511
：取消故障码文字描述部分，显示为 </t>
    </r>
    <r>
      <rPr>
        <sz val="10"/>
        <rFont val="微软雅黑 Light"/>
        <family val="2"/>
        <charset val="134"/>
      </rPr>
      <t>控制器缩写：（SPN，FMI）</t>
    </r>
    <r>
      <rPr>
        <b/>
        <sz val="10"/>
        <rFont val="微软雅黑 Light"/>
        <family val="2"/>
        <charset val="134"/>
      </rPr>
      <t xml:space="preserve">
（涉及更新的故障码更新已用橙色标注）</t>
    </r>
    <phoneticPr fontId="6" type="noConversion"/>
  </si>
  <si>
    <t>气瓶状态检测失败,请检修</t>
    <phoneticPr fontId="20" type="noConversion"/>
  </si>
  <si>
    <t>气瓶燃气泄漏传感器状态检测失败,请检修</t>
    <phoneticPr fontId="20" type="noConversion"/>
  </si>
  <si>
    <t>燃气瓶</t>
    <phoneticPr fontId="20" type="noConversion"/>
  </si>
  <si>
    <t>气瓶:压力传感器未接入</t>
  </si>
  <si>
    <t>气瓶压力传感器未接入</t>
    <phoneticPr fontId="20" type="noConversion"/>
  </si>
  <si>
    <t>气瓶:液位传感器未接入</t>
  </si>
  <si>
    <t>气瓶液位传感器未接入</t>
    <phoneticPr fontId="20" type="noConversion"/>
  </si>
  <si>
    <t>第一桥左轮摩擦片磨损</t>
    <phoneticPr fontId="20" type="noConversion"/>
  </si>
  <si>
    <t>第一桥右轮摩擦片磨损</t>
    <phoneticPr fontId="20" type="noConversion"/>
  </si>
  <si>
    <t>第二桥左轮摩擦片磨损</t>
    <phoneticPr fontId="20" type="noConversion"/>
  </si>
  <si>
    <t>第二桥右轮摩擦片磨损</t>
    <phoneticPr fontId="20" type="noConversion"/>
  </si>
  <si>
    <t>第三桥左轮摩擦片磨损</t>
    <phoneticPr fontId="20" type="noConversion"/>
  </si>
  <si>
    <t>第三桥右轮摩擦片磨损</t>
    <phoneticPr fontId="20" type="noConversion"/>
  </si>
  <si>
    <t>第四桥左轮摩擦片磨损</t>
    <phoneticPr fontId="20" type="noConversion"/>
  </si>
  <si>
    <t>第四桥右轮摩擦片磨损</t>
    <phoneticPr fontId="20" type="noConversion"/>
  </si>
  <si>
    <t>第五桥左轮摩擦片磨损</t>
    <phoneticPr fontId="20" type="noConversion"/>
  </si>
  <si>
    <t>第五桥右轮摩擦片磨损</t>
    <phoneticPr fontId="20" type="noConversion"/>
  </si>
  <si>
    <t>气瓶:液量已耗尽</t>
  </si>
  <si>
    <t>气瓶:液位测量故障</t>
  </si>
  <si>
    <t>故障类型</t>
    <phoneticPr fontId="20" type="noConversion"/>
  </si>
  <si>
    <t>超时诊断</t>
    <phoneticPr fontId="20" type="noConversion"/>
  </si>
  <si>
    <r>
      <rPr>
        <sz val="10"/>
        <color rgb="FFFF0000"/>
        <rFont val="微软雅黑"/>
        <family val="2"/>
        <charset val="134"/>
      </rPr>
      <t>持续诊断3s才判断故障，在这3内发前一状态的温度，如果是上电就线路问题，默认发25℃</t>
    </r>
    <r>
      <rPr>
        <sz val="10"/>
        <color theme="2" tint="-0.89999084444715716"/>
        <rFont val="微软雅黑"/>
        <family val="2"/>
        <charset val="134"/>
      </rPr>
      <t>，报该故障时,环境温度发0xFE00</t>
    </r>
    <phoneticPr fontId="20" type="noConversion"/>
  </si>
  <si>
    <r>
      <rPr>
        <sz val="10"/>
        <color rgb="FFFF0000"/>
        <rFont val="微软雅黑"/>
        <family val="2"/>
        <charset val="134"/>
      </rPr>
      <t>持续诊断3s才判断故障，在这3内发前一状态的温度，如果是上电就线路问题，默认发25℃，</t>
    </r>
    <r>
      <rPr>
        <sz val="10"/>
        <color theme="2" tint="-0.89999084444715716"/>
        <rFont val="微软雅黑"/>
        <family val="2"/>
        <charset val="134"/>
      </rPr>
      <t>报该故障时,环境温度发0xFE00</t>
    </r>
    <phoneticPr fontId="20" type="noConversion"/>
  </si>
  <si>
    <t>上电5s后,未收到18FF2732持续30s</t>
    <phoneticPr fontId="20" type="noConversion"/>
  </si>
  <si>
    <t>上电5s后,未收到18F00503（&lt;变速箱类型&gt;标定为33、34 诊断18FFF531报文）持续30s</t>
  </si>
  <si>
    <t>V1.28删除</t>
    <phoneticPr fontId="20" type="noConversion"/>
  </si>
  <si>
    <t>仅10×4车型适用</t>
    <phoneticPr fontId="20" type="noConversion"/>
  </si>
  <si>
    <t>仪表:车速传感器电压高</t>
    <phoneticPr fontId="20" type="noConversion"/>
  </si>
  <si>
    <t>仪表:车速传感器电压低</t>
    <phoneticPr fontId="20" type="noConversion"/>
  </si>
  <si>
    <t>仪表:前桥回路气压传感器电压高</t>
    <phoneticPr fontId="20" type="noConversion"/>
  </si>
  <si>
    <t>仪表:前桥回路气压传感器电压低</t>
    <phoneticPr fontId="20" type="noConversion"/>
  </si>
  <si>
    <t>仪表:后桥回路气压传感器电压高</t>
    <phoneticPr fontId="20" type="noConversion"/>
  </si>
  <si>
    <t>仪表:后桥回路气压传感器电压低</t>
    <phoneticPr fontId="20" type="noConversion"/>
  </si>
  <si>
    <t>环境温度传感器信号异常</t>
    <phoneticPr fontId="20" type="noConversion"/>
  </si>
  <si>
    <t>仪表内部故障</t>
    <phoneticPr fontId="20" type="noConversion"/>
  </si>
  <si>
    <t>仪表时钟故障</t>
    <phoneticPr fontId="20" type="noConversion"/>
  </si>
  <si>
    <t>环境温度传感器或线路故障</t>
    <phoneticPr fontId="20" type="noConversion"/>
  </si>
  <si>
    <t>环境温度传感器电压低</t>
    <phoneticPr fontId="20" type="noConversion"/>
  </si>
  <si>
    <t>以下仅显示文字提醒，不再显示（SPN，FMI）</t>
    <phoneticPr fontId="20" type="noConversion"/>
  </si>
  <si>
    <t>V1.28新增</t>
    <phoneticPr fontId="20" type="noConversion"/>
  </si>
  <si>
    <t>BMS:（522244，5）</t>
    <phoneticPr fontId="20" type="noConversion"/>
  </si>
  <si>
    <t>V1.28版本仅保留11条故障码</t>
    <phoneticPr fontId="6" type="noConversion"/>
  </si>
  <si>
    <t>环景影像:（66,9）</t>
    <phoneticPr fontId="19" type="noConversion"/>
  </si>
  <si>
    <t>仪表英文描述</t>
    <phoneticPr fontId="6" type="noConversion"/>
  </si>
  <si>
    <t>环景影像：（72,12）</t>
    <phoneticPr fontId="19" type="noConversion"/>
  </si>
  <si>
    <t>疲劳驾驶：（91,5）</t>
  </si>
  <si>
    <t>疲劳驾驶：（92,6）</t>
    <phoneticPr fontId="19" type="noConversion"/>
  </si>
  <si>
    <t>疲劳驾驶：（93,5）</t>
    <phoneticPr fontId="19" type="noConversion"/>
  </si>
  <si>
    <t>疲劳驾驶：（94,6）</t>
    <phoneticPr fontId="6" type="noConversion"/>
  </si>
  <si>
    <r>
      <t xml:space="preserve">DFMS：Camera </t>
    </r>
    <r>
      <rPr>
        <sz val="10.5"/>
        <rFont val="微软雅黑"/>
        <family val="2"/>
        <charset val="134"/>
      </rPr>
      <t>open-circuit</t>
    </r>
    <r>
      <rPr>
        <sz val="10"/>
        <rFont val="微软雅黑"/>
        <family val="2"/>
        <charset val="134"/>
      </rPr>
      <t>（91,5）</t>
    </r>
    <phoneticPr fontId="19" type="noConversion"/>
  </si>
  <si>
    <r>
      <t xml:space="preserve">DFMS：Camera </t>
    </r>
    <r>
      <rPr>
        <sz val="10.5"/>
        <rFont val="微软雅黑"/>
        <family val="2"/>
        <charset val="134"/>
      </rPr>
      <t>short-circuit</t>
    </r>
    <r>
      <rPr>
        <sz val="10"/>
        <rFont val="微软雅黑"/>
        <family val="2"/>
        <charset val="134"/>
      </rPr>
      <t xml:space="preserve">（92,6）          </t>
    </r>
    <phoneticPr fontId="19" type="noConversion"/>
  </si>
  <si>
    <r>
      <t xml:space="preserve">DFMS：Infrared  light </t>
    </r>
    <r>
      <rPr>
        <sz val="10.5"/>
        <rFont val="微软雅黑"/>
        <family val="2"/>
        <charset val="134"/>
      </rPr>
      <t>open-circuit</t>
    </r>
    <r>
      <rPr>
        <sz val="10"/>
        <rFont val="微软雅黑"/>
        <family val="2"/>
        <charset val="134"/>
      </rPr>
      <t>（93，5）</t>
    </r>
    <phoneticPr fontId="19" type="noConversion"/>
  </si>
  <si>
    <r>
      <t xml:space="preserve">DFMS：Infrared  light </t>
    </r>
    <r>
      <rPr>
        <sz val="10.5"/>
        <rFont val="微软雅黑"/>
        <family val="2"/>
        <charset val="134"/>
      </rPr>
      <t>short-circuit</t>
    </r>
    <r>
      <rPr>
        <sz val="10"/>
        <rFont val="微软雅黑"/>
        <family val="2"/>
        <charset val="134"/>
      </rPr>
      <t>（94,6）</t>
    </r>
    <phoneticPr fontId="19" type="noConversion"/>
  </si>
  <si>
    <t>ECAS:(629,11)</t>
  </si>
  <si>
    <t>ECAS:控制器内部故障</t>
  </si>
  <si>
    <t>ECAS:(629,14)</t>
  </si>
  <si>
    <t>629</t>
  </si>
  <si>
    <t>ECAS:(629,2)</t>
  </si>
  <si>
    <t>ECAS:(1635,12)</t>
  </si>
  <si>
    <t>ECAS:(629,12)</t>
  </si>
  <si>
    <t>ECAS:(629,10)</t>
  </si>
  <si>
    <t>ECAS:(234,12)</t>
  </si>
  <si>
    <t>ECAS:(234,1)</t>
  </si>
  <si>
    <t>ECAS:(234,2)</t>
  </si>
  <si>
    <t>ECAS:(630,12)</t>
  </si>
  <si>
    <t>ECAS:(630,2)</t>
  </si>
  <si>
    <t>ECAS:(627,3)</t>
  </si>
  <si>
    <t>ECAS:(627,4)</t>
  </si>
  <si>
    <t>ECAS:(627,5)</t>
  </si>
  <si>
    <t>ECAS:(3509,13)</t>
  </si>
  <si>
    <t>ECAS:(3509,4)</t>
  </si>
  <si>
    <t>ECAS:(3509,3)</t>
  </si>
  <si>
    <t>ECAS:(701,4)</t>
  </si>
  <si>
    <t>ECAS:(701,3)</t>
  </si>
  <si>
    <t>ECAS:(701,5)</t>
  </si>
  <si>
    <t>ECAS:(701,1)</t>
  </si>
  <si>
    <t>ECAS:(702,4)</t>
  </si>
  <si>
    <t>ECAS:(702,3)</t>
  </si>
  <si>
    <t>ECAS:(702,5)</t>
  </si>
  <si>
    <t>ECAS:(702,1)</t>
  </si>
  <si>
    <t>ECAS:(703,4)</t>
  </si>
  <si>
    <t>ECAS:(703,3)</t>
  </si>
  <si>
    <t>ECAS:(703,5)</t>
  </si>
  <si>
    <t>ECAS:(703,1)</t>
  </si>
  <si>
    <t>ECAS:(713,4)</t>
  </si>
  <si>
    <t>ECAS:(713,3)</t>
  </si>
  <si>
    <t>ECAS:(713,5)</t>
  </si>
  <si>
    <t>ECAS:(713,11)</t>
  </si>
  <si>
    <t>ECAS:后轴左ECAS高度传感器信号不可信</t>
  </si>
  <si>
    <t>ECAS:(3840,11)</t>
  </si>
  <si>
    <t>ECAS:后轴左ECAS高度传感器信号超过标定值</t>
  </si>
  <si>
    <t>ECAS:(3840,13)</t>
  </si>
  <si>
    <t>ECAS:后轴左ECAS高度传感器部件故障</t>
  </si>
  <si>
    <t>ECAS:(3840,12)</t>
  </si>
  <si>
    <t>ECAS:后轴右ECAS高度传感器信号不可信</t>
  </si>
  <si>
    <t>ECAS:(3842,11)</t>
  </si>
  <si>
    <t>ECAS:后轴右ECAS高度传感器信号超过标定值</t>
  </si>
  <si>
    <t>ECAS:(3842,13)</t>
  </si>
  <si>
    <t>ECAS:后轴右ECAS高度传感器部件故障</t>
  </si>
  <si>
    <t>ECAS:(3842,12)</t>
  </si>
  <si>
    <t>ECAS:(523880,2)</t>
  </si>
  <si>
    <t>ECAS:(274430,11)</t>
  </si>
  <si>
    <t>ECAS:(274430,2)</t>
  </si>
  <si>
    <t>ECAS:(274210,3)</t>
  </si>
  <si>
    <t>ECAS:(274210,6)</t>
  </si>
  <si>
    <t>ECAS:(274223,3)</t>
  </si>
  <si>
    <t>ECAS:(274224,3)</t>
  </si>
  <si>
    <t>ECAS:(274192,6)</t>
  </si>
  <si>
    <t>ECAS:(274192,5)</t>
  </si>
  <si>
    <t>ECAS:(274192,4)</t>
  </si>
  <si>
    <t>ECAS:(274195,6)</t>
  </si>
  <si>
    <t>ECAS:(274195,5)</t>
  </si>
  <si>
    <t>ECAS:(274195,4)</t>
  </si>
  <si>
    <t>ECAS:(274194,6)</t>
  </si>
  <si>
    <t>ECAS:(274194,5)</t>
  </si>
  <si>
    <t>ECAS:(274194,4)</t>
  </si>
  <si>
    <t>ECAS:(274177,6)</t>
  </si>
  <si>
    <t>ECAS:(274177,3)</t>
  </si>
  <si>
    <t>ECAS:(274177,5)</t>
  </si>
  <si>
    <t>ECAS:(274180,6)</t>
  </si>
  <si>
    <t>ECAS:(274180,3)</t>
  </si>
  <si>
    <t>ECAS:(274180,5)</t>
  </si>
  <si>
    <t>ECAS:(274183,6)</t>
  </si>
  <si>
    <t>ECAS:(274183,3)</t>
  </si>
  <si>
    <t>ECAS:(274183,5)</t>
  </si>
  <si>
    <t>ECAS:(274179,6)</t>
  </si>
  <si>
    <t>ECAS:(274179,3)</t>
  </si>
  <si>
    <t>ECAS:(274179,5)</t>
  </si>
  <si>
    <t>ECAS:(274182,6)</t>
  </si>
  <si>
    <t>ECAS:(274182,3)</t>
  </si>
  <si>
    <t>ECAS:(274182,5)</t>
  </si>
  <si>
    <t>ECAS:(274181,6)</t>
  </si>
  <si>
    <t>ECAS:(274181,3)</t>
  </si>
  <si>
    <t>ECAS:(274181,5)</t>
  </si>
  <si>
    <t>ECAS:(274219,6)</t>
  </si>
  <si>
    <t>ECAS:(274219,3)</t>
  </si>
  <si>
    <t>ECAS:(274219,5)</t>
  </si>
  <si>
    <t>ECAS:(274186,6)</t>
  </si>
  <si>
    <t>ECAS:(274186,3)</t>
  </si>
  <si>
    <t>ECAS:(274186,5)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</si>
</sst>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Arial"/>
      <family val="2"/>
    </font>
    <font>
      <b/>
      <sz val="12"/>
      <color theme="2" tint="-0.8999908444471571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0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238"/>
    </font>
    <font>
      <sz val="11"/>
      <color rgb="FF0061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trike/>
      <sz val="11"/>
      <color rgb="FFFF0000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Arial"/>
      <family val="2"/>
    </font>
    <font>
      <b/>
      <sz val="11"/>
      <color rgb="FF00000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Tahoma"/>
      <family val="2"/>
    </font>
    <font>
      <sz val="10"/>
      <color theme="1"/>
      <name val="宋体"/>
      <family val="3"/>
      <charset val="134"/>
      <scheme val="minor"/>
    </font>
    <font>
      <strike/>
      <sz val="11"/>
      <color theme="1"/>
      <name val="宋体"/>
      <family val="3"/>
      <charset val="134"/>
    </font>
    <font>
      <strike/>
      <sz val="11"/>
      <color rgb="FFFF0000"/>
      <name val="Times New Roman"/>
      <family val="1"/>
    </font>
    <font>
      <strike/>
      <sz val="11"/>
      <color rgb="FFFF0000"/>
      <name val="宋体"/>
      <family val="3"/>
      <charset val="134"/>
    </font>
    <font>
      <strike/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4"/>
      <color theme="10"/>
      <name val="微软雅黑 Light"/>
      <family val="2"/>
      <charset val="134"/>
    </font>
    <font>
      <sz val="11"/>
      <color indexed="8"/>
      <name val="宋体"/>
      <family val="2"/>
      <scheme val="minor"/>
    </font>
    <font>
      <u/>
      <sz val="11"/>
      <color theme="1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9"/>
      <name val="Arial"/>
      <family val="2"/>
      <charset val="134"/>
    </font>
    <font>
      <sz val="1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9"/>
      <color rgb="FF000000"/>
      <name val="微软雅黑 Light"/>
      <family val="2"/>
      <charset val="134"/>
    </font>
    <font>
      <sz val="9"/>
      <name val="微软雅黑 Light"/>
      <family val="2"/>
      <charset val="134"/>
    </font>
    <font>
      <sz val="10"/>
      <color theme="1"/>
      <name val="微软雅黑 Light"/>
      <family val="2"/>
      <charset val="134"/>
    </font>
    <font>
      <b/>
      <sz val="11"/>
      <color rgb="FF0000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0"/>
      <color rgb="FFFF0000"/>
      <name val="微软雅黑 Light"/>
      <family val="2"/>
      <charset val="134"/>
    </font>
    <font>
      <b/>
      <sz val="11"/>
      <color rgb="FF000000"/>
      <name val="微软雅黑 Light"/>
      <family val="2"/>
      <charset val="134"/>
    </font>
    <font>
      <sz val="10"/>
      <color rgb="FF000000"/>
      <name val="微软雅黑 Light"/>
      <family val="2"/>
      <charset val="134"/>
    </font>
    <font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u/>
      <sz val="12"/>
      <color theme="10"/>
      <name val="微软雅黑 Light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1"/>
      <name val="微软雅黑 Light"/>
      <family val="2"/>
      <charset val="134"/>
    </font>
    <font>
      <b/>
      <sz val="8"/>
      <color theme="1"/>
      <name val="微软雅黑 Light"/>
      <family val="2"/>
      <charset val="134"/>
    </font>
    <font>
      <sz val="8"/>
      <color theme="1"/>
      <name val="微软雅黑 Light"/>
      <family val="2"/>
      <charset val="134"/>
    </font>
    <font>
      <sz val="10"/>
      <name val="微软雅黑 Light"/>
      <family val="2"/>
      <charset val="134"/>
    </font>
    <font>
      <u/>
      <sz val="14"/>
      <color theme="10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trike/>
      <sz val="10"/>
      <name val="微软雅黑"/>
      <family val="2"/>
      <charset val="134"/>
    </font>
    <font>
      <sz val="10.5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strike/>
      <sz val="10"/>
      <color rgb="FF000000"/>
      <name val="微软雅黑"/>
      <family val="2"/>
      <charset val="134"/>
    </font>
    <font>
      <b/>
      <sz val="10"/>
      <color rgb="FF1D1B10"/>
      <name val="微软雅黑"/>
      <family val="2"/>
      <charset val="134"/>
    </font>
    <font>
      <b/>
      <sz val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sz val="11"/>
      <color theme="2" tint="-0.89999084444715716"/>
      <name val="微软雅黑"/>
      <family val="2"/>
      <charset val="134"/>
    </font>
    <font>
      <sz val="10"/>
      <color theme="2" tint="-0.89999084444715716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trike/>
      <sz val="10"/>
      <color theme="2" tint="-0.89996032593768116"/>
      <name val="微软雅黑"/>
      <family val="2"/>
      <charset val="134"/>
    </font>
    <font>
      <b/>
      <sz val="11"/>
      <color theme="2" tint="-0.89999084444715716"/>
      <name val="微软雅黑"/>
      <family val="2"/>
      <charset val="134"/>
    </font>
    <font>
      <sz val="10"/>
      <color rgb="FFFF0000"/>
      <name val="微软雅黑 Light"/>
      <family val="2"/>
      <charset val="134"/>
    </font>
    <font>
      <u/>
      <sz val="11"/>
      <color theme="10"/>
      <name val="微软雅黑 Light"/>
      <family val="2"/>
      <charset val="134"/>
    </font>
    <font>
      <sz val="10.5"/>
      <name val="微软雅黑 Light"/>
      <family val="2"/>
      <charset val="134"/>
    </font>
    <font>
      <sz val="11"/>
      <color rgb="FFFF0000"/>
      <name val="微软雅黑 Light"/>
      <family val="2"/>
      <charset val="134"/>
    </font>
    <font>
      <b/>
      <sz val="12"/>
      <color theme="2" tint="-0.89999084444715716"/>
      <name val="微软雅黑"/>
      <family val="2"/>
      <charset val="134"/>
    </font>
    <font>
      <sz val="12"/>
      <color theme="2" tint="-0.89999084444715716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1D1B10"/>
      <name val="微软雅黑"/>
      <family val="2"/>
      <charset val="134"/>
    </font>
    <font>
      <sz val="12"/>
      <color theme="2" tint="-0.89996032593768116"/>
      <name val="微软雅黑"/>
      <family val="2"/>
      <charset val="134"/>
    </font>
    <font>
      <b/>
      <sz val="12"/>
      <color rgb="FF1D1B10"/>
      <name val="微软雅黑"/>
      <family val="2"/>
      <charset val="134"/>
    </font>
    <font>
      <b/>
      <sz val="12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3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7" fillId="0" borderId="0"/>
    <xf numFmtId="0" fontId="10" fillId="0" borderId="0"/>
    <xf numFmtId="0" fontId="10" fillId="0" borderId="0"/>
    <xf numFmtId="0" fontId="17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16" fillId="3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26" fillId="0" borderId="0" applyNumberFormat="0" applyFill="0" applyBorder="0" applyProtection="0">
      <alignment horizontal="left" vertical="top"/>
    </xf>
    <xf numFmtId="0" fontId="27" fillId="0" borderId="0"/>
    <xf numFmtId="0" fontId="15" fillId="0" borderId="0">
      <alignment vertical="center"/>
    </xf>
    <xf numFmtId="0" fontId="10" fillId="0" borderId="0"/>
    <xf numFmtId="0" fontId="15" fillId="0" borderId="0"/>
    <xf numFmtId="0" fontId="10" fillId="0" borderId="0">
      <alignment vertical="center"/>
    </xf>
    <xf numFmtId="0" fontId="27" fillId="0" borderId="0"/>
    <xf numFmtId="0" fontId="10" fillId="0" borderId="0"/>
    <xf numFmtId="0" fontId="10" fillId="0" borderId="0"/>
    <xf numFmtId="0" fontId="28" fillId="0" borderId="0"/>
    <xf numFmtId="0" fontId="29" fillId="2" borderId="0" applyNumberFormat="0" applyBorder="0" applyAlignment="0" applyProtection="0">
      <alignment vertical="center"/>
    </xf>
    <xf numFmtId="0" fontId="15" fillId="4" borderId="10" applyNumberFormat="0" applyFont="0" applyAlignment="0" applyProtection="0">
      <alignment vertical="center"/>
    </xf>
    <xf numFmtId="0" fontId="37" fillId="0" borderId="0"/>
    <xf numFmtId="0" fontId="5" fillId="0" borderId="0"/>
    <xf numFmtId="0" fontId="41" fillId="0" borderId="0"/>
    <xf numFmtId="0" fontId="47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2" fillId="0" borderId="0"/>
    <xf numFmtId="0" fontId="1" fillId="0" borderId="0"/>
    <xf numFmtId="0" fontId="15" fillId="0" borderId="0">
      <alignment vertical="center"/>
    </xf>
  </cellStyleXfs>
  <cellXfs count="5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0" fillId="0" borderId="0" xfId="4"/>
    <xf numFmtId="0" fontId="10" fillId="0" borderId="0" xfId="4" applyAlignment="1">
      <alignment horizontal="left"/>
    </xf>
    <xf numFmtId="0" fontId="18" fillId="5" borderId="1" xfId="3" applyFont="1" applyFill="1" applyBorder="1" applyAlignment="1">
      <alignment horizontal="center" vertical="center" wrapText="1"/>
    </xf>
    <xf numFmtId="0" fontId="30" fillId="0" borderId="0" xfId="4" applyFont="1" applyAlignment="1">
      <alignment horizontal="center"/>
    </xf>
    <xf numFmtId="0" fontId="32" fillId="0" borderId="0" xfId="3" applyFont="1" applyAlignment="1">
      <alignment horizontal="center" vertical="center" wrapText="1"/>
    </xf>
    <xf numFmtId="0" fontId="27" fillId="0" borderId="0" xfId="14"/>
    <xf numFmtId="49" fontId="21" fillId="0" borderId="1" xfId="14" applyNumberFormat="1" applyFont="1" applyBorder="1" applyAlignment="1">
      <alignment horizontal="center" vertical="center" wrapText="1"/>
    </xf>
    <xf numFmtId="49" fontId="21" fillId="0" borderId="1" xfId="4" applyNumberFormat="1" applyFont="1" applyBorder="1" applyAlignment="1">
      <alignment horizontal="center" vertical="center" wrapText="1"/>
    </xf>
    <xf numFmtId="0" fontId="21" fillId="0" borderId="1" xfId="4" applyFont="1" applyBorder="1" applyAlignment="1">
      <alignment horizontal="left" vertical="center" wrapText="1"/>
    </xf>
    <xf numFmtId="0" fontId="22" fillId="0" borderId="1" xfId="14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2" fillId="0" borderId="1" xfId="4" applyFont="1" applyBorder="1" applyAlignment="1">
      <alignment horizontal="center" vertical="center" wrapText="1"/>
    </xf>
    <xf numFmtId="0" fontId="22" fillId="0" borderId="1" xfId="19" applyFont="1" applyBorder="1" applyAlignment="1">
      <alignment horizontal="left" vertical="center" wrapText="1"/>
    </xf>
    <xf numFmtId="0" fontId="27" fillId="0" borderId="0" xfId="14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35" fillId="9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49" fontId="36" fillId="0" borderId="1" xfId="0" applyNumberFormat="1" applyFont="1" applyBorder="1" applyAlignment="1" applyProtection="1">
      <alignment vertical="center" wrapText="1"/>
      <protection locked="0"/>
    </xf>
    <xf numFmtId="0" fontId="36" fillId="0" borderId="1" xfId="0" applyFont="1" applyBorder="1" applyAlignment="1" applyProtection="1">
      <alignment vertical="center" wrapText="1"/>
      <protection locked="0"/>
    </xf>
    <xf numFmtId="0" fontId="0" fillId="0" borderId="1" xfId="0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0" fontId="5" fillId="0" borderId="0" xfId="26"/>
    <xf numFmtId="0" fontId="40" fillId="7" borderId="1" xfId="0" applyFont="1" applyFill="1" applyBorder="1" applyAlignment="1"/>
    <xf numFmtId="0" fontId="40" fillId="7" borderId="1" xfId="0" applyFont="1" applyFill="1" applyBorder="1" applyAlignment="1">
      <alignment horizontal="left"/>
    </xf>
    <xf numFmtId="0" fontId="14" fillId="0" borderId="1" xfId="0" applyFont="1" applyBorder="1">
      <alignment vertical="center"/>
    </xf>
    <xf numFmtId="0" fontId="35" fillId="0" borderId="1" xfId="0" applyFont="1" applyBorder="1" applyAlignment="1">
      <alignment horizontal="left" vertical="center" wrapText="1"/>
    </xf>
    <xf numFmtId="0" fontId="40" fillId="0" borderId="1" xfId="0" applyFont="1" applyBorder="1" applyAlignment="1"/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>
      <alignment vertical="center"/>
    </xf>
    <xf numFmtId="0" fontId="3" fillId="8" borderId="0" xfId="26" applyFont="1" applyFill="1"/>
    <xf numFmtId="0" fontId="10" fillId="5" borderId="1" xfId="0" applyFont="1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12" fillId="5" borderId="1" xfId="0" applyFont="1" applyFill="1" applyBorder="1" applyAlignment="1">
      <alignment horizontal="justify" vertical="center" wrapText="1"/>
    </xf>
    <xf numFmtId="0" fontId="0" fillId="5" borderId="11" xfId="0" applyFill="1" applyBorder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0" fontId="44" fillId="0" borderId="1" xfId="0" applyFont="1" applyBorder="1" applyAlignment="1">
      <alignment horizontal="justify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34" fillId="0" borderId="1" xfId="0" applyFont="1" applyBorder="1">
      <alignment vertical="center"/>
    </xf>
    <xf numFmtId="0" fontId="33" fillId="0" borderId="0" xfId="0" applyFont="1">
      <alignment vertical="center"/>
    </xf>
    <xf numFmtId="0" fontId="14" fillId="0" borderId="4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7" xfId="0" applyFont="1" applyBorder="1" applyAlignment="1">
      <alignment horizontal="left" vertical="center"/>
    </xf>
    <xf numFmtId="0" fontId="34" fillId="0" borderId="9" xfId="0" applyFont="1" applyBorder="1">
      <alignment vertical="center"/>
    </xf>
    <xf numFmtId="0" fontId="34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47" fillId="0" borderId="0" xfId="28" applyAlignment="1">
      <alignment horizontal="center" vertical="center"/>
    </xf>
    <xf numFmtId="0" fontId="48" fillId="9" borderId="1" xfId="26" applyFont="1" applyFill="1" applyBorder="1"/>
    <xf numFmtId="0" fontId="49" fillId="0" borderId="1" xfId="26" applyFont="1" applyBorder="1"/>
    <xf numFmtId="0" fontId="49" fillId="0" borderId="1" xfId="26" applyFont="1" applyBorder="1" applyAlignment="1">
      <alignment vertical="center"/>
    </xf>
    <xf numFmtId="0" fontId="47" fillId="0" borderId="0" xfId="28">
      <alignment vertical="center"/>
    </xf>
    <xf numFmtId="0" fontId="47" fillId="0" borderId="0" xfId="28" applyAlignment="1">
      <alignment horizontal="left" vertical="center"/>
    </xf>
    <xf numFmtId="0" fontId="50" fillId="0" borderId="1" xfId="28" applyFont="1" applyBorder="1" applyAlignment="1"/>
    <xf numFmtId="0" fontId="50" fillId="0" borderId="0" xfId="28" applyFont="1" applyFill="1">
      <alignment vertical="center"/>
    </xf>
    <xf numFmtId="0" fontId="50" fillId="0" borderId="1" xfId="28" applyFont="1" applyFill="1" applyBorder="1" applyAlignment="1"/>
    <xf numFmtId="0" fontId="4" fillId="7" borderId="0" xfId="26" applyFont="1" applyFill="1"/>
    <xf numFmtId="0" fontId="10" fillId="0" borderId="0" xfId="30" applyFont="1" applyAlignment="1">
      <alignment vertical="center"/>
    </xf>
    <xf numFmtId="0" fontId="10" fillId="0" borderId="0" xfId="30" applyFont="1" applyAlignment="1">
      <alignment horizontal="center" vertical="center"/>
    </xf>
    <xf numFmtId="0" fontId="10" fillId="6" borderId="0" xfId="30" applyFont="1" applyFill="1" applyAlignment="1">
      <alignment horizontal="center" vertical="center"/>
    </xf>
    <xf numFmtId="0" fontId="10" fillId="6" borderId="0" xfId="30" applyFont="1" applyFill="1" applyAlignment="1">
      <alignment vertical="center"/>
    </xf>
    <xf numFmtId="0" fontId="10" fillId="8" borderId="0" xfId="30" applyFont="1" applyFill="1" applyAlignment="1">
      <alignment vertical="center"/>
    </xf>
    <xf numFmtId="0" fontId="12" fillId="0" borderId="0" xfId="30" applyFont="1" applyAlignment="1">
      <alignment horizontal="center" vertical="center" wrapText="1"/>
    </xf>
    <xf numFmtId="0" fontId="7" fillId="0" borderId="0" xfId="30" applyFont="1" applyAlignment="1">
      <alignment horizontal="center" vertical="center" wrapText="1"/>
    </xf>
    <xf numFmtId="0" fontId="2" fillId="0" borderId="0" xfId="30" applyAlignment="1">
      <alignment horizontal="left"/>
    </xf>
    <xf numFmtId="0" fontId="2" fillId="0" borderId="0" xfId="30" applyAlignment="1">
      <alignment horizontal="center" vertical="center"/>
    </xf>
    <xf numFmtId="0" fontId="52" fillId="6" borderId="0" xfId="28" applyFont="1" applyFill="1" applyAlignment="1">
      <alignment horizontal="center" vertical="center"/>
    </xf>
    <xf numFmtId="0" fontId="39" fillId="0" borderId="0" xfId="30" applyFont="1" applyAlignment="1">
      <alignment horizontal="center" vertical="center"/>
    </xf>
    <xf numFmtId="0" fontId="39" fillId="0" borderId="0" xfId="30" applyFont="1" applyAlignment="1">
      <alignment vertical="center"/>
    </xf>
    <xf numFmtId="0" fontId="39" fillId="0" borderId="1" xfId="30" applyFont="1" applyBorder="1" applyAlignment="1">
      <alignment horizontal="center" vertical="center"/>
    </xf>
    <xf numFmtId="0" fontId="39" fillId="0" borderId="1" xfId="30" applyFont="1" applyBorder="1" applyAlignment="1">
      <alignment vertical="center"/>
    </xf>
    <xf numFmtId="0" fontId="39" fillId="0" borderId="1" xfId="30" applyFont="1" applyBorder="1" applyAlignment="1">
      <alignment vertical="center" wrapText="1"/>
    </xf>
    <xf numFmtId="0" fontId="39" fillId="0" borderId="1" xfId="30" applyFont="1" applyBorder="1" applyAlignment="1">
      <alignment horizontal="left" vertical="center"/>
    </xf>
    <xf numFmtId="0" fontId="39" fillId="6" borderId="0" xfId="30" applyFont="1" applyFill="1" applyAlignment="1">
      <alignment horizontal="center" vertical="center"/>
    </xf>
    <xf numFmtId="0" fontId="21" fillId="0" borderId="0" xfId="5" applyFont="1" applyAlignment="1">
      <alignment horizontal="center" vertical="center" wrapText="1"/>
    </xf>
    <xf numFmtId="0" fontId="21" fillId="0" borderId="0" xfId="5" applyFont="1" applyAlignment="1">
      <alignment horizontal="left" vertical="center" wrapText="1"/>
    </xf>
    <xf numFmtId="49" fontId="21" fillId="0" borderId="0" xfId="5" applyNumberFormat="1" applyFont="1" applyAlignment="1">
      <alignment horizontal="center" vertical="center" wrapText="1"/>
    </xf>
    <xf numFmtId="0" fontId="56" fillId="7" borderId="1" xfId="18" applyFont="1" applyFill="1" applyBorder="1" applyAlignment="1">
      <alignment horizontal="left" vertical="center"/>
    </xf>
    <xf numFmtId="0" fontId="50" fillId="0" borderId="1" xfId="28" applyFont="1" applyFill="1" applyBorder="1">
      <alignment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/>
    </xf>
    <xf numFmtId="0" fontId="57" fillId="0" borderId="1" xfId="0" applyFont="1" applyBorder="1">
      <alignment vertical="center"/>
    </xf>
    <xf numFmtId="0" fontId="58" fillId="0" borderId="1" xfId="19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6" fillId="0" borderId="1" xfId="18" applyFont="1" applyBorder="1" applyAlignment="1">
      <alignment horizontal="left"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/>
    <xf numFmtId="0" fontId="60" fillId="0" borderId="1" xfId="0" applyFont="1" applyBorder="1">
      <alignment vertical="center"/>
    </xf>
    <xf numFmtId="0" fontId="60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vertical="center" wrapText="1"/>
    </xf>
    <xf numFmtId="0" fontId="60" fillId="0" borderId="1" xfId="0" applyFont="1" applyBorder="1" applyAlignment="1">
      <alignment horizontal="left" vertical="center" wrapText="1"/>
    </xf>
    <xf numFmtId="0" fontId="56" fillId="11" borderId="1" xfId="0" applyFont="1" applyFill="1" applyBorder="1" applyAlignment="1">
      <alignment horizontal="center" vertical="center"/>
    </xf>
    <xf numFmtId="0" fontId="58" fillId="11" borderId="1" xfId="19" applyFont="1" applyFill="1" applyBorder="1" applyAlignment="1">
      <alignment horizontal="center" vertical="center"/>
    </xf>
    <xf numFmtId="0" fontId="59" fillId="11" borderId="1" xfId="0" applyFont="1" applyFill="1" applyBorder="1" applyAlignment="1">
      <alignment horizontal="center" vertical="center"/>
    </xf>
    <xf numFmtId="0" fontId="56" fillId="11" borderId="1" xfId="18" applyFont="1" applyFill="1" applyBorder="1" applyAlignment="1">
      <alignment horizontal="left" vertical="center"/>
    </xf>
    <xf numFmtId="0" fontId="40" fillId="9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0" fillId="7" borderId="1" xfId="0" applyFont="1" applyFill="1" applyBorder="1">
      <alignment vertical="center"/>
    </xf>
    <xf numFmtId="0" fontId="36" fillId="8" borderId="1" xfId="0" applyFont="1" applyFill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39" fillId="0" borderId="1" xfId="0" applyFont="1" applyBorder="1">
      <alignment vertical="center"/>
    </xf>
    <xf numFmtId="0" fontId="39" fillId="0" borderId="0" xfId="0" applyFont="1">
      <alignment vertical="center"/>
    </xf>
    <xf numFmtId="0" fontId="69" fillId="0" borderId="0" xfId="0" applyFont="1">
      <alignment vertical="center"/>
    </xf>
    <xf numFmtId="0" fontId="68" fillId="13" borderId="1" xfId="0" applyFont="1" applyFill="1" applyBorder="1" applyAlignment="1">
      <alignment horizontal="center" vertical="center"/>
    </xf>
    <xf numFmtId="0" fontId="68" fillId="13" borderId="1" xfId="0" applyFont="1" applyFill="1" applyBorder="1" applyAlignment="1">
      <alignment horizontal="center" vertical="center" wrapText="1"/>
    </xf>
    <xf numFmtId="0" fontId="68" fillId="13" borderId="1" xfId="0" applyFont="1" applyFill="1" applyBorder="1" applyAlignment="1">
      <alignment horizontal="left" vertical="center" wrapText="1"/>
    </xf>
    <xf numFmtId="0" fontId="69" fillId="13" borderId="1" xfId="0" applyFont="1" applyFill="1" applyBorder="1">
      <alignment vertical="center"/>
    </xf>
    <xf numFmtId="0" fontId="70" fillId="0" borderId="1" xfId="28" applyFont="1" applyBorder="1" applyAlignment="1"/>
    <xf numFmtId="0" fontId="39" fillId="0" borderId="1" xfId="0" applyFont="1" applyBorder="1" applyAlignment="1">
      <alignment horizontal="center" vertical="center"/>
    </xf>
    <xf numFmtId="0" fontId="72" fillId="13" borderId="1" xfId="14" applyFont="1" applyFill="1" applyBorder="1" applyAlignment="1">
      <alignment horizontal="left"/>
    </xf>
    <xf numFmtId="0" fontId="73" fillId="7" borderId="1" xfId="14" applyFont="1" applyFill="1" applyBorder="1" applyAlignment="1">
      <alignment horizontal="left"/>
    </xf>
    <xf numFmtId="0" fontId="72" fillId="13" borderId="1" xfId="14" applyFont="1" applyFill="1" applyBorder="1" applyAlignment="1">
      <alignment horizontal="center"/>
    </xf>
    <xf numFmtId="0" fontId="64" fillId="13" borderId="1" xfId="14" applyFont="1" applyFill="1" applyBorder="1" applyAlignment="1">
      <alignment horizontal="center" vertical="center" wrapText="1"/>
    </xf>
    <xf numFmtId="0" fontId="72" fillId="0" borderId="0" xfId="14" applyFont="1"/>
    <xf numFmtId="0" fontId="57" fillId="0" borderId="0" xfId="14" applyFont="1"/>
    <xf numFmtId="0" fontId="75" fillId="9" borderId="1" xfId="0" applyFont="1" applyFill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0" xfId="14" applyFont="1" applyAlignment="1">
      <alignment horizontal="left"/>
    </xf>
    <xf numFmtId="0" fontId="74" fillId="0" borderId="0" xfId="14" applyFont="1" applyAlignment="1">
      <alignment horizontal="left"/>
    </xf>
    <xf numFmtId="0" fontId="57" fillId="0" borderId="0" xfId="14" applyFont="1" applyAlignment="1">
      <alignment horizontal="center"/>
    </xf>
    <xf numFmtId="0" fontId="60" fillId="0" borderId="1" xfId="14" applyFont="1" applyBorder="1" applyAlignment="1">
      <alignment horizontal="left"/>
    </xf>
    <xf numFmtId="0" fontId="60" fillId="0" borderId="1" xfId="14" applyFont="1" applyBorder="1" applyAlignment="1">
      <alignment horizontal="center"/>
    </xf>
    <xf numFmtId="0" fontId="60" fillId="0" borderId="1" xfId="14" applyFont="1" applyBorder="1" applyAlignment="1">
      <alignment horizontal="center" vertical="center" wrapText="1"/>
    </xf>
    <xf numFmtId="0" fontId="60" fillId="0" borderId="1" xfId="14" applyFont="1" applyBorder="1" applyAlignment="1">
      <alignment vertical="center" wrapText="1"/>
    </xf>
    <xf numFmtId="0" fontId="60" fillId="0" borderId="1" xfId="14" applyFont="1" applyBorder="1" applyAlignment="1">
      <alignment horizontal="left" vertical="center"/>
    </xf>
    <xf numFmtId="0" fontId="60" fillId="9" borderId="1" xfId="14" applyFont="1" applyFill="1" applyBorder="1" applyAlignment="1">
      <alignment horizontal="center" vertical="center"/>
    </xf>
    <xf numFmtId="0" fontId="60" fillId="9" borderId="1" xfId="14" applyFont="1" applyFill="1" applyBorder="1" applyAlignment="1">
      <alignment horizontal="center"/>
    </xf>
    <xf numFmtId="0" fontId="60" fillId="0" borderId="1" xfId="14" applyFont="1" applyBorder="1" applyAlignment="1">
      <alignment vertical="top" wrapText="1"/>
    </xf>
    <xf numFmtId="0" fontId="60" fillId="7" borderId="1" xfId="14" applyFont="1" applyFill="1" applyBorder="1" applyAlignment="1">
      <alignment horizontal="left" vertical="center"/>
    </xf>
    <xf numFmtId="0" fontId="60" fillId="8" borderId="1" xfId="14" applyFont="1" applyFill="1" applyBorder="1" applyAlignment="1">
      <alignment horizontal="center" vertical="center"/>
    </xf>
    <xf numFmtId="0" fontId="60" fillId="0" borderId="1" xfId="14" applyFont="1" applyBorder="1" applyAlignment="1">
      <alignment horizontal="center" vertical="center"/>
    </xf>
    <xf numFmtId="0" fontId="65" fillId="0" borderId="1" xfId="14" applyFont="1" applyBorder="1" applyAlignment="1">
      <alignment horizontal="center" vertical="center" wrapText="1"/>
    </xf>
    <xf numFmtId="0" fontId="65" fillId="0" borderId="1" xfId="14" applyFont="1" applyBorder="1" applyAlignment="1">
      <alignment vertical="center" wrapText="1"/>
    </xf>
    <xf numFmtId="0" fontId="60" fillId="0" borderId="1" xfId="14" applyFont="1" applyBorder="1"/>
    <xf numFmtId="0" fontId="60" fillId="7" borderId="1" xfId="14" applyFont="1" applyFill="1" applyBorder="1" applyAlignment="1">
      <alignment horizontal="left"/>
    </xf>
    <xf numFmtId="0" fontId="75" fillId="0" borderId="1" xfId="18" applyFont="1" applyBorder="1" applyAlignment="1">
      <alignment horizontal="center" vertical="center" wrapText="1"/>
    </xf>
    <xf numFmtId="0" fontId="60" fillId="7" borderId="1" xfId="14" applyFont="1" applyFill="1" applyBorder="1" applyAlignment="1">
      <alignment horizontal="left" vertical="center" wrapText="1"/>
    </xf>
    <xf numFmtId="0" fontId="60" fillId="12" borderId="1" xfId="14" applyFont="1" applyFill="1" applyBorder="1" applyAlignment="1">
      <alignment vertical="center"/>
    </xf>
    <xf numFmtId="0" fontId="76" fillId="0" borderId="1" xfId="28" applyFont="1" applyBorder="1" applyAlignment="1"/>
    <xf numFmtId="49" fontId="36" fillId="0" borderId="1" xfId="14" applyNumberFormat="1" applyFont="1" applyBorder="1" applyAlignment="1" applyProtection="1">
      <alignment horizontal="left" vertical="center" wrapText="1"/>
      <protection locked="0"/>
    </xf>
    <xf numFmtId="0" fontId="36" fillId="14" borderId="1" xfId="0" applyFont="1" applyFill="1" applyBorder="1" applyAlignment="1">
      <alignment horizontal="left" vertical="center" wrapText="1"/>
    </xf>
    <xf numFmtId="0" fontId="36" fillId="0" borderId="1" xfId="14" applyFont="1" applyBorder="1" applyAlignment="1" applyProtection="1">
      <alignment horizontal="left" vertical="center" wrapText="1"/>
      <protection locked="0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7" fillId="0" borderId="0" xfId="0" applyFont="1">
      <alignment vertical="center"/>
    </xf>
    <xf numFmtId="0" fontId="67" fillId="9" borderId="1" xfId="0" applyFont="1" applyFill="1" applyBorder="1" applyAlignment="1">
      <alignment horizontal="center" vertical="center"/>
    </xf>
    <xf numFmtId="0" fontId="67" fillId="8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left" vertical="center"/>
    </xf>
    <xf numFmtId="0" fontId="77" fillId="0" borderId="1" xfId="0" applyFont="1" applyBorder="1">
      <alignment vertical="center"/>
    </xf>
    <xf numFmtId="0" fontId="39" fillId="0" borderId="15" xfId="0" applyFont="1" applyBorder="1">
      <alignment vertical="center"/>
    </xf>
    <xf numFmtId="0" fontId="78" fillId="13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79" fillId="0" borderId="1" xfId="0" applyFont="1" applyBorder="1" applyAlignment="1">
      <alignment horizontal="left" vertical="center" wrapText="1"/>
    </xf>
    <xf numFmtId="49" fontId="36" fillId="0" borderId="1" xfId="0" applyNumberFormat="1" applyFont="1" applyBorder="1" applyAlignment="1" applyProtection="1">
      <alignment horizontal="left" vertical="center" wrapText="1"/>
      <protection locked="0"/>
    </xf>
    <xf numFmtId="0" fontId="36" fillId="7" borderId="1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79" fillId="0" borderId="1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1" xfId="14" applyFont="1" applyBorder="1" applyAlignment="1">
      <alignment horizontal="center" vertical="center" wrapText="1"/>
    </xf>
    <xf numFmtId="0" fontId="36" fillId="0" borderId="1" xfId="14" applyFont="1" applyBorder="1" applyAlignment="1">
      <alignment horizontal="center" vertical="center"/>
    </xf>
    <xf numFmtId="0" fontId="36" fillId="9" borderId="1" xfId="14" applyFont="1" applyFill="1" applyBorder="1" applyAlignment="1">
      <alignment horizontal="center" vertical="center"/>
    </xf>
    <xf numFmtId="0" fontId="36" fillId="9" borderId="1" xfId="14" applyFont="1" applyFill="1" applyBorder="1" applyAlignment="1" applyProtection="1">
      <alignment horizontal="center" vertical="center" wrapText="1"/>
      <protection locked="0"/>
    </xf>
    <xf numFmtId="0" fontId="36" fillId="0" borderId="1" xfId="14" applyFont="1" applyBorder="1" applyAlignment="1">
      <alignment horizontal="left" vertical="center"/>
    </xf>
    <xf numFmtId="0" fontId="36" fillId="0" borderId="1" xfId="14" applyFont="1" applyBorder="1" applyAlignment="1">
      <alignment horizontal="left" vertical="center" wrapText="1"/>
    </xf>
    <xf numFmtId="49" fontId="36" fillId="5" borderId="1" xfId="14" applyNumberFormat="1" applyFont="1" applyFill="1" applyBorder="1" applyAlignment="1" applyProtection="1">
      <alignment horizontal="left" vertical="center" wrapText="1"/>
      <protection locked="0"/>
    </xf>
    <xf numFmtId="49" fontId="36" fillId="0" borderId="9" xfId="14" applyNumberFormat="1" applyFont="1" applyBorder="1" applyAlignment="1" applyProtection="1">
      <alignment horizontal="left" vertical="center" wrapText="1"/>
      <protection locked="0"/>
    </xf>
    <xf numFmtId="49" fontId="36" fillId="5" borderId="1" xfId="0" applyNumberFormat="1" applyFont="1" applyFill="1" applyBorder="1" applyAlignment="1" applyProtection="1">
      <alignment vertical="center" wrapText="1"/>
      <protection locked="0"/>
    </xf>
    <xf numFmtId="0" fontId="36" fillId="5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70" fillId="0" borderId="0" xfId="28" applyFont="1">
      <alignment vertical="center"/>
    </xf>
    <xf numFmtId="0" fontId="38" fillId="13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left" vertical="center" wrapText="1"/>
    </xf>
    <xf numFmtId="0" fontId="61" fillId="13" borderId="1" xfId="0" applyFont="1" applyFill="1" applyBorder="1" applyAlignment="1">
      <alignment horizontal="center" vertical="center" wrapText="1"/>
    </xf>
    <xf numFmtId="0" fontId="40" fillId="6" borderId="1" xfId="4" applyFont="1" applyFill="1" applyBorder="1" applyAlignment="1">
      <alignment vertical="center" wrapText="1"/>
    </xf>
    <xf numFmtId="0" fontId="40" fillId="6" borderId="1" xfId="4" applyFont="1" applyFill="1" applyBorder="1" applyAlignment="1">
      <alignment horizontal="center" vertical="center" wrapText="1"/>
    </xf>
    <xf numFmtId="0" fontId="39" fillId="6" borderId="1" xfId="4" applyFont="1" applyFill="1" applyBorder="1" applyAlignment="1">
      <alignment wrapText="1"/>
    </xf>
    <xf numFmtId="0" fontId="39" fillId="6" borderId="1" xfId="4" applyFont="1" applyFill="1" applyBorder="1" applyAlignment="1">
      <alignment horizontal="center" vertical="center" wrapText="1"/>
    </xf>
    <xf numFmtId="0" fontId="67" fillId="6" borderId="1" xfId="4" applyFont="1" applyFill="1" applyBorder="1" applyAlignment="1">
      <alignment horizontal="left" vertical="center" wrapText="1"/>
    </xf>
    <xf numFmtId="0" fontId="36" fillId="6" borderId="1" xfId="4" applyFont="1" applyFill="1" applyBorder="1" applyAlignment="1">
      <alignment horizontal="left" vertical="center" wrapText="1"/>
    </xf>
    <xf numFmtId="0" fontId="36" fillId="6" borderId="1" xfId="4" applyFont="1" applyFill="1" applyBorder="1" applyAlignment="1">
      <alignment horizontal="center" vertical="center" wrapText="1"/>
    </xf>
    <xf numFmtId="0" fontId="40" fillId="7" borderId="1" xfId="4" applyFont="1" applyFill="1" applyBorder="1" applyAlignment="1">
      <alignment vertical="center" wrapText="1"/>
    </xf>
    <xf numFmtId="0" fontId="67" fillId="6" borderId="1" xfId="4" applyFont="1" applyFill="1" applyBorder="1" applyAlignment="1">
      <alignment horizontal="center" vertical="center" wrapText="1"/>
    </xf>
    <xf numFmtId="0" fontId="36" fillId="6" borderId="5" xfId="4" applyFont="1" applyFill="1" applyBorder="1" applyAlignment="1">
      <alignment horizontal="left" vertical="center" wrapText="1"/>
    </xf>
    <xf numFmtId="0" fontId="36" fillId="6" borderId="5" xfId="4" applyFont="1" applyFill="1" applyBorder="1" applyAlignment="1">
      <alignment horizontal="center" vertical="center" wrapText="1"/>
    </xf>
    <xf numFmtId="0" fontId="66" fillId="6" borderId="1" xfId="4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52" fillId="0" borderId="0" xfId="28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8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39" fillId="9" borderId="1" xfId="0" applyFont="1" applyFill="1" applyBorder="1" applyAlignment="1">
      <alignment horizontal="center" vertical="center"/>
    </xf>
    <xf numFmtId="0" fontId="39" fillId="7" borderId="0" xfId="0" applyFont="1" applyFill="1">
      <alignment vertical="center"/>
    </xf>
    <xf numFmtId="0" fontId="36" fillId="0" borderId="1" xfId="0" applyFont="1" applyBorder="1" applyAlignment="1">
      <alignment horizontal="justify" vertical="center" wrapText="1"/>
    </xf>
    <xf numFmtId="0" fontId="67" fillId="13" borderId="1" xfId="0" applyFont="1" applyFill="1" applyBorder="1" applyAlignment="1">
      <alignment horizontal="center" vertical="center" wrapText="1"/>
    </xf>
    <xf numFmtId="0" fontId="62" fillId="13" borderId="1" xfId="0" applyFont="1" applyFill="1" applyBorder="1" applyAlignment="1">
      <alignment horizontal="center" vertical="center"/>
    </xf>
    <xf numFmtId="0" fontId="62" fillId="13" borderId="1" xfId="0" applyFont="1" applyFill="1" applyBorder="1" applyAlignment="1">
      <alignment horizontal="center" vertical="center" wrapText="1"/>
    </xf>
    <xf numFmtId="0" fontId="67" fillId="8" borderId="1" xfId="0" applyFont="1" applyFill="1" applyBorder="1" applyAlignment="1">
      <alignment horizontal="center" vertical="center" wrapText="1"/>
    </xf>
    <xf numFmtId="0" fontId="67" fillId="9" borderId="1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left" vertical="center" wrapText="1"/>
    </xf>
    <xf numFmtId="0" fontId="67" fillId="13" borderId="11" xfId="0" applyFont="1" applyFill="1" applyBorder="1" applyAlignment="1">
      <alignment horizontal="left" vertical="center" wrapText="1"/>
    </xf>
    <xf numFmtId="0" fontId="67" fillId="7" borderId="0" xfId="0" applyFont="1" applyFill="1" applyAlignment="1">
      <alignment horizontal="left" vertical="center" wrapText="1"/>
    </xf>
    <xf numFmtId="0" fontId="71" fillId="0" borderId="1" xfId="0" applyFont="1" applyBorder="1" applyAlignment="1">
      <alignment horizontal="center" vertical="center" wrapText="1"/>
    </xf>
    <xf numFmtId="0" fontId="71" fillId="9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0" fontId="53" fillId="13" borderId="1" xfId="0" applyFont="1" applyFill="1" applyBorder="1" applyAlignment="1">
      <alignment horizontal="left" vertical="center" wrapText="1"/>
    </xf>
    <xf numFmtId="0" fontId="71" fillId="8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36" fillId="7" borderId="1" xfId="0" applyFont="1" applyFill="1" applyBorder="1">
      <alignment vertical="center"/>
    </xf>
    <xf numFmtId="0" fontId="40" fillId="0" borderId="0" xfId="0" applyFont="1">
      <alignment vertical="center"/>
    </xf>
    <xf numFmtId="0" fontId="6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66" fillId="0" borderId="0" xfId="0" applyFont="1">
      <alignment vertical="center"/>
    </xf>
    <xf numFmtId="0" fontId="1" fillId="0" borderId="0" xfId="26" applyFont="1"/>
    <xf numFmtId="0" fontId="39" fillId="0" borderId="1" xfId="0" applyFont="1" applyBorder="1" applyAlignment="1">
      <alignment vertical="center" wrapText="1"/>
    </xf>
    <xf numFmtId="0" fontId="82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justify" vertical="center" wrapText="1"/>
    </xf>
    <xf numFmtId="0" fontId="83" fillId="0" borderId="1" xfId="0" applyFont="1" applyBorder="1" applyAlignment="1">
      <alignment horizontal="justify" vertical="center" wrapText="1"/>
    </xf>
    <xf numFmtId="0" fontId="40" fillId="0" borderId="1" xfId="0" applyFont="1" applyBorder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66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2" fillId="13" borderId="1" xfId="0" applyFont="1" applyFill="1" applyBorder="1" applyAlignment="1">
      <alignment horizontal="center" vertical="center"/>
    </xf>
    <xf numFmtId="0" fontId="82" fillId="13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84" fillId="8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vertical="center" wrapText="1"/>
    </xf>
    <xf numFmtId="0" fontId="40" fillId="7" borderId="1" xfId="0" applyFont="1" applyFill="1" applyBorder="1" applyAlignment="1">
      <alignment horizontal="center" vertical="center"/>
    </xf>
    <xf numFmtId="0" fontId="39" fillId="0" borderId="16" xfId="0" applyFont="1" applyBorder="1">
      <alignment vertical="center"/>
    </xf>
    <xf numFmtId="0" fontId="67" fillId="0" borderId="16" xfId="0" applyFont="1" applyBorder="1">
      <alignment vertical="center"/>
    </xf>
    <xf numFmtId="0" fontId="39" fillId="7" borderId="1" xfId="0" applyFont="1" applyFill="1" applyBorder="1" applyAlignment="1">
      <alignment horizontal="left" vertical="center" wrapText="1"/>
    </xf>
    <xf numFmtId="0" fontId="82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vertical="center" wrapText="1"/>
    </xf>
    <xf numFmtId="0" fontId="40" fillId="5" borderId="1" xfId="0" applyFont="1" applyFill="1" applyBorder="1">
      <alignment vertical="center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vertical="center" wrapText="1"/>
    </xf>
    <xf numFmtId="0" fontId="40" fillId="10" borderId="1" xfId="0" applyFont="1" applyFill="1" applyBorder="1">
      <alignment vertical="center"/>
    </xf>
    <xf numFmtId="0" fontId="40" fillId="5" borderId="0" xfId="0" applyFont="1" applyFill="1">
      <alignment vertical="center"/>
    </xf>
    <xf numFmtId="0" fontId="36" fillId="10" borderId="1" xfId="0" applyFont="1" applyFill="1" applyBorder="1" applyAlignment="1">
      <alignment horizontal="center" vertical="center"/>
    </xf>
    <xf numFmtId="0" fontId="36" fillId="10" borderId="1" xfId="18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6" fillId="9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75" fillId="0" borderId="1" xfId="0" applyFont="1" applyBorder="1" applyAlignment="1">
      <alignment horizontal="left" vertical="center"/>
    </xf>
    <xf numFmtId="0" fontId="75" fillId="7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/>
    </xf>
    <xf numFmtId="0" fontId="36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left" vertical="center"/>
    </xf>
    <xf numFmtId="0" fontId="36" fillId="13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center" vertical="center"/>
    </xf>
    <xf numFmtId="0" fontId="40" fillId="7" borderId="15" xfId="0" applyFont="1" applyFill="1" applyBorder="1" applyAlignment="1">
      <alignment horizontal="center" vertical="center" wrapText="1"/>
    </xf>
    <xf numFmtId="0" fontId="40" fillId="0" borderId="0" xfId="0" applyFont="1" applyAlignment="1"/>
    <xf numFmtId="0" fontId="40" fillId="11" borderId="1" xfId="0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83" fillId="9" borderId="1" xfId="0" applyFont="1" applyFill="1" applyBorder="1" applyAlignment="1">
      <alignment horizontal="center" vertical="center"/>
    </xf>
    <xf numFmtId="0" fontId="83" fillId="0" borderId="1" xfId="0" applyFont="1" applyBorder="1" applyAlignment="1"/>
    <xf numFmtId="0" fontId="83" fillId="0" borderId="1" xfId="0" applyFont="1" applyBorder="1" applyAlignment="1">
      <alignment horizontal="center"/>
    </xf>
    <xf numFmtId="0" fontId="40" fillId="5" borderId="0" xfId="0" applyFont="1" applyFill="1" applyAlignment="1"/>
    <xf numFmtId="0" fontId="66" fillId="9" borderId="1" xfId="0" applyFont="1" applyFill="1" applyBorder="1" applyAlignment="1">
      <alignment horizontal="center" vertical="center"/>
    </xf>
    <xf numFmtId="0" fontId="66" fillId="0" borderId="1" xfId="0" applyFont="1" applyBorder="1" applyAlignment="1"/>
    <xf numFmtId="0" fontId="66" fillId="0" borderId="1" xfId="0" applyFont="1" applyBorder="1" applyAlignment="1">
      <alignment horizontal="center"/>
    </xf>
    <xf numFmtId="0" fontId="40" fillId="8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/>
    <xf numFmtId="0" fontId="40" fillId="5" borderId="1" xfId="0" applyFont="1" applyFill="1" applyBorder="1" applyAlignment="1">
      <alignment horizontal="center"/>
    </xf>
    <xf numFmtId="0" fontId="40" fillId="13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81" fillId="0" borderId="0" xfId="28" applyFont="1">
      <alignment vertical="center"/>
    </xf>
    <xf numFmtId="0" fontId="81" fillId="5" borderId="15" xfId="28" applyFont="1" applyFill="1" applyBorder="1" applyAlignment="1">
      <alignment horizontal="left" vertical="center" wrapText="1"/>
    </xf>
    <xf numFmtId="0" fontId="83" fillId="9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/>
    </xf>
    <xf numFmtId="0" fontId="35" fillId="11" borderId="1" xfId="0" applyFont="1" applyFill="1" applyBorder="1" applyAlignment="1">
      <alignment horizontal="center" vertical="center"/>
    </xf>
    <xf numFmtId="0" fontId="85" fillId="5" borderId="1" xfId="0" applyFont="1" applyFill="1" applyBorder="1" applyAlignment="1">
      <alignment horizontal="center" vertical="center" wrapText="1"/>
    </xf>
    <xf numFmtId="0" fontId="75" fillId="7" borderId="1" xfId="0" applyFont="1" applyFill="1" applyBorder="1">
      <alignment vertical="center"/>
    </xf>
    <xf numFmtId="0" fontId="86" fillId="7" borderId="1" xfId="0" applyFont="1" applyFill="1" applyBorder="1" applyAlignment="1">
      <alignment vertical="center" wrapText="1"/>
    </xf>
    <xf numFmtId="0" fontId="87" fillId="7" borderId="0" xfId="14" applyFont="1" applyFill="1" applyAlignment="1">
      <alignment horizontal="center"/>
    </xf>
    <xf numFmtId="0" fontId="60" fillId="0" borderId="0" xfId="14" applyFont="1"/>
    <xf numFmtId="0" fontId="62" fillId="0" borderId="0" xfId="4" applyFont="1" applyAlignment="1">
      <alignment horizontal="center"/>
    </xf>
    <xf numFmtId="0" fontId="36" fillId="0" borderId="1" xfId="4" applyFont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left" vertical="center"/>
    </xf>
    <xf numFmtId="0" fontId="81" fillId="0" borderId="0" xfId="28" applyFont="1" applyAlignment="1"/>
    <xf numFmtId="0" fontId="40" fillId="0" borderId="0" xfId="4" applyFont="1"/>
    <xf numFmtId="0" fontId="40" fillId="0" borderId="0" xfId="4" applyFont="1" applyAlignment="1">
      <alignment horizontal="left"/>
    </xf>
    <xf numFmtId="0" fontId="40" fillId="0" borderId="0" xfId="4" applyFont="1" applyAlignment="1">
      <alignment horizontal="center"/>
    </xf>
    <xf numFmtId="0" fontId="40" fillId="0" borderId="0" xfId="4" applyFont="1" applyAlignment="1">
      <alignment wrapText="1"/>
    </xf>
    <xf numFmtId="0" fontId="89" fillId="0" borderId="1" xfId="4" applyFont="1" applyBorder="1" applyAlignment="1">
      <alignment horizontal="center" vertical="center" wrapText="1"/>
    </xf>
    <xf numFmtId="0" fontId="89" fillId="0" borderId="1" xfId="4" applyFont="1" applyBorder="1" applyAlignment="1">
      <alignment horizontal="left" vertical="center" wrapText="1"/>
    </xf>
    <xf numFmtId="0" fontId="40" fillId="6" borderId="0" xfId="4" applyFont="1" applyFill="1"/>
    <xf numFmtId="0" fontId="89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wrapText="1"/>
    </xf>
    <xf numFmtId="0" fontId="40" fillId="6" borderId="1" xfId="4" applyFont="1" applyFill="1" applyBorder="1"/>
    <xf numFmtId="0" fontId="92" fillId="13" borderId="9" xfId="4" applyFont="1" applyFill="1" applyBorder="1" applyAlignment="1">
      <alignment horizontal="center" vertical="center" wrapText="1"/>
    </xf>
    <xf numFmtId="0" fontId="92" fillId="13" borderId="9" xfId="3" applyFont="1" applyFill="1" applyBorder="1" applyAlignment="1">
      <alignment horizontal="center" vertical="center" wrapText="1"/>
    </xf>
    <xf numFmtId="0" fontId="66" fillId="0" borderId="1" xfId="4" applyFont="1" applyBorder="1" applyAlignment="1">
      <alignment horizontal="center" vertical="center" wrapText="1"/>
    </xf>
    <xf numFmtId="0" fontId="91" fillId="7" borderId="1" xfId="4" applyFont="1" applyFill="1" applyBorder="1" applyAlignment="1">
      <alignment horizontal="left" vertical="center" wrapText="1"/>
    </xf>
    <xf numFmtId="0" fontId="89" fillId="6" borderId="1" xfId="4" applyFont="1" applyFill="1" applyBorder="1" applyAlignment="1">
      <alignment horizontal="center" vertical="center" wrapText="1"/>
    </xf>
    <xf numFmtId="0" fontId="52" fillId="0" borderId="13" xfId="28" applyFont="1" applyBorder="1" applyAlignment="1">
      <alignment horizontal="center" vertical="center"/>
    </xf>
    <xf numFmtId="0" fontId="81" fillId="0" borderId="11" xfId="28" applyFont="1" applyBorder="1" applyAlignment="1">
      <alignment horizontal="center" vertical="center"/>
    </xf>
    <xf numFmtId="0" fontId="81" fillId="0" borderId="19" xfId="28" applyFont="1" applyBorder="1" applyAlignment="1">
      <alignment horizontal="center" vertical="center"/>
    </xf>
    <xf numFmtId="0" fontId="81" fillId="0" borderId="12" xfId="28" applyFont="1" applyBorder="1" applyAlignment="1">
      <alignment horizontal="center" vertical="center"/>
    </xf>
    <xf numFmtId="0" fontId="18" fillId="5" borderId="11" xfId="3" applyFont="1" applyFill="1" applyBorder="1" applyAlignment="1">
      <alignment horizontal="center" vertical="center" wrapText="1"/>
    </xf>
    <xf numFmtId="0" fontId="18" fillId="5" borderId="12" xfId="3" applyFont="1" applyFill="1" applyBorder="1" applyAlignment="1">
      <alignment horizontal="center" vertical="center" wrapText="1"/>
    </xf>
    <xf numFmtId="0" fontId="81" fillId="0" borderId="13" xfId="28" applyFont="1" applyBorder="1" applyAlignment="1">
      <alignment horizontal="center" vertical="center"/>
    </xf>
    <xf numFmtId="0" fontId="40" fillId="0" borderId="13" xfId="0" applyFont="1" applyBorder="1" applyAlignment="1">
      <alignment horizontal="left" vertical="center"/>
    </xf>
    <xf numFmtId="0" fontId="40" fillId="0" borderId="5" xfId="0" applyFont="1" applyBorder="1" applyAlignment="1">
      <alignment horizontal="left" vertical="center"/>
    </xf>
    <xf numFmtId="0" fontId="82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/>
    </xf>
    <xf numFmtId="0" fontId="39" fillId="9" borderId="1" xfId="0" applyFont="1" applyFill="1" applyBorder="1" applyAlignment="1">
      <alignment horizontal="left" vertical="center"/>
    </xf>
    <xf numFmtId="0" fontId="57" fillId="0" borderId="9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87" fillId="0" borderId="1" xfId="0" applyFont="1" applyBorder="1">
      <alignment vertical="center"/>
    </xf>
    <xf numFmtId="0" fontId="87" fillId="0" borderId="1" xfId="0" applyFont="1" applyBorder="1" applyAlignment="1">
      <alignment horizontal="left" vertical="center"/>
    </xf>
    <xf numFmtId="0" fontId="52" fillId="0" borderId="0" xfId="28" applyFont="1">
      <alignment vertical="center"/>
    </xf>
    <xf numFmtId="0" fontId="72" fillId="13" borderId="0" xfId="31" applyFont="1" applyFill="1" applyAlignment="1">
      <alignment horizontal="center" vertical="center"/>
    </xf>
    <xf numFmtId="0" fontId="72" fillId="13" borderId="1" xfId="31" applyFont="1" applyFill="1" applyBorder="1" applyAlignment="1">
      <alignment horizontal="center" vertical="center"/>
    </xf>
    <xf numFmtId="0" fontId="72" fillId="13" borderId="1" xfId="31" applyFont="1" applyFill="1" applyBorder="1" applyAlignment="1">
      <alignment horizontal="center" vertical="center" wrapText="1"/>
    </xf>
    <xf numFmtId="0" fontId="57" fillId="0" borderId="0" xfId="31" applyFont="1" applyAlignment="1">
      <alignment vertical="center"/>
    </xf>
    <xf numFmtId="0" fontId="57" fillId="0" borderId="1" xfId="31" applyFont="1" applyBorder="1" applyAlignment="1">
      <alignment horizontal="center" vertical="center"/>
    </xf>
    <xf numFmtId="0" fontId="93" fillId="9" borderId="1" xfId="31" applyFont="1" applyFill="1" applyBorder="1" applyAlignment="1">
      <alignment horizontal="center" vertical="center" wrapText="1"/>
    </xf>
    <xf numFmtId="0" fontId="60" fillId="0" borderId="1" xfId="31" applyFont="1" applyBorder="1" applyAlignment="1">
      <alignment vertical="center" wrapText="1"/>
    </xf>
    <xf numFmtId="0" fontId="60" fillId="0" borderId="1" xfId="31" applyFont="1" applyBorder="1" applyAlignment="1">
      <alignment horizontal="center" vertical="center"/>
    </xf>
    <xf numFmtId="0" fontId="57" fillId="0" borderId="0" xfId="31" applyFont="1"/>
    <xf numFmtId="0" fontId="75" fillId="9" borderId="1" xfId="31" applyFont="1" applyFill="1" applyBorder="1" applyAlignment="1">
      <alignment horizontal="center" vertical="center" wrapText="1"/>
    </xf>
    <xf numFmtId="0" fontId="75" fillId="0" borderId="1" xfId="31" applyFont="1" applyBorder="1" applyAlignment="1">
      <alignment horizontal="left" vertical="center" wrapText="1"/>
    </xf>
    <xf numFmtId="0" fontId="75" fillId="0" borderId="1" xfId="31" applyFont="1" applyBorder="1" applyAlignment="1">
      <alignment horizontal="center" vertical="center" wrapText="1"/>
    </xf>
    <xf numFmtId="0" fontId="60" fillId="9" borderId="1" xfId="31" applyFont="1" applyFill="1" applyBorder="1" applyAlignment="1">
      <alignment horizontal="center" vertical="center" wrapText="1"/>
    </xf>
    <xf numFmtId="0" fontId="60" fillId="0" borderId="1" xfId="31" applyFont="1" applyBorder="1" applyAlignment="1">
      <alignment horizontal="center" vertical="center" wrapText="1"/>
    </xf>
    <xf numFmtId="0" fontId="60" fillId="9" borderId="1" xfId="31" applyFont="1" applyFill="1" applyBorder="1" applyAlignment="1">
      <alignment horizontal="center" vertical="center"/>
    </xf>
    <xf numFmtId="0" fontId="60" fillId="0" borderId="1" xfId="31" applyFont="1" applyBorder="1" applyAlignment="1">
      <alignment horizontal="left" vertical="center"/>
    </xf>
    <xf numFmtId="0" fontId="75" fillId="0" borderId="1" xfId="32" applyFont="1" applyBorder="1" applyAlignment="1">
      <alignment horizontal="center" vertical="center" wrapText="1"/>
    </xf>
    <xf numFmtId="0" fontId="75" fillId="0" borderId="1" xfId="31" applyFont="1" applyBorder="1" applyAlignment="1">
      <alignment vertical="center" wrapText="1"/>
    </xf>
    <xf numFmtId="0" fontId="75" fillId="0" borderId="1" xfId="31" applyFont="1" applyBorder="1" applyAlignment="1">
      <alignment vertical="center"/>
    </xf>
    <xf numFmtId="0" fontId="75" fillId="0" borderId="1" xfId="31" applyFont="1" applyBorder="1" applyAlignment="1">
      <alignment horizontal="left" vertical="center"/>
    </xf>
    <xf numFmtId="0" fontId="60" fillId="0" borderId="1" xfId="31" applyFont="1" applyBorder="1" applyAlignment="1">
      <alignment horizontal="center"/>
    </xf>
    <xf numFmtId="0" fontId="75" fillId="5" borderId="1" xfId="0" applyFont="1" applyFill="1" applyBorder="1" applyAlignment="1">
      <alignment horizontal="left" vertical="center"/>
    </xf>
    <xf numFmtId="0" fontId="60" fillId="0" borderId="0" xfId="31" applyFont="1"/>
    <xf numFmtId="0" fontId="60" fillId="0" borderId="0" xfId="31" applyFont="1" applyAlignment="1">
      <alignment vertical="center"/>
    </xf>
    <xf numFmtId="0" fontId="60" fillId="0" borderId="0" xfId="31" applyFont="1" applyAlignment="1">
      <alignment horizontal="center"/>
    </xf>
    <xf numFmtId="0" fontId="94" fillId="0" borderId="0" xfId="28" applyFont="1">
      <alignment vertical="center"/>
    </xf>
    <xf numFmtId="0" fontId="57" fillId="0" borderId="0" xfId="0" applyFont="1">
      <alignment vertical="center"/>
    </xf>
    <xf numFmtId="0" fontId="56" fillId="13" borderId="1" xfId="0" applyFont="1" applyFill="1" applyBorder="1" applyAlignment="1">
      <alignment horizontal="center" vertical="center"/>
    </xf>
    <xf numFmtId="0" fontId="56" fillId="13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left" vertical="center"/>
    </xf>
    <xf numFmtId="0" fontId="57" fillId="0" borderId="0" xfId="0" applyFont="1" applyAlignment="1">
      <alignment horizontal="center" vertical="center"/>
    </xf>
    <xf numFmtId="0" fontId="56" fillId="8" borderId="1" xfId="0" applyFont="1" applyFill="1" applyBorder="1" applyAlignment="1">
      <alignment horizontal="center" vertical="center"/>
    </xf>
    <xf numFmtId="0" fontId="60" fillId="0" borderId="1" xfId="0" applyFont="1" applyBorder="1" applyAlignment="1"/>
    <xf numFmtId="0" fontId="75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95" fillId="0" borderId="1" xfId="0" applyFont="1" applyBorder="1" applyAlignment="1">
      <alignment horizontal="left" vertical="center" wrapText="1"/>
    </xf>
    <xf numFmtId="0" fontId="57" fillId="7" borderId="0" xfId="0" applyFont="1" applyFill="1">
      <alignment vertical="center"/>
    </xf>
    <xf numFmtId="0" fontId="96" fillId="0" borderId="0" xfId="0" applyFont="1" applyAlignment="1">
      <alignment horizontal="center" vertical="center"/>
    </xf>
    <xf numFmtId="0" fontId="56" fillId="0" borderId="1" xfId="0" applyFont="1" applyBorder="1">
      <alignment vertical="center"/>
    </xf>
    <xf numFmtId="0" fontId="89" fillId="7" borderId="1" xfId="4" applyFont="1" applyFill="1" applyBorder="1" applyAlignment="1">
      <alignment horizontal="center" vertical="center" wrapText="1"/>
    </xf>
    <xf numFmtId="0" fontId="89" fillId="0" borderId="1" xfId="4" applyFont="1" applyFill="1" applyBorder="1" applyAlignment="1">
      <alignment horizontal="center" vertical="center" wrapText="1"/>
    </xf>
    <xf numFmtId="0" fontId="89" fillId="0" borderId="1" xfId="4" applyFont="1" applyFill="1" applyBorder="1" applyAlignment="1">
      <alignment horizontal="left" vertical="center" wrapText="1"/>
    </xf>
    <xf numFmtId="0" fontId="36" fillId="7" borderId="1" xfId="4" applyFont="1" applyFill="1" applyBorder="1" applyAlignment="1">
      <alignment horizontal="left" vertical="center" wrapText="1"/>
    </xf>
    <xf numFmtId="0" fontId="92" fillId="13" borderId="1" xfId="3" applyFont="1" applyFill="1" applyBorder="1" applyAlignment="1">
      <alignment horizontal="center" vertical="center" wrapText="1"/>
    </xf>
    <xf numFmtId="0" fontId="92" fillId="0" borderId="1" xfId="4" applyFont="1" applyFill="1" applyBorder="1" applyAlignment="1">
      <alignment horizontal="center" vertical="center" wrapText="1"/>
    </xf>
    <xf numFmtId="0" fontId="92" fillId="0" borderId="1" xfId="3" applyFont="1" applyFill="1" applyBorder="1" applyAlignment="1">
      <alignment horizontal="center" vertical="center" wrapText="1"/>
    </xf>
    <xf numFmtId="0" fontId="88" fillId="0" borderId="1" xfId="4" applyFont="1" applyFill="1" applyBorder="1" applyAlignment="1">
      <alignment horizontal="center" vertical="center" wrapText="1"/>
    </xf>
    <xf numFmtId="0" fontId="92" fillId="5" borderId="11" xfId="4" applyFont="1" applyFill="1" applyBorder="1" applyAlignment="1">
      <alignment horizontal="center" vertical="center" wrapText="1"/>
    </xf>
    <xf numFmtId="0" fontId="92" fillId="5" borderId="19" xfId="4" applyFont="1" applyFill="1" applyBorder="1" applyAlignment="1">
      <alignment horizontal="center" vertical="center" wrapText="1"/>
    </xf>
    <xf numFmtId="0" fontId="92" fillId="5" borderId="12" xfId="4" applyFont="1" applyFill="1" applyBorder="1" applyAlignment="1">
      <alignment horizontal="center" vertical="center" wrapText="1"/>
    </xf>
    <xf numFmtId="0" fontId="88" fillId="13" borderId="20" xfId="4" applyFont="1" applyFill="1" applyBorder="1" applyAlignment="1">
      <alignment horizontal="center" vertical="center" wrapText="1"/>
    </xf>
    <xf numFmtId="0" fontId="36" fillId="0" borderId="1" xfId="4" applyFont="1" applyFill="1" applyBorder="1" applyAlignment="1">
      <alignment horizontal="left" vertical="center" wrapText="1"/>
    </xf>
    <xf numFmtId="0" fontId="89" fillId="0" borderId="1" xfId="3" applyFont="1" applyFill="1" applyBorder="1" applyAlignment="1">
      <alignment horizontal="left" vertical="center" wrapText="1"/>
    </xf>
    <xf numFmtId="0" fontId="40" fillId="0" borderId="1" xfId="31" applyFont="1" applyFill="1" applyBorder="1" applyAlignment="1">
      <alignment horizontal="center" vertical="center" wrapText="1"/>
    </xf>
    <xf numFmtId="0" fontId="40" fillId="0" borderId="1" xfId="31" applyFont="1" applyFill="1" applyBorder="1" applyAlignment="1">
      <alignment vertical="center" wrapText="1"/>
    </xf>
    <xf numFmtId="0" fontId="36" fillId="0" borderId="1" xfId="4" applyFont="1" applyFill="1" applyBorder="1" applyAlignment="1">
      <alignment horizontal="center" vertical="center" wrapText="1"/>
    </xf>
    <xf numFmtId="0" fontId="89" fillId="7" borderId="1" xfId="3" applyFont="1" applyFill="1" applyBorder="1" applyAlignment="1">
      <alignment horizontal="left" vertical="center" wrapText="1"/>
    </xf>
    <xf numFmtId="0" fontId="40" fillId="7" borderId="1" xfId="31" applyFont="1" applyFill="1" applyBorder="1" applyAlignment="1">
      <alignment vertical="center" wrapText="1"/>
    </xf>
    <xf numFmtId="0" fontId="40" fillId="7" borderId="1" xfId="4" applyFont="1" applyFill="1" applyBorder="1"/>
    <xf numFmtId="0" fontId="77" fillId="0" borderId="1" xfId="0" applyFont="1" applyFill="1" applyBorder="1">
      <alignment vertical="center"/>
    </xf>
    <xf numFmtId="0" fontId="39" fillId="0" borderId="1" xfId="0" applyFont="1" applyFill="1" applyBorder="1">
      <alignment vertical="center"/>
    </xf>
    <xf numFmtId="0" fontId="97" fillId="5" borderId="1" xfId="3" applyFont="1" applyFill="1" applyBorder="1" applyAlignment="1">
      <alignment horizontal="center" vertical="center"/>
    </xf>
    <xf numFmtId="0" fontId="97" fillId="5" borderId="11" xfId="3" applyFont="1" applyFill="1" applyBorder="1" applyAlignment="1">
      <alignment horizontal="center" vertical="center"/>
    </xf>
    <xf numFmtId="0" fontId="39" fillId="0" borderId="0" xfId="4" applyFont="1"/>
    <xf numFmtId="0" fontId="39" fillId="0" borderId="1" xfId="0" applyFont="1" applyBorder="1" applyAlignment="1">
      <alignment horizontal="center" vertical="top"/>
    </xf>
    <xf numFmtId="0" fontId="98" fillId="0" borderId="1" xfId="5" applyFont="1" applyBorder="1" applyAlignment="1">
      <alignment horizontal="center" vertical="top" wrapText="1"/>
    </xf>
    <xf numFmtId="0" fontId="98" fillId="0" borderId="1" xfId="5" applyFont="1" applyBorder="1" applyAlignment="1">
      <alignment horizontal="left" vertical="top" wrapText="1"/>
    </xf>
    <xf numFmtId="0" fontId="39" fillId="0" borderId="1" xfId="0" applyFont="1" applyBorder="1" applyAlignment="1">
      <alignment vertical="top"/>
    </xf>
    <xf numFmtId="0" fontId="98" fillId="0" borderId="9" xfId="5" applyFont="1" applyBorder="1" applyAlignment="1">
      <alignment horizontal="center" vertical="center" wrapText="1"/>
    </xf>
    <xf numFmtId="0" fontId="98" fillId="0" borderId="9" xfId="5" applyFont="1" applyBorder="1" applyAlignment="1">
      <alignment horizontal="left" vertical="center" wrapText="1"/>
    </xf>
    <xf numFmtId="0" fontId="99" fillId="0" borderId="0" xfId="29" applyFont="1">
      <alignment vertical="center"/>
    </xf>
    <xf numFmtId="0" fontId="99" fillId="0" borderId="1" xfId="29" applyFont="1" applyBorder="1" applyAlignment="1">
      <alignment horizontal="center" vertical="top"/>
    </xf>
    <xf numFmtId="0" fontId="40" fillId="0" borderId="1" xfId="29" applyFont="1" applyBorder="1" applyAlignment="1">
      <alignment vertical="top"/>
    </xf>
    <xf numFmtId="0" fontId="40" fillId="0" borderId="1" xfId="29" applyFont="1" applyBorder="1" applyAlignment="1">
      <alignment horizontal="center" vertical="top"/>
    </xf>
    <xf numFmtId="0" fontId="99" fillId="0" borderId="1" xfId="29" applyFont="1" applyBorder="1" applyAlignment="1">
      <alignment vertical="top"/>
    </xf>
    <xf numFmtId="0" fontId="99" fillId="0" borderId="11" xfId="29" applyFont="1" applyBorder="1" applyAlignment="1">
      <alignment vertical="top"/>
    </xf>
    <xf numFmtId="0" fontId="40" fillId="0" borderId="0" xfId="0" applyFont="1" applyAlignment="1">
      <alignment vertical="top"/>
    </xf>
    <xf numFmtId="0" fontId="99" fillId="0" borderId="0" xfId="29" applyFont="1" applyAlignment="1">
      <alignment vertical="top"/>
    </xf>
    <xf numFmtId="0" fontId="99" fillId="0" borderId="1" xfId="29" applyFont="1" applyBorder="1" applyAlignment="1">
      <alignment horizontal="center" vertical="center"/>
    </xf>
    <xf numFmtId="0" fontId="40" fillId="0" borderId="1" xfId="30" applyFont="1" applyBorder="1" applyAlignment="1">
      <alignment vertical="top"/>
    </xf>
    <xf numFmtId="0" fontId="99" fillId="7" borderId="11" xfId="29" applyFont="1" applyFill="1" applyBorder="1">
      <alignment vertical="center"/>
    </xf>
    <xf numFmtId="0" fontId="99" fillId="0" borderId="0" xfId="29" applyFont="1" applyAlignment="1">
      <alignment horizontal="center" vertical="center"/>
    </xf>
    <xf numFmtId="0" fontId="90" fillId="13" borderId="11" xfId="4" applyFont="1" applyFill="1" applyBorder="1" applyAlignment="1">
      <alignment horizontal="left" vertical="center" wrapText="1"/>
    </xf>
    <xf numFmtId="0" fontId="82" fillId="13" borderId="1" xfId="29" applyFont="1" applyFill="1" applyBorder="1" applyAlignment="1">
      <alignment horizontal="left" vertical="center" wrapText="1"/>
    </xf>
    <xf numFmtId="0" fontId="82" fillId="13" borderId="1" xfId="29" applyFont="1" applyFill="1" applyBorder="1" applyAlignment="1">
      <alignment horizontal="center" vertical="center" wrapText="1"/>
    </xf>
    <xf numFmtId="0" fontId="90" fillId="13" borderId="1" xfId="29" applyFont="1" applyFill="1" applyBorder="1" applyAlignment="1">
      <alignment horizontal="center" vertical="center"/>
    </xf>
    <xf numFmtId="0" fontId="97" fillId="5" borderId="1" xfId="3" applyFont="1" applyFill="1" applyBorder="1" applyAlignment="1">
      <alignment horizontal="center" vertical="center" wrapText="1"/>
    </xf>
    <xf numFmtId="0" fontId="97" fillId="5" borderId="11" xfId="3" applyFont="1" applyFill="1" applyBorder="1" applyAlignment="1">
      <alignment horizontal="center" vertical="center" wrapText="1"/>
    </xf>
    <xf numFmtId="0" fontId="39" fillId="0" borderId="0" xfId="19" applyFont="1"/>
    <xf numFmtId="0" fontId="100" fillId="0" borderId="0" xfId="19" applyFont="1"/>
    <xf numFmtId="0" fontId="67" fillId="0" borderId="0" xfId="19" applyFont="1"/>
    <xf numFmtId="0" fontId="49" fillId="0" borderId="0" xfId="4" applyFont="1" applyAlignment="1">
      <alignment horizontal="center"/>
    </xf>
    <xf numFmtId="0" fontId="101" fillId="0" borderId="1" xfId="19" applyFont="1" applyBorder="1" applyAlignment="1">
      <alignment horizontal="center" vertical="center" wrapText="1"/>
    </xf>
    <xf numFmtId="0" fontId="39" fillId="0" borderId="0" xfId="19" applyFont="1" applyAlignment="1">
      <alignment horizontal="center"/>
    </xf>
    <xf numFmtId="0" fontId="39" fillId="0" borderId="0" xfId="19" applyFont="1" applyAlignment="1">
      <alignment horizontal="left" wrapText="1"/>
    </xf>
    <xf numFmtId="0" fontId="39" fillId="0" borderId="0" xfId="19" applyFont="1" applyAlignment="1">
      <alignment horizontal="left"/>
    </xf>
    <xf numFmtId="0" fontId="103" fillId="0" borderId="1" xfId="19" applyFont="1" applyBorder="1" applyAlignment="1">
      <alignment horizontal="center" vertical="center" wrapText="1"/>
    </xf>
    <xf numFmtId="0" fontId="101" fillId="15" borderId="1" xfId="19" applyFont="1" applyFill="1" applyBorder="1" applyAlignment="1">
      <alignment horizontal="center" vertical="center" wrapText="1"/>
    </xf>
    <xf numFmtId="0" fontId="39" fillId="15" borderId="1" xfId="0" applyFont="1" applyFill="1" applyBorder="1">
      <alignment vertical="center"/>
    </xf>
    <xf numFmtId="0" fontId="104" fillId="0" borderId="1" xfId="4" applyFont="1" applyBorder="1" applyAlignment="1">
      <alignment horizontal="center" vertical="center" wrapText="1"/>
    </xf>
    <xf numFmtId="0" fontId="105" fillId="15" borderId="0" xfId="19" applyFont="1" applyFill="1"/>
    <xf numFmtId="0" fontId="92" fillId="13" borderId="11" xfId="3" applyFont="1" applyFill="1" applyBorder="1" applyAlignment="1">
      <alignment horizontal="center" vertical="center" wrapText="1"/>
    </xf>
    <xf numFmtId="0" fontId="92" fillId="13" borderId="12" xfId="3" applyFont="1" applyFill="1" applyBorder="1" applyAlignment="1">
      <alignment horizontal="center" vertical="center" wrapText="1"/>
    </xf>
    <xf numFmtId="0" fontId="39" fillId="0" borderId="0" xfId="4" applyFont="1" applyAlignment="1">
      <alignment horizontal="center"/>
    </xf>
    <xf numFmtId="0" fontId="67" fillId="0" borderId="1" xfId="19" applyFont="1" applyBorder="1" applyAlignment="1">
      <alignment horizontal="center" vertical="center" wrapText="1"/>
    </xf>
    <xf numFmtId="0" fontId="67" fillId="0" borderId="1" xfId="19" applyFont="1" applyBorder="1" applyAlignment="1">
      <alignment horizontal="left" vertical="center" wrapText="1"/>
    </xf>
    <xf numFmtId="0" fontId="69" fillId="0" borderId="1" xfId="5" applyFont="1" applyBorder="1" applyAlignment="1">
      <alignment horizontal="left" vertical="center" wrapText="1"/>
    </xf>
    <xf numFmtId="0" fontId="102" fillId="0" borderId="1" xfId="5" applyFont="1" applyBorder="1" applyAlignment="1">
      <alignment horizontal="left" wrapText="1"/>
    </xf>
    <xf numFmtId="0" fontId="102" fillId="15" borderId="1" xfId="5" applyFont="1" applyFill="1" applyBorder="1" applyAlignment="1">
      <alignment horizontal="left" wrapText="1"/>
    </xf>
    <xf numFmtId="0" fontId="102" fillId="0" borderId="1" xfId="14" applyFont="1" applyBorder="1" applyAlignment="1">
      <alignment horizontal="left" vertical="center" wrapText="1"/>
    </xf>
    <xf numFmtId="0" fontId="39" fillId="0" borderId="1" xfId="14" applyFont="1" applyBorder="1" applyAlignment="1">
      <alignment horizontal="left" vertical="center" wrapText="1"/>
    </xf>
    <xf numFmtId="0" fontId="39" fillId="6" borderId="1" xfId="14" applyFont="1" applyFill="1" applyBorder="1" applyAlignment="1">
      <alignment horizontal="left" vertical="center" wrapText="1"/>
    </xf>
    <xf numFmtId="0" fontId="10" fillId="0" borderId="0" xfId="4" applyBorder="1" applyAlignment="1">
      <alignment horizontal="left"/>
    </xf>
    <xf numFmtId="0" fontId="62" fillId="13" borderId="1" xfId="5" applyFont="1" applyFill="1" applyBorder="1" applyAlignment="1">
      <alignment horizontal="left" vertical="center" wrapText="1"/>
    </xf>
    <xf numFmtId="0" fontId="62" fillId="13" borderId="1" xfId="4" applyFont="1" applyFill="1" applyBorder="1" applyAlignment="1">
      <alignment vertical="center"/>
    </xf>
    <xf numFmtId="0" fontId="39" fillId="0" borderId="1" xfId="5" applyFont="1" applyBorder="1" applyAlignment="1">
      <alignment horizontal="left" vertical="center" wrapText="1"/>
    </xf>
    <xf numFmtId="0" fontId="39" fillId="15" borderId="1" xfId="5" applyFont="1" applyFill="1" applyBorder="1" applyAlignment="1">
      <alignment horizontal="left" vertical="center" wrapText="1"/>
    </xf>
    <xf numFmtId="0" fontId="39" fillId="15" borderId="1" xfId="14" applyFont="1" applyFill="1" applyBorder="1" applyAlignment="1">
      <alignment horizontal="left" vertical="center" wrapText="1"/>
    </xf>
    <xf numFmtId="0" fontId="39" fillId="0" borderId="13" xfId="4" applyFont="1" applyBorder="1" applyAlignment="1">
      <alignment horizontal="left"/>
    </xf>
    <xf numFmtId="0" fontId="101" fillId="0" borderId="1" xfId="5" applyFont="1" applyBorder="1" applyAlignment="1">
      <alignment horizontal="left" wrapText="1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/>
    <xf numFmtId="0" fontId="39" fillId="0" borderId="1" xfId="0" applyFont="1" applyFill="1" applyBorder="1" applyAlignment="1">
      <alignment horizontal="center"/>
    </xf>
    <xf numFmtId="0" fontId="39" fillId="0" borderId="0" xfId="0" applyFont="1" applyBorder="1">
      <alignment vertical="center"/>
    </xf>
    <xf numFmtId="0" fontId="40" fillId="0" borderId="0" xfId="0" applyFont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/>
    </xf>
    <xf numFmtId="0" fontId="53" fillId="13" borderId="18" xfId="0" applyFont="1" applyFill="1" applyBorder="1" applyAlignment="1">
      <alignment horizontal="center" vertical="center"/>
    </xf>
    <xf numFmtId="0" fontId="90" fillId="13" borderId="1" xfId="0" applyFont="1" applyFill="1" applyBorder="1" applyAlignment="1">
      <alignment horizontal="center" vertical="center" wrapText="1"/>
    </xf>
    <xf numFmtId="0" fontId="90" fillId="13" borderId="1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 vertical="center"/>
    </xf>
    <xf numFmtId="0" fontId="107" fillId="0" borderId="1" xfId="5" applyFont="1" applyBorder="1" applyAlignment="1">
      <alignment horizontal="center" vertical="top" wrapText="1"/>
    </xf>
    <xf numFmtId="0" fontId="107" fillId="0" borderId="1" xfId="0" applyFont="1" applyBorder="1" applyAlignment="1">
      <alignment horizontal="left" vertical="top" wrapText="1"/>
    </xf>
    <xf numFmtId="49" fontId="107" fillId="0" borderId="1" xfId="5" applyNumberFormat="1" applyFont="1" applyBorder="1" applyAlignment="1">
      <alignment horizontal="center" vertical="top" wrapText="1"/>
    </xf>
    <xf numFmtId="0" fontId="39" fillId="0" borderId="0" xfId="0" applyFont="1" applyBorder="1" applyAlignment="1">
      <alignment horizontal="left" vertical="center"/>
    </xf>
    <xf numFmtId="0" fontId="108" fillId="13" borderId="1" xfId="0" applyFont="1" applyFill="1" applyBorder="1" applyAlignment="1">
      <alignment horizontal="center" vertical="center" wrapText="1"/>
    </xf>
    <xf numFmtId="0" fontId="109" fillId="13" borderId="1" xfId="0" applyFont="1" applyFill="1" applyBorder="1" applyAlignment="1">
      <alignment horizontal="center" vertical="center" wrapText="1"/>
    </xf>
    <xf numFmtId="0" fontId="69" fillId="13" borderId="1" xfId="4" applyFont="1" applyFill="1" applyBorder="1" applyAlignment="1">
      <alignment horizontal="center" vertical="center" wrapText="1"/>
    </xf>
    <xf numFmtId="0" fontId="106" fillId="13" borderId="1" xfId="32" applyFont="1" applyFill="1" applyBorder="1" applyAlignment="1">
      <alignment horizontal="center" vertical="center" wrapText="1"/>
    </xf>
    <xf numFmtId="0" fontId="53" fillId="13" borderId="1" xfId="32" applyFont="1" applyFill="1" applyBorder="1" applyAlignment="1">
      <alignment horizontal="center" vertical="center" wrapText="1"/>
    </xf>
    <xf numFmtId="0" fontId="62" fillId="13" borderId="1" xfId="4" applyFont="1" applyFill="1" applyBorder="1" applyAlignment="1">
      <alignment horizontal="left" vertical="center" wrapText="1"/>
    </xf>
    <xf numFmtId="0" fontId="39" fillId="0" borderId="1" xfId="32" applyFont="1" applyBorder="1" applyAlignment="1">
      <alignment horizontal="center" vertical="top"/>
    </xf>
    <xf numFmtId="0" fontId="39" fillId="0" borderId="1" xfId="32" applyFont="1" applyBorder="1" applyAlignment="1">
      <alignment vertical="top"/>
    </xf>
    <xf numFmtId="0" fontId="53" fillId="13" borderId="1" xfId="30" applyFont="1" applyFill="1" applyBorder="1" applyAlignment="1">
      <alignment horizontal="center" vertical="center" wrapText="1"/>
    </xf>
    <xf numFmtId="0" fontId="54" fillId="13" borderId="9" xfId="30" applyFont="1" applyFill="1" applyBorder="1" applyAlignment="1">
      <alignment vertical="center" wrapText="1"/>
    </xf>
  </cellXfs>
  <cellStyles count="33">
    <cellStyle name="Normal 2" xfId="6" xr:uid="{00000000-0005-0000-0000-000000000000}"/>
    <cellStyle name="Normal 3" xfId="7" xr:uid="{00000000-0005-0000-0000-000001000000}"/>
    <cellStyle name="Normal 5" xfId="8" xr:uid="{00000000-0005-0000-0000-000002000000}"/>
    <cellStyle name="Normal_Sheet2" xfId="25" xr:uid="{00000000-0005-0000-0000-000003000000}"/>
    <cellStyle name="Standard 2" xfId="9" xr:uid="{00000000-0005-0000-0000-000004000000}"/>
    <cellStyle name="差 2" xfId="10" xr:uid="{00000000-0005-0000-0000-000005000000}"/>
    <cellStyle name="差_Sheet1" xfId="11" xr:uid="{00000000-0005-0000-0000-000006000000}"/>
    <cellStyle name="常规" xfId="0" builtinId="0"/>
    <cellStyle name="常规 10" xfId="30" xr:uid="{D707F0E5-B0D6-4922-AF28-A7104AA5A80E}"/>
    <cellStyle name="常规 11" xfId="31" xr:uid="{C24A8328-96AB-441A-803D-5E564221C43A}"/>
    <cellStyle name="常规 2" xfId="2" xr:uid="{00000000-0005-0000-0000-000008000000}"/>
    <cellStyle name="常规 2 2" xfId="3" xr:uid="{00000000-0005-0000-0000-000009000000}"/>
    <cellStyle name="常规 2 2 2" xfId="4" xr:uid="{00000000-0005-0000-0000-00000A000000}"/>
    <cellStyle name="常规 2 2 3" xfId="12" xr:uid="{00000000-0005-0000-0000-00000B000000}"/>
    <cellStyle name="常规 2 3" xfId="13" xr:uid="{00000000-0005-0000-0000-00000C000000}"/>
    <cellStyle name="常规 2 4" xfId="14" xr:uid="{00000000-0005-0000-0000-00000D000000}"/>
    <cellStyle name="常规 2 5" xfId="15" xr:uid="{00000000-0005-0000-0000-00000E000000}"/>
    <cellStyle name="常规 2 6" xfId="29" xr:uid="{0348246F-03CC-47A4-8622-CC4F7DABB9DE}"/>
    <cellStyle name="常规 3" xfId="1" xr:uid="{00000000-0005-0000-0000-00000F000000}"/>
    <cellStyle name="常规 3 2" xfId="5" xr:uid="{00000000-0005-0000-0000-000010000000}"/>
    <cellStyle name="常规 3 3" xfId="16" xr:uid="{00000000-0005-0000-0000-000011000000}"/>
    <cellStyle name="常规 3 4" xfId="17" xr:uid="{00000000-0005-0000-0000-000012000000}"/>
    <cellStyle name="常规 3 5" xfId="27" xr:uid="{ABB9130B-55BC-4CEB-B7D9-26A673254E24}"/>
    <cellStyle name="常规 4" xfId="18" xr:uid="{00000000-0005-0000-0000-000013000000}"/>
    <cellStyle name="常规 4 2" xfId="32" xr:uid="{CF8D5F74-E1FD-42C6-B676-787E262D6DF0}"/>
    <cellStyle name="常规 5" xfId="19" xr:uid="{00000000-0005-0000-0000-000014000000}"/>
    <cellStyle name="常规 6" xfId="20" xr:uid="{00000000-0005-0000-0000-000015000000}"/>
    <cellStyle name="常规 7" xfId="21" xr:uid="{00000000-0005-0000-0000-000016000000}"/>
    <cellStyle name="常规 8" xfId="22" xr:uid="{00000000-0005-0000-0000-000017000000}"/>
    <cellStyle name="常规 9" xfId="26" xr:uid="{99304C02-A4BB-41D0-8F2D-DA751D0AEB53}"/>
    <cellStyle name="超链接" xfId="28" builtinId="8"/>
    <cellStyle name="好_Sheet1" xfId="23" xr:uid="{00000000-0005-0000-0000-000018000000}"/>
    <cellStyle name="注释 2" xfId="24" xr:uid="{00000000-0005-0000-0000-000019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E4CBF5B-555B-9663-648C-CBE00E8121B7}"/>
            </a:ext>
          </a:extLst>
        </xdr:cNvPr>
        <xdr:cNvSpPr/>
      </xdr:nvSpPr>
      <xdr:spPr>
        <a:xfrm>
          <a:off x="1623391" y="1813891"/>
          <a:ext cx="8489674" cy="44311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5" name="TextBox 2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6" name="TextBox 3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169735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7" name="TextBox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9" name="TextBox 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0" name="TextBox 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3" name="TextBox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5" name="TextBox 3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6" name="TextBox 20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7" name="TextBox 2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2" name="TextBox 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5" name="TextBox 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6" name="TextBox 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9" name="TextBox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1" name="TextBox 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2" name="TextBox 20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3" name="TextBox 2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4" name="TextBox 2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5" name="TextBox 3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6" name="TextBox 3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7" name="TextBox 3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58" name="TextBox 2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1" name="TextBox 5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2" name="TextBox 6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5" name="TextBox 9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7" name="TextBox 3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8" name="TextBox 20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9" name="TextBox 2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0" name="TextBox 2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1" name="TextBox 3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2" name="TextBox 3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3" name="TextBox 3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75" name="TextBox 19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76" name="TextBox 20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8" name="TextBox 2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9" name="TextBox 3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1" name="TextBox 5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2" name="TextBox 6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5" name="TextBox 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7" name="TextBox 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8" name="TextBox 20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9" name="TextBox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0" name="TextBox 29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1" name="TextBox 3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2" name="TextBox 3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99" name="TextBox 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1" name="TextBox 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2" name="TextBox 6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5" name="TextBox 9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7" name="TextBox 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8" name="TextBox 20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9" name="TextBox 2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0" name="TextBox 2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1" name="TextBox 3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2" name="TextBox 3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3" name="TextBox 3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4" name="TextBox 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5" name="TextBox 3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7" name="TextBox 5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8" name="TextBox 6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1" name="TextBox 9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3" name="TextBox 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4" name="TextBox 2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5" name="TextBox 2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6" name="TextBox 29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7" name="TextBox 30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8" name="TextBox 3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0" name="TextBox 2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1" name="TextBox 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3" name="TextBox 5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4" name="TextBox 6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7" name="TextBox 9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9" name="TextBox 3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0" name="TextBox 20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1" name="TextBox 2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2" name="TextBox 29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3" name="TextBox 30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4" name="TextBox 3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5" name="TextBox 32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5" zoomScale="130" zoomScaleNormal="130" workbookViewId="0">
      <selection activeCell="D43" sqref="D43"/>
    </sheetView>
  </sheetViews>
  <sheetFormatPr defaultRowHeight="13.5" x14ac:dyDescent="0.15"/>
  <cols>
    <col min="1" max="1" width="7.125" customWidth="1"/>
    <col min="2" max="2" width="8.5" style="3" customWidth="1"/>
    <col min="3" max="3" width="8.125" customWidth="1"/>
    <col min="4" max="4" width="52.375" customWidth="1"/>
  </cols>
  <sheetData>
    <row r="1" spans="1:4" ht="16.5" x14ac:dyDescent="0.15">
      <c r="A1" s="363" t="s">
        <v>70</v>
      </c>
      <c r="B1" s="364" t="s">
        <v>71</v>
      </c>
      <c r="C1" s="363" t="s">
        <v>72</v>
      </c>
      <c r="D1" s="363" t="s">
        <v>74</v>
      </c>
    </row>
    <row r="2" spans="1:4" ht="16.5" x14ac:dyDescent="0.15">
      <c r="A2" s="111" t="s">
        <v>73</v>
      </c>
      <c r="B2" s="112">
        <v>20190811</v>
      </c>
      <c r="C2" s="111" t="s">
        <v>75</v>
      </c>
      <c r="D2" s="111" t="s">
        <v>111</v>
      </c>
    </row>
    <row r="3" spans="1:4" ht="33" x14ac:dyDescent="0.15">
      <c r="A3" s="111" t="s">
        <v>1147</v>
      </c>
      <c r="B3" s="112">
        <v>20201224</v>
      </c>
      <c r="C3" s="111"/>
      <c r="D3" s="113" t="s">
        <v>1148</v>
      </c>
    </row>
    <row r="4" spans="1:4" ht="16.5" x14ac:dyDescent="0.15">
      <c r="A4" s="111"/>
      <c r="B4" s="112"/>
      <c r="C4" s="111"/>
      <c r="D4" s="111"/>
    </row>
    <row r="5" spans="1:4" ht="16.5" x14ac:dyDescent="0.15">
      <c r="A5" s="111" t="s">
        <v>1285</v>
      </c>
      <c r="B5" s="112">
        <v>20210625</v>
      </c>
      <c r="C5" s="111"/>
      <c r="D5" s="111" t="s">
        <v>1287</v>
      </c>
    </row>
    <row r="6" spans="1:4" ht="16.5" x14ac:dyDescent="0.15">
      <c r="A6" s="111" t="s">
        <v>1286</v>
      </c>
      <c r="B6" s="112">
        <v>20210824</v>
      </c>
      <c r="C6" s="111"/>
      <c r="D6" s="111" t="s">
        <v>1288</v>
      </c>
    </row>
    <row r="7" spans="1:4" ht="16.5" x14ac:dyDescent="0.15">
      <c r="A7" s="111" t="s">
        <v>1296</v>
      </c>
      <c r="B7" s="112">
        <v>20210831</v>
      </c>
      <c r="C7" s="111"/>
      <c r="D7" s="111" t="s">
        <v>1297</v>
      </c>
    </row>
    <row r="8" spans="1:4" ht="33.6" customHeight="1" x14ac:dyDescent="0.15">
      <c r="A8" s="111" t="s">
        <v>1324</v>
      </c>
      <c r="B8" s="112">
        <v>20220216</v>
      </c>
      <c r="C8" s="111"/>
      <c r="D8" s="113" t="s">
        <v>1336</v>
      </c>
    </row>
    <row r="9" spans="1:4" ht="16.5" x14ac:dyDescent="0.15">
      <c r="A9" s="111" t="s">
        <v>1337</v>
      </c>
      <c r="B9" s="112">
        <v>20220218</v>
      </c>
      <c r="C9" s="111"/>
      <c r="D9" s="113" t="s">
        <v>1338</v>
      </c>
    </row>
    <row r="10" spans="1:4" ht="49.5" x14ac:dyDescent="0.15">
      <c r="A10" s="111" t="s">
        <v>1361</v>
      </c>
      <c r="B10" s="112">
        <v>20220419</v>
      </c>
      <c r="C10" s="111"/>
      <c r="D10" s="113" t="s">
        <v>1376</v>
      </c>
    </row>
    <row r="11" spans="1:4" ht="16.5" x14ac:dyDescent="0.15">
      <c r="A11" s="111" t="s">
        <v>1391</v>
      </c>
      <c r="B11" s="112">
        <v>20220527</v>
      </c>
      <c r="C11" s="111"/>
      <c r="D11" s="113" t="s">
        <v>1397</v>
      </c>
    </row>
    <row r="12" spans="1:4" ht="49.5" x14ac:dyDescent="0.15">
      <c r="A12" s="111" t="s">
        <v>1398</v>
      </c>
      <c r="B12" s="112">
        <v>20220530</v>
      </c>
      <c r="C12" s="111"/>
      <c r="D12" s="113" t="s">
        <v>1450</v>
      </c>
    </row>
    <row r="13" spans="1:4" ht="79.150000000000006" customHeight="1" x14ac:dyDescent="0.15">
      <c r="A13" s="111" t="s">
        <v>1435</v>
      </c>
      <c r="B13" s="112">
        <v>20220723</v>
      </c>
      <c r="C13" s="111"/>
      <c r="D13" s="113" t="s">
        <v>1521</v>
      </c>
    </row>
    <row r="14" spans="1:4" ht="214.5" x14ac:dyDescent="0.15">
      <c r="A14" s="111" t="s">
        <v>1531</v>
      </c>
      <c r="B14" s="112">
        <v>20221109</v>
      </c>
      <c r="C14" s="111"/>
      <c r="D14" s="113" t="s">
        <v>1595</v>
      </c>
    </row>
    <row r="15" spans="1:4" ht="16.5" x14ac:dyDescent="0.15">
      <c r="A15" s="111" t="s">
        <v>1593</v>
      </c>
      <c r="B15" s="112">
        <v>20221229</v>
      </c>
      <c r="C15" s="111"/>
      <c r="D15" s="113" t="s">
        <v>1594</v>
      </c>
    </row>
    <row r="16" spans="1:4" ht="16.5" x14ac:dyDescent="0.15">
      <c r="A16" s="111" t="s">
        <v>1598</v>
      </c>
      <c r="B16" s="112">
        <v>20230215</v>
      </c>
      <c r="C16" s="111"/>
      <c r="D16" s="111" t="s">
        <v>1599</v>
      </c>
    </row>
    <row r="17" spans="1:4" ht="49.5" x14ac:dyDescent="0.15">
      <c r="A17" s="111" t="s">
        <v>1609</v>
      </c>
      <c r="B17" s="112">
        <v>20230406</v>
      </c>
      <c r="C17" s="111"/>
      <c r="D17" s="113" t="s">
        <v>1627</v>
      </c>
    </row>
    <row r="18" spans="1:4" ht="33" x14ac:dyDescent="0.15">
      <c r="A18" s="111" t="s">
        <v>1628</v>
      </c>
      <c r="B18" s="112">
        <v>20230411</v>
      </c>
      <c r="C18" s="111"/>
      <c r="D18" s="113" t="s">
        <v>1634</v>
      </c>
    </row>
    <row r="19" spans="1:4" ht="148.5" x14ac:dyDescent="0.15">
      <c r="A19" s="111" t="s">
        <v>1635</v>
      </c>
      <c r="B19" s="112">
        <v>20230504</v>
      </c>
      <c r="C19" s="111"/>
      <c r="D19" s="113" t="s">
        <v>1657</v>
      </c>
    </row>
    <row r="20" spans="1:4" ht="18.75" customHeight="1" x14ac:dyDescent="0.15">
      <c r="A20" s="111" t="s">
        <v>1658</v>
      </c>
      <c r="B20" s="112">
        <v>20230506</v>
      </c>
      <c r="C20" s="111"/>
      <c r="D20" s="114" t="s">
        <v>1660</v>
      </c>
    </row>
    <row r="21" spans="1:4" ht="16.5" x14ac:dyDescent="0.15">
      <c r="A21" s="111" t="s">
        <v>1659</v>
      </c>
      <c r="B21" s="112">
        <v>20230612</v>
      </c>
      <c r="C21" s="111"/>
      <c r="D21" s="114" t="s">
        <v>1663</v>
      </c>
    </row>
    <row r="22" spans="1:4" ht="16.5" x14ac:dyDescent="0.15">
      <c r="A22" s="111" t="s">
        <v>1666</v>
      </c>
      <c r="B22" s="112">
        <v>20230714</v>
      </c>
      <c r="C22" s="111"/>
      <c r="D22" s="114" t="s">
        <v>1667</v>
      </c>
    </row>
    <row r="23" spans="1:4" ht="33" x14ac:dyDescent="0.15">
      <c r="A23" s="111" t="s">
        <v>1668</v>
      </c>
      <c r="B23" s="112">
        <v>20230828</v>
      </c>
      <c r="C23" s="111"/>
      <c r="D23" s="114" t="s">
        <v>1699</v>
      </c>
    </row>
    <row r="24" spans="1:4" ht="16.5" x14ac:dyDescent="0.15">
      <c r="A24" s="111" t="s">
        <v>1700</v>
      </c>
      <c r="B24" s="112">
        <v>20230901</v>
      </c>
      <c r="C24" s="111"/>
      <c r="D24" s="114" t="s">
        <v>1701</v>
      </c>
    </row>
    <row r="25" spans="1:4" ht="16.5" x14ac:dyDescent="0.15">
      <c r="A25" s="111" t="s">
        <v>1702</v>
      </c>
      <c r="B25" s="112">
        <v>20230920</v>
      </c>
      <c r="C25" s="111"/>
      <c r="D25" s="114" t="s">
        <v>1706</v>
      </c>
    </row>
    <row r="26" spans="1:4" ht="82.5" x14ac:dyDescent="0.15">
      <c r="A26" s="111" t="s">
        <v>2672</v>
      </c>
      <c r="B26" s="112">
        <v>20231023</v>
      </c>
      <c r="C26" s="111"/>
      <c r="D26" s="114" t="s">
        <v>2701</v>
      </c>
    </row>
    <row r="27" spans="1:4" ht="16.5" x14ac:dyDescent="0.15">
      <c r="A27" s="111" t="s">
        <v>2702</v>
      </c>
      <c r="B27" s="112">
        <v>20231120</v>
      </c>
      <c r="C27" s="111" t="s">
        <v>2704</v>
      </c>
      <c r="D27" s="114" t="s">
        <v>2703</v>
      </c>
    </row>
    <row r="28" spans="1:4" ht="16.5" x14ac:dyDescent="0.15">
      <c r="A28" s="111" t="s">
        <v>2706</v>
      </c>
      <c r="B28" s="112">
        <v>20231213</v>
      </c>
      <c r="C28" s="111" t="s">
        <v>2704</v>
      </c>
      <c r="D28" s="111" t="s">
        <v>2707</v>
      </c>
    </row>
    <row r="29" spans="1:4" ht="16.5" x14ac:dyDescent="0.15">
      <c r="A29" s="111" t="s">
        <v>2762</v>
      </c>
      <c r="B29" s="112">
        <v>20240510</v>
      </c>
      <c r="C29" s="111" t="s">
        <v>2704</v>
      </c>
      <c r="D29" s="111" t="s">
        <v>2763</v>
      </c>
    </row>
    <row r="30" spans="1:4" ht="16.5" x14ac:dyDescent="0.15">
      <c r="A30" s="111" t="s">
        <v>2767</v>
      </c>
      <c r="B30" s="112">
        <v>20240719</v>
      </c>
      <c r="C30" s="111" t="s">
        <v>2704</v>
      </c>
      <c r="D30" s="111" t="s">
        <v>2768</v>
      </c>
    </row>
    <row r="31" spans="1:4" ht="49.5" x14ac:dyDescent="0.15">
      <c r="A31" s="324" t="s">
        <v>2831</v>
      </c>
      <c r="B31" s="292">
        <v>20240720</v>
      </c>
      <c r="C31" s="324" t="s">
        <v>2704</v>
      </c>
      <c r="D31" s="325" t="s">
        <v>3362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A758-AB61-4234-A02A-524E6C6B97A9}">
  <dimension ref="A1:E32"/>
  <sheetViews>
    <sheetView zoomScale="85" zoomScaleNormal="85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3.625" style="43" customWidth="1"/>
    <col min="2" max="2" width="19" style="43" customWidth="1"/>
    <col min="3" max="3" width="10.75" style="43" customWidth="1"/>
    <col min="4" max="4" width="10.125" style="43" customWidth="1"/>
    <col min="5" max="16384" width="9" style="43"/>
  </cols>
  <sheetData>
    <row r="1" spans="1:5" ht="21" x14ac:dyDescent="0.4">
      <c r="A1" s="71" t="s">
        <v>1540</v>
      </c>
      <c r="B1" s="71" t="s">
        <v>1541</v>
      </c>
      <c r="C1" s="71" t="s">
        <v>1542</v>
      </c>
    </row>
    <row r="2" spans="1:5" ht="20.25" x14ac:dyDescent="0.35">
      <c r="A2" s="76" t="s">
        <v>1543</v>
      </c>
      <c r="B2" s="72" t="s">
        <v>2775</v>
      </c>
      <c r="C2" s="72" t="s">
        <v>1545</v>
      </c>
    </row>
    <row r="3" spans="1:5" ht="20.25" x14ac:dyDescent="0.35">
      <c r="A3" s="138" t="s">
        <v>1546</v>
      </c>
      <c r="B3" s="72" t="s">
        <v>2765</v>
      </c>
      <c r="C3" s="72" t="s">
        <v>1545</v>
      </c>
    </row>
    <row r="4" spans="1:5" ht="20.25" x14ac:dyDescent="0.35">
      <c r="A4" s="76" t="s">
        <v>1547</v>
      </c>
      <c r="B4" s="72" t="s">
        <v>1548</v>
      </c>
      <c r="C4" s="72" t="s">
        <v>1549</v>
      </c>
      <c r="D4" s="51" t="s">
        <v>1648</v>
      </c>
      <c r="E4" s="252" t="s">
        <v>3015</v>
      </c>
    </row>
    <row r="5" spans="1:5" ht="20.25" x14ac:dyDescent="0.35">
      <c r="A5" s="76" t="s">
        <v>1550</v>
      </c>
      <c r="B5" s="72" t="s">
        <v>1551</v>
      </c>
      <c r="C5" s="72" t="s">
        <v>1549</v>
      </c>
      <c r="D5" s="51" t="s">
        <v>1648</v>
      </c>
    </row>
    <row r="6" spans="1:5" ht="20.25" x14ac:dyDescent="0.35">
      <c r="A6" s="76" t="s">
        <v>1552</v>
      </c>
      <c r="B6" s="72" t="s">
        <v>1553</v>
      </c>
      <c r="C6" s="72" t="s">
        <v>1554</v>
      </c>
    </row>
    <row r="7" spans="1:5" ht="20.25" x14ac:dyDescent="0.35">
      <c r="A7" s="76" t="s">
        <v>1555</v>
      </c>
      <c r="B7" s="72" t="s">
        <v>1556</v>
      </c>
      <c r="C7" s="72" t="s">
        <v>1545</v>
      </c>
    </row>
    <row r="8" spans="1:5" ht="20.25" x14ac:dyDescent="0.35">
      <c r="A8" s="77" t="s">
        <v>1705</v>
      </c>
      <c r="B8" s="72" t="s">
        <v>1557</v>
      </c>
      <c r="C8" s="72" t="s">
        <v>1545</v>
      </c>
    </row>
    <row r="9" spans="1:5" ht="20.25" x14ac:dyDescent="0.15">
      <c r="A9" s="206" t="s">
        <v>2956</v>
      </c>
      <c r="B9" s="73" t="s">
        <v>1558</v>
      </c>
      <c r="C9" s="73" t="s">
        <v>1545</v>
      </c>
      <c r="D9" s="51" t="s">
        <v>1648</v>
      </c>
    </row>
    <row r="10" spans="1:5" ht="20.25" x14ac:dyDescent="0.35">
      <c r="A10" s="76" t="s">
        <v>1559</v>
      </c>
      <c r="B10" s="72" t="s">
        <v>1560</v>
      </c>
      <c r="C10" s="72" t="s">
        <v>1545</v>
      </c>
    </row>
    <row r="11" spans="1:5" ht="20.25" x14ac:dyDescent="0.35">
      <c r="A11" s="76" t="s">
        <v>3002</v>
      </c>
      <c r="B11" s="72" t="s">
        <v>1561</v>
      </c>
      <c r="C11" s="72" t="s">
        <v>1554</v>
      </c>
    </row>
    <row r="12" spans="1:5" ht="20.25" x14ac:dyDescent="0.35">
      <c r="A12" s="76" t="s">
        <v>1562</v>
      </c>
      <c r="B12" s="72" t="s">
        <v>1563</v>
      </c>
      <c r="C12" s="72" t="s">
        <v>1545</v>
      </c>
    </row>
    <row r="13" spans="1:5" ht="20.25" x14ac:dyDescent="0.35">
      <c r="A13" s="76" t="s">
        <v>3009</v>
      </c>
      <c r="B13" s="72" t="s">
        <v>1564</v>
      </c>
      <c r="C13" s="72" t="s">
        <v>1549</v>
      </c>
    </row>
    <row r="14" spans="1:5" ht="20.25" x14ac:dyDescent="0.35">
      <c r="A14" s="76" t="s">
        <v>1565</v>
      </c>
      <c r="B14" s="72" t="s">
        <v>1566</v>
      </c>
      <c r="C14" s="72" t="s">
        <v>1549</v>
      </c>
      <c r="D14" s="51" t="s">
        <v>1648</v>
      </c>
    </row>
    <row r="15" spans="1:5" ht="20.25" x14ac:dyDescent="0.35">
      <c r="A15" s="76" t="s">
        <v>1567</v>
      </c>
      <c r="B15" s="72" t="s">
        <v>1557</v>
      </c>
      <c r="C15" s="72" t="s">
        <v>1545</v>
      </c>
    </row>
    <row r="16" spans="1:5" ht="20.25" x14ac:dyDescent="0.35">
      <c r="A16" s="171" t="s">
        <v>1568</v>
      </c>
      <c r="B16" s="72" t="s">
        <v>1557</v>
      </c>
      <c r="C16" s="72" t="s">
        <v>1545</v>
      </c>
    </row>
    <row r="17" spans="1:4" ht="20.25" x14ac:dyDescent="0.35">
      <c r="A17" s="76" t="s">
        <v>1569</v>
      </c>
      <c r="B17" s="72" t="s">
        <v>1570</v>
      </c>
      <c r="C17" s="72" t="s">
        <v>1549</v>
      </c>
    </row>
    <row r="18" spans="1:4" ht="20.25" x14ac:dyDescent="0.35">
      <c r="A18" s="76" t="s">
        <v>1571</v>
      </c>
      <c r="B18" s="72" t="s">
        <v>1572</v>
      </c>
      <c r="C18" s="72" t="s">
        <v>1549</v>
      </c>
    </row>
    <row r="19" spans="1:4" ht="20.25" x14ac:dyDescent="0.35">
      <c r="A19" s="76" t="s">
        <v>1573</v>
      </c>
      <c r="B19" s="72" t="s">
        <v>1574</v>
      </c>
      <c r="C19" s="72" t="s">
        <v>1554</v>
      </c>
    </row>
    <row r="20" spans="1:4" ht="20.25" x14ac:dyDescent="0.35">
      <c r="A20" s="76" t="s">
        <v>1575</v>
      </c>
      <c r="B20" s="72" t="s">
        <v>1576</v>
      </c>
      <c r="C20" s="72" t="s">
        <v>1554</v>
      </c>
    </row>
    <row r="21" spans="1:4" ht="20.25" x14ac:dyDescent="0.35">
      <c r="A21" s="76" t="s">
        <v>1577</v>
      </c>
      <c r="B21" s="72" t="s">
        <v>1578</v>
      </c>
      <c r="C21" s="72" t="s">
        <v>1554</v>
      </c>
    </row>
    <row r="22" spans="1:4" ht="20.25" x14ac:dyDescent="0.35">
      <c r="A22" s="76" t="s">
        <v>1579</v>
      </c>
      <c r="B22" s="72" t="s">
        <v>1580</v>
      </c>
      <c r="C22" s="72" t="s">
        <v>1545</v>
      </c>
    </row>
    <row r="23" spans="1:4" ht="20.25" x14ac:dyDescent="0.35">
      <c r="A23" s="76" t="s">
        <v>3358</v>
      </c>
      <c r="B23" s="72" t="s">
        <v>1581</v>
      </c>
      <c r="C23" s="72" t="s">
        <v>1545</v>
      </c>
    </row>
    <row r="24" spans="1:4" ht="20.25" x14ac:dyDescent="0.35">
      <c r="A24" s="76" t="s">
        <v>1582</v>
      </c>
      <c r="B24" s="72" t="s">
        <v>1580</v>
      </c>
      <c r="C24" s="72" t="s">
        <v>1545</v>
      </c>
    </row>
    <row r="25" spans="1:4" ht="20.25" x14ac:dyDescent="0.35">
      <c r="A25" s="76" t="s">
        <v>1583</v>
      </c>
      <c r="B25" s="72" t="s">
        <v>1584</v>
      </c>
      <c r="C25" s="72" t="s">
        <v>1545</v>
      </c>
    </row>
    <row r="26" spans="1:4" ht="20.25" x14ac:dyDescent="0.35">
      <c r="A26" s="76" t="s">
        <v>1585</v>
      </c>
      <c r="B26" s="72" t="s">
        <v>1586</v>
      </c>
      <c r="C26" s="72" t="s">
        <v>1545</v>
      </c>
    </row>
    <row r="27" spans="1:4" ht="20.25" x14ac:dyDescent="0.35">
      <c r="A27" s="78" t="s">
        <v>1632</v>
      </c>
      <c r="B27" s="72" t="s">
        <v>1587</v>
      </c>
      <c r="C27" s="72" t="s">
        <v>1545</v>
      </c>
    </row>
    <row r="28" spans="1:4" ht="20.25" x14ac:dyDescent="0.35">
      <c r="A28" s="78" t="s">
        <v>1629</v>
      </c>
      <c r="B28" s="72" t="s">
        <v>1631</v>
      </c>
      <c r="C28" s="72" t="s">
        <v>1630</v>
      </c>
      <c r="D28" s="79" t="s">
        <v>1633</v>
      </c>
    </row>
    <row r="29" spans="1:4" ht="20.25" x14ac:dyDescent="0.35">
      <c r="A29" s="76" t="s">
        <v>1588</v>
      </c>
      <c r="B29" s="72" t="s">
        <v>1589</v>
      </c>
      <c r="C29" s="72" t="s">
        <v>1554</v>
      </c>
    </row>
    <row r="30" spans="1:4" ht="20.25" x14ac:dyDescent="0.35">
      <c r="A30" s="76" t="s">
        <v>3359</v>
      </c>
      <c r="B30" s="72" t="s">
        <v>1590</v>
      </c>
      <c r="C30" s="72" t="s">
        <v>1545</v>
      </c>
    </row>
    <row r="31" spans="1:4" ht="20.25" x14ac:dyDescent="0.35">
      <c r="A31" s="76" t="s">
        <v>1591</v>
      </c>
      <c r="B31" s="72" t="s">
        <v>1592</v>
      </c>
      <c r="C31" s="72" t="s">
        <v>1545</v>
      </c>
    </row>
    <row r="32" spans="1:4" ht="20.25" x14ac:dyDescent="0.35">
      <c r="A32" s="101" t="s">
        <v>2751</v>
      </c>
      <c r="B32" s="72" t="s">
        <v>2761</v>
      </c>
      <c r="C32" s="72" t="s">
        <v>1545</v>
      </c>
    </row>
  </sheetData>
  <phoneticPr fontId="6" type="noConversion"/>
  <hyperlinks>
    <hyperlink ref="A13" location="'DCDC故障代码表（1A）BCAN'!A1" display="DCDC" xr:uid="{CEC60608-D575-4FD2-94C4-9AC51DBDC254}"/>
    <hyperlink ref="A12" location="'自动变速箱故障代码表03 PCAN'!A1" display="自动变速箱（AMT）" xr:uid="{9224F0E3-703B-4913-8746-6326BE661900}"/>
    <hyperlink ref="A11" location="'空压机故障代码表30 BCAN'!A1" display="空压机" xr:uid="{E3322BD3-85D8-42E3-82A4-617BBA4EB773}"/>
    <hyperlink ref="A28" location="'科密瑞立(KB)EPB (50) PCAN'!A1" display="科密瑞立EPB" xr:uid="{6DFC4823-7A3B-4D3E-B99B-87B1AB521FEF}"/>
    <hyperlink ref="A27" location="'Knorr EPB（50）PCAN'!A1" display="Knorr EPB" xr:uid="{91E7D999-7B75-49D1-BF4D-585658876A14}"/>
    <hyperlink ref="A8" location="'再生制动故障代码表(ABS焦作博瑞克BPCAN'!A1" display="再生制动(ABS焦作博瑞克)" xr:uid="{9E4F869B-A1D9-4398-97C2-972C8D7603D4}"/>
    <hyperlink ref="A2" location="'HCU故障代码31, D0-PCAN'!A1" display="整车控制器（HCU）" xr:uid="{78A4DDA9-80CE-4BDA-BBEE-AE6F4623AD38}"/>
    <hyperlink ref="A3" location="'热管理温控集成机组(TMS)82-PCAN'!A1" display="电池冷却系统(TMS)" xr:uid="{5F256D37-2C66-4BE0-A23D-2AC6EF78F39E}"/>
    <hyperlink ref="A4" location="'低压转向(LSCU)4D-BCAN'!A1" display="低压转向(LSCU)" xr:uid="{D99D623E-567E-4DAE-BC72-4ABA663C554D}"/>
    <hyperlink ref="A5" location="'高压转向故障代码表(HSCU)2E BCAN'!A1" display="高压转向故障代码表(HSCU)" xr:uid="{DB6ADD4E-AB6D-4C96-BA9E-E9DB5FE57AC1}"/>
    <hyperlink ref="A6" location="IC!A1" display="组合仪表（IC）" xr:uid="{FC1E1385-8E3D-4FCA-B638-1B9952871E5A}"/>
    <hyperlink ref="A7" location="'SCU 05 PCAN'!A1" display="SCU" xr:uid="{463C7DE6-03E6-4945-B078-3D880A619B0A}"/>
    <hyperlink ref="A31" location="'燃料电池冷却系统(FTS)8F-PCAN'!A1" display="燃料电池冷却系统（FTS）" xr:uid="{6FFA4E06-8A72-4DC0-95FF-2ECBAF988ABD}"/>
    <hyperlink ref="A30" location="'换电系统（0xDB）'!A1" display="换电系统" xr:uid="{BF62914F-03F6-450F-9A18-3081397C8023}"/>
    <hyperlink ref="A29" location="'Knorr  ECAS（2F）BCAN'!A1" display="空气悬架（ECAS）KNORR/瑞立" xr:uid="{9971C1A9-F124-4072-86B1-545E56E40B14}"/>
    <hyperlink ref="A26" location="'外挂DCDC（84）PCAN'!A1" display="外挂DCDC" xr:uid="{A7A2468A-588C-4630-B76A-2A9A0C406301}"/>
    <hyperlink ref="A25" location="'冷却系统故障ATS(A7和A8)-pcan'!A1" display="冷却系统（ATS）" xr:uid="{FD7768E8-D64C-41FE-AEB0-83747B57AF2A}"/>
    <hyperlink ref="A24" location="'燃电DCDC（F5）'!A1" display="燃电DCDC" xr:uid="{15E44AA2-809E-4BC8-9F75-7ADC81A4F145}"/>
    <hyperlink ref="A23" location="'氢系统故障（F6）PCAN'!A1" display="氢管理系统（HMS）" xr:uid="{5EAF2FCF-80BA-4CFD-8E89-2B4698C46F5A}"/>
    <hyperlink ref="A22" location="'FCU故障码（F5）PCAN'!A1" display="燃料电池控制器（FCU）" xr:uid="{CA86D4C1-3CA6-4764-85C4-A0824CE4638F}"/>
    <hyperlink ref="A21" location="'疲劳驾驶E7 BCAN'!A1" display="疲劳驾驶（DFMS）" xr:uid="{F2C8E21C-65F2-4D78-9AF4-53EBFADC6FEF}"/>
    <hyperlink ref="A20" location="环景影像41BCAN!A1" display="环景影像（HJYX）" xr:uid="{49151F4A-9BA4-4EFA-B7A2-1CC684C8ADC4}"/>
    <hyperlink ref="A19" location="'TPMS(SENSATA)33  BCAN'!A1" display="TPMS" xr:uid="{A0400B2F-1B34-4DEC-9586-256174A8839D}"/>
    <hyperlink ref="A18" location="'DCM （EC）BCAN'!A1" display="DCM" xr:uid="{C65D9CBF-1B75-4B37-BF92-F0EC6F0FDA94}"/>
    <hyperlink ref="A17" location="'BCM（32） BCAN'!A1" display="BCM" xr:uid="{5FE6EC01-4A20-4885-8058-4F222DBFE023}"/>
    <hyperlink ref="A16" location="'新EBS(KNORR) 0B PCAN'!A1" display="EBS KNORR" xr:uid="{E764443F-AF8E-432C-99ED-B4F0270DD50B}"/>
    <hyperlink ref="A15" location="'ABS KNORR故障码 ）0B PCAN'!A1" display="ABS KNORR" xr:uid="{5E4804B5-53D0-4192-80A2-E4EB7F06113B}"/>
    <hyperlink ref="A14" location="'高压配电盒故障代码表1E BCAN'!A1" display="高压配电盒（PDU）" xr:uid="{5A4A94BF-73D1-44B5-9FE5-917B3F51E65A}"/>
    <hyperlink ref="A10" location="'电机故障 EF_PCAN'!A1" display="电机控制器（MCU）" xr:uid="{67C4CB51-AA5B-4E88-ADD2-F4B8DA8CAD94}"/>
    <hyperlink ref="A32" location="电液转向机!A1" display="电液转向机" xr:uid="{3A5087A9-8443-44C2-8A0B-E49620E62E33}"/>
    <hyperlink ref="A9" location="'电池管理系统（BMS）故障代码表F4 PCAN'!A1" display="电池管理系统（BMS）" xr:uid="{A9E848D3-EB1F-457A-94DD-2995DEB2A5D6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15" zoomScaleNormal="115" workbookViewId="0">
      <selection activeCell="B10" sqref="B10"/>
    </sheetView>
  </sheetViews>
  <sheetFormatPr defaultRowHeight="13.5" x14ac:dyDescent="0.15"/>
  <cols>
    <col min="3" max="3" width="24.125" customWidth="1"/>
  </cols>
  <sheetData>
    <row r="1" spans="1:5" ht="14.25" thickBot="1" x14ac:dyDescent="0.2">
      <c r="A1" s="13" t="s">
        <v>0</v>
      </c>
      <c r="B1" s="14" t="s">
        <v>102</v>
      </c>
      <c r="C1" s="14" t="s">
        <v>2</v>
      </c>
      <c r="D1" s="14" t="s">
        <v>103</v>
      </c>
      <c r="E1" s="15" t="s">
        <v>104</v>
      </c>
    </row>
    <row r="2" spans="1:5" x14ac:dyDescent="0.15">
      <c r="A2" s="12">
        <v>1</v>
      </c>
      <c r="B2" s="12" t="s">
        <v>105</v>
      </c>
      <c r="C2" s="12" t="s">
        <v>4</v>
      </c>
      <c r="D2" s="12">
        <v>521301</v>
      </c>
      <c r="E2" s="12">
        <v>17</v>
      </c>
    </row>
    <row r="3" spans="1:5" x14ac:dyDescent="0.15">
      <c r="A3" s="11">
        <v>2</v>
      </c>
      <c r="B3" s="11" t="s">
        <v>106</v>
      </c>
      <c r="C3" s="11" t="s">
        <v>5</v>
      </c>
      <c r="D3" s="11">
        <v>521304</v>
      </c>
      <c r="E3" s="11">
        <v>15</v>
      </c>
    </row>
    <row r="4" spans="1:5" x14ac:dyDescent="0.15">
      <c r="A4" s="11">
        <v>3</v>
      </c>
      <c r="B4" s="11" t="s">
        <v>106</v>
      </c>
      <c r="C4" s="11" t="s">
        <v>6</v>
      </c>
      <c r="D4" s="11">
        <v>521305</v>
      </c>
      <c r="E4" s="11">
        <v>15</v>
      </c>
    </row>
    <row r="5" spans="1:5" x14ac:dyDescent="0.15">
      <c r="A5" s="11">
        <v>4</v>
      </c>
      <c r="B5" s="11" t="s">
        <v>106</v>
      </c>
      <c r="C5" s="11" t="s">
        <v>7</v>
      </c>
      <c r="D5" s="11">
        <v>521306</v>
      </c>
      <c r="E5" s="11">
        <v>15</v>
      </c>
    </row>
    <row r="6" spans="1:5" x14ac:dyDescent="0.15">
      <c r="A6" s="11">
        <v>5</v>
      </c>
      <c r="B6" s="11" t="s">
        <v>105</v>
      </c>
      <c r="C6" s="11" t="s">
        <v>8</v>
      </c>
      <c r="D6" s="11">
        <v>521307</v>
      </c>
      <c r="E6" s="11">
        <v>15</v>
      </c>
    </row>
    <row r="7" spans="1:5" x14ac:dyDescent="0.15">
      <c r="A7" s="11">
        <v>6</v>
      </c>
      <c r="B7" s="11" t="s">
        <v>107</v>
      </c>
      <c r="C7" s="11" t="s">
        <v>108</v>
      </c>
      <c r="D7" s="11">
        <v>5977</v>
      </c>
      <c r="E7" s="11">
        <v>1</v>
      </c>
    </row>
    <row r="8" spans="1:5" x14ac:dyDescent="0.15">
      <c r="A8" s="11">
        <v>7</v>
      </c>
      <c r="B8" s="11" t="s">
        <v>107</v>
      </c>
      <c r="C8" s="11" t="s">
        <v>43</v>
      </c>
      <c r="D8" s="11">
        <v>153</v>
      </c>
      <c r="E8" s="11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194"/>
  <sheetViews>
    <sheetView zoomScale="130" zoomScaleNormal="130" workbookViewId="0">
      <pane ySplit="1" topLeftCell="A176" activePane="bottomLeft" state="frozen"/>
      <selection pane="bottomLeft" activeCell="F193" sqref="F193"/>
    </sheetView>
  </sheetViews>
  <sheetFormatPr defaultColWidth="8.875" defaultRowHeight="17.25" x14ac:dyDescent="0.35"/>
  <cols>
    <col min="1" max="1" width="6.25" style="150" customWidth="1"/>
    <col min="2" max="2" width="12.375" style="151" customWidth="1"/>
    <col min="3" max="4" width="8.875" style="152"/>
    <col min="5" max="5" width="13.5" style="152" customWidth="1"/>
    <col min="6" max="6" width="12.125" style="152" customWidth="1"/>
    <col min="7" max="7" width="43.75" style="145" customWidth="1"/>
    <col min="8" max="8" width="24.875" style="327" customWidth="1"/>
    <col min="9" max="9" width="11.625" style="145" bestFit="1" customWidth="1"/>
    <col min="10" max="16384" width="8.875" style="145"/>
  </cols>
  <sheetData>
    <row r="1" spans="1:8" s="144" customFormat="1" x14ac:dyDescent="0.35">
      <c r="A1" s="140" t="s">
        <v>0</v>
      </c>
      <c r="B1" s="141" t="s">
        <v>2769</v>
      </c>
      <c r="C1" s="142" t="s">
        <v>1600</v>
      </c>
      <c r="D1" s="142" t="s">
        <v>2776</v>
      </c>
      <c r="E1" s="143" t="s">
        <v>10</v>
      </c>
      <c r="F1" s="143" t="s">
        <v>3</v>
      </c>
      <c r="G1" s="143" t="s">
        <v>3338</v>
      </c>
      <c r="H1" s="326" t="s">
        <v>3339</v>
      </c>
    </row>
    <row r="2" spans="1:8" x14ac:dyDescent="0.35">
      <c r="A2" s="153">
        <v>1</v>
      </c>
      <c r="B2" s="153"/>
      <c r="C2" s="154" t="s">
        <v>1608</v>
      </c>
      <c r="D2" s="154" t="s">
        <v>2777</v>
      </c>
      <c r="E2" s="155">
        <v>168</v>
      </c>
      <c r="F2" s="155">
        <v>16</v>
      </c>
      <c r="G2" s="156" t="s">
        <v>1047</v>
      </c>
      <c r="H2" s="291"/>
    </row>
    <row r="3" spans="1:8" ht="18.75" customHeight="1" x14ac:dyDescent="0.35">
      <c r="A3" s="157">
        <v>2</v>
      </c>
      <c r="B3" s="161" t="s">
        <v>2772</v>
      </c>
      <c r="C3" s="158" t="s">
        <v>1603</v>
      </c>
      <c r="D3" s="154" t="s">
        <v>2777</v>
      </c>
      <c r="E3" s="155">
        <v>168</v>
      </c>
      <c r="F3" s="155">
        <v>18</v>
      </c>
      <c r="G3" s="156" t="s">
        <v>1602</v>
      </c>
      <c r="H3" s="291" t="str">
        <f t="shared" ref="H3:H57" si="0">"HCU"&amp;":"&amp;"("&amp;E3&amp;","&amp;F3&amp;")"</f>
        <v>HCU:(168,18)</v>
      </c>
    </row>
    <row r="4" spans="1:8" x14ac:dyDescent="0.35">
      <c r="A4" s="153">
        <v>3</v>
      </c>
      <c r="B4" s="153"/>
      <c r="C4" s="154" t="s">
        <v>1608</v>
      </c>
      <c r="D4" s="154" t="s">
        <v>2777</v>
      </c>
      <c r="E4" s="155">
        <v>168</v>
      </c>
      <c r="F4" s="155">
        <v>2</v>
      </c>
      <c r="G4" s="156" t="s">
        <v>1048</v>
      </c>
      <c r="H4" s="291"/>
    </row>
    <row r="5" spans="1:8" x14ac:dyDescent="0.35">
      <c r="A5" s="153">
        <v>4</v>
      </c>
      <c r="B5" s="153"/>
      <c r="C5" s="154" t="s">
        <v>1608</v>
      </c>
      <c r="D5" s="154" t="s">
        <v>2777</v>
      </c>
      <c r="E5" s="155">
        <v>169</v>
      </c>
      <c r="F5" s="155">
        <v>16</v>
      </c>
      <c r="G5" s="156" t="s">
        <v>1049</v>
      </c>
      <c r="H5" s="291"/>
    </row>
    <row r="6" spans="1:8" x14ac:dyDescent="0.35">
      <c r="A6" s="153">
        <v>5</v>
      </c>
      <c r="B6" s="153"/>
      <c r="C6" s="154" t="s">
        <v>1608</v>
      </c>
      <c r="D6" s="154" t="s">
        <v>2777</v>
      </c>
      <c r="E6" s="155">
        <v>169</v>
      </c>
      <c r="F6" s="155">
        <v>18</v>
      </c>
      <c r="G6" s="156" t="s">
        <v>2770</v>
      </c>
      <c r="H6" s="291"/>
    </row>
    <row r="7" spans="1:8" x14ac:dyDescent="0.35">
      <c r="A7" s="153">
        <v>6</v>
      </c>
      <c r="B7" s="153"/>
      <c r="C7" s="154" t="s">
        <v>1608</v>
      </c>
      <c r="D7" s="154" t="s">
        <v>2777</v>
      </c>
      <c r="E7" s="155">
        <v>169</v>
      </c>
      <c r="F7" s="155">
        <v>2</v>
      </c>
      <c r="G7" s="156" t="s">
        <v>1050</v>
      </c>
      <c r="H7" s="291"/>
    </row>
    <row r="8" spans="1:8" x14ac:dyDescent="0.35">
      <c r="A8" s="153">
        <v>7</v>
      </c>
      <c r="B8" s="153"/>
      <c r="C8" s="154" t="s">
        <v>1608</v>
      </c>
      <c r="D8" s="154" t="s">
        <v>2777</v>
      </c>
      <c r="E8" s="155">
        <v>158</v>
      </c>
      <c r="F8" s="155">
        <v>16</v>
      </c>
      <c r="G8" s="156" t="s">
        <v>1051</v>
      </c>
      <c r="H8" s="291"/>
    </row>
    <row r="9" spans="1:8" x14ac:dyDescent="0.35">
      <c r="A9" s="153">
        <v>8</v>
      </c>
      <c r="B9" s="153"/>
      <c r="C9" s="159" t="s">
        <v>1603</v>
      </c>
      <c r="D9" s="154" t="s">
        <v>2777</v>
      </c>
      <c r="E9" s="155">
        <v>158</v>
      </c>
      <c r="F9" s="155">
        <v>18</v>
      </c>
      <c r="G9" s="156" t="s">
        <v>1052</v>
      </c>
      <c r="H9" s="291" t="str">
        <f t="shared" si="0"/>
        <v>HCU:(158,18)</v>
      </c>
    </row>
    <row r="10" spans="1:8" x14ac:dyDescent="0.35">
      <c r="A10" s="153">
        <v>9</v>
      </c>
      <c r="B10" s="153"/>
      <c r="C10" s="154" t="s">
        <v>1608</v>
      </c>
      <c r="D10" s="154" t="s">
        <v>2777</v>
      </c>
      <c r="E10" s="155">
        <v>158</v>
      </c>
      <c r="F10" s="155">
        <v>2</v>
      </c>
      <c r="G10" s="160" t="s">
        <v>1053</v>
      </c>
      <c r="H10" s="291"/>
    </row>
    <row r="11" spans="1:8" x14ac:dyDescent="0.35">
      <c r="A11" s="153">
        <v>10</v>
      </c>
      <c r="B11" s="161" t="s">
        <v>2773</v>
      </c>
      <c r="C11" s="154" t="s">
        <v>1608</v>
      </c>
      <c r="D11" s="154" t="s">
        <v>2777</v>
      </c>
      <c r="E11" s="155">
        <v>597</v>
      </c>
      <c r="F11" s="155">
        <v>2</v>
      </c>
      <c r="G11" s="156" t="s">
        <v>1054</v>
      </c>
      <c r="H11" s="291"/>
    </row>
    <row r="12" spans="1:8" x14ac:dyDescent="0.35">
      <c r="A12" s="153">
        <v>11</v>
      </c>
      <c r="B12" s="153"/>
      <c r="C12" s="162" t="s">
        <v>1601</v>
      </c>
      <c r="D12" s="154" t="s">
        <v>2777</v>
      </c>
      <c r="E12" s="155">
        <v>21003</v>
      </c>
      <c r="F12" s="164">
        <v>12</v>
      </c>
      <c r="G12" s="156" t="s">
        <v>1118</v>
      </c>
      <c r="H12" s="291" t="str">
        <f t="shared" si="0"/>
        <v>HCU:(21003,12)</v>
      </c>
    </row>
    <row r="13" spans="1:8" x14ac:dyDescent="0.35">
      <c r="A13" s="153">
        <v>12</v>
      </c>
      <c r="B13" s="153"/>
      <c r="C13" s="162" t="s">
        <v>1601</v>
      </c>
      <c r="D13" s="154" t="s">
        <v>2777</v>
      </c>
      <c r="E13" s="155">
        <v>21004</v>
      </c>
      <c r="F13" s="155">
        <v>12</v>
      </c>
      <c r="G13" s="156" t="s">
        <v>1055</v>
      </c>
      <c r="H13" s="291" t="str">
        <f t="shared" si="0"/>
        <v>HCU:(21004,12)</v>
      </c>
    </row>
    <row r="14" spans="1:8" x14ac:dyDescent="0.35">
      <c r="A14" s="153">
        <v>13</v>
      </c>
      <c r="B14" s="161" t="s">
        <v>2773</v>
      </c>
      <c r="C14" s="154" t="s">
        <v>1608</v>
      </c>
      <c r="D14" s="154" t="s">
        <v>2777</v>
      </c>
      <c r="E14" s="155">
        <v>21005</v>
      </c>
      <c r="F14" s="164">
        <v>4</v>
      </c>
      <c r="G14" s="156" t="s">
        <v>1056</v>
      </c>
      <c r="H14" s="291"/>
    </row>
    <row r="15" spans="1:8" x14ac:dyDescent="0.35">
      <c r="A15" s="153">
        <v>14</v>
      </c>
      <c r="B15" s="161" t="s">
        <v>2773</v>
      </c>
      <c r="C15" s="154" t="s">
        <v>1608</v>
      </c>
      <c r="D15" s="154" t="s">
        <v>2777</v>
      </c>
      <c r="E15" s="155">
        <v>21005</v>
      </c>
      <c r="F15" s="164">
        <v>3</v>
      </c>
      <c r="G15" s="156" t="s">
        <v>1057</v>
      </c>
      <c r="H15" s="291"/>
    </row>
    <row r="16" spans="1:8" x14ac:dyDescent="0.35">
      <c r="A16" s="153">
        <v>15</v>
      </c>
      <c r="B16" s="153"/>
      <c r="C16" s="154" t="s">
        <v>1608</v>
      </c>
      <c r="D16" s="154" t="s">
        <v>2777</v>
      </c>
      <c r="E16" s="155">
        <v>21005</v>
      </c>
      <c r="F16" s="164">
        <v>6</v>
      </c>
      <c r="G16" s="156" t="s">
        <v>1058</v>
      </c>
      <c r="H16" s="291"/>
    </row>
    <row r="17" spans="1:8" x14ac:dyDescent="0.35">
      <c r="A17" s="153">
        <v>16</v>
      </c>
      <c r="B17" s="153"/>
      <c r="C17" s="154" t="s">
        <v>1608</v>
      </c>
      <c r="D17" s="154" t="s">
        <v>2777</v>
      </c>
      <c r="E17" s="155">
        <v>21006</v>
      </c>
      <c r="F17" s="155">
        <v>16</v>
      </c>
      <c r="G17" s="156" t="s">
        <v>1059</v>
      </c>
      <c r="H17" s="291"/>
    </row>
    <row r="18" spans="1:8" x14ac:dyDescent="0.35">
      <c r="A18" s="153">
        <v>17</v>
      </c>
      <c r="B18" s="153"/>
      <c r="C18" s="154" t="s">
        <v>1608</v>
      </c>
      <c r="D18" s="154" t="s">
        <v>2777</v>
      </c>
      <c r="E18" s="155">
        <v>21006</v>
      </c>
      <c r="F18" s="155">
        <v>18</v>
      </c>
      <c r="G18" s="156" t="s">
        <v>1117</v>
      </c>
      <c r="H18" s="291"/>
    </row>
    <row r="19" spans="1:8" x14ac:dyDescent="0.35">
      <c r="A19" s="153">
        <v>18</v>
      </c>
      <c r="B19" s="161" t="s">
        <v>2773</v>
      </c>
      <c r="C19" s="154" t="s">
        <v>1608</v>
      </c>
      <c r="D19" s="154" t="s">
        <v>2777</v>
      </c>
      <c r="E19" s="155">
        <v>21006</v>
      </c>
      <c r="F19" s="155">
        <v>5</v>
      </c>
      <c r="G19" s="156" t="s">
        <v>1060</v>
      </c>
      <c r="H19" s="291"/>
    </row>
    <row r="20" spans="1:8" x14ac:dyDescent="0.35">
      <c r="A20" s="153">
        <v>19</v>
      </c>
      <c r="B20" s="161" t="s">
        <v>2773</v>
      </c>
      <c r="C20" s="154" t="s">
        <v>1608</v>
      </c>
      <c r="D20" s="154" t="s">
        <v>2777</v>
      </c>
      <c r="E20" s="155">
        <v>21006</v>
      </c>
      <c r="F20" s="155">
        <v>6</v>
      </c>
      <c r="G20" s="156" t="s">
        <v>1061</v>
      </c>
      <c r="H20" s="291"/>
    </row>
    <row r="21" spans="1:8" x14ac:dyDescent="0.35">
      <c r="A21" s="153">
        <v>20</v>
      </c>
      <c r="B21" s="161" t="s">
        <v>2773</v>
      </c>
      <c r="C21" s="154" t="s">
        <v>1608</v>
      </c>
      <c r="D21" s="154" t="s">
        <v>2777</v>
      </c>
      <c r="E21" s="155">
        <v>21007</v>
      </c>
      <c r="F21" s="155">
        <v>16</v>
      </c>
      <c r="G21" s="165" t="s">
        <v>2863</v>
      </c>
      <c r="H21" s="291"/>
    </row>
    <row r="22" spans="1:8" x14ac:dyDescent="0.35">
      <c r="A22" s="153">
        <v>21</v>
      </c>
      <c r="B22" s="161" t="s">
        <v>2773</v>
      </c>
      <c r="C22" s="154" t="s">
        <v>1608</v>
      </c>
      <c r="D22" s="154" t="s">
        <v>2777</v>
      </c>
      <c r="E22" s="155">
        <v>21007</v>
      </c>
      <c r="F22" s="155">
        <v>18</v>
      </c>
      <c r="G22" s="156" t="s">
        <v>1062</v>
      </c>
      <c r="H22" s="291"/>
    </row>
    <row r="23" spans="1:8" x14ac:dyDescent="0.35">
      <c r="A23" s="153">
        <v>22</v>
      </c>
      <c r="B23" s="161" t="s">
        <v>2774</v>
      </c>
      <c r="C23" s="162" t="s">
        <v>1601</v>
      </c>
      <c r="D23" s="154" t="s">
        <v>2777</v>
      </c>
      <c r="E23" s="155">
        <v>21007</v>
      </c>
      <c r="F23" s="155">
        <v>5</v>
      </c>
      <c r="G23" s="166" t="s">
        <v>1115</v>
      </c>
      <c r="H23" s="291" t="str">
        <f t="shared" si="0"/>
        <v>HCU:(21007,5)</v>
      </c>
    </row>
    <row r="24" spans="1:8" x14ac:dyDescent="0.35">
      <c r="A24" s="153">
        <v>23</v>
      </c>
      <c r="B24" s="153"/>
      <c r="C24" s="154" t="s">
        <v>1608</v>
      </c>
      <c r="D24" s="154" t="s">
        <v>2777</v>
      </c>
      <c r="E24" s="155">
        <v>21007</v>
      </c>
      <c r="F24" s="155">
        <v>2</v>
      </c>
      <c r="G24" s="156" t="s">
        <v>1063</v>
      </c>
      <c r="H24" s="291"/>
    </row>
    <row r="25" spans="1:8" x14ac:dyDescent="0.35">
      <c r="A25" s="153">
        <v>24</v>
      </c>
      <c r="B25" s="153"/>
      <c r="C25" s="154" t="s">
        <v>1608</v>
      </c>
      <c r="D25" s="154" t="s">
        <v>2777</v>
      </c>
      <c r="E25" s="155">
        <v>21008</v>
      </c>
      <c r="F25" s="155">
        <v>16</v>
      </c>
      <c r="G25" s="156" t="s">
        <v>1064</v>
      </c>
      <c r="H25" s="291"/>
    </row>
    <row r="26" spans="1:8" x14ac:dyDescent="0.35">
      <c r="A26" s="153">
        <v>25</v>
      </c>
      <c r="B26" s="153"/>
      <c r="C26" s="154" t="s">
        <v>1608</v>
      </c>
      <c r="D26" s="154" t="s">
        <v>2777</v>
      </c>
      <c r="E26" s="155">
        <v>21008</v>
      </c>
      <c r="F26" s="155">
        <v>18</v>
      </c>
      <c r="G26" s="156" t="s">
        <v>1065</v>
      </c>
      <c r="H26" s="291"/>
    </row>
    <row r="27" spans="1:8" x14ac:dyDescent="0.35">
      <c r="A27" s="153">
        <v>26</v>
      </c>
      <c r="B27" s="161" t="s">
        <v>2773</v>
      </c>
      <c r="C27" s="154" t="s">
        <v>1608</v>
      </c>
      <c r="D27" s="154" t="s">
        <v>2777</v>
      </c>
      <c r="E27" s="155">
        <v>21008</v>
      </c>
      <c r="F27" s="155">
        <v>5</v>
      </c>
      <c r="G27" s="156" t="s">
        <v>1066</v>
      </c>
      <c r="H27" s="291"/>
    </row>
    <row r="28" spans="1:8" x14ac:dyDescent="0.35">
      <c r="A28" s="153">
        <v>27</v>
      </c>
      <c r="B28" s="161" t="s">
        <v>2773</v>
      </c>
      <c r="C28" s="154" t="s">
        <v>1608</v>
      </c>
      <c r="D28" s="154" t="s">
        <v>2777</v>
      </c>
      <c r="E28" s="155">
        <v>21008</v>
      </c>
      <c r="F28" s="155">
        <v>6</v>
      </c>
      <c r="G28" s="156" t="s">
        <v>1067</v>
      </c>
      <c r="H28" s="291"/>
    </row>
    <row r="29" spans="1:8" x14ac:dyDescent="0.35">
      <c r="A29" s="153">
        <v>28</v>
      </c>
      <c r="B29" s="161" t="s">
        <v>2773</v>
      </c>
      <c r="C29" s="154" t="s">
        <v>1608</v>
      </c>
      <c r="D29" s="154" t="s">
        <v>2777</v>
      </c>
      <c r="E29" s="155">
        <v>91</v>
      </c>
      <c r="F29" s="155">
        <v>16</v>
      </c>
      <c r="G29" s="165" t="s">
        <v>2864</v>
      </c>
      <c r="H29" s="291"/>
    </row>
    <row r="30" spans="1:8" x14ac:dyDescent="0.35">
      <c r="A30" s="153">
        <v>29</v>
      </c>
      <c r="B30" s="161" t="s">
        <v>2773</v>
      </c>
      <c r="C30" s="154" t="s">
        <v>1608</v>
      </c>
      <c r="D30" s="154" t="s">
        <v>2777</v>
      </c>
      <c r="E30" s="155">
        <v>91</v>
      </c>
      <c r="F30" s="155">
        <v>18</v>
      </c>
      <c r="G30" s="156" t="s">
        <v>1068</v>
      </c>
      <c r="H30" s="291"/>
    </row>
    <row r="31" spans="1:8" x14ac:dyDescent="0.35">
      <c r="A31" s="153">
        <v>30</v>
      </c>
      <c r="B31" s="153"/>
      <c r="C31" s="154" t="s">
        <v>1608</v>
      </c>
      <c r="D31" s="154" t="s">
        <v>2777</v>
      </c>
      <c r="E31" s="155">
        <v>91</v>
      </c>
      <c r="F31" s="155">
        <v>2</v>
      </c>
      <c r="G31" s="156" t="s">
        <v>1069</v>
      </c>
      <c r="H31" s="291"/>
    </row>
    <row r="32" spans="1:8" x14ac:dyDescent="0.35">
      <c r="A32" s="153">
        <v>31</v>
      </c>
      <c r="B32" s="153"/>
      <c r="C32" s="154" t="s">
        <v>1608</v>
      </c>
      <c r="D32" s="154" t="s">
        <v>2777</v>
      </c>
      <c r="E32" s="155">
        <v>21009</v>
      </c>
      <c r="F32" s="155">
        <v>16</v>
      </c>
      <c r="G32" s="156" t="s">
        <v>1070</v>
      </c>
      <c r="H32" s="291"/>
    </row>
    <row r="33" spans="1:8" x14ac:dyDescent="0.35">
      <c r="A33" s="153">
        <v>32</v>
      </c>
      <c r="B33" s="153"/>
      <c r="C33" s="154" t="s">
        <v>1608</v>
      </c>
      <c r="D33" s="154" t="s">
        <v>2777</v>
      </c>
      <c r="E33" s="155">
        <v>21009</v>
      </c>
      <c r="F33" s="155">
        <v>18</v>
      </c>
      <c r="G33" s="156" t="s">
        <v>1071</v>
      </c>
      <c r="H33" s="291"/>
    </row>
    <row r="34" spans="1:8" x14ac:dyDescent="0.35">
      <c r="A34" s="153">
        <v>33</v>
      </c>
      <c r="B34" s="161" t="s">
        <v>2773</v>
      </c>
      <c r="C34" s="154" t="s">
        <v>1608</v>
      </c>
      <c r="D34" s="154" t="s">
        <v>2777</v>
      </c>
      <c r="E34" s="155">
        <v>21009</v>
      </c>
      <c r="F34" s="155">
        <v>5</v>
      </c>
      <c r="G34" s="156" t="s">
        <v>1072</v>
      </c>
      <c r="H34" s="291"/>
    </row>
    <row r="35" spans="1:8" x14ac:dyDescent="0.35">
      <c r="A35" s="153">
        <v>34</v>
      </c>
      <c r="B35" s="161" t="s">
        <v>2773</v>
      </c>
      <c r="C35" s="154" t="s">
        <v>1608</v>
      </c>
      <c r="D35" s="154" t="s">
        <v>2777</v>
      </c>
      <c r="E35" s="155">
        <v>21009</v>
      </c>
      <c r="F35" s="155">
        <v>6</v>
      </c>
      <c r="G35" s="156" t="s">
        <v>1073</v>
      </c>
      <c r="H35" s="291"/>
    </row>
    <row r="36" spans="1:8" x14ac:dyDescent="0.35">
      <c r="A36" s="153">
        <v>35</v>
      </c>
      <c r="B36" s="161" t="s">
        <v>2773</v>
      </c>
      <c r="C36" s="154" t="s">
        <v>1608</v>
      </c>
      <c r="D36" s="154" t="s">
        <v>2777</v>
      </c>
      <c r="E36" s="155">
        <v>29</v>
      </c>
      <c r="F36" s="155">
        <v>16</v>
      </c>
      <c r="G36" s="165" t="s">
        <v>2865</v>
      </c>
      <c r="H36" s="291"/>
    </row>
    <row r="37" spans="1:8" x14ac:dyDescent="0.35">
      <c r="A37" s="153">
        <v>36</v>
      </c>
      <c r="B37" s="161" t="s">
        <v>2773</v>
      </c>
      <c r="C37" s="154" t="s">
        <v>1608</v>
      </c>
      <c r="D37" s="154" t="s">
        <v>2777</v>
      </c>
      <c r="E37" s="155">
        <v>29</v>
      </c>
      <c r="F37" s="155">
        <v>18</v>
      </c>
      <c r="G37" s="156" t="s">
        <v>1074</v>
      </c>
      <c r="H37" s="291"/>
    </row>
    <row r="38" spans="1:8" x14ac:dyDescent="0.35">
      <c r="A38" s="153">
        <v>37</v>
      </c>
      <c r="B38" s="153"/>
      <c r="C38" s="154" t="s">
        <v>1608</v>
      </c>
      <c r="D38" s="154" t="s">
        <v>2777</v>
      </c>
      <c r="E38" s="155">
        <v>29</v>
      </c>
      <c r="F38" s="155">
        <v>2</v>
      </c>
      <c r="G38" s="156" t="s">
        <v>1075</v>
      </c>
      <c r="H38" s="291"/>
    </row>
    <row r="39" spans="1:8" x14ac:dyDescent="0.35">
      <c r="A39" s="153">
        <v>38</v>
      </c>
      <c r="B39" s="153"/>
      <c r="C39" s="159" t="s">
        <v>1603</v>
      </c>
      <c r="D39" s="154" t="s">
        <v>2777</v>
      </c>
      <c r="E39" s="155">
        <v>21012</v>
      </c>
      <c r="F39" s="164">
        <v>4</v>
      </c>
      <c r="G39" s="156" t="s">
        <v>1076</v>
      </c>
      <c r="H39" s="291" t="str">
        <f t="shared" si="0"/>
        <v>HCU:(21012,4)</v>
      </c>
    </row>
    <row r="40" spans="1:8" x14ac:dyDescent="0.35">
      <c r="A40" s="153">
        <v>39</v>
      </c>
      <c r="B40" s="153"/>
      <c r="C40" s="159" t="s">
        <v>1603</v>
      </c>
      <c r="D40" s="154" t="s">
        <v>2777</v>
      </c>
      <c r="E40" s="155">
        <v>21012</v>
      </c>
      <c r="F40" s="164">
        <v>3</v>
      </c>
      <c r="G40" s="156" t="s">
        <v>1077</v>
      </c>
      <c r="H40" s="291" t="str">
        <f t="shared" si="0"/>
        <v>HCU:(21012,3)</v>
      </c>
    </row>
    <row r="41" spans="1:8" x14ac:dyDescent="0.35">
      <c r="A41" s="153">
        <v>40</v>
      </c>
      <c r="B41" s="153"/>
      <c r="C41" s="154" t="s">
        <v>1608</v>
      </c>
      <c r="D41" s="154" t="s">
        <v>2777</v>
      </c>
      <c r="E41" s="155">
        <v>21012</v>
      </c>
      <c r="F41" s="164">
        <v>6</v>
      </c>
      <c r="G41" s="156" t="s">
        <v>1078</v>
      </c>
      <c r="H41" s="291"/>
    </row>
    <row r="42" spans="1:8" x14ac:dyDescent="0.35">
      <c r="A42" s="153">
        <v>41</v>
      </c>
      <c r="B42" s="161" t="s">
        <v>2773</v>
      </c>
      <c r="C42" s="154" t="s">
        <v>1608</v>
      </c>
      <c r="D42" s="154" t="s">
        <v>2777</v>
      </c>
      <c r="E42" s="155">
        <v>21013</v>
      </c>
      <c r="F42" s="164">
        <v>4</v>
      </c>
      <c r="G42" s="156" t="s">
        <v>1079</v>
      </c>
      <c r="H42" s="291"/>
    </row>
    <row r="43" spans="1:8" x14ac:dyDescent="0.35">
      <c r="A43" s="153">
        <v>42</v>
      </c>
      <c r="B43" s="161" t="s">
        <v>2773</v>
      </c>
      <c r="C43" s="154" t="s">
        <v>1608</v>
      </c>
      <c r="D43" s="154" t="s">
        <v>2777</v>
      </c>
      <c r="E43" s="155">
        <v>21013</v>
      </c>
      <c r="F43" s="164">
        <v>3</v>
      </c>
      <c r="G43" s="156" t="s">
        <v>1080</v>
      </c>
      <c r="H43" s="291"/>
    </row>
    <row r="44" spans="1:8" x14ac:dyDescent="0.35">
      <c r="A44" s="153">
        <v>43</v>
      </c>
      <c r="B44" s="153"/>
      <c r="C44" s="154" t="s">
        <v>1608</v>
      </c>
      <c r="D44" s="154" t="s">
        <v>2777</v>
      </c>
      <c r="E44" s="155">
        <v>21013</v>
      </c>
      <c r="F44" s="164">
        <v>6</v>
      </c>
      <c r="G44" s="156" t="s">
        <v>1081</v>
      </c>
      <c r="H44" s="291"/>
    </row>
    <row r="45" spans="1:8" x14ac:dyDescent="0.35">
      <c r="A45" s="153">
        <v>44</v>
      </c>
      <c r="B45" s="161" t="s">
        <v>2773</v>
      </c>
      <c r="C45" s="154" t="s">
        <v>1608</v>
      </c>
      <c r="D45" s="154" t="s">
        <v>2777</v>
      </c>
      <c r="E45" s="155">
        <v>21014</v>
      </c>
      <c r="F45" s="164">
        <v>4</v>
      </c>
      <c r="G45" s="156" t="s">
        <v>1082</v>
      </c>
      <c r="H45" s="291"/>
    </row>
    <row r="46" spans="1:8" x14ac:dyDescent="0.35">
      <c r="A46" s="153">
        <v>45</v>
      </c>
      <c r="B46" s="161" t="s">
        <v>2773</v>
      </c>
      <c r="C46" s="154" t="s">
        <v>1608</v>
      </c>
      <c r="D46" s="154" t="s">
        <v>2777</v>
      </c>
      <c r="E46" s="155">
        <v>21014</v>
      </c>
      <c r="F46" s="164">
        <v>3</v>
      </c>
      <c r="G46" s="156" t="s">
        <v>1083</v>
      </c>
      <c r="H46" s="291"/>
    </row>
    <row r="47" spans="1:8" x14ac:dyDescent="0.35">
      <c r="A47" s="153">
        <v>46</v>
      </c>
      <c r="B47" s="153"/>
      <c r="C47" s="154" t="s">
        <v>1608</v>
      </c>
      <c r="D47" s="154" t="s">
        <v>2777</v>
      </c>
      <c r="E47" s="155">
        <v>21014</v>
      </c>
      <c r="F47" s="164">
        <v>6</v>
      </c>
      <c r="G47" s="156" t="s">
        <v>1084</v>
      </c>
      <c r="H47" s="291"/>
    </row>
    <row r="48" spans="1:8" x14ac:dyDescent="0.35">
      <c r="A48" s="153">
        <v>47</v>
      </c>
      <c r="B48" s="153"/>
      <c r="C48" s="162" t="s">
        <v>1601</v>
      </c>
      <c r="D48" s="154" t="s">
        <v>2777</v>
      </c>
      <c r="E48" s="155">
        <v>21015</v>
      </c>
      <c r="F48" s="164">
        <v>4</v>
      </c>
      <c r="G48" s="156" t="s">
        <v>1085</v>
      </c>
      <c r="H48" s="291" t="str">
        <f t="shared" si="0"/>
        <v>HCU:(21015,4)</v>
      </c>
    </row>
    <row r="49" spans="1:8" x14ac:dyDescent="0.35">
      <c r="A49" s="153">
        <v>48</v>
      </c>
      <c r="B49" s="153"/>
      <c r="C49" s="159" t="s">
        <v>1603</v>
      </c>
      <c r="D49" s="154" t="s">
        <v>2777</v>
      </c>
      <c r="E49" s="155">
        <v>21015</v>
      </c>
      <c r="F49" s="164">
        <v>3</v>
      </c>
      <c r="G49" s="156" t="s">
        <v>1086</v>
      </c>
      <c r="H49" s="291" t="str">
        <f t="shared" si="0"/>
        <v>HCU:(21015,3)</v>
      </c>
    </row>
    <row r="50" spans="1:8" x14ac:dyDescent="0.35">
      <c r="A50" s="153">
        <v>49</v>
      </c>
      <c r="B50" s="161" t="s">
        <v>2772</v>
      </c>
      <c r="C50" s="159" t="s">
        <v>1603</v>
      </c>
      <c r="D50" s="154" t="s">
        <v>2777</v>
      </c>
      <c r="E50" s="155">
        <v>21015</v>
      </c>
      <c r="F50" s="164">
        <v>6</v>
      </c>
      <c r="G50" s="156" t="s">
        <v>1087</v>
      </c>
      <c r="H50" s="291" t="str">
        <f t="shared" si="0"/>
        <v>HCU:(21015,6)</v>
      </c>
    </row>
    <row r="51" spans="1:8" x14ac:dyDescent="0.35">
      <c r="A51" s="153">
        <v>50</v>
      </c>
      <c r="B51" s="153"/>
      <c r="C51" s="154" t="s">
        <v>1608</v>
      </c>
      <c r="D51" s="154" t="s">
        <v>2777</v>
      </c>
      <c r="E51" s="155">
        <v>630</v>
      </c>
      <c r="F51" s="155">
        <v>12</v>
      </c>
      <c r="G51" s="156" t="s">
        <v>1088</v>
      </c>
      <c r="H51" s="291"/>
    </row>
    <row r="52" spans="1:8" x14ac:dyDescent="0.35">
      <c r="A52" s="153">
        <v>51</v>
      </c>
      <c r="B52" s="153"/>
      <c r="C52" s="162" t="s">
        <v>1601</v>
      </c>
      <c r="D52" s="154" t="s">
        <v>2777</v>
      </c>
      <c r="E52" s="155">
        <v>21016</v>
      </c>
      <c r="F52" s="155">
        <v>12</v>
      </c>
      <c r="G52" s="156" t="s">
        <v>1089</v>
      </c>
      <c r="H52" s="291" t="str">
        <f t="shared" si="0"/>
        <v>HCU:(21016,12)</v>
      </c>
    </row>
    <row r="53" spans="1:8" x14ac:dyDescent="0.35">
      <c r="A53" s="153">
        <v>52</v>
      </c>
      <c r="B53" s="153"/>
      <c r="C53" s="154" t="s">
        <v>1608</v>
      </c>
      <c r="D53" s="154" t="s">
        <v>2777</v>
      </c>
      <c r="E53" s="155">
        <v>21017</v>
      </c>
      <c r="F53" s="155">
        <v>12</v>
      </c>
      <c r="G53" s="156" t="s">
        <v>1341</v>
      </c>
      <c r="H53" s="291"/>
    </row>
    <row r="54" spans="1:8" x14ac:dyDescent="0.35">
      <c r="A54" s="153">
        <v>53</v>
      </c>
      <c r="B54" s="153"/>
      <c r="C54" s="162" t="s">
        <v>1601</v>
      </c>
      <c r="D54" s="154" t="s">
        <v>2777</v>
      </c>
      <c r="E54" s="155">
        <v>21018</v>
      </c>
      <c r="F54" s="155">
        <v>12</v>
      </c>
      <c r="G54" s="156" t="s">
        <v>1090</v>
      </c>
      <c r="H54" s="291" t="str">
        <f t="shared" si="0"/>
        <v>HCU:(21018,12)</v>
      </c>
    </row>
    <row r="55" spans="1:8" x14ac:dyDescent="0.35">
      <c r="A55" s="153">
        <v>54</v>
      </c>
      <c r="B55" s="153"/>
      <c r="C55" s="162" t="s">
        <v>1601</v>
      </c>
      <c r="D55" s="154" t="s">
        <v>2777</v>
      </c>
      <c r="E55" s="155">
        <v>21019</v>
      </c>
      <c r="F55" s="164">
        <v>4</v>
      </c>
      <c r="G55" s="156" t="s">
        <v>1091</v>
      </c>
      <c r="H55" s="291" t="str">
        <f t="shared" si="0"/>
        <v>HCU:(21019,4)</v>
      </c>
    </row>
    <row r="56" spans="1:8" ht="18" customHeight="1" x14ac:dyDescent="0.35">
      <c r="A56" s="153">
        <v>55</v>
      </c>
      <c r="B56" s="153"/>
      <c r="C56" s="159" t="s">
        <v>1603</v>
      </c>
      <c r="D56" s="154" t="s">
        <v>2777</v>
      </c>
      <c r="E56" s="155">
        <v>21019</v>
      </c>
      <c r="F56" s="164">
        <v>3</v>
      </c>
      <c r="G56" s="156" t="s">
        <v>1042</v>
      </c>
      <c r="H56" s="291" t="str">
        <f t="shared" si="0"/>
        <v>HCU:(21019,3)</v>
      </c>
    </row>
    <row r="57" spans="1:8" x14ac:dyDescent="0.35">
      <c r="A57" s="153">
        <v>56</v>
      </c>
      <c r="B57" s="161" t="s">
        <v>2772</v>
      </c>
      <c r="C57" s="159" t="s">
        <v>1603</v>
      </c>
      <c r="D57" s="154" t="s">
        <v>2777</v>
      </c>
      <c r="E57" s="155">
        <v>21019</v>
      </c>
      <c r="F57" s="164">
        <v>6</v>
      </c>
      <c r="G57" s="156" t="s">
        <v>1092</v>
      </c>
      <c r="H57" s="291" t="str">
        <f t="shared" si="0"/>
        <v>HCU:(21019,6)</v>
      </c>
    </row>
    <row r="58" spans="1:8" x14ac:dyDescent="0.35">
      <c r="A58" s="153">
        <v>57</v>
      </c>
      <c r="B58" s="161" t="s">
        <v>2773</v>
      </c>
      <c r="C58" s="154" t="s">
        <v>1608</v>
      </c>
      <c r="D58" s="154" t="s">
        <v>2777</v>
      </c>
      <c r="E58" s="155">
        <v>21022</v>
      </c>
      <c r="F58" s="164">
        <v>4</v>
      </c>
      <c r="G58" s="156" t="s">
        <v>1093</v>
      </c>
      <c r="H58" s="291"/>
    </row>
    <row r="59" spans="1:8" x14ac:dyDescent="0.35">
      <c r="A59" s="153">
        <v>58</v>
      </c>
      <c r="B59" s="161" t="s">
        <v>2773</v>
      </c>
      <c r="C59" s="154" t="s">
        <v>1608</v>
      </c>
      <c r="D59" s="154" t="s">
        <v>2777</v>
      </c>
      <c r="E59" s="155">
        <v>21022</v>
      </c>
      <c r="F59" s="164">
        <v>3</v>
      </c>
      <c r="G59" s="156" t="s">
        <v>1094</v>
      </c>
      <c r="H59" s="291"/>
    </row>
    <row r="60" spans="1:8" x14ac:dyDescent="0.35">
      <c r="A60" s="153">
        <v>59</v>
      </c>
      <c r="B60" s="153"/>
      <c r="C60" s="154" t="s">
        <v>1608</v>
      </c>
      <c r="D60" s="154" t="s">
        <v>2777</v>
      </c>
      <c r="E60" s="155">
        <v>21022</v>
      </c>
      <c r="F60" s="164">
        <v>6</v>
      </c>
      <c r="G60" s="156" t="s">
        <v>1095</v>
      </c>
      <c r="H60" s="291"/>
    </row>
    <row r="61" spans="1:8" x14ac:dyDescent="0.35">
      <c r="A61" s="153">
        <v>60</v>
      </c>
      <c r="B61" s="153"/>
      <c r="C61" s="154" t="s">
        <v>1608</v>
      </c>
      <c r="D61" s="154" t="s">
        <v>2777</v>
      </c>
      <c r="E61" s="155">
        <v>21056</v>
      </c>
      <c r="F61" s="155">
        <v>16</v>
      </c>
      <c r="G61" s="156" t="s">
        <v>1096</v>
      </c>
      <c r="H61" s="291"/>
    </row>
    <row r="62" spans="1:8" x14ac:dyDescent="0.35">
      <c r="A62" s="153">
        <v>61</v>
      </c>
      <c r="B62" s="153"/>
      <c r="C62" s="154" t="s">
        <v>1608</v>
      </c>
      <c r="D62" s="154" t="s">
        <v>2777</v>
      </c>
      <c r="E62" s="155">
        <v>21056</v>
      </c>
      <c r="F62" s="155">
        <v>18</v>
      </c>
      <c r="G62" s="156" t="s">
        <v>1097</v>
      </c>
      <c r="H62" s="291"/>
    </row>
    <row r="63" spans="1:8" x14ac:dyDescent="0.35">
      <c r="A63" s="153">
        <v>62</v>
      </c>
      <c r="B63" s="161" t="s">
        <v>2773</v>
      </c>
      <c r="C63" s="154" t="s">
        <v>1608</v>
      </c>
      <c r="D63" s="154" t="s">
        <v>2777</v>
      </c>
      <c r="E63" s="155">
        <v>21056</v>
      </c>
      <c r="F63" s="155">
        <v>5</v>
      </c>
      <c r="G63" s="156" t="s">
        <v>1098</v>
      </c>
      <c r="H63" s="291"/>
    </row>
    <row r="64" spans="1:8" x14ac:dyDescent="0.35">
      <c r="A64" s="153">
        <v>63</v>
      </c>
      <c r="B64" s="161" t="s">
        <v>2773</v>
      </c>
      <c r="C64" s="154" t="s">
        <v>1608</v>
      </c>
      <c r="D64" s="154" t="s">
        <v>2777</v>
      </c>
      <c r="E64" s="155">
        <v>21056</v>
      </c>
      <c r="F64" s="155">
        <v>6</v>
      </c>
      <c r="G64" s="156" t="s">
        <v>1099</v>
      </c>
      <c r="H64" s="291"/>
    </row>
    <row r="65" spans="1:8" x14ac:dyDescent="0.35">
      <c r="A65" s="153">
        <v>64</v>
      </c>
      <c r="B65" s="161" t="s">
        <v>2773</v>
      </c>
      <c r="C65" s="154" t="s">
        <v>1608</v>
      </c>
      <c r="D65" s="154" t="s">
        <v>2777</v>
      </c>
      <c r="E65" s="155">
        <v>21067</v>
      </c>
      <c r="F65" s="155">
        <v>16</v>
      </c>
      <c r="G65" s="165" t="s">
        <v>2866</v>
      </c>
      <c r="H65" s="291"/>
    </row>
    <row r="66" spans="1:8" x14ac:dyDescent="0.35">
      <c r="A66" s="153">
        <v>65</v>
      </c>
      <c r="B66" s="161" t="s">
        <v>2773</v>
      </c>
      <c r="C66" s="154" t="s">
        <v>1608</v>
      </c>
      <c r="D66" s="154" t="s">
        <v>2777</v>
      </c>
      <c r="E66" s="155">
        <v>21067</v>
      </c>
      <c r="F66" s="155">
        <v>18</v>
      </c>
      <c r="G66" s="156" t="s">
        <v>1116</v>
      </c>
      <c r="H66" s="291"/>
    </row>
    <row r="67" spans="1:8" x14ac:dyDescent="0.35">
      <c r="A67" s="153">
        <v>66</v>
      </c>
      <c r="B67" s="153"/>
      <c r="C67" s="154" t="s">
        <v>1608</v>
      </c>
      <c r="D67" s="154" t="s">
        <v>2777</v>
      </c>
      <c r="E67" s="155">
        <v>21067</v>
      </c>
      <c r="F67" s="155">
        <v>2</v>
      </c>
      <c r="G67" s="156" t="s">
        <v>1100</v>
      </c>
      <c r="H67" s="291"/>
    </row>
    <row r="68" spans="1:8" x14ac:dyDescent="0.35">
      <c r="A68" s="153">
        <v>67</v>
      </c>
      <c r="B68" s="153"/>
      <c r="C68" s="159" t="s">
        <v>1603</v>
      </c>
      <c r="D68" s="154" t="s">
        <v>2777</v>
      </c>
      <c r="E68" s="155">
        <v>1746</v>
      </c>
      <c r="F68" s="155">
        <v>9</v>
      </c>
      <c r="G68" s="156" t="s">
        <v>1604</v>
      </c>
      <c r="H68" s="291" t="str">
        <f t="shared" ref="H68:H130" si="1">"HCU"&amp;":"&amp;"("&amp;E68&amp;","&amp;F68&amp;")"</f>
        <v>HCU:(1746,9)</v>
      </c>
    </row>
    <row r="69" spans="1:8" x14ac:dyDescent="0.35">
      <c r="A69" s="153">
        <v>68</v>
      </c>
      <c r="B69" s="153"/>
      <c r="C69" s="159" t="s">
        <v>1603</v>
      </c>
      <c r="D69" s="154" t="s">
        <v>2777</v>
      </c>
      <c r="E69" s="155">
        <v>1746</v>
      </c>
      <c r="F69" s="155">
        <v>2</v>
      </c>
      <c r="G69" s="156" t="s">
        <v>1605</v>
      </c>
      <c r="H69" s="291" t="str">
        <f t="shared" si="1"/>
        <v>HCU:(1746,2)</v>
      </c>
    </row>
    <row r="70" spans="1:8" x14ac:dyDescent="0.35">
      <c r="A70" s="153">
        <v>69</v>
      </c>
      <c r="B70" s="153"/>
      <c r="C70" s="159" t="s">
        <v>1603</v>
      </c>
      <c r="D70" s="154" t="s">
        <v>2777</v>
      </c>
      <c r="E70" s="155">
        <v>21068</v>
      </c>
      <c r="F70" s="155">
        <v>2</v>
      </c>
      <c r="G70" s="156" t="s">
        <v>1606</v>
      </c>
      <c r="H70" s="291" t="str">
        <f t="shared" si="1"/>
        <v>HCU:(21068,2)</v>
      </c>
    </row>
    <row r="71" spans="1:8" x14ac:dyDescent="0.35">
      <c r="A71" s="153">
        <v>70</v>
      </c>
      <c r="B71" s="153"/>
      <c r="C71" s="159" t="s">
        <v>1603</v>
      </c>
      <c r="D71" s="154" t="s">
        <v>2777</v>
      </c>
      <c r="E71" s="155">
        <v>21069</v>
      </c>
      <c r="F71" s="155">
        <v>2</v>
      </c>
      <c r="G71" s="156" t="s">
        <v>1607</v>
      </c>
      <c r="H71" s="291" t="str">
        <f t="shared" si="1"/>
        <v>HCU:(21069,2)</v>
      </c>
    </row>
    <row r="72" spans="1:8" x14ac:dyDescent="0.35">
      <c r="A72" s="153">
        <v>71</v>
      </c>
      <c r="B72" s="167" t="s">
        <v>2778</v>
      </c>
      <c r="C72" s="146" t="s">
        <v>1616</v>
      </c>
      <c r="D72" s="154" t="s">
        <v>2777</v>
      </c>
      <c r="E72" s="147">
        <v>522084</v>
      </c>
      <c r="F72" s="147">
        <v>5</v>
      </c>
      <c r="G72" s="166" t="s">
        <v>2779</v>
      </c>
      <c r="H72" s="291" t="str">
        <f t="shared" si="1"/>
        <v>HCU:(522084,5)</v>
      </c>
    </row>
    <row r="73" spans="1:8" x14ac:dyDescent="0.35">
      <c r="A73" s="153">
        <v>72</v>
      </c>
      <c r="B73" s="167" t="s">
        <v>2778</v>
      </c>
      <c r="C73" s="146" t="s">
        <v>1616</v>
      </c>
      <c r="D73" s="154" t="s">
        <v>2777</v>
      </c>
      <c r="E73" s="147">
        <v>522084</v>
      </c>
      <c r="F73" s="147">
        <v>12</v>
      </c>
      <c r="G73" s="166" t="s">
        <v>2780</v>
      </c>
      <c r="H73" s="291" t="str">
        <f t="shared" si="1"/>
        <v>HCU:(522084,12)</v>
      </c>
    </row>
    <row r="74" spans="1:8" x14ac:dyDescent="0.35">
      <c r="A74" s="153">
        <v>73</v>
      </c>
      <c r="B74" s="167" t="s">
        <v>2778</v>
      </c>
      <c r="C74" s="147" t="s">
        <v>1617</v>
      </c>
      <c r="D74" s="154" t="s">
        <v>2777</v>
      </c>
      <c r="E74" s="147">
        <v>522084</v>
      </c>
      <c r="F74" s="147">
        <v>3</v>
      </c>
      <c r="G74" s="166"/>
      <c r="H74" s="291"/>
    </row>
    <row r="75" spans="1:8" x14ac:dyDescent="0.35">
      <c r="A75" s="153">
        <v>74</v>
      </c>
      <c r="B75" s="167" t="s">
        <v>2778</v>
      </c>
      <c r="C75" s="147" t="s">
        <v>1617</v>
      </c>
      <c r="D75" s="154" t="s">
        <v>2777</v>
      </c>
      <c r="E75" s="147">
        <v>522084</v>
      </c>
      <c r="F75" s="147">
        <v>4</v>
      </c>
      <c r="G75" s="166"/>
      <c r="H75" s="291"/>
    </row>
    <row r="76" spans="1:8" x14ac:dyDescent="0.35">
      <c r="A76" s="153">
        <v>75</v>
      </c>
      <c r="B76" s="167" t="s">
        <v>2778</v>
      </c>
      <c r="C76" s="146" t="s">
        <v>1616</v>
      </c>
      <c r="D76" s="154" t="s">
        <v>2777</v>
      </c>
      <c r="E76" s="147">
        <v>522084</v>
      </c>
      <c r="F76" s="147">
        <v>6</v>
      </c>
      <c r="G76" s="166" t="s">
        <v>2797</v>
      </c>
      <c r="H76" s="291" t="str">
        <f t="shared" si="1"/>
        <v>HCU:(522084,6)</v>
      </c>
    </row>
    <row r="77" spans="1:8" x14ac:dyDescent="0.35">
      <c r="A77" s="153">
        <v>76</v>
      </c>
      <c r="B77" s="167" t="s">
        <v>2778</v>
      </c>
      <c r="C77" s="147" t="s">
        <v>1617</v>
      </c>
      <c r="D77" s="154" t="s">
        <v>2777</v>
      </c>
      <c r="E77" s="147">
        <v>522084</v>
      </c>
      <c r="F77" s="147">
        <v>20</v>
      </c>
      <c r="G77" s="166"/>
      <c r="H77" s="291"/>
    </row>
    <row r="78" spans="1:8" x14ac:dyDescent="0.35">
      <c r="A78" s="153">
        <v>77</v>
      </c>
      <c r="B78" s="167" t="s">
        <v>2778</v>
      </c>
      <c r="C78" s="146" t="s">
        <v>1616</v>
      </c>
      <c r="D78" s="154" t="s">
        <v>2777</v>
      </c>
      <c r="E78" s="147">
        <v>522084</v>
      </c>
      <c r="F78" s="147">
        <v>21</v>
      </c>
      <c r="G78" s="166" t="s">
        <v>2781</v>
      </c>
      <c r="H78" s="291" t="str">
        <f t="shared" si="1"/>
        <v>HCU:(522084,21)</v>
      </c>
    </row>
    <row r="79" spans="1:8" x14ac:dyDescent="0.35">
      <c r="A79" s="153">
        <v>78</v>
      </c>
      <c r="B79" s="167" t="s">
        <v>2778</v>
      </c>
      <c r="C79" s="146" t="s">
        <v>1616</v>
      </c>
      <c r="D79" s="154" t="s">
        <v>2777</v>
      </c>
      <c r="E79" s="147">
        <v>522084</v>
      </c>
      <c r="F79" s="147">
        <v>2</v>
      </c>
      <c r="G79" s="166" t="s">
        <v>2782</v>
      </c>
      <c r="H79" s="291" t="str">
        <f t="shared" si="1"/>
        <v>HCU:(522084,2)</v>
      </c>
    </row>
    <row r="80" spans="1:8" x14ac:dyDescent="0.35">
      <c r="A80" s="153">
        <v>79</v>
      </c>
      <c r="B80" s="167" t="s">
        <v>2778</v>
      </c>
      <c r="C80" s="146" t="s">
        <v>1616</v>
      </c>
      <c r="D80" s="154" t="s">
        <v>2777</v>
      </c>
      <c r="E80" s="147">
        <v>522143</v>
      </c>
      <c r="F80" s="147">
        <v>5</v>
      </c>
      <c r="G80" s="166" t="s">
        <v>2799</v>
      </c>
      <c r="H80" s="291" t="str">
        <f t="shared" si="1"/>
        <v>HCU:(522143,5)</v>
      </c>
    </row>
    <row r="81" spans="1:8" x14ac:dyDescent="0.35">
      <c r="A81" s="153">
        <v>80</v>
      </c>
      <c r="B81" s="167" t="s">
        <v>2778</v>
      </c>
      <c r="C81" s="146" t="s">
        <v>1616</v>
      </c>
      <c r="D81" s="154" t="s">
        <v>2777</v>
      </c>
      <c r="E81" s="147">
        <v>522143</v>
      </c>
      <c r="F81" s="147">
        <v>12</v>
      </c>
      <c r="G81" s="166" t="s">
        <v>2800</v>
      </c>
      <c r="H81" s="291" t="str">
        <f t="shared" si="1"/>
        <v>HCU:(522143,12)</v>
      </c>
    </row>
    <row r="82" spans="1:8" x14ac:dyDescent="0.35">
      <c r="A82" s="153">
        <v>81</v>
      </c>
      <c r="B82" s="167" t="s">
        <v>2778</v>
      </c>
      <c r="C82" s="147" t="s">
        <v>1617</v>
      </c>
      <c r="D82" s="154" t="s">
        <v>2777</v>
      </c>
      <c r="E82" s="147">
        <v>522143</v>
      </c>
      <c r="F82" s="147">
        <v>3</v>
      </c>
      <c r="G82" s="166"/>
      <c r="H82" s="291"/>
    </row>
    <row r="83" spans="1:8" x14ac:dyDescent="0.35">
      <c r="A83" s="153">
        <v>82</v>
      </c>
      <c r="B83" s="167" t="s">
        <v>2778</v>
      </c>
      <c r="C83" s="147" t="s">
        <v>1617</v>
      </c>
      <c r="D83" s="154" t="s">
        <v>2777</v>
      </c>
      <c r="E83" s="147">
        <v>522143</v>
      </c>
      <c r="F83" s="147">
        <v>4</v>
      </c>
      <c r="G83" s="166"/>
      <c r="H83" s="291"/>
    </row>
    <row r="84" spans="1:8" x14ac:dyDescent="0.35">
      <c r="A84" s="153">
        <v>83</v>
      </c>
      <c r="B84" s="167" t="s">
        <v>2778</v>
      </c>
      <c r="C84" s="146" t="s">
        <v>1616</v>
      </c>
      <c r="D84" s="154" t="s">
        <v>2777</v>
      </c>
      <c r="E84" s="147">
        <v>522143</v>
      </c>
      <c r="F84" s="147">
        <v>6</v>
      </c>
      <c r="G84" s="166" t="s">
        <v>2798</v>
      </c>
      <c r="H84" s="291" t="str">
        <f t="shared" si="1"/>
        <v>HCU:(522143,6)</v>
      </c>
    </row>
    <row r="85" spans="1:8" x14ac:dyDescent="0.35">
      <c r="A85" s="153">
        <v>84</v>
      </c>
      <c r="B85" s="167" t="s">
        <v>2778</v>
      </c>
      <c r="C85" s="147" t="s">
        <v>1617</v>
      </c>
      <c r="D85" s="154" t="s">
        <v>2777</v>
      </c>
      <c r="E85" s="147">
        <v>522143</v>
      </c>
      <c r="F85" s="147">
        <v>20</v>
      </c>
      <c r="G85" s="166"/>
      <c r="H85" s="291"/>
    </row>
    <row r="86" spans="1:8" x14ac:dyDescent="0.35">
      <c r="A86" s="153">
        <v>85</v>
      </c>
      <c r="B86" s="167" t="s">
        <v>2778</v>
      </c>
      <c r="C86" s="146" t="s">
        <v>1616</v>
      </c>
      <c r="D86" s="154" t="s">
        <v>2777</v>
      </c>
      <c r="E86" s="147">
        <v>522143</v>
      </c>
      <c r="F86" s="147">
        <v>21</v>
      </c>
      <c r="G86" s="166" t="s">
        <v>2783</v>
      </c>
      <c r="H86" s="291" t="str">
        <f t="shared" si="1"/>
        <v>HCU:(522143,21)</v>
      </c>
    </row>
    <row r="87" spans="1:8" x14ac:dyDescent="0.35">
      <c r="A87" s="153">
        <v>86</v>
      </c>
      <c r="B87" s="167" t="s">
        <v>2778</v>
      </c>
      <c r="C87" s="146" t="s">
        <v>1616</v>
      </c>
      <c r="D87" s="154" t="s">
        <v>2777</v>
      </c>
      <c r="E87" s="147">
        <v>522143</v>
      </c>
      <c r="F87" s="147">
        <v>2</v>
      </c>
      <c r="G87" s="166" t="s">
        <v>2784</v>
      </c>
      <c r="H87" s="291" t="str">
        <f t="shared" si="1"/>
        <v>HCU:(522143,2)</v>
      </c>
    </row>
    <row r="88" spans="1:8" x14ac:dyDescent="0.35">
      <c r="A88" s="153">
        <v>87</v>
      </c>
      <c r="B88" s="167" t="s">
        <v>2778</v>
      </c>
      <c r="C88" s="146" t="s">
        <v>1616</v>
      </c>
      <c r="D88" s="154" t="s">
        <v>2777</v>
      </c>
      <c r="E88" s="147">
        <v>522088</v>
      </c>
      <c r="F88" s="147">
        <v>5</v>
      </c>
      <c r="G88" s="166" t="s">
        <v>2785</v>
      </c>
      <c r="H88" s="291" t="str">
        <f t="shared" si="1"/>
        <v>HCU:(522088,5)</v>
      </c>
    </row>
    <row r="89" spans="1:8" x14ac:dyDescent="0.35">
      <c r="A89" s="153">
        <v>88</v>
      </c>
      <c r="B89" s="167" t="s">
        <v>2778</v>
      </c>
      <c r="C89" s="146" t="s">
        <v>1616</v>
      </c>
      <c r="D89" s="154" t="s">
        <v>2777</v>
      </c>
      <c r="E89" s="147">
        <v>522088</v>
      </c>
      <c r="F89" s="147">
        <v>12</v>
      </c>
      <c r="G89" s="166" t="s">
        <v>2786</v>
      </c>
      <c r="H89" s="291" t="str">
        <f t="shared" si="1"/>
        <v>HCU:(522088,12)</v>
      </c>
    </row>
    <row r="90" spans="1:8" x14ac:dyDescent="0.35">
      <c r="A90" s="153">
        <v>89</v>
      </c>
      <c r="B90" s="167" t="s">
        <v>2778</v>
      </c>
      <c r="C90" s="147" t="s">
        <v>1617</v>
      </c>
      <c r="D90" s="154" t="s">
        <v>2777</v>
      </c>
      <c r="E90" s="147">
        <v>522088</v>
      </c>
      <c r="F90" s="147">
        <v>3</v>
      </c>
      <c r="G90" s="166"/>
      <c r="H90" s="291"/>
    </row>
    <row r="91" spans="1:8" x14ac:dyDescent="0.35">
      <c r="A91" s="153">
        <v>90</v>
      </c>
      <c r="B91" s="167" t="s">
        <v>2778</v>
      </c>
      <c r="C91" s="147" t="s">
        <v>1617</v>
      </c>
      <c r="D91" s="154" t="s">
        <v>2777</v>
      </c>
      <c r="E91" s="147">
        <v>522088</v>
      </c>
      <c r="F91" s="147">
        <v>4</v>
      </c>
      <c r="G91" s="166"/>
      <c r="H91" s="291"/>
    </row>
    <row r="92" spans="1:8" x14ac:dyDescent="0.35">
      <c r="A92" s="153">
        <v>91</v>
      </c>
      <c r="B92" s="167" t="s">
        <v>2778</v>
      </c>
      <c r="C92" s="147" t="s">
        <v>1617</v>
      </c>
      <c r="D92" s="154" t="s">
        <v>2777</v>
      </c>
      <c r="E92" s="147">
        <v>522088</v>
      </c>
      <c r="F92" s="147">
        <v>6</v>
      </c>
      <c r="G92" s="166"/>
      <c r="H92" s="291"/>
    </row>
    <row r="93" spans="1:8" x14ac:dyDescent="0.35">
      <c r="A93" s="153">
        <v>92</v>
      </c>
      <c r="B93" s="167" t="s">
        <v>2778</v>
      </c>
      <c r="C93" s="147" t="s">
        <v>1617</v>
      </c>
      <c r="D93" s="154" t="s">
        <v>2777</v>
      </c>
      <c r="E93" s="147">
        <v>522088</v>
      </c>
      <c r="F93" s="147">
        <v>20</v>
      </c>
      <c r="G93" s="166"/>
      <c r="H93" s="291"/>
    </row>
    <row r="94" spans="1:8" x14ac:dyDescent="0.35">
      <c r="A94" s="153">
        <v>93</v>
      </c>
      <c r="B94" s="167" t="s">
        <v>2778</v>
      </c>
      <c r="C94" s="146" t="s">
        <v>1616</v>
      </c>
      <c r="D94" s="154" t="s">
        <v>2777</v>
      </c>
      <c r="E94" s="147">
        <v>522088</v>
      </c>
      <c r="F94" s="147">
        <v>22</v>
      </c>
      <c r="G94" s="166" t="s">
        <v>2787</v>
      </c>
      <c r="H94" s="291" t="str">
        <f t="shared" si="1"/>
        <v>HCU:(522088,22)</v>
      </c>
    </row>
    <row r="95" spans="1:8" x14ac:dyDescent="0.35">
      <c r="A95" s="153">
        <v>94</v>
      </c>
      <c r="B95" s="167" t="s">
        <v>2778</v>
      </c>
      <c r="C95" s="146" t="s">
        <v>1616</v>
      </c>
      <c r="D95" s="154" t="s">
        <v>2777</v>
      </c>
      <c r="E95" s="147">
        <v>522088</v>
      </c>
      <c r="F95" s="147">
        <v>2</v>
      </c>
      <c r="G95" s="166" t="s">
        <v>2788</v>
      </c>
      <c r="H95" s="291" t="str">
        <f t="shared" si="1"/>
        <v>HCU:(522088,2)</v>
      </c>
    </row>
    <row r="96" spans="1:8" x14ac:dyDescent="0.35">
      <c r="A96" s="153">
        <v>95</v>
      </c>
      <c r="B96" s="167" t="s">
        <v>2778</v>
      </c>
      <c r="C96" s="146" t="s">
        <v>1616</v>
      </c>
      <c r="D96" s="154" t="s">
        <v>2777</v>
      </c>
      <c r="E96" s="147">
        <v>522089</v>
      </c>
      <c r="F96" s="147">
        <v>5</v>
      </c>
      <c r="G96" s="166" t="s">
        <v>2789</v>
      </c>
      <c r="H96" s="291" t="str">
        <f t="shared" si="1"/>
        <v>HCU:(522089,5)</v>
      </c>
    </row>
    <row r="97" spans="1:8" x14ac:dyDescent="0.35">
      <c r="A97" s="153">
        <v>96</v>
      </c>
      <c r="B97" s="167" t="s">
        <v>2778</v>
      </c>
      <c r="C97" s="146" t="s">
        <v>1616</v>
      </c>
      <c r="D97" s="154" t="s">
        <v>2777</v>
      </c>
      <c r="E97" s="147">
        <v>522089</v>
      </c>
      <c r="F97" s="147">
        <v>12</v>
      </c>
      <c r="G97" s="166" t="s">
        <v>2790</v>
      </c>
      <c r="H97" s="291" t="str">
        <f t="shared" si="1"/>
        <v>HCU:(522089,12)</v>
      </c>
    </row>
    <row r="98" spans="1:8" x14ac:dyDescent="0.35">
      <c r="A98" s="153">
        <v>97</v>
      </c>
      <c r="B98" s="167" t="s">
        <v>2778</v>
      </c>
      <c r="C98" s="147" t="s">
        <v>1617</v>
      </c>
      <c r="D98" s="154" t="s">
        <v>2777</v>
      </c>
      <c r="E98" s="147">
        <v>522089</v>
      </c>
      <c r="F98" s="147">
        <v>3</v>
      </c>
      <c r="G98" s="166"/>
      <c r="H98" s="291"/>
    </row>
    <row r="99" spans="1:8" x14ac:dyDescent="0.35">
      <c r="A99" s="153">
        <v>98</v>
      </c>
      <c r="B99" s="167" t="s">
        <v>2778</v>
      </c>
      <c r="C99" s="147" t="s">
        <v>1617</v>
      </c>
      <c r="D99" s="154" t="s">
        <v>2777</v>
      </c>
      <c r="E99" s="147">
        <v>522089</v>
      </c>
      <c r="F99" s="147">
        <v>4</v>
      </c>
      <c r="G99" s="166"/>
      <c r="H99" s="291"/>
    </row>
    <row r="100" spans="1:8" x14ac:dyDescent="0.35">
      <c r="A100" s="153">
        <v>99</v>
      </c>
      <c r="B100" s="167" t="s">
        <v>2778</v>
      </c>
      <c r="C100" s="147" t="s">
        <v>1617</v>
      </c>
      <c r="D100" s="154" t="s">
        <v>2777</v>
      </c>
      <c r="E100" s="147">
        <v>522089</v>
      </c>
      <c r="F100" s="147">
        <v>6</v>
      </c>
      <c r="G100" s="166"/>
      <c r="H100" s="291"/>
    </row>
    <row r="101" spans="1:8" x14ac:dyDescent="0.35">
      <c r="A101" s="153">
        <v>100</v>
      </c>
      <c r="B101" s="167" t="s">
        <v>2778</v>
      </c>
      <c r="C101" s="147" t="s">
        <v>1617</v>
      </c>
      <c r="D101" s="154" t="s">
        <v>2777</v>
      </c>
      <c r="E101" s="147">
        <v>522089</v>
      </c>
      <c r="F101" s="147">
        <v>20</v>
      </c>
      <c r="G101" s="166"/>
      <c r="H101" s="291"/>
    </row>
    <row r="102" spans="1:8" x14ac:dyDescent="0.35">
      <c r="A102" s="153">
        <v>101</v>
      </c>
      <c r="B102" s="167" t="s">
        <v>2778</v>
      </c>
      <c r="C102" s="146" t="s">
        <v>1616</v>
      </c>
      <c r="D102" s="154" t="s">
        <v>2777</v>
      </c>
      <c r="E102" s="147">
        <v>522089</v>
      </c>
      <c r="F102" s="147">
        <v>22</v>
      </c>
      <c r="G102" s="166" t="s">
        <v>2791</v>
      </c>
      <c r="H102" s="291" t="str">
        <f t="shared" si="1"/>
        <v>HCU:(522089,22)</v>
      </c>
    </row>
    <row r="103" spans="1:8" x14ac:dyDescent="0.35">
      <c r="A103" s="153">
        <v>102</v>
      </c>
      <c r="B103" s="167" t="s">
        <v>2778</v>
      </c>
      <c r="C103" s="146" t="s">
        <v>1616</v>
      </c>
      <c r="D103" s="154" t="s">
        <v>2777</v>
      </c>
      <c r="E103" s="147">
        <v>522089</v>
      </c>
      <c r="F103" s="147">
        <v>2</v>
      </c>
      <c r="G103" s="166" t="s">
        <v>2792</v>
      </c>
      <c r="H103" s="291" t="str">
        <f t="shared" si="1"/>
        <v>HCU:(522089,2)</v>
      </c>
    </row>
    <row r="104" spans="1:8" x14ac:dyDescent="0.35">
      <c r="A104" s="153">
        <v>103</v>
      </c>
      <c r="B104" s="167" t="s">
        <v>2778</v>
      </c>
      <c r="C104" s="146" t="s">
        <v>1616</v>
      </c>
      <c r="D104" s="154" t="s">
        <v>2777</v>
      </c>
      <c r="E104" s="147">
        <v>522090</v>
      </c>
      <c r="F104" s="147">
        <v>5</v>
      </c>
      <c r="G104" s="166" t="s">
        <v>2793</v>
      </c>
      <c r="H104" s="291" t="str">
        <f t="shared" si="1"/>
        <v>HCU:(522090,5)</v>
      </c>
    </row>
    <row r="105" spans="1:8" x14ac:dyDescent="0.35">
      <c r="A105" s="153">
        <v>104</v>
      </c>
      <c r="B105" s="167" t="s">
        <v>2778</v>
      </c>
      <c r="C105" s="146" t="s">
        <v>1616</v>
      </c>
      <c r="D105" s="154" t="s">
        <v>2777</v>
      </c>
      <c r="E105" s="147">
        <v>522090</v>
      </c>
      <c r="F105" s="147">
        <v>12</v>
      </c>
      <c r="G105" s="166" t="s">
        <v>2794</v>
      </c>
      <c r="H105" s="291" t="str">
        <f t="shared" si="1"/>
        <v>HCU:(522090,12)</v>
      </c>
    </row>
    <row r="106" spans="1:8" x14ac:dyDescent="0.35">
      <c r="A106" s="153">
        <v>105</v>
      </c>
      <c r="B106" s="167" t="s">
        <v>2778</v>
      </c>
      <c r="C106" s="147" t="s">
        <v>1617</v>
      </c>
      <c r="D106" s="154" t="s">
        <v>2777</v>
      </c>
      <c r="E106" s="147">
        <v>522090</v>
      </c>
      <c r="F106" s="147">
        <v>3</v>
      </c>
      <c r="G106" s="166"/>
      <c r="H106" s="291"/>
    </row>
    <row r="107" spans="1:8" x14ac:dyDescent="0.35">
      <c r="A107" s="153">
        <v>106</v>
      </c>
      <c r="B107" s="167" t="s">
        <v>2778</v>
      </c>
      <c r="C107" s="147" t="s">
        <v>1617</v>
      </c>
      <c r="D107" s="154" t="s">
        <v>2777</v>
      </c>
      <c r="E107" s="147">
        <v>522090</v>
      </c>
      <c r="F107" s="147">
        <v>4</v>
      </c>
      <c r="G107" s="166"/>
      <c r="H107" s="291"/>
    </row>
    <row r="108" spans="1:8" x14ac:dyDescent="0.35">
      <c r="A108" s="153">
        <v>107</v>
      </c>
      <c r="B108" s="167" t="s">
        <v>2778</v>
      </c>
      <c r="C108" s="147" t="s">
        <v>1617</v>
      </c>
      <c r="D108" s="154" t="s">
        <v>2777</v>
      </c>
      <c r="E108" s="147">
        <v>522090</v>
      </c>
      <c r="F108" s="147">
        <v>6</v>
      </c>
      <c r="G108" s="166"/>
      <c r="H108" s="291"/>
    </row>
    <row r="109" spans="1:8" x14ac:dyDescent="0.35">
      <c r="A109" s="153">
        <v>108</v>
      </c>
      <c r="B109" s="167" t="s">
        <v>2778</v>
      </c>
      <c r="C109" s="147" t="s">
        <v>1617</v>
      </c>
      <c r="D109" s="154" t="s">
        <v>2777</v>
      </c>
      <c r="E109" s="147">
        <v>522090</v>
      </c>
      <c r="F109" s="147">
        <v>20</v>
      </c>
      <c r="G109" s="166"/>
      <c r="H109" s="291"/>
    </row>
    <row r="110" spans="1:8" x14ac:dyDescent="0.35">
      <c r="A110" s="153">
        <v>109</v>
      </c>
      <c r="B110" s="167" t="s">
        <v>2778</v>
      </c>
      <c r="C110" s="146" t="s">
        <v>1616</v>
      </c>
      <c r="D110" s="154" t="s">
        <v>2777</v>
      </c>
      <c r="E110" s="147">
        <v>522090</v>
      </c>
      <c r="F110" s="147">
        <v>22</v>
      </c>
      <c r="G110" s="166" t="s">
        <v>2795</v>
      </c>
      <c r="H110" s="291" t="str">
        <f t="shared" si="1"/>
        <v>HCU:(522090,22)</v>
      </c>
    </row>
    <row r="111" spans="1:8" x14ac:dyDescent="0.35">
      <c r="A111" s="153">
        <v>110</v>
      </c>
      <c r="B111" s="167" t="s">
        <v>2778</v>
      </c>
      <c r="C111" s="146" t="s">
        <v>1616</v>
      </c>
      <c r="D111" s="154" t="s">
        <v>2777</v>
      </c>
      <c r="E111" s="147">
        <v>522090</v>
      </c>
      <c r="F111" s="147">
        <v>2</v>
      </c>
      <c r="G111" s="166" t="s">
        <v>2796</v>
      </c>
      <c r="H111" s="291" t="str">
        <f t="shared" si="1"/>
        <v>HCU:(522090,2)</v>
      </c>
    </row>
    <row r="112" spans="1:8" x14ac:dyDescent="0.35">
      <c r="A112" s="153">
        <v>111</v>
      </c>
      <c r="B112" s="167" t="s">
        <v>2778</v>
      </c>
      <c r="C112" s="148" t="s">
        <v>1616</v>
      </c>
      <c r="D112" s="154" t="s">
        <v>2777</v>
      </c>
      <c r="E112" s="147">
        <v>522122</v>
      </c>
      <c r="F112" s="147">
        <v>1</v>
      </c>
      <c r="G112" s="166" t="s">
        <v>2801</v>
      </c>
      <c r="H112" s="291" t="str">
        <f t="shared" si="1"/>
        <v>HCU:(522122,1)</v>
      </c>
    </row>
    <row r="113" spans="1:8" x14ac:dyDescent="0.35">
      <c r="A113" s="153">
        <v>112</v>
      </c>
      <c r="B113" s="167" t="s">
        <v>2778</v>
      </c>
      <c r="C113" s="148" t="s">
        <v>1616</v>
      </c>
      <c r="D113" s="154" t="s">
        <v>2777</v>
      </c>
      <c r="E113" s="147">
        <v>522122</v>
      </c>
      <c r="F113" s="147">
        <v>0</v>
      </c>
      <c r="G113" s="166" t="s">
        <v>2802</v>
      </c>
      <c r="H113" s="291" t="str">
        <f t="shared" si="1"/>
        <v>HCU:(522122,0)</v>
      </c>
    </row>
    <row r="114" spans="1:8" x14ac:dyDescent="0.35">
      <c r="A114" s="153">
        <v>113</v>
      </c>
      <c r="B114" s="167" t="s">
        <v>2778</v>
      </c>
      <c r="C114" s="148" t="s">
        <v>1616</v>
      </c>
      <c r="D114" s="154" t="s">
        <v>2777</v>
      </c>
      <c r="E114" s="147">
        <v>522122</v>
      </c>
      <c r="F114" s="147">
        <v>25</v>
      </c>
      <c r="G114" s="166" t="s">
        <v>2803</v>
      </c>
      <c r="H114" s="291" t="str">
        <f t="shared" si="1"/>
        <v>HCU:(522122,25)</v>
      </c>
    </row>
    <row r="115" spans="1:8" x14ac:dyDescent="0.35">
      <c r="A115" s="153">
        <v>114</v>
      </c>
      <c r="B115" s="167" t="s">
        <v>2778</v>
      </c>
      <c r="C115" s="148" t="s">
        <v>1616</v>
      </c>
      <c r="D115" s="154" t="s">
        <v>2777</v>
      </c>
      <c r="E115" s="147">
        <v>522122</v>
      </c>
      <c r="F115" s="147">
        <v>5</v>
      </c>
      <c r="G115" s="166" t="s">
        <v>2804</v>
      </c>
      <c r="H115" s="291" t="str">
        <f t="shared" si="1"/>
        <v>HCU:(522122,5)</v>
      </c>
    </row>
    <row r="116" spans="1:8" x14ac:dyDescent="0.35">
      <c r="A116" s="153">
        <v>115</v>
      </c>
      <c r="B116" s="167" t="s">
        <v>2778</v>
      </c>
      <c r="C116" s="148" t="s">
        <v>1616</v>
      </c>
      <c r="D116" s="154" t="s">
        <v>2777</v>
      </c>
      <c r="E116" s="147">
        <v>522122</v>
      </c>
      <c r="F116" s="147">
        <v>20</v>
      </c>
      <c r="G116" s="166" t="s">
        <v>2805</v>
      </c>
      <c r="H116" s="291" t="str">
        <f t="shared" si="1"/>
        <v>HCU:(522122,20)</v>
      </c>
    </row>
    <row r="117" spans="1:8" x14ac:dyDescent="0.35">
      <c r="A117" s="153">
        <v>116</v>
      </c>
      <c r="B117" s="167" t="s">
        <v>2778</v>
      </c>
      <c r="C117" s="148" t="s">
        <v>1616</v>
      </c>
      <c r="D117" s="154" t="s">
        <v>2777</v>
      </c>
      <c r="E117" s="147">
        <v>522123</v>
      </c>
      <c r="F117" s="168">
        <v>19</v>
      </c>
      <c r="G117" s="166" t="s">
        <v>2806</v>
      </c>
      <c r="H117" s="291" t="str">
        <f t="shared" si="1"/>
        <v>HCU:(522123,19)</v>
      </c>
    </row>
    <row r="118" spans="1:8" x14ac:dyDescent="0.35">
      <c r="A118" s="153">
        <v>117</v>
      </c>
      <c r="B118" s="167" t="s">
        <v>2778</v>
      </c>
      <c r="C118" s="123" t="s">
        <v>1617</v>
      </c>
      <c r="D118" s="154" t="s">
        <v>2777</v>
      </c>
      <c r="E118" s="147">
        <v>522123</v>
      </c>
      <c r="F118" s="168">
        <v>16</v>
      </c>
      <c r="G118" s="166"/>
      <c r="H118" s="291"/>
    </row>
    <row r="119" spans="1:8" x14ac:dyDescent="0.35">
      <c r="A119" s="153">
        <v>118</v>
      </c>
      <c r="B119" s="167" t="s">
        <v>2778</v>
      </c>
      <c r="C119" s="123" t="s">
        <v>1617</v>
      </c>
      <c r="D119" s="154" t="s">
        <v>2777</v>
      </c>
      <c r="E119" s="147">
        <v>522123</v>
      </c>
      <c r="F119" s="168">
        <v>6</v>
      </c>
      <c r="G119" s="166"/>
      <c r="H119" s="291"/>
    </row>
    <row r="120" spans="1:8" x14ac:dyDescent="0.35">
      <c r="A120" s="153">
        <v>119</v>
      </c>
      <c r="B120" s="167" t="s">
        <v>2778</v>
      </c>
      <c r="C120" s="123" t="s">
        <v>1617</v>
      </c>
      <c r="D120" s="154" t="s">
        <v>2777</v>
      </c>
      <c r="E120" s="147">
        <v>522123</v>
      </c>
      <c r="F120" s="168">
        <v>3</v>
      </c>
      <c r="G120" s="166"/>
      <c r="H120" s="291"/>
    </row>
    <row r="121" spans="1:8" x14ac:dyDescent="0.35">
      <c r="A121" s="153">
        <v>120</v>
      </c>
      <c r="B121" s="167" t="s">
        <v>2778</v>
      </c>
      <c r="C121" s="123" t="s">
        <v>1617</v>
      </c>
      <c r="D121" s="154" t="s">
        <v>2777</v>
      </c>
      <c r="E121" s="147">
        <v>522123</v>
      </c>
      <c r="F121" s="168">
        <v>4</v>
      </c>
      <c r="G121" s="166"/>
      <c r="H121" s="291"/>
    </row>
    <row r="122" spans="1:8" x14ac:dyDescent="0.35">
      <c r="A122" s="153">
        <v>121</v>
      </c>
      <c r="B122" s="167" t="s">
        <v>2778</v>
      </c>
      <c r="C122" s="123" t="s">
        <v>1617</v>
      </c>
      <c r="D122" s="154" t="s">
        <v>2777</v>
      </c>
      <c r="E122" s="147">
        <v>522123</v>
      </c>
      <c r="F122" s="168">
        <v>26</v>
      </c>
      <c r="G122" s="166"/>
      <c r="H122" s="291"/>
    </row>
    <row r="123" spans="1:8" x14ac:dyDescent="0.35">
      <c r="A123" s="153">
        <v>122</v>
      </c>
      <c r="B123" s="167" t="s">
        <v>2778</v>
      </c>
      <c r="C123" s="148" t="s">
        <v>1616</v>
      </c>
      <c r="D123" s="154" t="s">
        <v>2777</v>
      </c>
      <c r="E123" s="147">
        <v>522123</v>
      </c>
      <c r="F123" s="168">
        <v>21</v>
      </c>
      <c r="G123" s="166" t="s">
        <v>2807</v>
      </c>
      <c r="H123" s="291" t="str">
        <f t="shared" si="1"/>
        <v>HCU:(522123,21)</v>
      </c>
    </row>
    <row r="124" spans="1:8" x14ac:dyDescent="0.35">
      <c r="A124" s="153">
        <v>123</v>
      </c>
      <c r="B124" s="167" t="s">
        <v>2778</v>
      </c>
      <c r="C124" s="148" t="s">
        <v>1616</v>
      </c>
      <c r="D124" s="154" t="s">
        <v>2777</v>
      </c>
      <c r="E124" s="147">
        <v>522123</v>
      </c>
      <c r="F124" s="168">
        <v>22</v>
      </c>
      <c r="G124" s="166" t="s">
        <v>2816</v>
      </c>
      <c r="H124" s="291" t="str">
        <f t="shared" si="1"/>
        <v>HCU:(522123,22)</v>
      </c>
    </row>
    <row r="125" spans="1:8" x14ac:dyDescent="0.35">
      <c r="A125" s="153">
        <v>124</v>
      </c>
      <c r="B125" s="167" t="s">
        <v>2778</v>
      </c>
      <c r="C125" s="148" t="s">
        <v>1616</v>
      </c>
      <c r="D125" s="154" t="s">
        <v>2777</v>
      </c>
      <c r="E125" s="147">
        <v>522123</v>
      </c>
      <c r="F125" s="168">
        <v>12</v>
      </c>
      <c r="G125" s="166" t="s">
        <v>2808</v>
      </c>
      <c r="H125" s="291" t="str">
        <f t="shared" si="1"/>
        <v>HCU:(522123,12)</v>
      </c>
    </row>
    <row r="126" spans="1:8" x14ac:dyDescent="0.35">
      <c r="A126" s="153">
        <v>125</v>
      </c>
      <c r="B126" s="167" t="s">
        <v>2778</v>
      </c>
      <c r="C126" s="148" t="s">
        <v>1616</v>
      </c>
      <c r="D126" s="154" t="s">
        <v>2777</v>
      </c>
      <c r="E126" s="147">
        <v>522141</v>
      </c>
      <c r="F126" s="147">
        <v>1</v>
      </c>
      <c r="G126" s="166" t="s">
        <v>2809</v>
      </c>
      <c r="H126" s="291" t="str">
        <f t="shared" si="1"/>
        <v>HCU:(522141,1)</v>
      </c>
    </row>
    <row r="127" spans="1:8" x14ac:dyDescent="0.35">
      <c r="A127" s="153">
        <v>126</v>
      </c>
      <c r="B127" s="167" t="s">
        <v>2778</v>
      </c>
      <c r="C127" s="148" t="s">
        <v>1616</v>
      </c>
      <c r="D127" s="154" t="s">
        <v>2777</v>
      </c>
      <c r="E127" s="147">
        <v>522141</v>
      </c>
      <c r="F127" s="147">
        <v>0</v>
      </c>
      <c r="G127" s="166" t="s">
        <v>2810</v>
      </c>
      <c r="H127" s="291" t="str">
        <f t="shared" si="1"/>
        <v>HCU:(522141,0)</v>
      </c>
    </row>
    <row r="128" spans="1:8" x14ac:dyDescent="0.35">
      <c r="A128" s="153">
        <v>127</v>
      </c>
      <c r="B128" s="167" t="s">
        <v>2778</v>
      </c>
      <c r="C128" s="148" t="s">
        <v>1616</v>
      </c>
      <c r="D128" s="154" t="s">
        <v>2777</v>
      </c>
      <c r="E128" s="147">
        <v>522141</v>
      </c>
      <c r="F128" s="147">
        <v>25</v>
      </c>
      <c r="G128" s="166" t="s">
        <v>2811</v>
      </c>
      <c r="H128" s="291" t="str">
        <f t="shared" si="1"/>
        <v>HCU:(522141,25)</v>
      </c>
    </row>
    <row r="129" spans="1:8" x14ac:dyDescent="0.35">
      <c r="A129" s="153">
        <v>128</v>
      </c>
      <c r="B129" s="167" t="s">
        <v>2778</v>
      </c>
      <c r="C129" s="148" t="s">
        <v>1616</v>
      </c>
      <c r="D129" s="154" t="s">
        <v>2777</v>
      </c>
      <c r="E129" s="147">
        <v>522141</v>
      </c>
      <c r="F129" s="147">
        <v>5</v>
      </c>
      <c r="G129" s="166" t="s">
        <v>2812</v>
      </c>
      <c r="H129" s="291" t="str">
        <f t="shared" si="1"/>
        <v>HCU:(522141,5)</v>
      </c>
    </row>
    <row r="130" spans="1:8" x14ac:dyDescent="0.35">
      <c r="A130" s="153">
        <v>129</v>
      </c>
      <c r="B130" s="167" t="s">
        <v>2778</v>
      </c>
      <c r="C130" s="148" t="s">
        <v>1616</v>
      </c>
      <c r="D130" s="154" t="s">
        <v>2777</v>
      </c>
      <c r="E130" s="147">
        <v>522141</v>
      </c>
      <c r="F130" s="147">
        <v>20</v>
      </c>
      <c r="G130" s="166" t="s">
        <v>2813</v>
      </c>
      <c r="H130" s="291" t="str">
        <f t="shared" si="1"/>
        <v>HCU:(522141,20)</v>
      </c>
    </row>
    <row r="131" spans="1:8" x14ac:dyDescent="0.35">
      <c r="A131" s="153">
        <v>130</v>
      </c>
      <c r="B131" s="167" t="s">
        <v>2778</v>
      </c>
      <c r="C131" s="148" t="s">
        <v>1616</v>
      </c>
      <c r="D131" s="154" t="s">
        <v>2777</v>
      </c>
      <c r="E131" s="147">
        <v>522142</v>
      </c>
      <c r="F131" s="168">
        <v>19</v>
      </c>
      <c r="G131" s="166" t="s">
        <v>2814</v>
      </c>
      <c r="H131" s="291" t="str">
        <f t="shared" ref="H131:H191" si="2">"HCU"&amp;":"&amp;"("&amp;E131&amp;","&amp;F131&amp;")"</f>
        <v>HCU:(522142,19)</v>
      </c>
    </row>
    <row r="132" spans="1:8" x14ac:dyDescent="0.35">
      <c r="A132" s="153">
        <v>131</v>
      </c>
      <c r="B132" s="167" t="s">
        <v>2778</v>
      </c>
      <c r="C132" s="123" t="s">
        <v>1617</v>
      </c>
      <c r="D132" s="154" t="s">
        <v>2777</v>
      </c>
      <c r="E132" s="147">
        <v>522142</v>
      </c>
      <c r="F132" s="168">
        <v>16</v>
      </c>
      <c r="G132" s="166"/>
      <c r="H132" s="291"/>
    </row>
    <row r="133" spans="1:8" x14ac:dyDescent="0.35">
      <c r="A133" s="153">
        <v>132</v>
      </c>
      <c r="B133" s="167" t="s">
        <v>2778</v>
      </c>
      <c r="C133" s="123" t="s">
        <v>1617</v>
      </c>
      <c r="D133" s="154" t="s">
        <v>2777</v>
      </c>
      <c r="E133" s="147">
        <v>522142</v>
      </c>
      <c r="F133" s="168">
        <v>6</v>
      </c>
      <c r="G133" s="166"/>
      <c r="H133" s="291"/>
    </row>
    <row r="134" spans="1:8" x14ac:dyDescent="0.35">
      <c r="A134" s="153">
        <v>133</v>
      </c>
      <c r="B134" s="167" t="s">
        <v>2778</v>
      </c>
      <c r="C134" s="123" t="s">
        <v>1617</v>
      </c>
      <c r="D134" s="154" t="s">
        <v>2777</v>
      </c>
      <c r="E134" s="147">
        <v>522142</v>
      </c>
      <c r="F134" s="168">
        <v>3</v>
      </c>
      <c r="G134" s="166"/>
      <c r="H134" s="291"/>
    </row>
    <row r="135" spans="1:8" x14ac:dyDescent="0.35">
      <c r="A135" s="153">
        <v>134</v>
      </c>
      <c r="B135" s="167" t="s">
        <v>2778</v>
      </c>
      <c r="C135" s="123" t="s">
        <v>1617</v>
      </c>
      <c r="D135" s="154" t="s">
        <v>2777</v>
      </c>
      <c r="E135" s="147">
        <v>522142</v>
      </c>
      <c r="F135" s="168">
        <v>4</v>
      </c>
      <c r="G135" s="166"/>
      <c r="H135" s="291"/>
    </row>
    <row r="136" spans="1:8" x14ac:dyDescent="0.35">
      <c r="A136" s="153">
        <v>135</v>
      </c>
      <c r="B136" s="167" t="s">
        <v>2778</v>
      </c>
      <c r="C136" s="123" t="s">
        <v>1617</v>
      </c>
      <c r="D136" s="154" t="s">
        <v>2777</v>
      </c>
      <c r="E136" s="147">
        <v>522142</v>
      </c>
      <c r="F136" s="168">
        <v>26</v>
      </c>
      <c r="G136" s="166"/>
      <c r="H136" s="291"/>
    </row>
    <row r="137" spans="1:8" x14ac:dyDescent="0.35">
      <c r="A137" s="153">
        <v>136</v>
      </c>
      <c r="B137" s="167" t="s">
        <v>2778</v>
      </c>
      <c r="C137" s="148" t="s">
        <v>1616</v>
      </c>
      <c r="D137" s="154" t="s">
        <v>2777</v>
      </c>
      <c r="E137" s="147">
        <v>522142</v>
      </c>
      <c r="F137" s="168">
        <v>21</v>
      </c>
      <c r="G137" s="166" t="s">
        <v>2815</v>
      </c>
      <c r="H137" s="291" t="str">
        <f t="shared" si="2"/>
        <v>HCU:(522142,21)</v>
      </c>
    </row>
    <row r="138" spans="1:8" x14ac:dyDescent="0.35">
      <c r="A138" s="153">
        <v>137</v>
      </c>
      <c r="B138" s="167" t="s">
        <v>2778</v>
      </c>
      <c r="C138" s="148" t="s">
        <v>1616</v>
      </c>
      <c r="D138" s="154" t="s">
        <v>2777</v>
      </c>
      <c r="E138" s="147">
        <v>522142</v>
      </c>
      <c r="F138" s="168">
        <v>22</v>
      </c>
      <c r="G138" s="166" t="s">
        <v>2817</v>
      </c>
      <c r="H138" s="291" t="str">
        <f t="shared" si="2"/>
        <v>HCU:(522142,22)</v>
      </c>
    </row>
    <row r="139" spans="1:8" x14ac:dyDescent="0.35">
      <c r="A139" s="153">
        <v>138</v>
      </c>
      <c r="B139" s="167" t="s">
        <v>2778</v>
      </c>
      <c r="C139" s="148" t="s">
        <v>1616</v>
      </c>
      <c r="D139" s="154" t="s">
        <v>2777</v>
      </c>
      <c r="E139" s="147">
        <v>522142</v>
      </c>
      <c r="F139" s="168">
        <v>12</v>
      </c>
      <c r="G139" s="166" t="s">
        <v>2818</v>
      </c>
      <c r="H139" s="291" t="str">
        <f t="shared" si="2"/>
        <v>HCU:(522142,12)</v>
      </c>
    </row>
    <row r="140" spans="1:8" ht="49.5" x14ac:dyDescent="0.35">
      <c r="A140" s="153">
        <v>139</v>
      </c>
      <c r="B140" s="169" t="s">
        <v>2830</v>
      </c>
      <c r="C140" s="148" t="s">
        <v>1641</v>
      </c>
      <c r="D140" s="163" t="s">
        <v>2777</v>
      </c>
      <c r="E140" s="123">
        <v>522124</v>
      </c>
      <c r="F140" s="123">
        <v>18</v>
      </c>
      <c r="G140" s="170" t="s">
        <v>2819</v>
      </c>
      <c r="H140" s="291" t="s">
        <v>2819</v>
      </c>
    </row>
    <row r="141" spans="1:8" ht="49.5" x14ac:dyDescent="0.35">
      <c r="A141" s="153">
        <v>140</v>
      </c>
      <c r="B141" s="169" t="s">
        <v>2830</v>
      </c>
      <c r="C141" s="148" t="s">
        <v>1641</v>
      </c>
      <c r="D141" s="163" t="s">
        <v>2777</v>
      </c>
      <c r="E141" s="123">
        <v>522125</v>
      </c>
      <c r="F141" s="123">
        <v>18</v>
      </c>
      <c r="G141" s="170" t="s">
        <v>2820</v>
      </c>
      <c r="H141" s="291" t="s">
        <v>2819</v>
      </c>
    </row>
    <row r="142" spans="1:8" x14ac:dyDescent="0.35">
      <c r="A142" s="153">
        <v>141</v>
      </c>
      <c r="B142" s="167" t="s">
        <v>2778</v>
      </c>
      <c r="C142" s="148" t="s">
        <v>1616</v>
      </c>
      <c r="D142" s="154" t="s">
        <v>2777</v>
      </c>
      <c r="E142" s="147">
        <v>522126</v>
      </c>
      <c r="F142" s="123">
        <v>16</v>
      </c>
      <c r="G142" s="166" t="s">
        <v>2821</v>
      </c>
      <c r="H142" s="291" t="str">
        <f t="shared" si="2"/>
        <v>HCU:(522126,16)</v>
      </c>
    </row>
    <row r="143" spans="1:8" x14ac:dyDescent="0.35">
      <c r="A143" s="153">
        <v>142</v>
      </c>
      <c r="B143" s="167" t="s">
        <v>2778</v>
      </c>
      <c r="C143" s="148" t="s">
        <v>1616</v>
      </c>
      <c r="D143" s="154" t="s">
        <v>2777</v>
      </c>
      <c r="E143" s="147">
        <v>522134</v>
      </c>
      <c r="F143" s="123">
        <v>16</v>
      </c>
      <c r="G143" s="166" t="s">
        <v>2822</v>
      </c>
      <c r="H143" s="291" t="str">
        <f t="shared" si="2"/>
        <v>HCU:(522134,16)</v>
      </c>
    </row>
    <row r="144" spans="1:8" x14ac:dyDescent="0.35">
      <c r="A144" s="153">
        <v>143</v>
      </c>
      <c r="B144" s="167" t="s">
        <v>2778</v>
      </c>
      <c r="C144" s="148" t="s">
        <v>1616</v>
      </c>
      <c r="D144" s="123" t="s">
        <v>1544</v>
      </c>
      <c r="E144" s="147">
        <v>522127</v>
      </c>
      <c r="F144" s="123">
        <v>18</v>
      </c>
      <c r="G144" s="166" t="s">
        <v>2824</v>
      </c>
      <c r="H144" s="291" t="str">
        <f t="shared" si="2"/>
        <v>HCU:(522127,18)</v>
      </c>
    </row>
    <row r="145" spans="1:8" x14ac:dyDescent="0.35">
      <c r="A145" s="153">
        <v>144</v>
      </c>
      <c r="B145" s="167" t="s">
        <v>2778</v>
      </c>
      <c r="C145" s="148" t="s">
        <v>1616</v>
      </c>
      <c r="D145" s="123" t="s">
        <v>1544</v>
      </c>
      <c r="E145" s="147">
        <v>522137</v>
      </c>
      <c r="F145" s="123">
        <v>18</v>
      </c>
      <c r="G145" s="166" t="s">
        <v>2825</v>
      </c>
      <c r="H145" s="291" t="str">
        <f t="shared" si="2"/>
        <v>HCU:(522137,18)</v>
      </c>
    </row>
    <row r="146" spans="1:8" x14ac:dyDescent="0.35">
      <c r="A146" s="153">
        <v>145</v>
      </c>
      <c r="B146" s="167" t="s">
        <v>2778</v>
      </c>
      <c r="C146" s="123" t="s">
        <v>1617</v>
      </c>
      <c r="D146" s="123" t="s">
        <v>1544</v>
      </c>
      <c r="E146" s="123">
        <v>522128</v>
      </c>
      <c r="F146" s="123">
        <v>6</v>
      </c>
      <c r="G146" s="166"/>
      <c r="H146" s="291"/>
    </row>
    <row r="147" spans="1:8" x14ac:dyDescent="0.35">
      <c r="A147" s="153">
        <v>146</v>
      </c>
      <c r="B147" s="167" t="s">
        <v>2778</v>
      </c>
      <c r="C147" s="123" t="s">
        <v>1617</v>
      </c>
      <c r="D147" s="123" t="s">
        <v>1544</v>
      </c>
      <c r="E147" s="123">
        <v>522128</v>
      </c>
      <c r="F147" s="123">
        <v>21</v>
      </c>
      <c r="G147" s="166"/>
      <c r="H147" s="291"/>
    </row>
    <row r="148" spans="1:8" x14ac:dyDescent="0.35">
      <c r="A148" s="153">
        <v>147</v>
      </c>
      <c r="B148" s="167" t="s">
        <v>2778</v>
      </c>
      <c r="C148" s="123" t="s">
        <v>1617</v>
      </c>
      <c r="D148" s="123" t="s">
        <v>1544</v>
      </c>
      <c r="E148" s="123">
        <v>522128</v>
      </c>
      <c r="F148" s="123">
        <v>3</v>
      </c>
      <c r="G148" s="166"/>
      <c r="H148" s="291"/>
    </row>
    <row r="149" spans="1:8" x14ac:dyDescent="0.35">
      <c r="A149" s="153">
        <v>148</v>
      </c>
      <c r="B149" s="167" t="s">
        <v>2778</v>
      </c>
      <c r="C149" s="123" t="s">
        <v>1617</v>
      </c>
      <c r="D149" s="123" t="s">
        <v>1544</v>
      </c>
      <c r="E149" s="123">
        <v>522128</v>
      </c>
      <c r="F149" s="123">
        <v>4</v>
      </c>
      <c r="G149" s="166"/>
      <c r="H149" s="291"/>
    </row>
    <row r="150" spans="1:8" x14ac:dyDescent="0.35">
      <c r="A150" s="153">
        <v>149</v>
      </c>
      <c r="B150" s="167" t="s">
        <v>2778</v>
      </c>
      <c r="C150" s="148" t="s">
        <v>1616</v>
      </c>
      <c r="D150" s="123" t="s">
        <v>1544</v>
      </c>
      <c r="E150" s="123">
        <v>522128</v>
      </c>
      <c r="F150" s="123">
        <v>19</v>
      </c>
      <c r="G150" s="166" t="s">
        <v>2826</v>
      </c>
      <c r="H150" s="291" t="str">
        <f t="shared" si="2"/>
        <v>HCU:(522128,19)</v>
      </c>
    </row>
    <row r="151" spans="1:8" x14ac:dyDescent="0.35">
      <c r="A151" s="153">
        <v>150</v>
      </c>
      <c r="B151" s="167" t="s">
        <v>2778</v>
      </c>
      <c r="C151" s="123" t="s">
        <v>1617</v>
      </c>
      <c r="D151" s="123" t="s">
        <v>1544</v>
      </c>
      <c r="E151" s="123">
        <v>522128</v>
      </c>
      <c r="F151" s="123">
        <v>16</v>
      </c>
      <c r="G151" s="166"/>
      <c r="H151" s="291"/>
    </row>
    <row r="152" spans="1:8" x14ac:dyDescent="0.35">
      <c r="A152" s="153">
        <v>151</v>
      </c>
      <c r="B152" s="167" t="s">
        <v>2778</v>
      </c>
      <c r="C152" s="123" t="s">
        <v>1617</v>
      </c>
      <c r="D152" s="123" t="s">
        <v>1544</v>
      </c>
      <c r="E152" s="123">
        <v>522128</v>
      </c>
      <c r="F152" s="123">
        <v>24</v>
      </c>
      <c r="G152" s="166"/>
      <c r="H152" s="291"/>
    </row>
    <row r="153" spans="1:8" x14ac:dyDescent="0.35">
      <c r="A153" s="153">
        <v>152</v>
      </c>
      <c r="B153" s="167" t="s">
        <v>2778</v>
      </c>
      <c r="C153" s="148" t="s">
        <v>1616</v>
      </c>
      <c r="D153" s="123" t="s">
        <v>1544</v>
      </c>
      <c r="E153" s="123">
        <v>522128</v>
      </c>
      <c r="F153" s="123">
        <v>20</v>
      </c>
      <c r="G153" s="166" t="s">
        <v>2827</v>
      </c>
      <c r="H153" s="291" t="str">
        <f t="shared" si="2"/>
        <v>HCU:(522128,20)</v>
      </c>
    </row>
    <row r="154" spans="1:8" x14ac:dyDescent="0.35">
      <c r="A154" s="153">
        <v>153</v>
      </c>
      <c r="B154" s="167" t="s">
        <v>2778</v>
      </c>
      <c r="C154" s="123" t="s">
        <v>1617</v>
      </c>
      <c r="D154" s="123" t="s">
        <v>1544</v>
      </c>
      <c r="E154" s="123">
        <v>522129</v>
      </c>
      <c r="F154" s="123">
        <v>6</v>
      </c>
      <c r="G154" s="166"/>
      <c r="H154" s="291"/>
    </row>
    <row r="155" spans="1:8" x14ac:dyDescent="0.35">
      <c r="A155" s="153">
        <v>154</v>
      </c>
      <c r="B155" s="167" t="s">
        <v>2778</v>
      </c>
      <c r="C155" s="123" t="s">
        <v>1617</v>
      </c>
      <c r="D155" s="123" t="s">
        <v>1544</v>
      </c>
      <c r="E155" s="123">
        <v>522129</v>
      </c>
      <c r="F155" s="123">
        <v>21</v>
      </c>
      <c r="G155" s="166"/>
      <c r="H155" s="291"/>
    </row>
    <row r="156" spans="1:8" x14ac:dyDescent="0.35">
      <c r="A156" s="153">
        <v>155</v>
      </c>
      <c r="B156" s="167" t="s">
        <v>2778</v>
      </c>
      <c r="C156" s="123" t="s">
        <v>1617</v>
      </c>
      <c r="D156" s="123" t="s">
        <v>1544</v>
      </c>
      <c r="E156" s="123">
        <v>522129</v>
      </c>
      <c r="F156" s="123">
        <v>3</v>
      </c>
      <c r="G156" s="166"/>
      <c r="H156" s="291"/>
    </row>
    <row r="157" spans="1:8" x14ac:dyDescent="0.35">
      <c r="A157" s="153">
        <v>156</v>
      </c>
      <c r="B157" s="167" t="s">
        <v>2778</v>
      </c>
      <c r="C157" s="123" t="s">
        <v>1617</v>
      </c>
      <c r="D157" s="123" t="s">
        <v>1544</v>
      </c>
      <c r="E157" s="123">
        <v>522129</v>
      </c>
      <c r="F157" s="123">
        <v>4</v>
      </c>
      <c r="G157" s="166"/>
      <c r="H157" s="291"/>
    </row>
    <row r="158" spans="1:8" x14ac:dyDescent="0.35">
      <c r="A158" s="153">
        <v>157</v>
      </c>
      <c r="B158" s="167" t="s">
        <v>2778</v>
      </c>
      <c r="C158" s="148" t="s">
        <v>1616</v>
      </c>
      <c r="D158" s="123" t="s">
        <v>1544</v>
      </c>
      <c r="E158" s="123">
        <v>522129</v>
      </c>
      <c r="F158" s="123">
        <v>19</v>
      </c>
      <c r="G158" s="166" t="s">
        <v>2828</v>
      </c>
      <c r="H158" s="291" t="str">
        <f t="shared" si="2"/>
        <v>HCU:(522129,19)</v>
      </c>
    </row>
    <row r="159" spans="1:8" x14ac:dyDescent="0.35">
      <c r="A159" s="153">
        <v>158</v>
      </c>
      <c r="B159" s="167" t="s">
        <v>2778</v>
      </c>
      <c r="C159" s="123" t="s">
        <v>1617</v>
      </c>
      <c r="D159" s="123" t="s">
        <v>1544</v>
      </c>
      <c r="E159" s="123">
        <v>522129</v>
      </c>
      <c r="F159" s="123">
        <v>16</v>
      </c>
      <c r="G159" s="166"/>
      <c r="H159" s="291"/>
    </row>
    <row r="160" spans="1:8" x14ac:dyDescent="0.35">
      <c r="A160" s="153">
        <v>159</v>
      </c>
      <c r="B160" s="167" t="s">
        <v>2778</v>
      </c>
      <c r="C160" s="123" t="s">
        <v>1617</v>
      </c>
      <c r="D160" s="123" t="s">
        <v>1544</v>
      </c>
      <c r="E160" s="123">
        <v>522129</v>
      </c>
      <c r="F160" s="123">
        <v>24</v>
      </c>
      <c r="G160" s="166"/>
      <c r="H160" s="291"/>
    </row>
    <row r="161" spans="1:8" x14ac:dyDescent="0.35">
      <c r="A161" s="153">
        <v>160</v>
      </c>
      <c r="B161" s="167" t="s">
        <v>2778</v>
      </c>
      <c r="C161" s="148" t="s">
        <v>1616</v>
      </c>
      <c r="D161" s="123" t="s">
        <v>1544</v>
      </c>
      <c r="E161" s="123">
        <v>522129</v>
      </c>
      <c r="F161" s="123">
        <v>20</v>
      </c>
      <c r="G161" s="166" t="s">
        <v>2829</v>
      </c>
      <c r="H161" s="291" t="str">
        <f t="shared" si="2"/>
        <v>HCU:(522129,20)</v>
      </c>
    </row>
    <row r="162" spans="1:8" x14ac:dyDescent="0.35">
      <c r="A162" s="153">
        <v>161</v>
      </c>
      <c r="B162" s="167" t="s">
        <v>2778</v>
      </c>
      <c r="C162" s="123" t="s">
        <v>1617</v>
      </c>
      <c r="D162" s="123" t="s">
        <v>1544</v>
      </c>
      <c r="E162" s="123">
        <v>522130</v>
      </c>
      <c r="F162" s="123">
        <v>16</v>
      </c>
      <c r="G162" s="166"/>
      <c r="H162" s="291"/>
    </row>
    <row r="163" spans="1:8" x14ac:dyDescent="0.35">
      <c r="A163" s="153">
        <v>162</v>
      </c>
      <c r="B163" s="167" t="s">
        <v>2778</v>
      </c>
      <c r="C163" s="123" t="s">
        <v>1617</v>
      </c>
      <c r="D163" s="123" t="s">
        <v>1544</v>
      </c>
      <c r="E163" s="123">
        <v>522131</v>
      </c>
      <c r="F163" s="123">
        <v>16</v>
      </c>
      <c r="G163" s="166"/>
      <c r="H163" s="291"/>
    </row>
    <row r="164" spans="1:8" x14ac:dyDescent="0.35">
      <c r="A164" s="153">
        <v>163</v>
      </c>
      <c r="B164" s="167" t="s">
        <v>2778</v>
      </c>
      <c r="C164" s="123" t="s">
        <v>1617</v>
      </c>
      <c r="D164" s="123" t="s">
        <v>1544</v>
      </c>
      <c r="E164" s="147">
        <v>522139</v>
      </c>
      <c r="F164" s="123">
        <v>18</v>
      </c>
      <c r="G164" s="166"/>
      <c r="H164" s="291"/>
    </row>
    <row r="165" spans="1:8" x14ac:dyDescent="0.35">
      <c r="A165" s="153">
        <v>164</v>
      </c>
      <c r="B165" s="167" t="s">
        <v>2778</v>
      </c>
      <c r="C165" s="123" t="s">
        <v>1617</v>
      </c>
      <c r="D165" s="123" t="s">
        <v>1544</v>
      </c>
      <c r="E165" s="147">
        <v>522139</v>
      </c>
      <c r="F165" s="123">
        <v>28</v>
      </c>
      <c r="G165" s="166"/>
      <c r="H165" s="291"/>
    </row>
    <row r="166" spans="1:8" x14ac:dyDescent="0.35">
      <c r="A166" s="153">
        <v>165</v>
      </c>
      <c r="B166" s="167" t="s">
        <v>2778</v>
      </c>
      <c r="C166" s="148" t="s">
        <v>1616</v>
      </c>
      <c r="D166" s="149" t="s">
        <v>2823</v>
      </c>
      <c r="E166" s="147">
        <v>522122</v>
      </c>
      <c r="F166" s="147">
        <v>1</v>
      </c>
      <c r="G166" s="166" t="s">
        <v>2801</v>
      </c>
      <c r="H166" s="291" t="str">
        <f t="shared" si="2"/>
        <v>HCU:(522122,1)</v>
      </c>
    </row>
    <row r="167" spans="1:8" x14ac:dyDescent="0.35">
      <c r="A167" s="153">
        <v>166</v>
      </c>
      <c r="B167" s="167" t="s">
        <v>2778</v>
      </c>
      <c r="C167" s="148" t="s">
        <v>1616</v>
      </c>
      <c r="D167" s="149" t="s">
        <v>2823</v>
      </c>
      <c r="E167" s="147">
        <v>522122</v>
      </c>
      <c r="F167" s="147">
        <v>0</v>
      </c>
      <c r="G167" s="166" t="s">
        <v>2802</v>
      </c>
      <c r="H167" s="291" t="str">
        <f t="shared" si="2"/>
        <v>HCU:(522122,0)</v>
      </c>
    </row>
    <row r="168" spans="1:8" x14ac:dyDescent="0.35">
      <c r="A168" s="153">
        <v>167</v>
      </c>
      <c r="B168" s="167" t="s">
        <v>2778</v>
      </c>
      <c r="C168" s="148" t="s">
        <v>1616</v>
      </c>
      <c r="D168" s="149" t="s">
        <v>2823</v>
      </c>
      <c r="E168" s="147">
        <v>522122</v>
      </c>
      <c r="F168" s="147">
        <v>25</v>
      </c>
      <c r="G168" s="166" t="s">
        <v>2803</v>
      </c>
      <c r="H168" s="291" t="str">
        <f t="shared" si="2"/>
        <v>HCU:(522122,25)</v>
      </c>
    </row>
    <row r="169" spans="1:8" x14ac:dyDescent="0.35">
      <c r="A169" s="153">
        <v>168</v>
      </c>
      <c r="B169" s="167" t="s">
        <v>2778</v>
      </c>
      <c r="C169" s="148" t="s">
        <v>1616</v>
      </c>
      <c r="D169" s="149" t="s">
        <v>2823</v>
      </c>
      <c r="E169" s="147">
        <v>522122</v>
      </c>
      <c r="F169" s="147">
        <v>5</v>
      </c>
      <c r="G169" s="166" t="s">
        <v>2804</v>
      </c>
      <c r="H169" s="291" t="str">
        <f t="shared" si="2"/>
        <v>HCU:(522122,5)</v>
      </c>
    </row>
    <row r="170" spans="1:8" x14ac:dyDescent="0.35">
      <c r="A170" s="153">
        <v>169</v>
      </c>
      <c r="B170" s="167" t="s">
        <v>2778</v>
      </c>
      <c r="C170" s="148" t="s">
        <v>1616</v>
      </c>
      <c r="D170" s="149" t="s">
        <v>2823</v>
      </c>
      <c r="E170" s="147">
        <v>522122</v>
      </c>
      <c r="F170" s="147">
        <v>20</v>
      </c>
      <c r="G170" s="166" t="s">
        <v>2805</v>
      </c>
      <c r="H170" s="291" t="str">
        <f t="shared" si="2"/>
        <v>HCU:(522122,20)</v>
      </c>
    </row>
    <row r="171" spans="1:8" x14ac:dyDescent="0.35">
      <c r="A171" s="153">
        <v>170</v>
      </c>
      <c r="B171" s="167" t="s">
        <v>2778</v>
      </c>
      <c r="C171" s="148" t="s">
        <v>1616</v>
      </c>
      <c r="D171" s="149" t="s">
        <v>2823</v>
      </c>
      <c r="E171" s="147">
        <v>522123</v>
      </c>
      <c r="F171" s="168">
        <v>19</v>
      </c>
      <c r="G171" s="166" t="s">
        <v>2806</v>
      </c>
      <c r="H171" s="291" t="str">
        <f t="shared" si="2"/>
        <v>HCU:(522123,19)</v>
      </c>
    </row>
    <row r="172" spans="1:8" x14ac:dyDescent="0.35">
      <c r="A172" s="153">
        <v>171</v>
      </c>
      <c r="B172" s="167" t="s">
        <v>2778</v>
      </c>
      <c r="C172" s="123" t="s">
        <v>1617</v>
      </c>
      <c r="D172" s="149" t="s">
        <v>2823</v>
      </c>
      <c r="E172" s="147">
        <v>522123</v>
      </c>
      <c r="F172" s="168">
        <v>16</v>
      </c>
      <c r="G172" s="166"/>
      <c r="H172" s="291"/>
    </row>
    <row r="173" spans="1:8" x14ac:dyDescent="0.35">
      <c r="A173" s="153">
        <v>172</v>
      </c>
      <c r="B173" s="167" t="s">
        <v>2778</v>
      </c>
      <c r="C173" s="123" t="s">
        <v>1617</v>
      </c>
      <c r="D173" s="149" t="s">
        <v>2823</v>
      </c>
      <c r="E173" s="147">
        <v>522123</v>
      </c>
      <c r="F173" s="168">
        <v>6</v>
      </c>
      <c r="G173" s="166"/>
      <c r="H173" s="291"/>
    </row>
    <row r="174" spans="1:8" x14ac:dyDescent="0.35">
      <c r="A174" s="153">
        <v>173</v>
      </c>
      <c r="B174" s="167" t="s">
        <v>2778</v>
      </c>
      <c r="C174" s="123" t="s">
        <v>1617</v>
      </c>
      <c r="D174" s="149" t="s">
        <v>2823</v>
      </c>
      <c r="E174" s="147">
        <v>522123</v>
      </c>
      <c r="F174" s="168">
        <v>3</v>
      </c>
      <c r="G174" s="166"/>
      <c r="H174" s="291"/>
    </row>
    <row r="175" spans="1:8" x14ac:dyDescent="0.35">
      <c r="A175" s="153">
        <v>174</v>
      </c>
      <c r="B175" s="167" t="s">
        <v>2778</v>
      </c>
      <c r="C175" s="123" t="s">
        <v>1617</v>
      </c>
      <c r="D175" s="149" t="s">
        <v>2823</v>
      </c>
      <c r="E175" s="147">
        <v>522123</v>
      </c>
      <c r="F175" s="168">
        <v>4</v>
      </c>
      <c r="G175" s="166"/>
      <c r="H175" s="291"/>
    </row>
    <row r="176" spans="1:8" x14ac:dyDescent="0.35">
      <c r="A176" s="153">
        <v>175</v>
      </c>
      <c r="B176" s="167" t="s">
        <v>2778</v>
      </c>
      <c r="C176" s="123" t="s">
        <v>1617</v>
      </c>
      <c r="D176" s="149" t="s">
        <v>2823</v>
      </c>
      <c r="E176" s="147">
        <v>522123</v>
      </c>
      <c r="F176" s="168">
        <v>26</v>
      </c>
      <c r="G176" s="166"/>
      <c r="H176" s="291"/>
    </row>
    <row r="177" spans="1:8" x14ac:dyDescent="0.35">
      <c r="A177" s="153">
        <v>176</v>
      </c>
      <c r="B177" s="167" t="s">
        <v>2778</v>
      </c>
      <c r="C177" s="148" t="s">
        <v>1616</v>
      </c>
      <c r="D177" s="149" t="s">
        <v>2823</v>
      </c>
      <c r="E177" s="147">
        <v>522123</v>
      </c>
      <c r="F177" s="168">
        <v>21</v>
      </c>
      <c r="G177" s="166" t="s">
        <v>2807</v>
      </c>
      <c r="H177" s="291" t="str">
        <f t="shared" si="2"/>
        <v>HCU:(522123,21)</v>
      </c>
    </row>
    <row r="178" spans="1:8" x14ac:dyDescent="0.35">
      <c r="A178" s="153">
        <v>177</v>
      </c>
      <c r="B178" s="167" t="s">
        <v>2778</v>
      </c>
      <c r="C178" s="148" t="s">
        <v>1616</v>
      </c>
      <c r="D178" s="149" t="s">
        <v>2823</v>
      </c>
      <c r="E178" s="147">
        <v>522123</v>
      </c>
      <c r="F178" s="168">
        <v>22</v>
      </c>
      <c r="G178" s="166" t="s">
        <v>2816</v>
      </c>
      <c r="H178" s="291" t="str">
        <f t="shared" si="2"/>
        <v>HCU:(522123,22)</v>
      </c>
    </row>
    <row r="179" spans="1:8" x14ac:dyDescent="0.35">
      <c r="A179" s="153">
        <v>178</v>
      </c>
      <c r="B179" s="167" t="s">
        <v>2778</v>
      </c>
      <c r="C179" s="148" t="s">
        <v>1616</v>
      </c>
      <c r="D179" s="149" t="s">
        <v>2823</v>
      </c>
      <c r="E179" s="147">
        <v>522123</v>
      </c>
      <c r="F179" s="168">
        <v>12</v>
      </c>
      <c r="G179" s="166" t="s">
        <v>2808</v>
      </c>
      <c r="H179" s="291" t="str">
        <f t="shared" si="2"/>
        <v>HCU:(522123,12)</v>
      </c>
    </row>
    <row r="180" spans="1:8" ht="49.5" x14ac:dyDescent="0.35">
      <c r="A180" s="153">
        <v>179</v>
      </c>
      <c r="B180" s="169" t="s">
        <v>2830</v>
      </c>
      <c r="C180" s="148" t="s">
        <v>1641</v>
      </c>
      <c r="D180" s="149" t="s">
        <v>2823</v>
      </c>
      <c r="E180" s="123">
        <v>522124</v>
      </c>
      <c r="F180" s="123">
        <v>18</v>
      </c>
      <c r="G180" s="170" t="s">
        <v>2819</v>
      </c>
      <c r="H180" s="291" t="s">
        <v>2819</v>
      </c>
    </row>
    <row r="181" spans="1:8" ht="49.5" x14ac:dyDescent="0.35">
      <c r="A181" s="153">
        <v>180</v>
      </c>
      <c r="B181" s="169" t="s">
        <v>2830</v>
      </c>
      <c r="C181" s="148" t="s">
        <v>1641</v>
      </c>
      <c r="D181" s="149" t="s">
        <v>2823</v>
      </c>
      <c r="E181" s="123">
        <v>522125</v>
      </c>
      <c r="F181" s="123">
        <v>18</v>
      </c>
      <c r="G181" s="170" t="s">
        <v>3340</v>
      </c>
      <c r="H181" s="291" t="s">
        <v>3340</v>
      </c>
    </row>
    <row r="182" spans="1:8" x14ac:dyDescent="0.35">
      <c r="A182" s="153">
        <v>181</v>
      </c>
      <c r="B182" s="167" t="s">
        <v>2778</v>
      </c>
      <c r="C182" s="148" t="s">
        <v>1616</v>
      </c>
      <c r="D182" s="149" t="s">
        <v>2823</v>
      </c>
      <c r="E182" s="147">
        <v>522126</v>
      </c>
      <c r="F182" s="123">
        <v>16</v>
      </c>
      <c r="G182" s="166" t="s">
        <v>2821</v>
      </c>
      <c r="H182" s="291" t="str">
        <f t="shared" si="2"/>
        <v>HCU:(522126,16)</v>
      </c>
    </row>
    <row r="183" spans="1:8" x14ac:dyDescent="0.35">
      <c r="A183" s="153">
        <v>182</v>
      </c>
      <c r="B183" s="167" t="s">
        <v>2778</v>
      </c>
      <c r="C183" s="148" t="s">
        <v>1616</v>
      </c>
      <c r="D183" s="149" t="s">
        <v>2823</v>
      </c>
      <c r="E183" s="147">
        <v>522127</v>
      </c>
      <c r="F183" s="123">
        <v>18</v>
      </c>
      <c r="G183" s="166" t="s">
        <v>2824</v>
      </c>
      <c r="H183" s="291" t="str">
        <f t="shared" si="2"/>
        <v>HCU:(522127,18)</v>
      </c>
    </row>
    <row r="184" spans="1:8" x14ac:dyDescent="0.35">
      <c r="A184" s="153">
        <v>183</v>
      </c>
      <c r="B184" s="167" t="s">
        <v>2778</v>
      </c>
      <c r="C184" s="123" t="s">
        <v>1617</v>
      </c>
      <c r="D184" s="149" t="s">
        <v>2823</v>
      </c>
      <c r="E184" s="123">
        <v>522128</v>
      </c>
      <c r="F184" s="123">
        <v>6</v>
      </c>
      <c r="G184" s="166"/>
      <c r="H184" s="291"/>
    </row>
    <row r="185" spans="1:8" x14ac:dyDescent="0.35">
      <c r="A185" s="153">
        <v>184</v>
      </c>
      <c r="B185" s="167" t="s">
        <v>2778</v>
      </c>
      <c r="C185" s="123" t="s">
        <v>1617</v>
      </c>
      <c r="D185" s="149" t="s">
        <v>2823</v>
      </c>
      <c r="E185" s="123">
        <v>522128</v>
      </c>
      <c r="F185" s="123">
        <v>21</v>
      </c>
      <c r="G185" s="166"/>
      <c r="H185" s="291"/>
    </row>
    <row r="186" spans="1:8" x14ac:dyDescent="0.35">
      <c r="A186" s="153">
        <v>185</v>
      </c>
      <c r="B186" s="167" t="s">
        <v>2778</v>
      </c>
      <c r="C186" s="123" t="s">
        <v>1617</v>
      </c>
      <c r="D186" s="149" t="s">
        <v>2823</v>
      </c>
      <c r="E186" s="123">
        <v>522128</v>
      </c>
      <c r="F186" s="123">
        <v>3</v>
      </c>
      <c r="G186" s="166"/>
      <c r="H186" s="291"/>
    </row>
    <row r="187" spans="1:8" x14ac:dyDescent="0.35">
      <c r="A187" s="153">
        <v>186</v>
      </c>
      <c r="B187" s="167" t="s">
        <v>2778</v>
      </c>
      <c r="C187" s="123" t="s">
        <v>1617</v>
      </c>
      <c r="D187" s="149" t="s">
        <v>2823</v>
      </c>
      <c r="E187" s="123">
        <v>522128</v>
      </c>
      <c r="F187" s="123">
        <v>4</v>
      </c>
      <c r="G187" s="166"/>
      <c r="H187" s="291"/>
    </row>
    <row r="188" spans="1:8" x14ac:dyDescent="0.35">
      <c r="A188" s="153">
        <v>187</v>
      </c>
      <c r="B188" s="167" t="s">
        <v>2778</v>
      </c>
      <c r="C188" s="148" t="s">
        <v>1616</v>
      </c>
      <c r="D188" s="149" t="s">
        <v>2823</v>
      </c>
      <c r="E188" s="123">
        <v>522128</v>
      </c>
      <c r="F188" s="123">
        <v>19</v>
      </c>
      <c r="G188" s="166" t="s">
        <v>2826</v>
      </c>
      <c r="H188" s="291" t="str">
        <f t="shared" si="2"/>
        <v>HCU:(522128,19)</v>
      </c>
    </row>
    <row r="189" spans="1:8" x14ac:dyDescent="0.35">
      <c r="A189" s="153">
        <v>188</v>
      </c>
      <c r="B189" s="167" t="s">
        <v>2778</v>
      </c>
      <c r="C189" s="123" t="s">
        <v>1617</v>
      </c>
      <c r="D189" s="149" t="s">
        <v>2823</v>
      </c>
      <c r="E189" s="123">
        <v>522128</v>
      </c>
      <c r="F189" s="123">
        <v>16</v>
      </c>
      <c r="G189" s="166"/>
      <c r="H189" s="291"/>
    </row>
    <row r="190" spans="1:8" x14ac:dyDescent="0.35">
      <c r="A190" s="153">
        <v>189</v>
      </c>
      <c r="B190" s="167" t="s">
        <v>2778</v>
      </c>
      <c r="C190" s="123" t="s">
        <v>1617</v>
      </c>
      <c r="D190" s="149" t="s">
        <v>2823</v>
      </c>
      <c r="E190" s="123">
        <v>522128</v>
      </c>
      <c r="F190" s="123">
        <v>24</v>
      </c>
      <c r="G190" s="166"/>
      <c r="H190" s="291"/>
    </row>
    <row r="191" spans="1:8" x14ac:dyDescent="0.35">
      <c r="A191" s="153">
        <v>190</v>
      </c>
      <c r="B191" s="167" t="s">
        <v>2778</v>
      </c>
      <c r="C191" s="148" t="s">
        <v>1616</v>
      </c>
      <c r="D191" s="149" t="s">
        <v>2823</v>
      </c>
      <c r="E191" s="123">
        <v>522128</v>
      </c>
      <c r="F191" s="123">
        <v>20</v>
      </c>
      <c r="G191" s="166" t="s">
        <v>2827</v>
      </c>
      <c r="H191" s="291" t="str">
        <f t="shared" si="2"/>
        <v>HCU:(522128,20)</v>
      </c>
    </row>
    <row r="192" spans="1:8" x14ac:dyDescent="0.35">
      <c r="A192" s="153">
        <v>191</v>
      </c>
      <c r="B192" s="167" t="s">
        <v>2778</v>
      </c>
      <c r="C192" s="123" t="s">
        <v>1617</v>
      </c>
      <c r="D192" s="149" t="s">
        <v>2823</v>
      </c>
      <c r="E192" s="123">
        <v>522131</v>
      </c>
      <c r="F192" s="123">
        <v>16</v>
      </c>
      <c r="G192" s="166"/>
      <c r="H192" s="291"/>
    </row>
    <row r="193" spans="1:8" x14ac:dyDescent="0.35">
      <c r="A193" s="153">
        <v>192</v>
      </c>
      <c r="B193" s="167" t="s">
        <v>2778</v>
      </c>
      <c r="C193" s="123" t="s">
        <v>1617</v>
      </c>
      <c r="D193" s="149" t="s">
        <v>2823</v>
      </c>
      <c r="E193" s="147">
        <v>522139</v>
      </c>
      <c r="F193" s="123">
        <v>18</v>
      </c>
      <c r="G193" s="166"/>
      <c r="H193" s="291"/>
    </row>
    <row r="194" spans="1:8" x14ac:dyDescent="0.35">
      <c r="A194" s="153">
        <v>193</v>
      </c>
      <c r="B194" s="167" t="s">
        <v>2778</v>
      </c>
      <c r="C194" s="123" t="s">
        <v>1617</v>
      </c>
      <c r="D194" s="149" t="s">
        <v>2823</v>
      </c>
      <c r="E194" s="147">
        <v>522139</v>
      </c>
      <c r="F194" s="123">
        <v>28</v>
      </c>
      <c r="G194" s="166"/>
      <c r="H194" s="29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1B66-7A68-498D-8223-FB89CB2D47AB}">
  <sheetPr>
    <tabColor rgb="FFFFC000"/>
  </sheetPr>
  <dimension ref="A1:F327"/>
  <sheetViews>
    <sheetView zoomScale="115" zoomScaleNormal="115" workbookViewId="0">
      <pane ySplit="1" topLeftCell="A2" activePane="bottomLeft" state="frozen"/>
      <selection pane="bottomLeft" activeCell="F25" sqref="F25"/>
    </sheetView>
  </sheetViews>
  <sheetFormatPr defaultRowHeight="17.25" x14ac:dyDescent="0.35"/>
  <cols>
    <col min="1" max="1" width="6.125" style="374" customWidth="1"/>
    <col min="2" max="2" width="11.75" style="388" customWidth="1"/>
    <col min="3" max="3" width="29" style="389" customWidth="1"/>
    <col min="4" max="4" width="14.125" style="390" customWidth="1"/>
    <col min="5" max="5" width="6" style="390" bestFit="1" customWidth="1"/>
    <col min="6" max="6" width="33.375" style="374" customWidth="1"/>
    <col min="7" max="16384" width="9" style="374"/>
  </cols>
  <sheetData>
    <row r="1" spans="1:6" s="369" customFormat="1" ht="45" customHeight="1" x14ac:dyDescent="0.15">
      <c r="A1" s="366" t="s">
        <v>1</v>
      </c>
      <c r="B1" s="367" t="s">
        <v>3019</v>
      </c>
      <c r="C1" s="368" t="s">
        <v>3016</v>
      </c>
      <c r="D1" s="367" t="s">
        <v>3017</v>
      </c>
      <c r="E1" s="367" t="s">
        <v>3018</v>
      </c>
      <c r="F1" s="366" t="s">
        <v>1264</v>
      </c>
    </row>
    <row r="2" spans="1:6" ht="16.5" x14ac:dyDescent="0.3">
      <c r="A2" s="370">
        <v>1</v>
      </c>
      <c r="B2" s="371" t="s">
        <v>1615</v>
      </c>
      <c r="C2" s="372" t="s">
        <v>3020</v>
      </c>
      <c r="D2" s="373">
        <v>521400</v>
      </c>
      <c r="E2" s="373">
        <v>23</v>
      </c>
      <c r="F2" s="291" t="str">
        <f>"TMS"&amp;":"&amp;"("&amp;D2&amp;","&amp;E2&amp;")"</f>
        <v>TMS:(521400,23)</v>
      </c>
    </row>
    <row r="3" spans="1:6" ht="16.5" x14ac:dyDescent="0.3">
      <c r="A3" s="370">
        <v>2</v>
      </c>
      <c r="B3" s="375" t="s">
        <v>1616</v>
      </c>
      <c r="C3" s="376" t="s">
        <v>3021</v>
      </c>
      <c r="D3" s="377">
        <v>522080</v>
      </c>
      <c r="E3" s="377">
        <v>12</v>
      </c>
      <c r="F3" s="291" t="str">
        <f t="shared" ref="F3:F63" si="0">"TMS"&amp;":"&amp;"("&amp;D3&amp;","&amp;E3&amp;")"</f>
        <v>TMS:(522080,12)</v>
      </c>
    </row>
    <row r="4" spans="1:6" ht="16.5" x14ac:dyDescent="0.3">
      <c r="A4" s="370">
        <v>3</v>
      </c>
      <c r="B4" s="375" t="s">
        <v>1616</v>
      </c>
      <c r="C4" s="376" t="s">
        <v>3021</v>
      </c>
      <c r="D4" s="377">
        <v>522080</v>
      </c>
      <c r="E4" s="377">
        <v>2</v>
      </c>
      <c r="F4" s="291" t="str">
        <f t="shared" si="0"/>
        <v>TMS:(522080,2)</v>
      </c>
    </row>
    <row r="5" spans="1:6" ht="16.5" x14ac:dyDescent="0.3">
      <c r="A5" s="370">
        <v>4</v>
      </c>
      <c r="B5" s="371" t="s">
        <v>1615</v>
      </c>
      <c r="C5" s="372" t="s">
        <v>3336</v>
      </c>
      <c r="D5" s="373">
        <v>521401</v>
      </c>
      <c r="E5" s="373">
        <v>20</v>
      </c>
      <c r="F5" s="291" t="str">
        <f t="shared" si="0"/>
        <v>TMS:(521401,20)</v>
      </c>
    </row>
    <row r="6" spans="1:6" ht="16.5" x14ac:dyDescent="0.3">
      <c r="A6" s="370">
        <v>5</v>
      </c>
      <c r="B6" s="371" t="s">
        <v>1615</v>
      </c>
      <c r="C6" s="372" t="s">
        <v>3022</v>
      </c>
      <c r="D6" s="373">
        <v>521401</v>
      </c>
      <c r="E6" s="373">
        <v>1</v>
      </c>
      <c r="F6" s="291" t="str">
        <f t="shared" si="0"/>
        <v>TMS:(521401,1)</v>
      </c>
    </row>
    <row r="7" spans="1:6" ht="16.5" x14ac:dyDescent="0.3">
      <c r="A7" s="370">
        <v>6</v>
      </c>
      <c r="B7" s="371" t="s">
        <v>1615</v>
      </c>
      <c r="C7" s="372" t="s">
        <v>3023</v>
      </c>
      <c r="D7" s="373">
        <v>521401</v>
      </c>
      <c r="E7" s="373">
        <v>0</v>
      </c>
      <c r="F7" s="291" t="str">
        <f t="shared" si="0"/>
        <v>TMS:(521401,0)</v>
      </c>
    </row>
    <row r="8" spans="1:6" ht="16.5" x14ac:dyDescent="0.3">
      <c r="A8" s="370">
        <v>7</v>
      </c>
      <c r="B8" s="371" t="s">
        <v>1615</v>
      </c>
      <c r="C8" s="372" t="s">
        <v>3024</v>
      </c>
      <c r="D8" s="373">
        <v>521401</v>
      </c>
      <c r="E8" s="373">
        <v>25</v>
      </c>
      <c r="F8" s="291" t="str">
        <f t="shared" si="0"/>
        <v>TMS:(521401,25)</v>
      </c>
    </row>
    <row r="9" spans="1:6" ht="16.5" x14ac:dyDescent="0.3">
      <c r="A9" s="370">
        <v>8</v>
      </c>
      <c r="B9" s="371" t="s">
        <v>1615</v>
      </c>
      <c r="C9" s="372" t="s">
        <v>3025</v>
      </c>
      <c r="D9" s="373">
        <v>521401</v>
      </c>
      <c r="E9" s="373">
        <v>5</v>
      </c>
      <c r="F9" s="291" t="str">
        <f t="shared" si="0"/>
        <v>TMS:(521401,5)</v>
      </c>
    </row>
    <row r="10" spans="1:6" ht="16.5" x14ac:dyDescent="0.3">
      <c r="A10" s="370">
        <v>9</v>
      </c>
      <c r="B10" s="378" t="s">
        <v>1615</v>
      </c>
      <c r="C10" s="372" t="s">
        <v>3337</v>
      </c>
      <c r="D10" s="373">
        <v>521401</v>
      </c>
      <c r="E10" s="373">
        <v>12</v>
      </c>
      <c r="F10" s="291" t="str">
        <f t="shared" si="0"/>
        <v>TMS:(521401,12)</v>
      </c>
    </row>
    <row r="11" spans="1:6" ht="16.5" x14ac:dyDescent="0.3">
      <c r="A11" s="370">
        <v>10</v>
      </c>
      <c r="B11" s="378" t="s">
        <v>1615</v>
      </c>
      <c r="C11" s="372" t="s">
        <v>3026</v>
      </c>
      <c r="D11" s="373">
        <v>521401</v>
      </c>
      <c r="E11" s="373">
        <v>19</v>
      </c>
      <c r="F11" s="291" t="str">
        <f t="shared" si="0"/>
        <v>TMS:(521401,19)</v>
      </c>
    </row>
    <row r="12" spans="1:6" ht="26.45" customHeight="1" x14ac:dyDescent="0.3">
      <c r="A12" s="370">
        <v>11</v>
      </c>
      <c r="B12" s="379" t="s">
        <v>2771</v>
      </c>
      <c r="C12" s="372" t="s">
        <v>3027</v>
      </c>
      <c r="D12" s="373">
        <v>521401</v>
      </c>
      <c r="E12" s="373">
        <v>16</v>
      </c>
      <c r="F12" s="291"/>
    </row>
    <row r="13" spans="1:6" ht="14.45" customHeight="1" x14ac:dyDescent="0.3">
      <c r="A13" s="370">
        <v>12</v>
      </c>
      <c r="B13" s="379" t="s">
        <v>2771</v>
      </c>
      <c r="C13" s="372" t="s">
        <v>3028</v>
      </c>
      <c r="D13" s="373">
        <v>521401</v>
      </c>
      <c r="E13" s="373">
        <v>6</v>
      </c>
      <c r="F13" s="291"/>
    </row>
    <row r="14" spans="1:6" ht="27.6" customHeight="1" x14ac:dyDescent="0.3">
      <c r="A14" s="370">
        <v>13</v>
      </c>
      <c r="B14" s="379" t="s">
        <v>2771</v>
      </c>
      <c r="C14" s="372" t="s">
        <v>3029</v>
      </c>
      <c r="D14" s="373">
        <v>521401</v>
      </c>
      <c r="E14" s="373">
        <v>3</v>
      </c>
      <c r="F14" s="291"/>
    </row>
    <row r="15" spans="1:6" ht="16.149999999999999" customHeight="1" x14ac:dyDescent="0.3">
      <c r="A15" s="370">
        <v>14</v>
      </c>
      <c r="B15" s="379" t="s">
        <v>2771</v>
      </c>
      <c r="C15" s="372" t="s">
        <v>3030</v>
      </c>
      <c r="D15" s="373">
        <v>521401</v>
      </c>
      <c r="E15" s="373">
        <v>4</v>
      </c>
      <c r="F15" s="291"/>
    </row>
    <row r="16" spans="1:6" ht="14.45" customHeight="1" x14ac:dyDescent="0.3">
      <c r="A16" s="370">
        <v>15</v>
      </c>
      <c r="B16" s="379" t="s">
        <v>2771</v>
      </c>
      <c r="C16" s="372" t="s">
        <v>3031</v>
      </c>
      <c r="D16" s="373">
        <v>521401</v>
      </c>
      <c r="E16" s="373">
        <v>26</v>
      </c>
      <c r="F16" s="291"/>
    </row>
    <row r="17" spans="1:6" ht="16.5" x14ac:dyDescent="0.3">
      <c r="A17" s="370">
        <v>16</v>
      </c>
      <c r="B17" s="378" t="s">
        <v>1616</v>
      </c>
      <c r="C17" s="372" t="s">
        <v>3032</v>
      </c>
      <c r="D17" s="373">
        <v>521401</v>
      </c>
      <c r="E17" s="373">
        <v>21</v>
      </c>
      <c r="F17" s="291" t="str">
        <f t="shared" si="0"/>
        <v>TMS:(521401,21)</v>
      </c>
    </row>
    <row r="18" spans="1:6" ht="16.5" x14ac:dyDescent="0.3">
      <c r="A18" s="370">
        <v>17</v>
      </c>
      <c r="B18" s="378" t="s">
        <v>1615</v>
      </c>
      <c r="C18" s="372" t="s">
        <v>3033</v>
      </c>
      <c r="D18" s="373">
        <v>521401</v>
      </c>
      <c r="E18" s="373">
        <v>22</v>
      </c>
      <c r="F18" s="291" t="str">
        <f t="shared" si="0"/>
        <v>TMS:(521401,22)</v>
      </c>
    </row>
    <row r="19" spans="1:6" ht="16.5" x14ac:dyDescent="0.3">
      <c r="A19" s="370">
        <v>18</v>
      </c>
      <c r="B19" s="380" t="s">
        <v>1616</v>
      </c>
      <c r="C19" s="372" t="s">
        <v>3034</v>
      </c>
      <c r="D19" s="377">
        <v>522122</v>
      </c>
      <c r="E19" s="377">
        <v>1</v>
      </c>
      <c r="F19" s="291" t="str">
        <f t="shared" si="0"/>
        <v>TMS:(522122,1)</v>
      </c>
    </row>
    <row r="20" spans="1:6" ht="16.5" x14ac:dyDescent="0.3">
      <c r="A20" s="370">
        <v>19</v>
      </c>
      <c r="B20" s="380" t="s">
        <v>1616</v>
      </c>
      <c r="C20" s="372" t="s">
        <v>3035</v>
      </c>
      <c r="D20" s="377">
        <v>522122</v>
      </c>
      <c r="E20" s="377">
        <v>0</v>
      </c>
      <c r="F20" s="291" t="str">
        <f t="shared" si="0"/>
        <v>TMS:(522122,0)</v>
      </c>
    </row>
    <row r="21" spans="1:6" ht="16.5" x14ac:dyDescent="0.3">
      <c r="A21" s="370">
        <v>20</v>
      </c>
      <c r="B21" s="380" t="s">
        <v>1616</v>
      </c>
      <c r="C21" s="372" t="s">
        <v>3036</v>
      </c>
      <c r="D21" s="377">
        <v>522122</v>
      </c>
      <c r="E21" s="377">
        <v>25</v>
      </c>
      <c r="F21" s="291" t="str">
        <f t="shared" si="0"/>
        <v>TMS:(522122,25)</v>
      </c>
    </row>
    <row r="22" spans="1:6" ht="16.5" x14ac:dyDescent="0.3">
      <c r="A22" s="370">
        <v>21</v>
      </c>
      <c r="B22" s="380" t="s">
        <v>1616</v>
      </c>
      <c r="C22" s="372" t="s">
        <v>3037</v>
      </c>
      <c r="D22" s="377">
        <v>522122</v>
      </c>
      <c r="E22" s="377">
        <v>5</v>
      </c>
      <c r="F22" s="291" t="str">
        <f t="shared" si="0"/>
        <v>TMS:(522122,5)</v>
      </c>
    </row>
    <row r="23" spans="1:6" ht="16.5" x14ac:dyDescent="0.3">
      <c r="A23" s="370">
        <v>22</v>
      </c>
      <c r="B23" s="380" t="s">
        <v>1616</v>
      </c>
      <c r="C23" s="381" t="s">
        <v>3038</v>
      </c>
      <c r="D23" s="377">
        <v>522122</v>
      </c>
      <c r="E23" s="377">
        <v>20</v>
      </c>
      <c r="F23" s="291" t="str">
        <f t="shared" si="0"/>
        <v>TMS:(522122,20)</v>
      </c>
    </row>
    <row r="24" spans="1:6" ht="30" customHeight="1" x14ac:dyDescent="0.3">
      <c r="A24" s="370">
        <v>23</v>
      </c>
      <c r="B24" s="380" t="s">
        <v>1616</v>
      </c>
      <c r="C24" s="372" t="s">
        <v>3039</v>
      </c>
      <c r="D24" s="377">
        <v>522123</v>
      </c>
      <c r="E24" s="382">
        <v>19</v>
      </c>
      <c r="F24" s="291" t="str">
        <f t="shared" si="0"/>
        <v>TMS:(522123,19)</v>
      </c>
    </row>
    <row r="25" spans="1:6" ht="16.5" x14ac:dyDescent="0.3">
      <c r="A25" s="370">
        <v>24</v>
      </c>
      <c r="B25" s="373" t="s">
        <v>1617</v>
      </c>
      <c r="C25" s="372" t="s">
        <v>3040</v>
      </c>
      <c r="D25" s="377">
        <v>522123</v>
      </c>
      <c r="E25" s="382">
        <v>16</v>
      </c>
      <c r="F25" s="291"/>
    </row>
    <row r="26" spans="1:6" ht="16.5" x14ac:dyDescent="0.3">
      <c r="A26" s="370">
        <v>25</v>
      </c>
      <c r="B26" s="373" t="s">
        <v>1617</v>
      </c>
      <c r="C26" s="372" t="s">
        <v>3041</v>
      </c>
      <c r="D26" s="377">
        <v>522123</v>
      </c>
      <c r="E26" s="382">
        <v>6</v>
      </c>
      <c r="F26" s="291"/>
    </row>
    <row r="27" spans="1:6" ht="16.5" x14ac:dyDescent="0.3">
      <c r="A27" s="370">
        <v>26</v>
      </c>
      <c r="B27" s="373" t="s">
        <v>1617</v>
      </c>
      <c r="C27" s="372" t="s">
        <v>3042</v>
      </c>
      <c r="D27" s="377">
        <v>522123</v>
      </c>
      <c r="E27" s="382">
        <v>3</v>
      </c>
      <c r="F27" s="291"/>
    </row>
    <row r="28" spans="1:6" ht="16.5" x14ac:dyDescent="0.3">
      <c r="A28" s="370">
        <v>27</v>
      </c>
      <c r="B28" s="373" t="s">
        <v>1617</v>
      </c>
      <c r="C28" s="372" t="s">
        <v>3043</v>
      </c>
      <c r="D28" s="377">
        <v>522123</v>
      </c>
      <c r="E28" s="382">
        <v>4</v>
      </c>
      <c r="F28" s="291"/>
    </row>
    <row r="29" spans="1:6" ht="16.5" x14ac:dyDescent="0.3">
      <c r="A29" s="370">
        <v>28</v>
      </c>
      <c r="B29" s="373" t="s">
        <v>1617</v>
      </c>
      <c r="C29" s="372" t="s">
        <v>3044</v>
      </c>
      <c r="D29" s="377">
        <v>522123</v>
      </c>
      <c r="E29" s="382">
        <v>26</v>
      </c>
      <c r="F29" s="291"/>
    </row>
    <row r="30" spans="1:6" ht="16.5" x14ac:dyDescent="0.3">
      <c r="A30" s="370">
        <v>29</v>
      </c>
      <c r="B30" s="380" t="s">
        <v>1616</v>
      </c>
      <c r="C30" s="372" t="s">
        <v>3045</v>
      </c>
      <c r="D30" s="377">
        <v>522123</v>
      </c>
      <c r="E30" s="382">
        <v>21</v>
      </c>
      <c r="F30" s="291" t="str">
        <f t="shared" si="0"/>
        <v>TMS:(522123,21)</v>
      </c>
    </row>
    <row r="31" spans="1:6" ht="16.5" x14ac:dyDescent="0.3">
      <c r="A31" s="370">
        <v>30</v>
      </c>
      <c r="B31" s="380" t="s">
        <v>1616</v>
      </c>
      <c r="C31" s="372" t="s">
        <v>3046</v>
      </c>
      <c r="D31" s="377">
        <v>522123</v>
      </c>
      <c r="E31" s="382">
        <v>22</v>
      </c>
      <c r="F31" s="291" t="str">
        <f t="shared" si="0"/>
        <v>TMS:(522123,22)</v>
      </c>
    </row>
    <row r="32" spans="1:6" ht="16.5" x14ac:dyDescent="0.3">
      <c r="A32" s="370">
        <v>31</v>
      </c>
      <c r="B32" s="380" t="s">
        <v>1616</v>
      </c>
      <c r="C32" s="381" t="s">
        <v>3047</v>
      </c>
      <c r="D32" s="377">
        <v>522123</v>
      </c>
      <c r="E32" s="382">
        <v>12</v>
      </c>
      <c r="F32" s="291" t="str">
        <f t="shared" si="0"/>
        <v>TMS:(522123,12)</v>
      </c>
    </row>
    <row r="33" spans="1:6" ht="16.5" x14ac:dyDescent="0.3">
      <c r="A33" s="370">
        <v>32</v>
      </c>
      <c r="B33" s="380" t="s">
        <v>1616</v>
      </c>
      <c r="C33" s="372" t="s">
        <v>3048</v>
      </c>
      <c r="D33" s="377">
        <v>522141</v>
      </c>
      <c r="E33" s="377">
        <v>1</v>
      </c>
      <c r="F33" s="291" t="str">
        <f t="shared" si="0"/>
        <v>TMS:(522141,1)</v>
      </c>
    </row>
    <row r="34" spans="1:6" ht="16.5" x14ac:dyDescent="0.3">
      <c r="A34" s="370">
        <v>33</v>
      </c>
      <c r="B34" s="380" t="s">
        <v>1616</v>
      </c>
      <c r="C34" s="372" t="s">
        <v>3049</v>
      </c>
      <c r="D34" s="377">
        <v>522141</v>
      </c>
      <c r="E34" s="377">
        <v>0</v>
      </c>
      <c r="F34" s="291" t="str">
        <f t="shared" si="0"/>
        <v>TMS:(522141,0)</v>
      </c>
    </row>
    <row r="35" spans="1:6" ht="16.5" x14ac:dyDescent="0.3">
      <c r="A35" s="370">
        <v>34</v>
      </c>
      <c r="B35" s="380" t="s">
        <v>1616</v>
      </c>
      <c r="C35" s="372" t="s">
        <v>3050</v>
      </c>
      <c r="D35" s="377">
        <v>522141</v>
      </c>
      <c r="E35" s="377">
        <v>25</v>
      </c>
      <c r="F35" s="291" t="str">
        <f t="shared" si="0"/>
        <v>TMS:(522141,25)</v>
      </c>
    </row>
    <row r="36" spans="1:6" ht="16.5" x14ac:dyDescent="0.3">
      <c r="A36" s="370">
        <v>35</v>
      </c>
      <c r="B36" s="380" t="s">
        <v>1616</v>
      </c>
      <c r="C36" s="372" t="s">
        <v>3051</v>
      </c>
      <c r="D36" s="377">
        <v>522141</v>
      </c>
      <c r="E36" s="377">
        <v>5</v>
      </c>
      <c r="F36" s="291" t="str">
        <f t="shared" si="0"/>
        <v>TMS:(522141,5)</v>
      </c>
    </row>
    <row r="37" spans="1:6" ht="16.5" x14ac:dyDescent="0.3">
      <c r="A37" s="370">
        <v>36</v>
      </c>
      <c r="B37" s="380" t="s">
        <v>1616</v>
      </c>
      <c r="C37" s="381" t="s">
        <v>3052</v>
      </c>
      <c r="D37" s="377">
        <v>522141</v>
      </c>
      <c r="E37" s="377">
        <v>20</v>
      </c>
      <c r="F37" s="291" t="str">
        <f t="shared" si="0"/>
        <v>TMS:(522141,20)</v>
      </c>
    </row>
    <row r="38" spans="1:6" ht="16.5" x14ac:dyDescent="0.3">
      <c r="A38" s="370">
        <v>37</v>
      </c>
      <c r="B38" s="380" t="s">
        <v>1616</v>
      </c>
      <c r="C38" s="372" t="s">
        <v>3053</v>
      </c>
      <c r="D38" s="377">
        <v>522142</v>
      </c>
      <c r="E38" s="382">
        <v>19</v>
      </c>
      <c r="F38" s="291" t="str">
        <f t="shared" si="0"/>
        <v>TMS:(522142,19)</v>
      </c>
    </row>
    <row r="39" spans="1:6" ht="16.5" x14ac:dyDescent="0.3">
      <c r="A39" s="370">
        <v>38</v>
      </c>
      <c r="B39" s="373" t="s">
        <v>1617</v>
      </c>
      <c r="C39" s="372" t="s">
        <v>3054</v>
      </c>
      <c r="D39" s="377">
        <v>522142</v>
      </c>
      <c r="E39" s="382">
        <v>16</v>
      </c>
      <c r="F39" s="291"/>
    </row>
    <row r="40" spans="1:6" ht="16.5" x14ac:dyDescent="0.3">
      <c r="A40" s="370">
        <v>39</v>
      </c>
      <c r="B40" s="373" t="s">
        <v>1617</v>
      </c>
      <c r="C40" s="372" t="s">
        <v>3055</v>
      </c>
      <c r="D40" s="377">
        <v>522142</v>
      </c>
      <c r="E40" s="382">
        <v>6</v>
      </c>
      <c r="F40" s="291"/>
    </row>
    <row r="41" spans="1:6" ht="16.5" x14ac:dyDescent="0.3">
      <c r="A41" s="370">
        <v>40</v>
      </c>
      <c r="B41" s="373" t="s">
        <v>1617</v>
      </c>
      <c r="C41" s="372" t="s">
        <v>3056</v>
      </c>
      <c r="D41" s="377">
        <v>522142</v>
      </c>
      <c r="E41" s="382">
        <v>3</v>
      </c>
      <c r="F41" s="291"/>
    </row>
    <row r="42" spans="1:6" ht="16.5" x14ac:dyDescent="0.3">
      <c r="A42" s="370">
        <v>41</v>
      </c>
      <c r="B42" s="373" t="s">
        <v>1617</v>
      </c>
      <c r="C42" s="372" t="s">
        <v>3057</v>
      </c>
      <c r="D42" s="377">
        <v>522142</v>
      </c>
      <c r="E42" s="382">
        <v>4</v>
      </c>
      <c r="F42" s="291"/>
    </row>
    <row r="43" spans="1:6" ht="16.5" x14ac:dyDescent="0.3">
      <c r="A43" s="370">
        <v>42</v>
      </c>
      <c r="B43" s="373" t="s">
        <v>1617</v>
      </c>
      <c r="C43" s="372" t="s">
        <v>3058</v>
      </c>
      <c r="D43" s="377">
        <v>522142</v>
      </c>
      <c r="E43" s="382">
        <v>26</v>
      </c>
      <c r="F43" s="291"/>
    </row>
    <row r="44" spans="1:6" ht="16.5" x14ac:dyDescent="0.3">
      <c r="A44" s="370">
        <v>43</v>
      </c>
      <c r="B44" s="380" t="s">
        <v>1616</v>
      </c>
      <c r="C44" s="372" t="s">
        <v>3059</v>
      </c>
      <c r="D44" s="377">
        <v>522142</v>
      </c>
      <c r="E44" s="382">
        <v>21</v>
      </c>
      <c r="F44" s="291" t="str">
        <f t="shared" si="0"/>
        <v>TMS:(522142,21)</v>
      </c>
    </row>
    <row r="45" spans="1:6" ht="16.5" x14ac:dyDescent="0.3">
      <c r="A45" s="370">
        <v>44</v>
      </c>
      <c r="B45" s="380" t="s">
        <v>1616</v>
      </c>
      <c r="C45" s="372" t="s">
        <v>3060</v>
      </c>
      <c r="D45" s="377">
        <v>522142</v>
      </c>
      <c r="E45" s="382">
        <v>22</v>
      </c>
      <c r="F45" s="291" t="str">
        <f t="shared" si="0"/>
        <v>TMS:(522142,22)</v>
      </c>
    </row>
    <row r="46" spans="1:6" ht="16.5" x14ac:dyDescent="0.3">
      <c r="A46" s="370">
        <v>45</v>
      </c>
      <c r="B46" s="380" t="s">
        <v>1616</v>
      </c>
      <c r="C46" s="381" t="s">
        <v>3061</v>
      </c>
      <c r="D46" s="377">
        <v>522142</v>
      </c>
      <c r="E46" s="382">
        <v>12</v>
      </c>
      <c r="F46" s="291" t="str">
        <f t="shared" si="0"/>
        <v>TMS:(522142,12)</v>
      </c>
    </row>
    <row r="47" spans="1:6" ht="45" customHeight="1" x14ac:dyDescent="0.3">
      <c r="A47" s="370">
        <v>46</v>
      </c>
      <c r="B47" s="378" t="s">
        <v>1616</v>
      </c>
      <c r="C47" s="372" t="s">
        <v>3334</v>
      </c>
      <c r="D47" s="373">
        <v>521402</v>
      </c>
      <c r="E47" s="373">
        <v>12</v>
      </c>
      <c r="F47" s="291" t="str">
        <f t="shared" si="0"/>
        <v>TMS:(521402,12)</v>
      </c>
    </row>
    <row r="48" spans="1:6" ht="35.450000000000003" customHeight="1" x14ac:dyDescent="0.3">
      <c r="A48" s="370">
        <v>47</v>
      </c>
      <c r="B48" s="379" t="s">
        <v>2771</v>
      </c>
      <c r="C48" s="372" t="s">
        <v>3062</v>
      </c>
      <c r="D48" s="373">
        <v>521402</v>
      </c>
      <c r="E48" s="373">
        <v>6</v>
      </c>
      <c r="F48" s="291"/>
    </row>
    <row r="49" spans="1:6" ht="40.9" customHeight="1" x14ac:dyDescent="0.3">
      <c r="A49" s="370">
        <v>48</v>
      </c>
      <c r="B49" s="379" t="s">
        <v>2771</v>
      </c>
      <c r="C49" s="372" t="s">
        <v>3063</v>
      </c>
      <c r="D49" s="373">
        <v>521402</v>
      </c>
      <c r="E49" s="373">
        <v>3</v>
      </c>
      <c r="F49" s="291"/>
    </row>
    <row r="50" spans="1:6" ht="26.45" customHeight="1" x14ac:dyDescent="0.3">
      <c r="A50" s="370">
        <v>49</v>
      </c>
      <c r="B50" s="379" t="s">
        <v>2771</v>
      </c>
      <c r="C50" s="372" t="s">
        <v>3064</v>
      </c>
      <c r="D50" s="373">
        <v>521402</v>
      </c>
      <c r="E50" s="373">
        <v>4</v>
      </c>
      <c r="F50" s="291"/>
    </row>
    <row r="51" spans="1:6" ht="16.5" x14ac:dyDescent="0.3">
      <c r="A51" s="370">
        <v>50</v>
      </c>
      <c r="B51" s="378" t="s">
        <v>1615</v>
      </c>
      <c r="C51" s="372" t="s">
        <v>3065</v>
      </c>
      <c r="D51" s="373">
        <v>521402</v>
      </c>
      <c r="E51" s="373">
        <v>19</v>
      </c>
      <c r="F51" s="291" t="str">
        <f t="shared" si="0"/>
        <v>TMS:(521402,19)</v>
      </c>
    </row>
    <row r="52" spans="1:6" ht="36.6" customHeight="1" x14ac:dyDescent="0.3">
      <c r="A52" s="370">
        <v>51</v>
      </c>
      <c r="B52" s="379" t="s">
        <v>2771</v>
      </c>
      <c r="C52" s="372" t="s">
        <v>3066</v>
      </c>
      <c r="D52" s="373">
        <v>521402</v>
      </c>
      <c r="E52" s="373">
        <v>16</v>
      </c>
      <c r="F52" s="291"/>
    </row>
    <row r="53" spans="1:6" ht="25.15" customHeight="1" x14ac:dyDescent="0.3">
      <c r="A53" s="370">
        <v>52</v>
      </c>
      <c r="B53" s="379" t="s">
        <v>2771</v>
      </c>
      <c r="C53" s="372" t="s">
        <v>3067</v>
      </c>
      <c r="D53" s="373">
        <v>521402</v>
      </c>
      <c r="E53" s="373">
        <v>20</v>
      </c>
      <c r="F53" s="291"/>
    </row>
    <row r="54" spans="1:6" ht="26.45" customHeight="1" x14ac:dyDescent="0.3">
      <c r="A54" s="370">
        <v>53</v>
      </c>
      <c r="B54" s="379" t="s">
        <v>2771</v>
      </c>
      <c r="C54" s="372" t="s">
        <v>3068</v>
      </c>
      <c r="D54" s="373">
        <v>521402</v>
      </c>
      <c r="E54" s="373">
        <v>15</v>
      </c>
      <c r="F54" s="291"/>
    </row>
    <row r="55" spans="1:6" ht="16.5" x14ac:dyDescent="0.3">
      <c r="A55" s="370">
        <v>54</v>
      </c>
      <c r="B55" s="378" t="s">
        <v>1615</v>
      </c>
      <c r="C55" s="372" t="s">
        <v>3069</v>
      </c>
      <c r="D55" s="373">
        <v>521402</v>
      </c>
      <c r="E55" s="373">
        <v>10</v>
      </c>
      <c r="F55" s="291" t="str">
        <f t="shared" si="0"/>
        <v>TMS:(521402,10)</v>
      </c>
    </row>
    <row r="56" spans="1:6" ht="15.6" customHeight="1" x14ac:dyDescent="0.3">
      <c r="A56" s="370">
        <v>55</v>
      </c>
      <c r="B56" s="373" t="s">
        <v>1617</v>
      </c>
      <c r="C56" s="372" t="s">
        <v>3070</v>
      </c>
      <c r="D56" s="373">
        <v>522128</v>
      </c>
      <c r="E56" s="373">
        <v>6</v>
      </c>
      <c r="F56" s="291"/>
    </row>
    <row r="57" spans="1:6" ht="16.5" x14ac:dyDescent="0.3">
      <c r="A57" s="370">
        <v>56</v>
      </c>
      <c r="B57" s="373" t="s">
        <v>1617</v>
      </c>
      <c r="C57" s="372" t="s">
        <v>3071</v>
      </c>
      <c r="D57" s="373">
        <v>522128</v>
      </c>
      <c r="E57" s="373">
        <v>21</v>
      </c>
      <c r="F57" s="291"/>
    </row>
    <row r="58" spans="1:6" ht="16.5" x14ac:dyDescent="0.3">
      <c r="A58" s="370">
        <v>57</v>
      </c>
      <c r="B58" s="373" t="s">
        <v>1617</v>
      </c>
      <c r="C58" s="372" t="s">
        <v>3072</v>
      </c>
      <c r="D58" s="373">
        <v>522128</v>
      </c>
      <c r="E58" s="373">
        <v>3</v>
      </c>
      <c r="F58" s="291"/>
    </row>
    <row r="59" spans="1:6" ht="16.5" x14ac:dyDescent="0.3">
      <c r="A59" s="370">
        <v>58</v>
      </c>
      <c r="B59" s="373" t="s">
        <v>1617</v>
      </c>
      <c r="C59" s="372" t="s">
        <v>3073</v>
      </c>
      <c r="D59" s="373">
        <v>522128</v>
      </c>
      <c r="E59" s="373">
        <v>4</v>
      </c>
      <c r="F59" s="291"/>
    </row>
    <row r="60" spans="1:6" ht="16.5" x14ac:dyDescent="0.3">
      <c r="A60" s="370">
        <v>59</v>
      </c>
      <c r="B60" s="380" t="s">
        <v>1616</v>
      </c>
      <c r="C60" s="372" t="s">
        <v>3074</v>
      </c>
      <c r="D60" s="373">
        <v>522128</v>
      </c>
      <c r="E60" s="373">
        <v>19</v>
      </c>
      <c r="F60" s="291" t="str">
        <f t="shared" si="0"/>
        <v>TMS:(522128,19)</v>
      </c>
    </row>
    <row r="61" spans="1:6" ht="16.5" x14ac:dyDescent="0.3">
      <c r="A61" s="370">
        <v>60</v>
      </c>
      <c r="B61" s="373" t="s">
        <v>1617</v>
      </c>
      <c r="C61" s="372" t="s">
        <v>3075</v>
      </c>
      <c r="D61" s="373">
        <v>522128</v>
      </c>
      <c r="E61" s="373">
        <v>16</v>
      </c>
      <c r="F61" s="291"/>
    </row>
    <row r="62" spans="1:6" ht="16.5" x14ac:dyDescent="0.3">
      <c r="A62" s="370">
        <v>61</v>
      </c>
      <c r="B62" s="373" t="s">
        <v>1617</v>
      </c>
      <c r="C62" s="372" t="s">
        <v>3076</v>
      </c>
      <c r="D62" s="373">
        <v>522128</v>
      </c>
      <c r="E62" s="373">
        <v>24</v>
      </c>
      <c r="F62" s="291"/>
    </row>
    <row r="63" spans="1:6" ht="16.5" x14ac:dyDescent="0.3">
      <c r="A63" s="370">
        <v>62</v>
      </c>
      <c r="B63" s="380" t="s">
        <v>1616</v>
      </c>
      <c r="C63" s="372" t="s">
        <v>3077</v>
      </c>
      <c r="D63" s="373">
        <v>522128</v>
      </c>
      <c r="E63" s="373">
        <v>20</v>
      </c>
      <c r="F63" s="291" t="str">
        <f t="shared" si="0"/>
        <v>TMS:(522128,20)</v>
      </c>
    </row>
    <row r="64" spans="1:6" ht="15.6" customHeight="1" x14ac:dyDescent="0.3">
      <c r="A64" s="370">
        <v>63</v>
      </c>
      <c r="B64" s="373" t="s">
        <v>1617</v>
      </c>
      <c r="C64" s="372" t="s">
        <v>3078</v>
      </c>
      <c r="D64" s="373">
        <v>522129</v>
      </c>
      <c r="E64" s="373">
        <v>6</v>
      </c>
      <c r="F64" s="291"/>
    </row>
    <row r="65" spans="1:6" ht="16.5" x14ac:dyDescent="0.3">
      <c r="A65" s="370">
        <v>64</v>
      </c>
      <c r="B65" s="373" t="s">
        <v>1617</v>
      </c>
      <c r="C65" s="372" t="s">
        <v>3079</v>
      </c>
      <c r="D65" s="373">
        <v>522129</v>
      </c>
      <c r="E65" s="373">
        <v>21</v>
      </c>
      <c r="F65" s="291"/>
    </row>
    <row r="66" spans="1:6" ht="16.5" x14ac:dyDescent="0.3">
      <c r="A66" s="370">
        <v>65</v>
      </c>
      <c r="B66" s="373" t="s">
        <v>1617</v>
      </c>
      <c r="C66" s="372" t="s">
        <v>3080</v>
      </c>
      <c r="D66" s="373">
        <v>522129</v>
      </c>
      <c r="E66" s="373">
        <v>3</v>
      </c>
      <c r="F66" s="291"/>
    </row>
    <row r="67" spans="1:6" ht="16.5" x14ac:dyDescent="0.3">
      <c r="A67" s="370">
        <v>66</v>
      </c>
      <c r="B67" s="373" t="s">
        <v>1617</v>
      </c>
      <c r="C67" s="372" t="s">
        <v>3081</v>
      </c>
      <c r="D67" s="373">
        <v>522129</v>
      </c>
      <c r="E67" s="373">
        <v>4</v>
      </c>
      <c r="F67" s="291"/>
    </row>
    <row r="68" spans="1:6" ht="16.5" x14ac:dyDescent="0.3">
      <c r="A68" s="370">
        <v>67</v>
      </c>
      <c r="B68" s="380" t="s">
        <v>1616</v>
      </c>
      <c r="C68" s="372" t="s">
        <v>3082</v>
      </c>
      <c r="D68" s="373">
        <v>522129</v>
      </c>
      <c r="E68" s="373">
        <v>19</v>
      </c>
      <c r="F68" s="291" t="str">
        <f t="shared" ref="F68:F73" si="1">"TMS"&amp;":"&amp;"("&amp;D68&amp;","&amp;E68&amp;")"</f>
        <v>TMS:(522129,19)</v>
      </c>
    </row>
    <row r="69" spans="1:6" ht="16.5" x14ac:dyDescent="0.3">
      <c r="A69" s="370">
        <v>68</v>
      </c>
      <c r="B69" s="373" t="s">
        <v>1617</v>
      </c>
      <c r="C69" s="372" t="s">
        <v>3083</v>
      </c>
      <c r="D69" s="373">
        <v>522129</v>
      </c>
      <c r="E69" s="373">
        <v>16</v>
      </c>
      <c r="F69" s="291"/>
    </row>
    <row r="70" spans="1:6" ht="16.5" x14ac:dyDescent="0.3">
      <c r="A70" s="370">
        <v>69</v>
      </c>
      <c r="B70" s="373" t="s">
        <v>1617</v>
      </c>
      <c r="C70" s="372" t="s">
        <v>3084</v>
      </c>
      <c r="D70" s="373">
        <v>522129</v>
      </c>
      <c r="E70" s="373">
        <v>24</v>
      </c>
      <c r="F70" s="291"/>
    </row>
    <row r="71" spans="1:6" ht="16.5" x14ac:dyDescent="0.3">
      <c r="A71" s="370">
        <v>70</v>
      </c>
      <c r="B71" s="380" t="s">
        <v>1616</v>
      </c>
      <c r="C71" s="372" t="s">
        <v>3085</v>
      </c>
      <c r="D71" s="373">
        <v>522129</v>
      </c>
      <c r="E71" s="373">
        <v>20</v>
      </c>
      <c r="F71" s="291" t="str">
        <f t="shared" si="1"/>
        <v>TMS:(522129,20)</v>
      </c>
    </row>
    <row r="72" spans="1:6" ht="16.5" x14ac:dyDescent="0.3">
      <c r="A72" s="370">
        <v>71</v>
      </c>
      <c r="B72" s="378" t="s">
        <v>1615</v>
      </c>
      <c r="C72" s="372" t="s">
        <v>3086</v>
      </c>
      <c r="D72" s="373">
        <v>521404</v>
      </c>
      <c r="E72" s="373">
        <v>12</v>
      </c>
      <c r="F72" s="291" t="str">
        <f t="shared" si="1"/>
        <v>TMS:(521404,12)</v>
      </c>
    </row>
    <row r="73" spans="1:6" ht="16.5" x14ac:dyDescent="0.3">
      <c r="A73" s="370">
        <v>72</v>
      </c>
      <c r="B73" s="378" t="s">
        <v>1615</v>
      </c>
      <c r="C73" s="372" t="s">
        <v>3087</v>
      </c>
      <c r="D73" s="373">
        <v>521405</v>
      </c>
      <c r="E73" s="373">
        <v>12</v>
      </c>
      <c r="F73" s="291" t="str">
        <f t="shared" si="1"/>
        <v>TMS:(521405,12)</v>
      </c>
    </row>
    <row r="74" spans="1:6" ht="16.5" x14ac:dyDescent="0.3">
      <c r="A74" s="370">
        <v>73</v>
      </c>
      <c r="B74" s="378" t="s">
        <v>1615</v>
      </c>
      <c r="C74" s="383" t="s">
        <v>3088</v>
      </c>
      <c r="D74" s="373">
        <v>521406</v>
      </c>
      <c r="E74" s="373">
        <v>12</v>
      </c>
      <c r="F74" s="291" t="str">
        <f>"TMS"&amp;":"&amp;"("&amp;D74&amp;","&amp;E74&amp;")"</f>
        <v>TMS:(521406,12)</v>
      </c>
    </row>
    <row r="75" spans="1:6" ht="16.5" x14ac:dyDescent="0.3">
      <c r="A75" s="370">
        <v>74</v>
      </c>
      <c r="B75" s="378" t="s">
        <v>1615</v>
      </c>
      <c r="C75" s="372" t="s">
        <v>3089</v>
      </c>
      <c r="D75" s="373">
        <v>521407</v>
      </c>
      <c r="E75" s="373">
        <v>12</v>
      </c>
      <c r="F75" s="291" t="str">
        <f t="shared" ref="F75:F138" si="2">"TMS"&amp;":"&amp;"("&amp;D75&amp;","&amp;E75&amp;")"</f>
        <v>TMS:(521407,12)</v>
      </c>
    </row>
    <row r="76" spans="1:6" ht="16.5" x14ac:dyDescent="0.3">
      <c r="A76" s="370">
        <v>75</v>
      </c>
      <c r="B76" s="378" t="s">
        <v>1616</v>
      </c>
      <c r="C76" s="372" t="s">
        <v>3090</v>
      </c>
      <c r="D76" s="373">
        <v>521410</v>
      </c>
      <c r="E76" s="373">
        <v>12</v>
      </c>
      <c r="F76" s="291" t="str">
        <f t="shared" si="2"/>
        <v>TMS:(521410,12)</v>
      </c>
    </row>
    <row r="77" spans="1:6" ht="16.5" x14ac:dyDescent="0.3">
      <c r="A77" s="370">
        <v>76</v>
      </c>
      <c r="B77" s="378" t="s">
        <v>1615</v>
      </c>
      <c r="C77" s="372" t="s">
        <v>3091</v>
      </c>
      <c r="D77" s="373">
        <v>521419</v>
      </c>
      <c r="E77" s="373">
        <v>12</v>
      </c>
      <c r="F77" s="291" t="str">
        <f t="shared" si="2"/>
        <v>TMS:(521419,12)</v>
      </c>
    </row>
    <row r="78" spans="1:6" ht="30" customHeight="1" x14ac:dyDescent="0.3">
      <c r="A78" s="370">
        <v>77</v>
      </c>
      <c r="B78" s="380" t="s">
        <v>1616</v>
      </c>
      <c r="C78" s="372" t="s">
        <v>3092</v>
      </c>
      <c r="D78" s="373">
        <v>522093</v>
      </c>
      <c r="E78" s="377">
        <v>5</v>
      </c>
      <c r="F78" s="291" t="str">
        <f t="shared" si="2"/>
        <v>TMS:(522093,5)</v>
      </c>
    </row>
    <row r="79" spans="1:6" ht="16.5" x14ac:dyDescent="0.3">
      <c r="A79" s="370">
        <v>78</v>
      </c>
      <c r="B79" s="380" t="s">
        <v>1616</v>
      </c>
      <c r="C79" s="372" t="s">
        <v>3093</v>
      </c>
      <c r="D79" s="373">
        <v>522093</v>
      </c>
      <c r="E79" s="377">
        <v>4</v>
      </c>
      <c r="F79" s="291" t="str">
        <f t="shared" si="2"/>
        <v>TMS:(522093,4)</v>
      </c>
    </row>
    <row r="80" spans="1:6" ht="33" x14ac:dyDescent="0.3">
      <c r="A80" s="370">
        <v>79</v>
      </c>
      <c r="B80" s="380" t="s">
        <v>1616</v>
      </c>
      <c r="C80" s="372" t="s">
        <v>3094</v>
      </c>
      <c r="D80" s="373">
        <v>522093</v>
      </c>
      <c r="E80" s="377">
        <v>3</v>
      </c>
      <c r="F80" s="291" t="str">
        <f t="shared" si="2"/>
        <v>TMS:(522093,3)</v>
      </c>
    </row>
    <row r="81" spans="1:6" ht="30" customHeight="1" x14ac:dyDescent="0.3">
      <c r="A81" s="370">
        <v>80</v>
      </c>
      <c r="B81" s="380" t="s">
        <v>1616</v>
      </c>
      <c r="C81" s="372" t="s">
        <v>3095</v>
      </c>
      <c r="D81" s="373">
        <v>522094</v>
      </c>
      <c r="E81" s="377">
        <v>5</v>
      </c>
      <c r="F81" s="291" t="str">
        <f t="shared" si="2"/>
        <v>TMS:(522094,5)</v>
      </c>
    </row>
    <row r="82" spans="1:6" ht="16.5" x14ac:dyDescent="0.3">
      <c r="A82" s="370">
        <v>81</v>
      </c>
      <c r="B82" s="380" t="s">
        <v>1616</v>
      </c>
      <c r="C82" s="372" t="s">
        <v>3096</v>
      </c>
      <c r="D82" s="373">
        <v>522094</v>
      </c>
      <c r="E82" s="377">
        <v>4</v>
      </c>
      <c r="F82" s="291" t="str">
        <f t="shared" si="2"/>
        <v>TMS:(522094,4)</v>
      </c>
    </row>
    <row r="83" spans="1:6" ht="33" x14ac:dyDescent="0.3">
      <c r="A83" s="370">
        <v>82</v>
      </c>
      <c r="B83" s="380" t="s">
        <v>1616</v>
      </c>
      <c r="C83" s="372" t="s">
        <v>3097</v>
      </c>
      <c r="D83" s="373">
        <v>522094</v>
      </c>
      <c r="E83" s="377">
        <v>3</v>
      </c>
      <c r="F83" s="291" t="str">
        <f t="shared" si="2"/>
        <v>TMS:(522094,3)</v>
      </c>
    </row>
    <row r="84" spans="1:6" ht="30" customHeight="1" x14ac:dyDescent="0.3">
      <c r="A84" s="370">
        <v>83</v>
      </c>
      <c r="B84" s="380" t="s">
        <v>1616</v>
      </c>
      <c r="C84" s="372" t="s">
        <v>3098</v>
      </c>
      <c r="D84" s="373">
        <v>522095</v>
      </c>
      <c r="E84" s="377">
        <v>5</v>
      </c>
      <c r="F84" s="291" t="str">
        <f t="shared" si="2"/>
        <v>TMS:(522095,5)</v>
      </c>
    </row>
    <row r="85" spans="1:6" ht="16.5" x14ac:dyDescent="0.3">
      <c r="A85" s="370">
        <v>84</v>
      </c>
      <c r="B85" s="380" t="s">
        <v>1616</v>
      </c>
      <c r="C85" s="372" t="s">
        <v>3099</v>
      </c>
      <c r="D85" s="373">
        <v>522095</v>
      </c>
      <c r="E85" s="377">
        <v>4</v>
      </c>
      <c r="F85" s="291" t="str">
        <f t="shared" si="2"/>
        <v>TMS:(522095,4)</v>
      </c>
    </row>
    <row r="86" spans="1:6" ht="33" x14ac:dyDescent="0.3">
      <c r="A86" s="370">
        <v>85</v>
      </c>
      <c r="B86" s="380" t="s">
        <v>1616</v>
      </c>
      <c r="C86" s="372" t="s">
        <v>3100</v>
      </c>
      <c r="D86" s="373">
        <v>522095</v>
      </c>
      <c r="E86" s="377">
        <v>3</v>
      </c>
      <c r="F86" s="291" t="str">
        <f t="shared" si="2"/>
        <v>TMS:(522095,3)</v>
      </c>
    </row>
    <row r="87" spans="1:6" ht="30" customHeight="1" x14ac:dyDescent="0.3">
      <c r="A87" s="370">
        <v>86</v>
      </c>
      <c r="B87" s="373" t="s">
        <v>1617</v>
      </c>
      <c r="C87" s="372" t="s">
        <v>3101</v>
      </c>
      <c r="D87" s="373">
        <v>522096</v>
      </c>
      <c r="E87" s="377">
        <v>5</v>
      </c>
      <c r="F87" s="291"/>
    </row>
    <row r="88" spans="1:6" ht="16.5" x14ac:dyDescent="0.3">
      <c r="A88" s="370">
        <v>87</v>
      </c>
      <c r="B88" s="373" t="s">
        <v>1617</v>
      </c>
      <c r="C88" s="372" t="s">
        <v>3102</v>
      </c>
      <c r="D88" s="373">
        <v>522096</v>
      </c>
      <c r="E88" s="377">
        <v>4</v>
      </c>
      <c r="F88" s="291"/>
    </row>
    <row r="89" spans="1:6" ht="33" x14ac:dyDescent="0.3">
      <c r="A89" s="370">
        <v>88</v>
      </c>
      <c r="B89" s="373" t="s">
        <v>1617</v>
      </c>
      <c r="C89" s="372" t="s">
        <v>3103</v>
      </c>
      <c r="D89" s="373">
        <v>522096</v>
      </c>
      <c r="E89" s="377">
        <v>3</v>
      </c>
      <c r="F89" s="291"/>
    </row>
    <row r="90" spans="1:6" ht="30" customHeight="1" x14ac:dyDescent="0.3">
      <c r="A90" s="370">
        <v>89</v>
      </c>
      <c r="B90" s="373" t="s">
        <v>1617</v>
      </c>
      <c r="C90" s="372" t="s">
        <v>3104</v>
      </c>
      <c r="D90" s="373">
        <v>522097</v>
      </c>
      <c r="E90" s="377">
        <v>5</v>
      </c>
      <c r="F90" s="291"/>
    </row>
    <row r="91" spans="1:6" ht="33" x14ac:dyDescent="0.3">
      <c r="A91" s="370">
        <v>90</v>
      </c>
      <c r="B91" s="373" t="s">
        <v>1617</v>
      </c>
      <c r="C91" s="372" t="s">
        <v>3105</v>
      </c>
      <c r="D91" s="373">
        <v>522097</v>
      </c>
      <c r="E91" s="377">
        <v>4</v>
      </c>
      <c r="F91" s="291"/>
    </row>
    <row r="92" spans="1:6" ht="33" x14ac:dyDescent="0.3">
      <c r="A92" s="370">
        <v>91</v>
      </c>
      <c r="B92" s="373" t="s">
        <v>1617</v>
      </c>
      <c r="C92" s="372" t="s">
        <v>3106</v>
      </c>
      <c r="D92" s="373">
        <v>522097</v>
      </c>
      <c r="E92" s="377">
        <v>3</v>
      </c>
      <c r="F92" s="291"/>
    </row>
    <row r="93" spans="1:6" ht="16.5" x14ac:dyDescent="0.3">
      <c r="A93" s="370">
        <v>92</v>
      </c>
      <c r="B93" s="380" t="s">
        <v>1616</v>
      </c>
      <c r="C93" s="372" t="s">
        <v>3107</v>
      </c>
      <c r="D93" s="373">
        <v>522098</v>
      </c>
      <c r="E93" s="377">
        <v>5</v>
      </c>
      <c r="F93" s="291" t="str">
        <f t="shared" si="2"/>
        <v>TMS:(522098,5)</v>
      </c>
    </row>
    <row r="94" spans="1:6" ht="33" x14ac:dyDescent="0.3">
      <c r="A94" s="370">
        <v>93</v>
      </c>
      <c r="B94" s="380" t="s">
        <v>1616</v>
      </c>
      <c r="C94" s="372" t="s">
        <v>3108</v>
      </c>
      <c r="D94" s="373">
        <v>522098</v>
      </c>
      <c r="E94" s="377">
        <v>4</v>
      </c>
      <c r="F94" s="291" t="str">
        <f t="shared" si="2"/>
        <v>TMS:(522098,4)</v>
      </c>
    </row>
    <row r="95" spans="1:6" ht="33" x14ac:dyDescent="0.3">
      <c r="A95" s="370">
        <v>94</v>
      </c>
      <c r="B95" s="380" t="s">
        <v>1616</v>
      </c>
      <c r="C95" s="372" t="s">
        <v>3109</v>
      </c>
      <c r="D95" s="373">
        <v>522098</v>
      </c>
      <c r="E95" s="377">
        <v>3</v>
      </c>
      <c r="F95" s="291" t="str">
        <f t="shared" si="2"/>
        <v>TMS:(522098,3)</v>
      </c>
    </row>
    <row r="96" spans="1:6" ht="15.6" customHeight="1" x14ac:dyDescent="0.3">
      <c r="A96" s="370">
        <v>95</v>
      </c>
      <c r="B96" s="373" t="s">
        <v>1617</v>
      </c>
      <c r="C96" s="372" t="s">
        <v>3110</v>
      </c>
      <c r="D96" s="373">
        <v>522099</v>
      </c>
      <c r="E96" s="377">
        <v>5</v>
      </c>
      <c r="F96" s="291"/>
    </row>
    <row r="97" spans="1:6" ht="16.5" x14ac:dyDescent="0.3">
      <c r="A97" s="370">
        <v>96</v>
      </c>
      <c r="B97" s="380" t="s">
        <v>1616</v>
      </c>
      <c r="C97" s="372" t="s">
        <v>3111</v>
      </c>
      <c r="D97" s="373">
        <v>522099</v>
      </c>
      <c r="E97" s="377">
        <v>4</v>
      </c>
      <c r="F97" s="291" t="str">
        <f t="shared" si="2"/>
        <v>TMS:(522099,4)</v>
      </c>
    </row>
    <row r="98" spans="1:6" ht="16.5" x14ac:dyDescent="0.3">
      <c r="A98" s="370">
        <v>97</v>
      </c>
      <c r="B98" s="380" t="s">
        <v>1616</v>
      </c>
      <c r="C98" s="372" t="s">
        <v>3112</v>
      </c>
      <c r="D98" s="373">
        <v>522099</v>
      </c>
      <c r="E98" s="377">
        <v>3</v>
      </c>
      <c r="F98" s="291" t="str">
        <f t="shared" si="2"/>
        <v>TMS:(522099,3)</v>
      </c>
    </row>
    <row r="99" spans="1:6" ht="15.6" customHeight="1" x14ac:dyDescent="0.3">
      <c r="A99" s="370">
        <v>98</v>
      </c>
      <c r="B99" s="373" t="s">
        <v>1617</v>
      </c>
      <c r="C99" s="372" t="s">
        <v>3113</v>
      </c>
      <c r="D99" s="373">
        <v>522100</v>
      </c>
      <c r="E99" s="377">
        <v>5</v>
      </c>
      <c r="F99" s="291"/>
    </row>
    <row r="100" spans="1:6" ht="16.5" x14ac:dyDescent="0.3">
      <c r="A100" s="370">
        <v>99</v>
      </c>
      <c r="B100" s="380" t="s">
        <v>1616</v>
      </c>
      <c r="C100" s="372" t="s">
        <v>3114</v>
      </c>
      <c r="D100" s="373">
        <v>522100</v>
      </c>
      <c r="E100" s="377">
        <v>4</v>
      </c>
      <c r="F100" s="291" t="str">
        <f t="shared" si="2"/>
        <v>TMS:(522100,4)</v>
      </c>
    </row>
    <row r="101" spans="1:6" ht="16.5" x14ac:dyDescent="0.3">
      <c r="A101" s="370">
        <v>100</v>
      </c>
      <c r="B101" s="380" t="s">
        <v>1616</v>
      </c>
      <c r="C101" s="372" t="s">
        <v>3115</v>
      </c>
      <c r="D101" s="373">
        <v>522100</v>
      </c>
      <c r="E101" s="377">
        <v>3</v>
      </c>
      <c r="F101" s="291" t="str">
        <f t="shared" si="2"/>
        <v>TMS:(522100,3)</v>
      </c>
    </row>
    <row r="102" spans="1:6" ht="15.6" customHeight="1" x14ac:dyDescent="0.3">
      <c r="A102" s="370">
        <v>101</v>
      </c>
      <c r="B102" s="373" t="s">
        <v>1617</v>
      </c>
      <c r="C102" s="372" t="s">
        <v>3116</v>
      </c>
      <c r="D102" s="373">
        <v>522101</v>
      </c>
      <c r="E102" s="377">
        <v>5</v>
      </c>
      <c r="F102" s="291"/>
    </row>
    <row r="103" spans="1:6" ht="16.5" x14ac:dyDescent="0.3">
      <c r="A103" s="370">
        <v>102</v>
      </c>
      <c r="B103" s="380" t="s">
        <v>1616</v>
      </c>
      <c r="C103" s="372" t="s">
        <v>3117</v>
      </c>
      <c r="D103" s="373">
        <v>522101</v>
      </c>
      <c r="E103" s="377">
        <v>4</v>
      </c>
      <c r="F103" s="291" t="str">
        <f t="shared" si="2"/>
        <v>TMS:(522101,4)</v>
      </c>
    </row>
    <row r="104" spans="1:6" ht="33" x14ac:dyDescent="0.3">
      <c r="A104" s="370">
        <v>103</v>
      </c>
      <c r="B104" s="380" t="s">
        <v>1616</v>
      </c>
      <c r="C104" s="372" t="s">
        <v>3118</v>
      </c>
      <c r="D104" s="373">
        <v>522101</v>
      </c>
      <c r="E104" s="377">
        <v>3</v>
      </c>
      <c r="F104" s="291" t="str">
        <f t="shared" si="2"/>
        <v>TMS:(522101,3)</v>
      </c>
    </row>
    <row r="105" spans="1:6" ht="16.5" x14ac:dyDescent="0.3">
      <c r="A105" s="370">
        <v>104</v>
      </c>
      <c r="B105" s="375" t="s">
        <v>1616</v>
      </c>
      <c r="C105" s="384" t="s">
        <v>3119</v>
      </c>
      <c r="D105" s="377">
        <v>522102</v>
      </c>
      <c r="E105" s="377">
        <v>5</v>
      </c>
      <c r="F105" s="291" t="str">
        <f t="shared" si="2"/>
        <v>TMS:(522102,5)</v>
      </c>
    </row>
    <row r="106" spans="1:6" ht="16.5" x14ac:dyDescent="0.3">
      <c r="A106" s="370">
        <v>105</v>
      </c>
      <c r="B106" s="375" t="s">
        <v>1616</v>
      </c>
      <c r="C106" s="384" t="s">
        <v>3120</v>
      </c>
      <c r="D106" s="377">
        <v>522102</v>
      </c>
      <c r="E106" s="377">
        <v>4</v>
      </c>
      <c r="F106" s="291" t="str">
        <f t="shared" si="2"/>
        <v>TMS:(522102,4)</v>
      </c>
    </row>
    <row r="107" spans="1:6" ht="16.5" x14ac:dyDescent="0.3">
      <c r="A107" s="370">
        <v>106</v>
      </c>
      <c r="B107" s="375" t="s">
        <v>1616</v>
      </c>
      <c r="C107" s="384" t="s">
        <v>3121</v>
      </c>
      <c r="D107" s="377">
        <v>522102</v>
      </c>
      <c r="E107" s="377">
        <v>3</v>
      </c>
      <c r="F107" s="291" t="str">
        <f t="shared" si="2"/>
        <v>TMS:(522102,3)</v>
      </c>
    </row>
    <row r="108" spans="1:6" ht="16.5" x14ac:dyDescent="0.3">
      <c r="A108" s="370">
        <v>107</v>
      </c>
      <c r="B108" s="375" t="s">
        <v>1616</v>
      </c>
      <c r="C108" s="384" t="s">
        <v>3122</v>
      </c>
      <c r="D108" s="377">
        <v>522103</v>
      </c>
      <c r="E108" s="377">
        <v>5</v>
      </c>
      <c r="F108" s="291" t="str">
        <f t="shared" si="2"/>
        <v>TMS:(522103,5)</v>
      </c>
    </row>
    <row r="109" spans="1:6" ht="16.5" x14ac:dyDescent="0.3">
      <c r="A109" s="370">
        <v>108</v>
      </c>
      <c r="B109" s="375" t="s">
        <v>1616</v>
      </c>
      <c r="C109" s="384" t="s">
        <v>3123</v>
      </c>
      <c r="D109" s="377">
        <v>522103</v>
      </c>
      <c r="E109" s="377">
        <v>4</v>
      </c>
      <c r="F109" s="291" t="str">
        <f t="shared" si="2"/>
        <v>TMS:(522103,4)</v>
      </c>
    </row>
    <row r="110" spans="1:6" ht="16.5" x14ac:dyDescent="0.3">
      <c r="A110" s="370">
        <v>109</v>
      </c>
      <c r="B110" s="375" t="s">
        <v>1616</v>
      </c>
      <c r="C110" s="384" t="s">
        <v>3124</v>
      </c>
      <c r="D110" s="377">
        <v>522103</v>
      </c>
      <c r="E110" s="377">
        <v>3</v>
      </c>
      <c r="F110" s="291" t="str">
        <f t="shared" si="2"/>
        <v>TMS:(522103,3)</v>
      </c>
    </row>
    <row r="111" spans="1:6" ht="30" customHeight="1" x14ac:dyDescent="0.3">
      <c r="A111" s="370">
        <v>110</v>
      </c>
      <c r="B111" s="380" t="s">
        <v>1616</v>
      </c>
      <c r="C111" s="384" t="s">
        <v>3125</v>
      </c>
      <c r="D111" s="373">
        <v>522104</v>
      </c>
      <c r="E111" s="377">
        <v>5</v>
      </c>
      <c r="F111" s="291" t="str">
        <f t="shared" si="2"/>
        <v>TMS:(522104,5)</v>
      </c>
    </row>
    <row r="112" spans="1:6" ht="16.5" x14ac:dyDescent="0.3">
      <c r="A112" s="370">
        <v>111</v>
      </c>
      <c r="B112" s="380" t="s">
        <v>1616</v>
      </c>
      <c r="C112" s="384" t="s">
        <v>3126</v>
      </c>
      <c r="D112" s="373">
        <v>522104</v>
      </c>
      <c r="E112" s="377">
        <v>4</v>
      </c>
      <c r="F112" s="291" t="str">
        <f t="shared" si="2"/>
        <v>TMS:(522104,4)</v>
      </c>
    </row>
    <row r="113" spans="1:6" ht="16.5" x14ac:dyDescent="0.3">
      <c r="A113" s="370">
        <v>112</v>
      </c>
      <c r="B113" s="380" t="s">
        <v>1616</v>
      </c>
      <c r="C113" s="384" t="s">
        <v>3127</v>
      </c>
      <c r="D113" s="373">
        <v>522104</v>
      </c>
      <c r="E113" s="377">
        <v>3</v>
      </c>
      <c r="F113" s="291" t="str">
        <f t="shared" si="2"/>
        <v>TMS:(522104,3)</v>
      </c>
    </row>
    <row r="114" spans="1:6" ht="15" customHeight="1" x14ac:dyDescent="0.3">
      <c r="A114" s="370">
        <v>113</v>
      </c>
      <c r="B114" s="377" t="s">
        <v>1617</v>
      </c>
      <c r="C114" s="383" t="s">
        <v>3128</v>
      </c>
      <c r="D114" s="377">
        <v>522111</v>
      </c>
      <c r="E114" s="377">
        <v>5</v>
      </c>
      <c r="F114" s="291"/>
    </row>
    <row r="115" spans="1:6" ht="16.5" x14ac:dyDescent="0.3">
      <c r="A115" s="370">
        <v>114</v>
      </c>
      <c r="B115" s="377" t="s">
        <v>1617</v>
      </c>
      <c r="C115" s="383" t="s">
        <v>3129</v>
      </c>
      <c r="D115" s="377">
        <v>522111</v>
      </c>
      <c r="E115" s="377">
        <v>4</v>
      </c>
      <c r="F115" s="291"/>
    </row>
    <row r="116" spans="1:6" ht="16.5" x14ac:dyDescent="0.3">
      <c r="A116" s="370">
        <v>115</v>
      </c>
      <c r="B116" s="377" t="s">
        <v>1617</v>
      </c>
      <c r="C116" s="383" t="s">
        <v>3130</v>
      </c>
      <c r="D116" s="377">
        <v>522111</v>
      </c>
      <c r="E116" s="377">
        <v>3</v>
      </c>
      <c r="F116" s="291"/>
    </row>
    <row r="117" spans="1:6" ht="15" customHeight="1" x14ac:dyDescent="0.3">
      <c r="A117" s="370">
        <v>116</v>
      </c>
      <c r="B117" s="377" t="s">
        <v>1617</v>
      </c>
      <c r="C117" s="383" t="s">
        <v>3131</v>
      </c>
      <c r="D117" s="377">
        <v>522112</v>
      </c>
      <c r="E117" s="377">
        <v>5</v>
      </c>
      <c r="F117" s="291"/>
    </row>
    <row r="118" spans="1:6" ht="16.5" x14ac:dyDescent="0.3">
      <c r="A118" s="370">
        <v>117</v>
      </c>
      <c r="B118" s="377" t="s">
        <v>1617</v>
      </c>
      <c r="C118" s="383" t="s">
        <v>3132</v>
      </c>
      <c r="D118" s="377">
        <v>522112</v>
      </c>
      <c r="E118" s="377">
        <v>4</v>
      </c>
      <c r="F118" s="291"/>
    </row>
    <row r="119" spans="1:6" ht="16.5" x14ac:dyDescent="0.3">
      <c r="A119" s="370">
        <v>118</v>
      </c>
      <c r="B119" s="377" t="s">
        <v>1617</v>
      </c>
      <c r="C119" s="383" t="s">
        <v>3133</v>
      </c>
      <c r="D119" s="377">
        <v>522112</v>
      </c>
      <c r="E119" s="377">
        <v>3</v>
      </c>
      <c r="F119" s="291"/>
    </row>
    <row r="120" spans="1:6" ht="15" customHeight="1" x14ac:dyDescent="0.3">
      <c r="A120" s="370">
        <v>119</v>
      </c>
      <c r="B120" s="377" t="s">
        <v>1617</v>
      </c>
      <c r="C120" s="383" t="s">
        <v>3134</v>
      </c>
      <c r="D120" s="377">
        <v>522113</v>
      </c>
      <c r="E120" s="377">
        <v>5</v>
      </c>
      <c r="F120" s="291"/>
    </row>
    <row r="121" spans="1:6" ht="16.5" x14ac:dyDescent="0.3">
      <c r="A121" s="370">
        <v>120</v>
      </c>
      <c r="B121" s="377" t="s">
        <v>1617</v>
      </c>
      <c r="C121" s="383" t="s">
        <v>3135</v>
      </c>
      <c r="D121" s="377">
        <v>522113</v>
      </c>
      <c r="E121" s="377">
        <v>4</v>
      </c>
      <c r="F121" s="291"/>
    </row>
    <row r="122" spans="1:6" ht="33" x14ac:dyDescent="0.3">
      <c r="A122" s="370">
        <v>121</v>
      </c>
      <c r="B122" s="377" t="s">
        <v>1617</v>
      </c>
      <c r="C122" s="383" t="s">
        <v>3136</v>
      </c>
      <c r="D122" s="377">
        <v>522113</v>
      </c>
      <c r="E122" s="377">
        <v>3</v>
      </c>
      <c r="F122" s="291"/>
    </row>
    <row r="123" spans="1:6" ht="30" customHeight="1" x14ac:dyDescent="0.3">
      <c r="A123" s="370">
        <v>122</v>
      </c>
      <c r="B123" s="380" t="s">
        <v>1616</v>
      </c>
      <c r="C123" s="383" t="s">
        <v>3137</v>
      </c>
      <c r="D123" s="373">
        <v>522114</v>
      </c>
      <c r="E123" s="377">
        <v>5</v>
      </c>
      <c r="F123" s="291" t="str">
        <f t="shared" si="2"/>
        <v>TMS:(522114,5)</v>
      </c>
    </row>
    <row r="124" spans="1:6" ht="16.5" x14ac:dyDescent="0.3">
      <c r="A124" s="370">
        <v>123</v>
      </c>
      <c r="B124" s="380" t="s">
        <v>1616</v>
      </c>
      <c r="C124" s="383" t="s">
        <v>3138</v>
      </c>
      <c r="D124" s="373">
        <v>522114</v>
      </c>
      <c r="E124" s="377">
        <v>4</v>
      </c>
      <c r="F124" s="291" t="str">
        <f t="shared" si="2"/>
        <v>TMS:(522114,4)</v>
      </c>
    </row>
    <row r="125" spans="1:6" ht="16.5" x14ac:dyDescent="0.3">
      <c r="A125" s="370">
        <v>124</v>
      </c>
      <c r="B125" s="380" t="s">
        <v>1616</v>
      </c>
      <c r="C125" s="383" t="s">
        <v>3139</v>
      </c>
      <c r="D125" s="373">
        <v>522114</v>
      </c>
      <c r="E125" s="377">
        <v>3</v>
      </c>
      <c r="F125" s="291" t="str">
        <f t="shared" si="2"/>
        <v>TMS:(522114,3)</v>
      </c>
    </row>
    <row r="126" spans="1:6" ht="30" customHeight="1" x14ac:dyDescent="0.3">
      <c r="A126" s="370">
        <v>125</v>
      </c>
      <c r="B126" s="380" t="s">
        <v>1616</v>
      </c>
      <c r="C126" s="383" t="s">
        <v>3140</v>
      </c>
      <c r="D126" s="373">
        <v>522115</v>
      </c>
      <c r="E126" s="377">
        <v>5</v>
      </c>
      <c r="F126" s="291" t="str">
        <f t="shared" si="2"/>
        <v>TMS:(522115,5)</v>
      </c>
    </row>
    <row r="127" spans="1:6" ht="16.5" x14ac:dyDescent="0.3">
      <c r="A127" s="370">
        <v>126</v>
      </c>
      <c r="B127" s="380" t="s">
        <v>1616</v>
      </c>
      <c r="C127" s="383" t="s">
        <v>3141</v>
      </c>
      <c r="D127" s="373">
        <v>522115</v>
      </c>
      <c r="E127" s="377">
        <v>4</v>
      </c>
      <c r="F127" s="291" t="str">
        <f t="shared" si="2"/>
        <v>TMS:(522115,4)</v>
      </c>
    </row>
    <row r="128" spans="1:6" ht="16.5" x14ac:dyDescent="0.3">
      <c r="A128" s="370">
        <v>127</v>
      </c>
      <c r="B128" s="380" t="s">
        <v>1616</v>
      </c>
      <c r="C128" s="383" t="s">
        <v>3142</v>
      </c>
      <c r="D128" s="373">
        <v>522115</v>
      </c>
      <c r="E128" s="377">
        <v>3</v>
      </c>
      <c r="F128" s="291" t="str">
        <f t="shared" si="2"/>
        <v>TMS:(522115,3)</v>
      </c>
    </row>
    <row r="129" spans="1:6" ht="30" customHeight="1" x14ac:dyDescent="0.3">
      <c r="A129" s="370">
        <v>128</v>
      </c>
      <c r="B129" s="380" t="s">
        <v>1616</v>
      </c>
      <c r="C129" s="383" t="s">
        <v>3143</v>
      </c>
      <c r="D129" s="373">
        <v>522116</v>
      </c>
      <c r="E129" s="377">
        <v>5</v>
      </c>
      <c r="F129" s="291" t="str">
        <f t="shared" si="2"/>
        <v>TMS:(522116,5)</v>
      </c>
    </row>
    <row r="130" spans="1:6" ht="16.5" x14ac:dyDescent="0.3">
      <c r="A130" s="370">
        <v>129</v>
      </c>
      <c r="B130" s="380" t="s">
        <v>1616</v>
      </c>
      <c r="C130" s="383" t="s">
        <v>3144</v>
      </c>
      <c r="D130" s="373">
        <v>522116</v>
      </c>
      <c r="E130" s="377">
        <v>4</v>
      </c>
      <c r="F130" s="291" t="str">
        <f t="shared" si="2"/>
        <v>TMS:(522116,4)</v>
      </c>
    </row>
    <row r="131" spans="1:6" ht="16.5" x14ac:dyDescent="0.3">
      <c r="A131" s="370">
        <v>130</v>
      </c>
      <c r="B131" s="380" t="s">
        <v>1616</v>
      </c>
      <c r="C131" s="383" t="s">
        <v>3145</v>
      </c>
      <c r="D131" s="373">
        <v>522116</v>
      </c>
      <c r="E131" s="377">
        <v>3</v>
      </c>
      <c r="F131" s="291" t="str">
        <f t="shared" si="2"/>
        <v>TMS:(522116,3)</v>
      </c>
    </row>
    <row r="132" spans="1:6" ht="30" customHeight="1" x14ac:dyDescent="0.3">
      <c r="A132" s="370">
        <v>131</v>
      </c>
      <c r="B132" s="380" t="s">
        <v>1616</v>
      </c>
      <c r="C132" s="383" t="s">
        <v>3146</v>
      </c>
      <c r="D132" s="373">
        <v>522117</v>
      </c>
      <c r="E132" s="377">
        <v>5</v>
      </c>
      <c r="F132" s="291" t="str">
        <f t="shared" si="2"/>
        <v>TMS:(522117,5)</v>
      </c>
    </row>
    <row r="133" spans="1:6" ht="16.5" x14ac:dyDescent="0.3">
      <c r="A133" s="370">
        <v>132</v>
      </c>
      <c r="B133" s="380" t="s">
        <v>1616</v>
      </c>
      <c r="C133" s="383" t="s">
        <v>3147</v>
      </c>
      <c r="D133" s="373">
        <v>522117</v>
      </c>
      <c r="E133" s="377">
        <v>4</v>
      </c>
      <c r="F133" s="291" t="str">
        <f t="shared" si="2"/>
        <v>TMS:(522117,4)</v>
      </c>
    </row>
    <row r="134" spans="1:6" ht="16.5" x14ac:dyDescent="0.3">
      <c r="A134" s="370">
        <v>133</v>
      </c>
      <c r="B134" s="380" t="s">
        <v>1616</v>
      </c>
      <c r="C134" s="383" t="s">
        <v>3148</v>
      </c>
      <c r="D134" s="373">
        <v>522117</v>
      </c>
      <c r="E134" s="377">
        <v>3</v>
      </c>
      <c r="F134" s="291" t="str">
        <f t="shared" si="2"/>
        <v>TMS:(522117,3)</v>
      </c>
    </row>
    <row r="135" spans="1:6" ht="30" customHeight="1" x14ac:dyDescent="0.3">
      <c r="A135" s="370">
        <v>134</v>
      </c>
      <c r="B135" s="380" t="s">
        <v>1616</v>
      </c>
      <c r="C135" s="383" t="s">
        <v>3149</v>
      </c>
      <c r="D135" s="373">
        <v>522118</v>
      </c>
      <c r="E135" s="377">
        <v>5</v>
      </c>
      <c r="F135" s="291" t="str">
        <f t="shared" si="2"/>
        <v>TMS:(522118,5)</v>
      </c>
    </row>
    <row r="136" spans="1:6" ht="16.5" x14ac:dyDescent="0.3">
      <c r="A136" s="370">
        <v>135</v>
      </c>
      <c r="B136" s="380" t="s">
        <v>1616</v>
      </c>
      <c r="C136" s="383" t="s">
        <v>3150</v>
      </c>
      <c r="D136" s="373">
        <v>522118</v>
      </c>
      <c r="E136" s="377">
        <v>4</v>
      </c>
      <c r="F136" s="291" t="str">
        <f t="shared" si="2"/>
        <v>TMS:(522118,4)</v>
      </c>
    </row>
    <row r="137" spans="1:6" ht="33" x14ac:dyDescent="0.3">
      <c r="A137" s="370">
        <v>136</v>
      </c>
      <c r="B137" s="380" t="s">
        <v>1616</v>
      </c>
      <c r="C137" s="383" t="s">
        <v>3151</v>
      </c>
      <c r="D137" s="373">
        <v>522118</v>
      </c>
      <c r="E137" s="377">
        <v>3</v>
      </c>
      <c r="F137" s="291" t="str">
        <f t="shared" si="2"/>
        <v>TMS:(522118,3)</v>
      </c>
    </row>
    <row r="138" spans="1:6" ht="30" customHeight="1" x14ac:dyDescent="0.3">
      <c r="A138" s="370">
        <v>137</v>
      </c>
      <c r="B138" s="380" t="s">
        <v>1616</v>
      </c>
      <c r="C138" s="384" t="s">
        <v>3125</v>
      </c>
      <c r="D138" s="373">
        <v>522119</v>
      </c>
      <c r="E138" s="377">
        <v>5</v>
      </c>
      <c r="F138" s="291" t="str">
        <f t="shared" si="2"/>
        <v>TMS:(522119,5)</v>
      </c>
    </row>
    <row r="139" spans="1:6" ht="16.5" x14ac:dyDescent="0.3">
      <c r="A139" s="370">
        <v>138</v>
      </c>
      <c r="B139" s="380" t="s">
        <v>1616</v>
      </c>
      <c r="C139" s="384" t="s">
        <v>3126</v>
      </c>
      <c r="D139" s="373">
        <v>522119</v>
      </c>
      <c r="E139" s="377">
        <v>4</v>
      </c>
      <c r="F139" s="291" t="str">
        <f t="shared" ref="F139:F201" si="3">"TMS"&amp;":"&amp;"("&amp;D139&amp;","&amp;E139&amp;")"</f>
        <v>TMS:(522119,4)</v>
      </c>
    </row>
    <row r="140" spans="1:6" ht="16.5" x14ac:dyDescent="0.3">
      <c r="A140" s="370">
        <v>139</v>
      </c>
      <c r="B140" s="380" t="s">
        <v>1616</v>
      </c>
      <c r="C140" s="384" t="s">
        <v>3127</v>
      </c>
      <c r="D140" s="373">
        <v>522119</v>
      </c>
      <c r="E140" s="377">
        <v>3</v>
      </c>
      <c r="F140" s="291" t="str">
        <f t="shared" si="3"/>
        <v>TMS:(522119,3)</v>
      </c>
    </row>
    <row r="141" spans="1:6" ht="30" customHeight="1" x14ac:dyDescent="0.3">
      <c r="A141" s="370">
        <v>140</v>
      </c>
      <c r="B141" s="380" t="s">
        <v>1616</v>
      </c>
      <c r="C141" s="372" t="s">
        <v>3152</v>
      </c>
      <c r="D141" s="373">
        <v>522121</v>
      </c>
      <c r="E141" s="377">
        <v>5</v>
      </c>
      <c r="F141" s="291" t="str">
        <f t="shared" si="3"/>
        <v>TMS:(522121,5)</v>
      </c>
    </row>
    <row r="142" spans="1:6" ht="16.5" x14ac:dyDescent="0.3">
      <c r="A142" s="370">
        <v>141</v>
      </c>
      <c r="B142" s="380" t="s">
        <v>1616</v>
      </c>
      <c r="C142" s="372" t="s">
        <v>3153</v>
      </c>
      <c r="D142" s="373">
        <v>522121</v>
      </c>
      <c r="E142" s="377">
        <v>4</v>
      </c>
      <c r="F142" s="291" t="str">
        <f t="shared" si="3"/>
        <v>TMS:(522121,4)</v>
      </c>
    </row>
    <row r="143" spans="1:6" ht="16.5" x14ac:dyDescent="0.3">
      <c r="A143" s="370">
        <v>142</v>
      </c>
      <c r="B143" s="380" t="s">
        <v>1616</v>
      </c>
      <c r="C143" s="372" t="s">
        <v>3154</v>
      </c>
      <c r="D143" s="373">
        <v>522121</v>
      </c>
      <c r="E143" s="377">
        <v>3</v>
      </c>
      <c r="F143" s="291" t="str">
        <f t="shared" si="3"/>
        <v>TMS:(522121,3)</v>
      </c>
    </row>
    <row r="144" spans="1:6" ht="30" customHeight="1" x14ac:dyDescent="0.3">
      <c r="A144" s="370">
        <v>143</v>
      </c>
      <c r="B144" s="380" t="s">
        <v>1616</v>
      </c>
      <c r="C144" s="383" t="s">
        <v>3155</v>
      </c>
      <c r="D144" s="373">
        <v>522132</v>
      </c>
      <c r="E144" s="377">
        <v>5</v>
      </c>
      <c r="F144" s="291" t="str">
        <f t="shared" si="3"/>
        <v>TMS:(522132,5)</v>
      </c>
    </row>
    <row r="145" spans="1:6" ht="33" x14ac:dyDescent="0.3">
      <c r="A145" s="370">
        <v>144</v>
      </c>
      <c r="B145" s="380" t="s">
        <v>1616</v>
      </c>
      <c r="C145" s="383" t="s">
        <v>3156</v>
      </c>
      <c r="D145" s="373">
        <v>522132</v>
      </c>
      <c r="E145" s="377">
        <v>4</v>
      </c>
      <c r="F145" s="291" t="str">
        <f t="shared" si="3"/>
        <v>TMS:(522132,4)</v>
      </c>
    </row>
    <row r="146" spans="1:6" ht="33" x14ac:dyDescent="0.3">
      <c r="A146" s="370">
        <v>145</v>
      </c>
      <c r="B146" s="380" t="s">
        <v>1616</v>
      </c>
      <c r="C146" s="383" t="s">
        <v>3157</v>
      </c>
      <c r="D146" s="373">
        <v>522132</v>
      </c>
      <c r="E146" s="377">
        <v>3</v>
      </c>
      <c r="F146" s="291" t="str">
        <f t="shared" si="3"/>
        <v>TMS:(522132,3)</v>
      </c>
    </row>
    <row r="147" spans="1:6" ht="30" customHeight="1" x14ac:dyDescent="0.3">
      <c r="A147" s="370">
        <v>146</v>
      </c>
      <c r="B147" s="380" t="s">
        <v>1616</v>
      </c>
      <c r="C147" s="383" t="s">
        <v>3158</v>
      </c>
      <c r="D147" s="373">
        <v>522133</v>
      </c>
      <c r="E147" s="377">
        <v>5</v>
      </c>
      <c r="F147" s="291" t="str">
        <f t="shared" si="3"/>
        <v>TMS:(522133,5)</v>
      </c>
    </row>
    <row r="148" spans="1:6" ht="33" x14ac:dyDescent="0.3">
      <c r="A148" s="370">
        <v>147</v>
      </c>
      <c r="B148" s="380" t="s">
        <v>1616</v>
      </c>
      <c r="C148" s="383" t="s">
        <v>3159</v>
      </c>
      <c r="D148" s="373">
        <v>522133</v>
      </c>
      <c r="E148" s="377">
        <v>4</v>
      </c>
      <c r="F148" s="291" t="str">
        <f t="shared" si="3"/>
        <v>TMS:(522133,4)</v>
      </c>
    </row>
    <row r="149" spans="1:6" ht="33" x14ac:dyDescent="0.3">
      <c r="A149" s="370">
        <v>148</v>
      </c>
      <c r="B149" s="380" t="s">
        <v>1616</v>
      </c>
      <c r="C149" s="383" t="s">
        <v>3160</v>
      </c>
      <c r="D149" s="373">
        <v>522133</v>
      </c>
      <c r="E149" s="377">
        <v>3</v>
      </c>
      <c r="F149" s="291" t="str">
        <f t="shared" si="3"/>
        <v>TMS:(522133,3)</v>
      </c>
    </row>
    <row r="150" spans="1:6" ht="30" customHeight="1" x14ac:dyDescent="0.3">
      <c r="A150" s="370">
        <v>149</v>
      </c>
      <c r="B150" s="380" t="s">
        <v>1616</v>
      </c>
      <c r="C150" s="383" t="s">
        <v>3161</v>
      </c>
      <c r="D150" s="373">
        <v>522135</v>
      </c>
      <c r="E150" s="377">
        <v>5</v>
      </c>
      <c r="F150" s="291" t="str">
        <f t="shared" si="3"/>
        <v>TMS:(522135,5)</v>
      </c>
    </row>
    <row r="151" spans="1:6" ht="33" x14ac:dyDescent="0.3">
      <c r="A151" s="370">
        <v>150</v>
      </c>
      <c r="B151" s="380" t="s">
        <v>1616</v>
      </c>
      <c r="C151" s="383" t="s">
        <v>3162</v>
      </c>
      <c r="D151" s="373">
        <v>522135</v>
      </c>
      <c r="E151" s="377">
        <v>4</v>
      </c>
      <c r="F151" s="291" t="str">
        <f t="shared" si="3"/>
        <v>TMS:(522135,4)</v>
      </c>
    </row>
    <row r="152" spans="1:6" ht="33" x14ac:dyDescent="0.3">
      <c r="A152" s="370">
        <v>151</v>
      </c>
      <c r="B152" s="380" t="s">
        <v>1616</v>
      </c>
      <c r="C152" s="383" t="s">
        <v>3163</v>
      </c>
      <c r="D152" s="373">
        <v>522135</v>
      </c>
      <c r="E152" s="377">
        <v>3</v>
      </c>
      <c r="F152" s="291" t="str">
        <f t="shared" si="3"/>
        <v>TMS:(522135,3)</v>
      </c>
    </row>
    <row r="153" spans="1:6" ht="30" customHeight="1" x14ac:dyDescent="0.3">
      <c r="A153" s="370">
        <v>152</v>
      </c>
      <c r="B153" s="380" t="s">
        <v>1616</v>
      </c>
      <c r="C153" s="383" t="s">
        <v>3164</v>
      </c>
      <c r="D153" s="373">
        <v>522136</v>
      </c>
      <c r="E153" s="377">
        <v>5</v>
      </c>
      <c r="F153" s="291" t="str">
        <f t="shared" si="3"/>
        <v>TMS:(522136,5)</v>
      </c>
    </row>
    <row r="154" spans="1:6" ht="33" x14ac:dyDescent="0.3">
      <c r="A154" s="370">
        <v>153</v>
      </c>
      <c r="B154" s="380" t="s">
        <v>1616</v>
      </c>
      <c r="C154" s="383" t="s">
        <v>3165</v>
      </c>
      <c r="D154" s="373">
        <v>522136</v>
      </c>
      <c r="E154" s="377">
        <v>4</v>
      </c>
      <c r="F154" s="291" t="str">
        <f t="shared" si="3"/>
        <v>TMS:(522136,4)</v>
      </c>
    </row>
    <row r="155" spans="1:6" ht="33" x14ac:dyDescent="0.3">
      <c r="A155" s="370">
        <v>154</v>
      </c>
      <c r="B155" s="380" t="s">
        <v>1616</v>
      </c>
      <c r="C155" s="383" t="s">
        <v>3166</v>
      </c>
      <c r="D155" s="373">
        <v>522136</v>
      </c>
      <c r="E155" s="377">
        <v>3</v>
      </c>
      <c r="F155" s="291" t="str">
        <f t="shared" si="3"/>
        <v>TMS:(522136,3)</v>
      </c>
    </row>
    <row r="156" spans="1:6" ht="30" customHeight="1" x14ac:dyDescent="0.3">
      <c r="A156" s="370">
        <v>155</v>
      </c>
      <c r="B156" s="380" t="s">
        <v>1616</v>
      </c>
      <c r="C156" s="383" t="s">
        <v>3167</v>
      </c>
      <c r="D156" s="373">
        <v>522138</v>
      </c>
      <c r="E156" s="377">
        <v>5</v>
      </c>
      <c r="F156" s="291" t="str">
        <f t="shared" si="3"/>
        <v>TMS:(522138,5)</v>
      </c>
    </row>
    <row r="157" spans="1:6" ht="33" x14ac:dyDescent="0.3">
      <c r="A157" s="370">
        <v>156</v>
      </c>
      <c r="B157" s="380" t="s">
        <v>1616</v>
      </c>
      <c r="C157" s="383" t="s">
        <v>3168</v>
      </c>
      <c r="D157" s="373">
        <v>522138</v>
      </c>
      <c r="E157" s="377">
        <v>4</v>
      </c>
      <c r="F157" s="291" t="str">
        <f t="shared" si="3"/>
        <v>TMS:(522138,4)</v>
      </c>
    </row>
    <row r="158" spans="1:6" ht="33" x14ac:dyDescent="0.3">
      <c r="A158" s="370">
        <v>157</v>
      </c>
      <c r="B158" s="380" t="s">
        <v>1616</v>
      </c>
      <c r="C158" s="383" t="s">
        <v>3169</v>
      </c>
      <c r="D158" s="373">
        <v>522138</v>
      </c>
      <c r="E158" s="377">
        <v>3</v>
      </c>
      <c r="F158" s="291" t="str">
        <f t="shared" si="3"/>
        <v>TMS:(522138,3)</v>
      </c>
    </row>
    <row r="159" spans="1:6" ht="16.5" x14ac:dyDescent="0.3">
      <c r="A159" s="370">
        <v>158</v>
      </c>
      <c r="B159" s="378" t="s">
        <v>1615</v>
      </c>
      <c r="C159" s="372" t="s">
        <v>3170</v>
      </c>
      <c r="D159" s="373">
        <v>521412</v>
      </c>
      <c r="E159" s="373">
        <v>0</v>
      </c>
      <c r="F159" s="291" t="str">
        <f t="shared" si="3"/>
        <v>TMS:(521412,0)</v>
      </c>
    </row>
    <row r="160" spans="1:6" ht="16.5" x14ac:dyDescent="0.3">
      <c r="A160" s="370">
        <v>159</v>
      </c>
      <c r="B160" s="378" t="s">
        <v>1615</v>
      </c>
      <c r="C160" s="372" t="s">
        <v>3171</v>
      </c>
      <c r="D160" s="373">
        <v>521413</v>
      </c>
      <c r="E160" s="373">
        <v>0</v>
      </c>
      <c r="F160" s="291" t="str">
        <f t="shared" si="3"/>
        <v>TMS:(521413,0)</v>
      </c>
    </row>
    <row r="161" spans="1:6" ht="16.5" x14ac:dyDescent="0.3">
      <c r="A161" s="370">
        <v>160</v>
      </c>
      <c r="B161" s="378" t="s">
        <v>1615</v>
      </c>
      <c r="C161" s="372" t="s">
        <v>3172</v>
      </c>
      <c r="D161" s="373">
        <v>521418</v>
      </c>
      <c r="E161" s="373">
        <v>0</v>
      </c>
      <c r="F161" s="291" t="str">
        <f t="shared" si="3"/>
        <v>TMS:(521418,0)</v>
      </c>
    </row>
    <row r="162" spans="1:6" ht="30" customHeight="1" x14ac:dyDescent="0.3">
      <c r="A162" s="370">
        <v>161</v>
      </c>
      <c r="B162" s="371" t="s">
        <v>1616</v>
      </c>
      <c r="C162" s="372" t="s">
        <v>3173</v>
      </c>
      <c r="D162" s="373">
        <v>522091</v>
      </c>
      <c r="E162" s="377">
        <v>5</v>
      </c>
      <c r="F162" s="291" t="str">
        <f t="shared" si="3"/>
        <v>TMS:(522091,5)</v>
      </c>
    </row>
    <row r="163" spans="1:6" ht="16.5" x14ac:dyDescent="0.3">
      <c r="A163" s="370">
        <v>162</v>
      </c>
      <c r="B163" s="371" t="s">
        <v>1616</v>
      </c>
      <c r="C163" s="372" t="s">
        <v>3174</v>
      </c>
      <c r="D163" s="373">
        <v>522091</v>
      </c>
      <c r="E163" s="377">
        <v>4</v>
      </c>
      <c r="F163" s="291" t="str">
        <f t="shared" si="3"/>
        <v>TMS:(522091,4)</v>
      </c>
    </row>
    <row r="164" spans="1:6" ht="16.5" x14ac:dyDescent="0.3">
      <c r="A164" s="370">
        <v>163</v>
      </c>
      <c r="B164" s="371" t="s">
        <v>1616</v>
      </c>
      <c r="C164" s="372" t="s">
        <v>3175</v>
      </c>
      <c r="D164" s="373">
        <v>522091</v>
      </c>
      <c r="E164" s="377">
        <v>3</v>
      </c>
      <c r="F164" s="291" t="str">
        <f t="shared" si="3"/>
        <v>TMS:(522091,3)</v>
      </c>
    </row>
    <row r="165" spans="1:6" ht="30" customHeight="1" x14ac:dyDescent="0.3">
      <c r="A165" s="370">
        <v>164</v>
      </c>
      <c r="B165" s="371" t="s">
        <v>1616</v>
      </c>
      <c r="C165" s="372" t="s">
        <v>3176</v>
      </c>
      <c r="D165" s="373">
        <v>522092</v>
      </c>
      <c r="E165" s="377">
        <v>5</v>
      </c>
      <c r="F165" s="291" t="str">
        <f t="shared" si="3"/>
        <v>TMS:(522092,5)</v>
      </c>
    </row>
    <row r="166" spans="1:6" ht="16.5" x14ac:dyDescent="0.3">
      <c r="A166" s="370">
        <v>165</v>
      </c>
      <c r="B166" s="371" t="s">
        <v>1616</v>
      </c>
      <c r="C166" s="372" t="s">
        <v>3177</v>
      </c>
      <c r="D166" s="373">
        <v>522092</v>
      </c>
      <c r="E166" s="377">
        <v>4</v>
      </c>
      <c r="F166" s="291" t="str">
        <f t="shared" si="3"/>
        <v>TMS:(522092,4)</v>
      </c>
    </row>
    <row r="167" spans="1:6" ht="16.5" x14ac:dyDescent="0.3">
      <c r="A167" s="370">
        <v>166</v>
      </c>
      <c r="B167" s="371" t="s">
        <v>1616</v>
      </c>
      <c r="C167" s="372" t="s">
        <v>3178</v>
      </c>
      <c r="D167" s="373">
        <v>522092</v>
      </c>
      <c r="E167" s="377">
        <v>3</v>
      </c>
      <c r="F167" s="291" t="str">
        <f t="shared" si="3"/>
        <v>TMS:(522092,3)</v>
      </c>
    </row>
    <row r="168" spans="1:6" ht="16.5" x14ac:dyDescent="0.3">
      <c r="A168" s="370">
        <v>167</v>
      </c>
      <c r="B168" s="380" t="s">
        <v>1616</v>
      </c>
      <c r="C168" s="376" t="s">
        <v>3179</v>
      </c>
      <c r="D168" s="377">
        <v>522120</v>
      </c>
      <c r="E168" s="377">
        <v>0</v>
      </c>
      <c r="F168" s="291" t="str">
        <f t="shared" si="3"/>
        <v>TMS:(522120,0)</v>
      </c>
    </row>
    <row r="169" spans="1:6" ht="16.5" x14ac:dyDescent="0.3">
      <c r="A169" s="370">
        <v>168</v>
      </c>
      <c r="B169" s="378" t="s">
        <v>1615</v>
      </c>
      <c r="C169" s="372" t="s">
        <v>3180</v>
      </c>
      <c r="D169" s="373">
        <v>521414</v>
      </c>
      <c r="E169" s="373">
        <v>0</v>
      </c>
      <c r="F169" s="291" t="str">
        <f t="shared" si="3"/>
        <v>TMS:(521414,0)</v>
      </c>
    </row>
    <row r="170" spans="1:6" ht="16.5" x14ac:dyDescent="0.3">
      <c r="A170" s="370">
        <v>169</v>
      </c>
      <c r="B170" s="378" t="s">
        <v>1615</v>
      </c>
      <c r="C170" s="372" t="s">
        <v>3333</v>
      </c>
      <c r="D170" s="373">
        <v>521414</v>
      </c>
      <c r="E170" s="373">
        <v>12</v>
      </c>
      <c r="F170" s="291" t="str">
        <f t="shared" si="3"/>
        <v>TMS:(521414,12)</v>
      </c>
    </row>
    <row r="171" spans="1:6" ht="16.5" x14ac:dyDescent="0.3">
      <c r="A171" s="370">
        <v>170</v>
      </c>
      <c r="B171" s="378" t="s">
        <v>1615</v>
      </c>
      <c r="C171" s="372" t="s">
        <v>3181</v>
      </c>
      <c r="D171" s="373">
        <v>521414</v>
      </c>
      <c r="E171" s="373">
        <v>19</v>
      </c>
      <c r="F171" s="291" t="str">
        <f t="shared" si="3"/>
        <v>TMS:(521414,19)</v>
      </c>
    </row>
    <row r="172" spans="1:6" ht="16.5" x14ac:dyDescent="0.3">
      <c r="A172" s="370">
        <v>171</v>
      </c>
      <c r="B172" s="378" t="s">
        <v>1615</v>
      </c>
      <c r="C172" s="372" t="s">
        <v>3182</v>
      </c>
      <c r="D172" s="373">
        <v>521414</v>
      </c>
      <c r="E172" s="373">
        <v>6</v>
      </c>
      <c r="F172" s="291" t="str">
        <f t="shared" si="3"/>
        <v>TMS:(521414,6)</v>
      </c>
    </row>
    <row r="173" spans="1:6" ht="16.5" x14ac:dyDescent="0.3">
      <c r="A173" s="370">
        <v>172</v>
      </c>
      <c r="B173" s="378" t="s">
        <v>1615</v>
      </c>
      <c r="C173" s="372" t="s">
        <v>3183</v>
      </c>
      <c r="D173" s="373">
        <v>521414</v>
      </c>
      <c r="E173" s="373">
        <v>3</v>
      </c>
      <c r="F173" s="291" t="str">
        <f t="shared" si="3"/>
        <v>TMS:(521414,3)</v>
      </c>
    </row>
    <row r="174" spans="1:6" ht="16.5" x14ac:dyDescent="0.3">
      <c r="A174" s="370">
        <v>173</v>
      </c>
      <c r="B174" s="378" t="s">
        <v>1615</v>
      </c>
      <c r="C174" s="372" t="s">
        <v>3184</v>
      </c>
      <c r="D174" s="373">
        <v>521414</v>
      </c>
      <c r="E174" s="373">
        <v>4</v>
      </c>
      <c r="F174" s="291" t="str">
        <f t="shared" si="3"/>
        <v>TMS:(521414,4)</v>
      </c>
    </row>
    <row r="175" spans="1:6" ht="16.5" x14ac:dyDescent="0.3">
      <c r="A175" s="370">
        <v>174</v>
      </c>
      <c r="B175" s="378" t="s">
        <v>1615</v>
      </c>
      <c r="C175" s="372" t="s">
        <v>3185</v>
      </c>
      <c r="D175" s="373">
        <v>521414</v>
      </c>
      <c r="E175" s="373">
        <v>16</v>
      </c>
      <c r="F175" s="291" t="str">
        <f t="shared" si="3"/>
        <v>TMS:(521414,16)</v>
      </c>
    </row>
    <row r="176" spans="1:6" ht="16.5" x14ac:dyDescent="0.3">
      <c r="A176" s="370">
        <v>175</v>
      </c>
      <c r="B176" s="378" t="s">
        <v>1615</v>
      </c>
      <c r="C176" s="372" t="s">
        <v>3186</v>
      </c>
      <c r="D176" s="373">
        <v>521414</v>
      </c>
      <c r="E176" s="373">
        <v>18</v>
      </c>
      <c r="F176" s="291" t="str">
        <f t="shared" si="3"/>
        <v>TMS:(521414,18)</v>
      </c>
    </row>
    <row r="177" spans="1:6" ht="16.5" x14ac:dyDescent="0.3">
      <c r="A177" s="370">
        <v>176</v>
      </c>
      <c r="B177" s="378" t="s">
        <v>1615</v>
      </c>
      <c r="C177" s="372" t="s">
        <v>3187</v>
      </c>
      <c r="D177" s="373">
        <v>521414</v>
      </c>
      <c r="E177" s="373">
        <v>23</v>
      </c>
      <c r="F177" s="291" t="str">
        <f t="shared" si="3"/>
        <v>TMS:(521414,23)</v>
      </c>
    </row>
    <row r="178" spans="1:6" ht="16.5" x14ac:dyDescent="0.3">
      <c r="A178" s="370">
        <v>177</v>
      </c>
      <c r="B178" s="378" t="s">
        <v>1615</v>
      </c>
      <c r="C178" s="372" t="s">
        <v>3188</v>
      </c>
      <c r="D178" s="373">
        <v>521414</v>
      </c>
      <c r="E178" s="373">
        <v>24</v>
      </c>
      <c r="F178" s="291" t="str">
        <f t="shared" si="3"/>
        <v>TMS:(521414,24)</v>
      </c>
    </row>
    <row r="179" spans="1:6" ht="16.5" x14ac:dyDescent="0.3">
      <c r="A179" s="370">
        <v>178</v>
      </c>
      <c r="B179" s="378" t="s">
        <v>1615</v>
      </c>
      <c r="C179" s="372" t="s">
        <v>1150</v>
      </c>
      <c r="D179" s="373">
        <v>521415</v>
      </c>
      <c r="E179" s="373">
        <v>0</v>
      </c>
      <c r="F179" s="291" t="str">
        <f t="shared" si="3"/>
        <v>TMS:(521415,0)</v>
      </c>
    </row>
    <row r="180" spans="1:6" ht="17.45" customHeight="1" x14ac:dyDescent="0.3">
      <c r="A180" s="370">
        <v>179</v>
      </c>
      <c r="B180" s="379" t="s">
        <v>2771</v>
      </c>
      <c r="C180" s="372" t="s">
        <v>3189</v>
      </c>
      <c r="D180" s="373">
        <v>521415</v>
      </c>
      <c r="E180" s="373">
        <v>1</v>
      </c>
      <c r="F180" s="291"/>
    </row>
    <row r="181" spans="1:6" ht="16.5" x14ac:dyDescent="0.3">
      <c r="A181" s="370">
        <v>180</v>
      </c>
      <c r="B181" s="378" t="s">
        <v>1615</v>
      </c>
      <c r="C181" s="372" t="s">
        <v>3190</v>
      </c>
      <c r="D181" s="373">
        <v>521415</v>
      </c>
      <c r="E181" s="373">
        <v>23</v>
      </c>
      <c r="F181" s="291" t="str">
        <f t="shared" si="3"/>
        <v>TMS:(521415,23)</v>
      </c>
    </row>
    <row r="182" spans="1:6" ht="16.5" x14ac:dyDescent="0.3">
      <c r="A182" s="370">
        <v>181</v>
      </c>
      <c r="B182" s="378" t="s">
        <v>1615</v>
      </c>
      <c r="C182" s="372" t="s">
        <v>3191</v>
      </c>
      <c r="D182" s="373">
        <v>521416</v>
      </c>
      <c r="E182" s="373">
        <v>0</v>
      </c>
      <c r="F182" s="291" t="str">
        <f t="shared" si="3"/>
        <v>TMS:(521416,0)</v>
      </c>
    </row>
    <row r="183" spans="1:6" ht="18" customHeight="1" x14ac:dyDescent="0.3">
      <c r="A183" s="370">
        <v>182</v>
      </c>
      <c r="B183" s="379" t="s">
        <v>2771</v>
      </c>
      <c r="C183" s="372" t="s">
        <v>3192</v>
      </c>
      <c r="D183" s="373">
        <v>521416</v>
      </c>
      <c r="E183" s="373">
        <v>1</v>
      </c>
      <c r="F183" s="291"/>
    </row>
    <row r="184" spans="1:6" ht="16.5" x14ac:dyDescent="0.3">
      <c r="A184" s="370">
        <v>183</v>
      </c>
      <c r="B184" s="378" t="s">
        <v>1615</v>
      </c>
      <c r="C184" s="372" t="s">
        <v>3193</v>
      </c>
      <c r="D184" s="373">
        <v>521416</v>
      </c>
      <c r="E184" s="373">
        <v>23</v>
      </c>
      <c r="F184" s="291" t="str">
        <f t="shared" si="3"/>
        <v>TMS:(521416,23)</v>
      </c>
    </row>
    <row r="185" spans="1:6" ht="16.5" x14ac:dyDescent="0.3">
      <c r="A185" s="370">
        <v>184</v>
      </c>
      <c r="B185" s="378" t="s">
        <v>1615</v>
      </c>
      <c r="C185" s="372" t="s">
        <v>3194</v>
      </c>
      <c r="D185" s="373">
        <v>521417</v>
      </c>
      <c r="E185" s="373">
        <v>1</v>
      </c>
      <c r="F185" s="291" t="str">
        <f t="shared" si="3"/>
        <v>TMS:(521417,1)</v>
      </c>
    </row>
    <row r="186" spans="1:6" ht="45" customHeight="1" x14ac:dyDescent="0.3">
      <c r="A186" s="370">
        <v>185</v>
      </c>
      <c r="B186" s="378" t="s">
        <v>1616</v>
      </c>
      <c r="C186" s="372" t="s">
        <v>3332</v>
      </c>
      <c r="D186" s="373">
        <v>521409</v>
      </c>
      <c r="E186" s="373">
        <v>12</v>
      </c>
      <c r="F186" s="291" t="str">
        <f t="shared" si="3"/>
        <v>TMS:(521409,12)</v>
      </c>
    </row>
    <row r="187" spans="1:6" ht="16.5" x14ac:dyDescent="0.3">
      <c r="A187" s="370">
        <v>186</v>
      </c>
      <c r="B187" s="379" t="s">
        <v>2771</v>
      </c>
      <c r="C187" s="372" t="s">
        <v>3195</v>
      </c>
      <c r="D187" s="373">
        <v>521409</v>
      </c>
      <c r="E187" s="373">
        <v>6</v>
      </c>
      <c r="F187" s="291"/>
    </row>
    <row r="188" spans="1:6" ht="16.5" x14ac:dyDescent="0.3">
      <c r="A188" s="370">
        <v>187</v>
      </c>
      <c r="B188" s="379" t="s">
        <v>2771</v>
      </c>
      <c r="C188" s="372" t="s">
        <v>3196</v>
      </c>
      <c r="D188" s="373">
        <v>521409</v>
      </c>
      <c r="E188" s="373">
        <v>3</v>
      </c>
      <c r="F188" s="291"/>
    </row>
    <row r="189" spans="1:6" ht="16.5" x14ac:dyDescent="0.3">
      <c r="A189" s="370">
        <v>188</v>
      </c>
      <c r="B189" s="379" t="s">
        <v>2771</v>
      </c>
      <c r="C189" s="372" t="s">
        <v>3197</v>
      </c>
      <c r="D189" s="373">
        <v>521409</v>
      </c>
      <c r="E189" s="373">
        <v>4</v>
      </c>
      <c r="F189" s="291"/>
    </row>
    <row r="190" spans="1:6" ht="16.5" x14ac:dyDescent="0.3">
      <c r="A190" s="370">
        <v>189</v>
      </c>
      <c r="B190" s="379" t="s">
        <v>2771</v>
      </c>
      <c r="C190" s="372" t="s">
        <v>3198</v>
      </c>
      <c r="D190" s="373">
        <v>521409</v>
      </c>
      <c r="E190" s="373">
        <v>16</v>
      </c>
      <c r="F190" s="291"/>
    </row>
    <row r="191" spans="1:6" ht="16.5" x14ac:dyDescent="0.3">
      <c r="A191" s="370">
        <v>190</v>
      </c>
      <c r="B191" s="378" t="s">
        <v>1615</v>
      </c>
      <c r="C191" s="372" t="s">
        <v>3199</v>
      </c>
      <c r="D191" s="373">
        <v>521409</v>
      </c>
      <c r="E191" s="373">
        <v>21</v>
      </c>
      <c r="F191" s="291" t="str">
        <f t="shared" si="3"/>
        <v>TMS:(521409,21)</v>
      </c>
    </row>
    <row r="192" spans="1:6" ht="16.5" x14ac:dyDescent="0.3">
      <c r="A192" s="370">
        <v>191</v>
      </c>
      <c r="B192" s="378" t="s">
        <v>1615</v>
      </c>
      <c r="C192" s="372" t="s">
        <v>3200</v>
      </c>
      <c r="D192" s="373">
        <v>521409</v>
      </c>
      <c r="E192" s="373">
        <v>22</v>
      </c>
      <c r="F192" s="291" t="str">
        <f t="shared" si="3"/>
        <v>TMS:(521409,22)</v>
      </c>
    </row>
    <row r="193" spans="1:6" ht="15" customHeight="1" x14ac:dyDescent="0.3">
      <c r="A193" s="370">
        <v>192</v>
      </c>
      <c r="B193" s="375" t="s">
        <v>1616</v>
      </c>
      <c r="C193" s="384" t="s">
        <v>3201</v>
      </c>
      <c r="D193" s="377">
        <v>522081</v>
      </c>
      <c r="E193" s="377">
        <v>5</v>
      </c>
      <c r="F193" s="291" t="str">
        <f t="shared" si="3"/>
        <v>TMS:(522081,5)</v>
      </c>
    </row>
    <row r="194" spans="1:6" ht="16.5" x14ac:dyDescent="0.3">
      <c r="A194" s="370">
        <v>193</v>
      </c>
      <c r="B194" s="375" t="s">
        <v>1616</v>
      </c>
      <c r="C194" s="384" t="s">
        <v>3202</v>
      </c>
      <c r="D194" s="377">
        <v>522081</v>
      </c>
      <c r="E194" s="377">
        <v>12</v>
      </c>
      <c r="F194" s="291" t="str">
        <f t="shared" si="3"/>
        <v>TMS:(522081,12)</v>
      </c>
    </row>
    <row r="195" spans="1:6" ht="18" customHeight="1" x14ac:dyDescent="0.3">
      <c r="A195" s="370">
        <v>194</v>
      </c>
      <c r="B195" s="377" t="s">
        <v>1617</v>
      </c>
      <c r="C195" s="384" t="s">
        <v>3203</v>
      </c>
      <c r="D195" s="377">
        <v>522081</v>
      </c>
      <c r="E195" s="377">
        <v>3</v>
      </c>
      <c r="F195" s="291"/>
    </row>
    <row r="196" spans="1:6" ht="16.149999999999999" customHeight="1" x14ac:dyDescent="0.3">
      <c r="A196" s="370">
        <v>195</v>
      </c>
      <c r="B196" s="377" t="s">
        <v>1617</v>
      </c>
      <c r="C196" s="384" t="s">
        <v>3204</v>
      </c>
      <c r="D196" s="377">
        <v>522081</v>
      </c>
      <c r="E196" s="377">
        <v>4</v>
      </c>
      <c r="F196" s="291"/>
    </row>
    <row r="197" spans="1:6" ht="16.5" x14ac:dyDescent="0.3">
      <c r="A197" s="370">
        <v>196</v>
      </c>
      <c r="B197" s="375" t="s">
        <v>1616</v>
      </c>
      <c r="C197" s="384" t="s">
        <v>3205</v>
      </c>
      <c r="D197" s="377">
        <v>522081</v>
      </c>
      <c r="E197" s="377">
        <v>6</v>
      </c>
      <c r="F197" s="291" t="str">
        <f t="shared" si="3"/>
        <v>TMS:(522081,6)</v>
      </c>
    </row>
    <row r="198" spans="1:6" ht="18" customHeight="1" x14ac:dyDescent="0.3">
      <c r="A198" s="370">
        <v>197</v>
      </c>
      <c r="B198" s="377" t="s">
        <v>1617</v>
      </c>
      <c r="C198" s="384" t="s">
        <v>3206</v>
      </c>
      <c r="D198" s="377">
        <v>522081</v>
      </c>
      <c r="E198" s="377">
        <v>20</v>
      </c>
      <c r="F198" s="291"/>
    </row>
    <row r="199" spans="1:6" ht="16.5" x14ac:dyDescent="0.3">
      <c r="A199" s="370">
        <v>198</v>
      </c>
      <c r="B199" s="375" t="s">
        <v>1616</v>
      </c>
      <c r="C199" s="384" t="s">
        <v>3207</v>
      </c>
      <c r="D199" s="377">
        <v>522081</v>
      </c>
      <c r="E199" s="377">
        <v>21</v>
      </c>
      <c r="F199" s="291" t="str">
        <f t="shared" si="3"/>
        <v>TMS:(522081,21)</v>
      </c>
    </row>
    <row r="200" spans="1:6" ht="30" customHeight="1" x14ac:dyDescent="0.3">
      <c r="A200" s="370">
        <v>199</v>
      </c>
      <c r="B200" s="375" t="s">
        <v>1616</v>
      </c>
      <c r="C200" s="384" t="s">
        <v>3208</v>
      </c>
      <c r="D200" s="377">
        <v>522084</v>
      </c>
      <c r="E200" s="377">
        <v>5</v>
      </c>
      <c r="F200" s="291" t="str">
        <f t="shared" si="3"/>
        <v>TMS:(522084,5)</v>
      </c>
    </row>
    <row r="201" spans="1:6" ht="16.5" x14ac:dyDescent="0.3">
      <c r="A201" s="370">
        <v>200</v>
      </c>
      <c r="B201" s="375" t="s">
        <v>1616</v>
      </c>
      <c r="C201" s="384" t="s">
        <v>3209</v>
      </c>
      <c r="D201" s="377">
        <v>522084</v>
      </c>
      <c r="E201" s="377">
        <v>12</v>
      </c>
      <c r="F201" s="291" t="str">
        <f t="shared" si="3"/>
        <v>TMS:(522084,12)</v>
      </c>
    </row>
    <row r="202" spans="1:6" ht="16.5" x14ac:dyDescent="0.3">
      <c r="A202" s="370">
        <v>201</v>
      </c>
      <c r="B202" s="377" t="s">
        <v>1617</v>
      </c>
      <c r="C202" s="384" t="s">
        <v>3210</v>
      </c>
      <c r="D202" s="377">
        <v>522084</v>
      </c>
      <c r="E202" s="377">
        <v>3</v>
      </c>
      <c r="F202" s="291"/>
    </row>
    <row r="203" spans="1:6" ht="16.5" x14ac:dyDescent="0.3">
      <c r="A203" s="370">
        <v>202</v>
      </c>
      <c r="B203" s="377" t="s">
        <v>1617</v>
      </c>
      <c r="C203" s="384" t="s">
        <v>3211</v>
      </c>
      <c r="D203" s="377">
        <v>522084</v>
      </c>
      <c r="E203" s="377">
        <v>4</v>
      </c>
      <c r="F203" s="291"/>
    </row>
    <row r="204" spans="1:6" ht="16.5" x14ac:dyDescent="0.3">
      <c r="A204" s="370">
        <v>203</v>
      </c>
      <c r="B204" s="375" t="s">
        <v>1616</v>
      </c>
      <c r="C204" s="384" t="s">
        <v>3212</v>
      </c>
      <c r="D204" s="377">
        <v>522084</v>
      </c>
      <c r="E204" s="377">
        <v>6</v>
      </c>
      <c r="F204" s="291" t="str">
        <f t="shared" ref="F204:F266" si="4">"TMS"&amp;":"&amp;"("&amp;D204&amp;","&amp;E204&amp;")"</f>
        <v>TMS:(522084,6)</v>
      </c>
    </row>
    <row r="205" spans="1:6" ht="16.5" x14ac:dyDescent="0.3">
      <c r="A205" s="370">
        <v>204</v>
      </c>
      <c r="B205" s="377" t="s">
        <v>1617</v>
      </c>
      <c r="C205" s="384" t="s">
        <v>3213</v>
      </c>
      <c r="D205" s="377">
        <v>522084</v>
      </c>
      <c r="E205" s="377">
        <v>20</v>
      </c>
      <c r="F205" s="291"/>
    </row>
    <row r="206" spans="1:6" ht="16.5" x14ac:dyDescent="0.3">
      <c r="A206" s="370">
        <v>205</v>
      </c>
      <c r="B206" s="375" t="s">
        <v>1616</v>
      </c>
      <c r="C206" s="384" t="s">
        <v>3214</v>
      </c>
      <c r="D206" s="377">
        <v>522084</v>
      </c>
      <c r="E206" s="377">
        <v>21</v>
      </c>
      <c r="F206" s="291" t="str">
        <f t="shared" si="4"/>
        <v>TMS:(522084,21)</v>
      </c>
    </row>
    <row r="207" spans="1:6" ht="16.5" x14ac:dyDescent="0.3">
      <c r="A207" s="370">
        <v>206</v>
      </c>
      <c r="B207" s="375" t="s">
        <v>1616</v>
      </c>
      <c r="C207" s="384" t="s">
        <v>3215</v>
      </c>
      <c r="D207" s="377">
        <v>522084</v>
      </c>
      <c r="E207" s="377">
        <v>2</v>
      </c>
      <c r="F207" s="291" t="str">
        <f t="shared" si="4"/>
        <v>TMS:(522084,2)</v>
      </c>
    </row>
    <row r="208" spans="1:6" ht="15" customHeight="1" x14ac:dyDescent="0.3">
      <c r="A208" s="370">
        <v>207</v>
      </c>
      <c r="B208" s="375" t="s">
        <v>1616</v>
      </c>
      <c r="C208" s="384" t="s">
        <v>3216</v>
      </c>
      <c r="D208" s="377">
        <v>522082</v>
      </c>
      <c r="E208" s="377">
        <v>5</v>
      </c>
      <c r="F208" s="291" t="str">
        <f t="shared" si="4"/>
        <v>TMS:(522082,5)</v>
      </c>
    </row>
    <row r="209" spans="1:6" ht="16.5" x14ac:dyDescent="0.3">
      <c r="A209" s="370">
        <v>208</v>
      </c>
      <c r="B209" s="375" t="s">
        <v>1616</v>
      </c>
      <c r="C209" s="384" t="s">
        <v>3217</v>
      </c>
      <c r="D209" s="377">
        <v>522082</v>
      </c>
      <c r="E209" s="377">
        <v>12</v>
      </c>
      <c r="F209" s="291" t="str">
        <f t="shared" si="4"/>
        <v>TMS:(522082,12)</v>
      </c>
    </row>
    <row r="210" spans="1:6" ht="30.6" customHeight="1" x14ac:dyDescent="0.3">
      <c r="A210" s="370">
        <v>209</v>
      </c>
      <c r="B210" s="377" t="s">
        <v>1617</v>
      </c>
      <c r="C210" s="384" t="s">
        <v>3218</v>
      </c>
      <c r="D210" s="377">
        <v>522082</v>
      </c>
      <c r="E210" s="377">
        <v>3</v>
      </c>
      <c r="F210" s="291"/>
    </row>
    <row r="211" spans="1:6" ht="29.45" customHeight="1" x14ac:dyDescent="0.3">
      <c r="A211" s="370">
        <v>210</v>
      </c>
      <c r="B211" s="377" t="s">
        <v>1617</v>
      </c>
      <c r="C211" s="384" t="s">
        <v>3219</v>
      </c>
      <c r="D211" s="377">
        <v>522082</v>
      </c>
      <c r="E211" s="377">
        <v>4</v>
      </c>
      <c r="F211" s="291"/>
    </row>
    <row r="212" spans="1:6" ht="16.5" x14ac:dyDescent="0.3">
      <c r="A212" s="370">
        <v>211</v>
      </c>
      <c r="B212" s="375" t="s">
        <v>1616</v>
      </c>
      <c r="C212" s="384" t="s">
        <v>3220</v>
      </c>
      <c r="D212" s="377">
        <v>522082</v>
      </c>
      <c r="E212" s="377">
        <v>6</v>
      </c>
      <c r="F212" s="291" t="str">
        <f t="shared" si="4"/>
        <v>TMS:(522082,6)</v>
      </c>
    </row>
    <row r="213" spans="1:6" ht="24.6" customHeight="1" x14ac:dyDescent="0.3">
      <c r="A213" s="370">
        <v>212</v>
      </c>
      <c r="B213" s="377" t="s">
        <v>1617</v>
      </c>
      <c r="C213" s="384" t="s">
        <v>3221</v>
      </c>
      <c r="D213" s="377">
        <v>522082</v>
      </c>
      <c r="E213" s="377">
        <v>20</v>
      </c>
      <c r="F213" s="291"/>
    </row>
    <row r="214" spans="1:6" ht="16.5" x14ac:dyDescent="0.3">
      <c r="A214" s="370">
        <v>213</v>
      </c>
      <c r="B214" s="375" t="s">
        <v>1616</v>
      </c>
      <c r="C214" s="384" t="s">
        <v>3222</v>
      </c>
      <c r="D214" s="377">
        <v>522082</v>
      </c>
      <c r="E214" s="377">
        <v>21</v>
      </c>
      <c r="F214" s="291" t="str">
        <f t="shared" si="4"/>
        <v>TMS:(522082,21)</v>
      </c>
    </row>
    <row r="215" spans="1:6" ht="15" customHeight="1" x14ac:dyDescent="0.3">
      <c r="A215" s="370">
        <v>214</v>
      </c>
      <c r="B215" s="375" t="s">
        <v>1616</v>
      </c>
      <c r="C215" s="384" t="s">
        <v>3223</v>
      </c>
      <c r="D215" s="377">
        <v>522083</v>
      </c>
      <c r="E215" s="377">
        <v>5</v>
      </c>
      <c r="F215" s="291" t="str">
        <f t="shared" si="4"/>
        <v>TMS:(522083,5)</v>
      </c>
    </row>
    <row r="216" spans="1:6" ht="16.5" x14ac:dyDescent="0.3">
      <c r="A216" s="370">
        <v>215</v>
      </c>
      <c r="B216" s="375" t="s">
        <v>1616</v>
      </c>
      <c r="C216" s="384" t="s">
        <v>3224</v>
      </c>
      <c r="D216" s="377">
        <v>522083</v>
      </c>
      <c r="E216" s="377">
        <v>12</v>
      </c>
      <c r="F216" s="291" t="str">
        <f t="shared" si="4"/>
        <v>TMS:(522083,12)</v>
      </c>
    </row>
    <row r="217" spans="1:6" ht="19.149999999999999" customHeight="1" x14ac:dyDescent="0.3">
      <c r="A217" s="370">
        <v>216</v>
      </c>
      <c r="B217" s="377" t="s">
        <v>1617</v>
      </c>
      <c r="C217" s="384" t="s">
        <v>3225</v>
      </c>
      <c r="D217" s="377">
        <v>522083</v>
      </c>
      <c r="E217" s="377">
        <v>3</v>
      </c>
      <c r="F217" s="291"/>
    </row>
    <row r="218" spans="1:6" ht="21.6" customHeight="1" x14ac:dyDescent="0.3">
      <c r="A218" s="370">
        <v>217</v>
      </c>
      <c r="B218" s="377" t="s">
        <v>1617</v>
      </c>
      <c r="C218" s="384" t="s">
        <v>3226</v>
      </c>
      <c r="D218" s="377">
        <v>522083</v>
      </c>
      <c r="E218" s="377">
        <v>4</v>
      </c>
      <c r="F218" s="291"/>
    </row>
    <row r="219" spans="1:6" ht="16.5" x14ac:dyDescent="0.3">
      <c r="A219" s="370">
        <v>218</v>
      </c>
      <c r="B219" s="375" t="s">
        <v>1616</v>
      </c>
      <c r="C219" s="384" t="s">
        <v>3227</v>
      </c>
      <c r="D219" s="377">
        <v>522083</v>
      </c>
      <c r="E219" s="377">
        <v>6</v>
      </c>
      <c r="F219" s="291" t="str">
        <f t="shared" si="4"/>
        <v>TMS:(522083,6)</v>
      </c>
    </row>
    <row r="220" spans="1:6" ht="21" customHeight="1" x14ac:dyDescent="0.3">
      <c r="A220" s="370">
        <v>219</v>
      </c>
      <c r="B220" s="377" t="s">
        <v>1617</v>
      </c>
      <c r="C220" s="384" t="s">
        <v>3228</v>
      </c>
      <c r="D220" s="377">
        <v>522083</v>
      </c>
      <c r="E220" s="377">
        <v>20</v>
      </c>
      <c r="F220" s="291"/>
    </row>
    <row r="221" spans="1:6" ht="16.5" x14ac:dyDescent="0.3">
      <c r="A221" s="370">
        <v>220</v>
      </c>
      <c r="B221" s="375" t="s">
        <v>1616</v>
      </c>
      <c r="C221" s="384" t="s">
        <v>3229</v>
      </c>
      <c r="D221" s="377">
        <v>522083</v>
      </c>
      <c r="E221" s="377">
        <v>21</v>
      </c>
      <c r="F221" s="291" t="str">
        <f t="shared" si="4"/>
        <v>TMS:(522083,21)</v>
      </c>
    </row>
    <row r="222" spans="1:6" ht="15" customHeight="1" x14ac:dyDescent="0.3">
      <c r="A222" s="370">
        <v>221</v>
      </c>
      <c r="B222" s="375" t="s">
        <v>1616</v>
      </c>
      <c r="C222" s="384" t="s">
        <v>3230</v>
      </c>
      <c r="D222" s="377">
        <v>522143</v>
      </c>
      <c r="E222" s="377">
        <v>5</v>
      </c>
      <c r="F222" s="291" t="str">
        <f t="shared" si="4"/>
        <v>TMS:(522143,5)</v>
      </c>
    </row>
    <row r="223" spans="1:6" ht="16.5" x14ac:dyDescent="0.3">
      <c r="A223" s="370">
        <v>222</v>
      </c>
      <c r="B223" s="375" t="s">
        <v>1616</v>
      </c>
      <c r="C223" s="384" t="s">
        <v>3231</v>
      </c>
      <c r="D223" s="377">
        <v>522143</v>
      </c>
      <c r="E223" s="377">
        <v>12</v>
      </c>
      <c r="F223" s="291" t="str">
        <f t="shared" si="4"/>
        <v>TMS:(522143,12)</v>
      </c>
    </row>
    <row r="224" spans="1:6" ht="14.45" customHeight="1" x14ac:dyDescent="0.3">
      <c r="A224" s="370">
        <v>223</v>
      </c>
      <c r="B224" s="377" t="s">
        <v>1617</v>
      </c>
      <c r="C224" s="384" t="s">
        <v>3232</v>
      </c>
      <c r="D224" s="377">
        <v>522143</v>
      </c>
      <c r="E224" s="377">
        <v>3</v>
      </c>
      <c r="F224" s="291"/>
    </row>
    <row r="225" spans="1:6" ht="18.600000000000001" customHeight="1" x14ac:dyDescent="0.3">
      <c r="A225" s="370">
        <v>224</v>
      </c>
      <c r="B225" s="377" t="s">
        <v>1617</v>
      </c>
      <c r="C225" s="384" t="s">
        <v>3233</v>
      </c>
      <c r="D225" s="377">
        <v>522143</v>
      </c>
      <c r="E225" s="377">
        <v>4</v>
      </c>
      <c r="F225" s="291"/>
    </row>
    <row r="226" spans="1:6" ht="16.5" x14ac:dyDescent="0.3">
      <c r="A226" s="370">
        <v>225</v>
      </c>
      <c r="B226" s="375" t="s">
        <v>1616</v>
      </c>
      <c r="C226" s="384" t="s">
        <v>3234</v>
      </c>
      <c r="D226" s="377">
        <v>522143</v>
      </c>
      <c r="E226" s="377">
        <v>6</v>
      </c>
      <c r="F226" s="291" t="str">
        <f t="shared" si="4"/>
        <v>TMS:(522143,6)</v>
      </c>
    </row>
    <row r="227" spans="1:6" ht="25.15" customHeight="1" x14ac:dyDescent="0.3">
      <c r="A227" s="370">
        <v>226</v>
      </c>
      <c r="B227" s="377" t="s">
        <v>1617</v>
      </c>
      <c r="C227" s="384" t="s">
        <v>3235</v>
      </c>
      <c r="D227" s="377">
        <v>522143</v>
      </c>
      <c r="E227" s="377">
        <v>20</v>
      </c>
      <c r="F227" s="291"/>
    </row>
    <row r="228" spans="1:6" ht="16.5" x14ac:dyDescent="0.3">
      <c r="A228" s="370">
        <v>227</v>
      </c>
      <c r="B228" s="375" t="s">
        <v>1616</v>
      </c>
      <c r="C228" s="384" t="s">
        <v>3236</v>
      </c>
      <c r="D228" s="377">
        <v>522143</v>
      </c>
      <c r="E228" s="377">
        <v>21</v>
      </c>
      <c r="F228" s="291" t="str">
        <f t="shared" si="4"/>
        <v>TMS:(522143,21)</v>
      </c>
    </row>
    <row r="229" spans="1:6" ht="16.5" x14ac:dyDescent="0.3">
      <c r="A229" s="370">
        <v>228</v>
      </c>
      <c r="B229" s="375" t="s">
        <v>1616</v>
      </c>
      <c r="C229" s="384" t="s">
        <v>3237</v>
      </c>
      <c r="D229" s="377">
        <v>522143</v>
      </c>
      <c r="E229" s="377">
        <v>2</v>
      </c>
      <c r="F229" s="291" t="str">
        <f t="shared" si="4"/>
        <v>TMS:(522143,2)</v>
      </c>
    </row>
    <row r="230" spans="1:6" ht="15.6" customHeight="1" x14ac:dyDescent="0.3">
      <c r="A230" s="370">
        <v>229</v>
      </c>
      <c r="B230" s="378" t="s">
        <v>1615</v>
      </c>
      <c r="C230" s="372" t="s">
        <v>3238</v>
      </c>
      <c r="D230" s="373">
        <v>521403</v>
      </c>
      <c r="E230" s="373">
        <v>12</v>
      </c>
      <c r="F230" s="291" t="str">
        <f t="shared" si="4"/>
        <v>TMS:(521403,12)</v>
      </c>
    </row>
    <row r="231" spans="1:6" ht="15.6" customHeight="1" x14ac:dyDescent="0.3">
      <c r="A231" s="370">
        <v>230</v>
      </c>
      <c r="B231" s="375" t="s">
        <v>1616</v>
      </c>
      <c r="C231" s="383" t="s">
        <v>3239</v>
      </c>
      <c r="D231" s="377">
        <v>522085</v>
      </c>
      <c r="E231" s="377">
        <v>5</v>
      </c>
      <c r="F231" s="291" t="str">
        <f t="shared" si="4"/>
        <v>TMS:(522085,5)</v>
      </c>
    </row>
    <row r="232" spans="1:6" ht="16.5" x14ac:dyDescent="0.3">
      <c r="A232" s="370">
        <v>231</v>
      </c>
      <c r="B232" s="375" t="s">
        <v>1616</v>
      </c>
      <c r="C232" s="383" t="s">
        <v>3240</v>
      </c>
      <c r="D232" s="377">
        <v>522085</v>
      </c>
      <c r="E232" s="377">
        <v>12</v>
      </c>
      <c r="F232" s="291" t="str">
        <f t="shared" si="4"/>
        <v>TMS:(522085,12)</v>
      </c>
    </row>
    <row r="233" spans="1:6" ht="13.9" customHeight="1" x14ac:dyDescent="0.3">
      <c r="A233" s="370">
        <v>232</v>
      </c>
      <c r="B233" s="377" t="s">
        <v>1617</v>
      </c>
      <c r="C233" s="383" t="s">
        <v>3241</v>
      </c>
      <c r="D233" s="377">
        <v>522085</v>
      </c>
      <c r="E233" s="377">
        <v>3</v>
      </c>
      <c r="F233" s="291"/>
    </row>
    <row r="234" spans="1:6" ht="15.6" customHeight="1" x14ac:dyDescent="0.3">
      <c r="A234" s="370">
        <v>233</v>
      </c>
      <c r="B234" s="377" t="s">
        <v>1617</v>
      </c>
      <c r="C234" s="383" t="s">
        <v>3242</v>
      </c>
      <c r="D234" s="377">
        <v>522085</v>
      </c>
      <c r="E234" s="377">
        <v>4</v>
      </c>
      <c r="F234" s="291"/>
    </row>
    <row r="235" spans="1:6" ht="21" customHeight="1" x14ac:dyDescent="0.3">
      <c r="A235" s="370">
        <v>234</v>
      </c>
      <c r="B235" s="377" t="s">
        <v>1617</v>
      </c>
      <c r="C235" s="383" t="s">
        <v>3243</v>
      </c>
      <c r="D235" s="377">
        <v>522085</v>
      </c>
      <c r="E235" s="377">
        <v>6</v>
      </c>
      <c r="F235" s="291"/>
    </row>
    <row r="236" spans="1:6" ht="25.9" customHeight="1" x14ac:dyDescent="0.3">
      <c r="A236" s="370">
        <v>235</v>
      </c>
      <c r="B236" s="377" t="s">
        <v>1617</v>
      </c>
      <c r="C236" s="383" t="s">
        <v>3244</v>
      </c>
      <c r="D236" s="377">
        <v>522085</v>
      </c>
      <c r="E236" s="377">
        <v>20</v>
      </c>
      <c r="F236" s="291"/>
    </row>
    <row r="237" spans="1:6" ht="16.5" x14ac:dyDescent="0.3">
      <c r="A237" s="370">
        <v>236</v>
      </c>
      <c r="B237" s="375" t="s">
        <v>1616</v>
      </c>
      <c r="C237" s="383" t="s">
        <v>3245</v>
      </c>
      <c r="D237" s="377">
        <v>522085</v>
      </c>
      <c r="E237" s="377">
        <v>22</v>
      </c>
      <c r="F237" s="291" t="str">
        <f t="shared" si="4"/>
        <v>TMS:(522085,22)</v>
      </c>
    </row>
    <row r="238" spans="1:6" ht="15.6" customHeight="1" x14ac:dyDescent="0.3">
      <c r="A238" s="370">
        <v>237</v>
      </c>
      <c r="B238" s="375" t="s">
        <v>1616</v>
      </c>
      <c r="C238" s="383" t="s">
        <v>3246</v>
      </c>
      <c r="D238" s="377">
        <v>522086</v>
      </c>
      <c r="E238" s="377">
        <v>5</v>
      </c>
      <c r="F238" s="291" t="str">
        <f t="shared" si="4"/>
        <v>TMS:(522086,5)</v>
      </c>
    </row>
    <row r="239" spans="1:6" ht="16.5" x14ac:dyDescent="0.3">
      <c r="A239" s="370">
        <v>238</v>
      </c>
      <c r="B239" s="375" t="s">
        <v>1616</v>
      </c>
      <c r="C239" s="383" t="s">
        <v>3247</v>
      </c>
      <c r="D239" s="377">
        <v>522086</v>
      </c>
      <c r="E239" s="377">
        <v>12</v>
      </c>
      <c r="F239" s="291" t="str">
        <f t="shared" si="4"/>
        <v>TMS:(522086,12)</v>
      </c>
    </row>
    <row r="240" spans="1:6" ht="16.899999999999999" customHeight="1" x14ac:dyDescent="0.3">
      <c r="A240" s="370">
        <v>239</v>
      </c>
      <c r="B240" s="377" t="s">
        <v>1617</v>
      </c>
      <c r="C240" s="383" t="s">
        <v>3248</v>
      </c>
      <c r="D240" s="377">
        <v>522086</v>
      </c>
      <c r="E240" s="377">
        <v>3</v>
      </c>
      <c r="F240" s="291"/>
    </row>
    <row r="241" spans="1:6" ht="22.15" customHeight="1" x14ac:dyDescent="0.3">
      <c r="A241" s="370">
        <v>240</v>
      </c>
      <c r="B241" s="377" t="s">
        <v>1617</v>
      </c>
      <c r="C241" s="383" t="s">
        <v>3249</v>
      </c>
      <c r="D241" s="377">
        <v>522086</v>
      </c>
      <c r="E241" s="377">
        <v>4</v>
      </c>
      <c r="F241" s="291"/>
    </row>
    <row r="242" spans="1:6" ht="20.45" customHeight="1" x14ac:dyDescent="0.3">
      <c r="A242" s="370">
        <v>241</v>
      </c>
      <c r="B242" s="377" t="s">
        <v>1617</v>
      </c>
      <c r="C242" s="383" t="s">
        <v>3250</v>
      </c>
      <c r="D242" s="377">
        <v>522086</v>
      </c>
      <c r="E242" s="377">
        <v>6</v>
      </c>
      <c r="F242" s="291"/>
    </row>
    <row r="243" spans="1:6" ht="23.45" customHeight="1" x14ac:dyDescent="0.3">
      <c r="A243" s="370">
        <v>242</v>
      </c>
      <c r="B243" s="377" t="s">
        <v>1617</v>
      </c>
      <c r="C243" s="383" t="s">
        <v>3251</v>
      </c>
      <c r="D243" s="377">
        <v>522086</v>
      </c>
      <c r="E243" s="377">
        <v>20</v>
      </c>
      <c r="F243" s="291"/>
    </row>
    <row r="244" spans="1:6" ht="16.5" x14ac:dyDescent="0.3">
      <c r="A244" s="370">
        <v>243</v>
      </c>
      <c r="B244" s="375" t="s">
        <v>1616</v>
      </c>
      <c r="C244" s="383" t="s">
        <v>3252</v>
      </c>
      <c r="D244" s="377">
        <v>522086</v>
      </c>
      <c r="E244" s="377">
        <v>22</v>
      </c>
      <c r="F244" s="291" t="str">
        <f t="shared" si="4"/>
        <v>TMS:(522086,22)</v>
      </c>
    </row>
    <row r="245" spans="1:6" ht="15.6" customHeight="1" x14ac:dyDescent="0.3">
      <c r="A245" s="370">
        <v>244</v>
      </c>
      <c r="B245" s="375" t="s">
        <v>1616</v>
      </c>
      <c r="C245" s="383" t="s">
        <v>3253</v>
      </c>
      <c r="D245" s="377">
        <v>522087</v>
      </c>
      <c r="E245" s="377">
        <v>5</v>
      </c>
      <c r="F245" s="291" t="str">
        <f t="shared" si="4"/>
        <v>TMS:(522087,5)</v>
      </c>
    </row>
    <row r="246" spans="1:6" ht="16.5" x14ac:dyDescent="0.3">
      <c r="A246" s="370">
        <v>245</v>
      </c>
      <c r="B246" s="375" t="s">
        <v>1616</v>
      </c>
      <c r="C246" s="383" t="s">
        <v>3254</v>
      </c>
      <c r="D246" s="377">
        <v>522087</v>
      </c>
      <c r="E246" s="377">
        <v>12</v>
      </c>
      <c r="F246" s="291" t="str">
        <f t="shared" si="4"/>
        <v>TMS:(522087,12)</v>
      </c>
    </row>
    <row r="247" spans="1:6" ht="21.6" customHeight="1" x14ac:dyDescent="0.3">
      <c r="A247" s="370">
        <v>246</v>
      </c>
      <c r="B247" s="377" t="s">
        <v>1617</v>
      </c>
      <c r="C247" s="383" t="s">
        <v>3255</v>
      </c>
      <c r="D247" s="377">
        <v>522087</v>
      </c>
      <c r="E247" s="377">
        <v>3</v>
      </c>
      <c r="F247" s="291"/>
    </row>
    <row r="248" spans="1:6" ht="19.899999999999999" customHeight="1" x14ac:dyDescent="0.3">
      <c r="A248" s="370">
        <v>247</v>
      </c>
      <c r="B248" s="377" t="s">
        <v>1617</v>
      </c>
      <c r="C248" s="383" t="s">
        <v>3256</v>
      </c>
      <c r="D248" s="377">
        <v>522087</v>
      </c>
      <c r="E248" s="377">
        <v>4</v>
      </c>
      <c r="F248" s="291"/>
    </row>
    <row r="249" spans="1:6" ht="20.45" customHeight="1" x14ac:dyDescent="0.3">
      <c r="A249" s="370">
        <v>248</v>
      </c>
      <c r="B249" s="377" t="s">
        <v>1617</v>
      </c>
      <c r="C249" s="383" t="s">
        <v>3257</v>
      </c>
      <c r="D249" s="377">
        <v>522087</v>
      </c>
      <c r="E249" s="377">
        <v>6</v>
      </c>
      <c r="F249" s="291"/>
    </row>
    <row r="250" spans="1:6" ht="22.9" customHeight="1" x14ac:dyDescent="0.3">
      <c r="A250" s="370">
        <v>249</v>
      </c>
      <c r="B250" s="377" t="s">
        <v>1617</v>
      </c>
      <c r="C250" s="383" t="s">
        <v>3258</v>
      </c>
      <c r="D250" s="377">
        <v>522087</v>
      </c>
      <c r="E250" s="377">
        <v>20</v>
      </c>
      <c r="F250" s="291"/>
    </row>
    <row r="251" spans="1:6" ht="16.5" x14ac:dyDescent="0.3">
      <c r="A251" s="370">
        <v>250</v>
      </c>
      <c r="B251" s="375" t="s">
        <v>1616</v>
      </c>
      <c r="C251" s="383" t="s">
        <v>3259</v>
      </c>
      <c r="D251" s="377">
        <v>522087</v>
      </c>
      <c r="E251" s="377">
        <v>22</v>
      </c>
      <c r="F251" s="291" t="str">
        <f t="shared" si="4"/>
        <v>TMS:(522087,22)</v>
      </c>
    </row>
    <row r="252" spans="1:6" ht="15.6" customHeight="1" x14ac:dyDescent="0.3">
      <c r="A252" s="370">
        <v>251</v>
      </c>
      <c r="B252" s="375" t="s">
        <v>1616</v>
      </c>
      <c r="C252" s="383" t="s">
        <v>3260</v>
      </c>
      <c r="D252" s="377">
        <v>522140</v>
      </c>
      <c r="E252" s="377">
        <v>5</v>
      </c>
      <c r="F252" s="291" t="str">
        <f t="shared" si="4"/>
        <v>TMS:(522140,5)</v>
      </c>
    </row>
    <row r="253" spans="1:6" ht="16.5" x14ac:dyDescent="0.3">
      <c r="A253" s="370">
        <v>252</v>
      </c>
      <c r="B253" s="375" t="s">
        <v>1616</v>
      </c>
      <c r="C253" s="383" t="s">
        <v>3261</v>
      </c>
      <c r="D253" s="377">
        <v>522140</v>
      </c>
      <c r="E253" s="377">
        <v>12</v>
      </c>
      <c r="F253" s="291" t="str">
        <f t="shared" si="4"/>
        <v>TMS:(522140,12)</v>
      </c>
    </row>
    <row r="254" spans="1:6" ht="15.6" customHeight="1" x14ac:dyDescent="0.3">
      <c r="A254" s="370">
        <v>253</v>
      </c>
      <c r="B254" s="377" t="s">
        <v>1617</v>
      </c>
      <c r="C254" s="383" t="s">
        <v>3262</v>
      </c>
      <c r="D254" s="377">
        <v>522140</v>
      </c>
      <c r="E254" s="377">
        <v>3</v>
      </c>
      <c r="F254" s="291"/>
    </row>
    <row r="255" spans="1:6" ht="15.6" customHeight="1" x14ac:dyDescent="0.3">
      <c r="A255" s="370">
        <v>254</v>
      </c>
      <c r="B255" s="377" t="s">
        <v>1617</v>
      </c>
      <c r="C255" s="383" t="s">
        <v>3263</v>
      </c>
      <c r="D255" s="377">
        <v>522140</v>
      </c>
      <c r="E255" s="377">
        <v>4</v>
      </c>
      <c r="F255" s="291"/>
    </row>
    <row r="256" spans="1:6" ht="15.6" customHeight="1" x14ac:dyDescent="0.3">
      <c r="A256" s="370">
        <v>255</v>
      </c>
      <c r="B256" s="377" t="s">
        <v>1617</v>
      </c>
      <c r="C256" s="383" t="s">
        <v>3264</v>
      </c>
      <c r="D256" s="377">
        <v>522140</v>
      </c>
      <c r="E256" s="377">
        <v>6</v>
      </c>
      <c r="F256" s="291"/>
    </row>
    <row r="257" spans="1:6" ht="15.6" customHeight="1" x14ac:dyDescent="0.3">
      <c r="A257" s="370">
        <v>256</v>
      </c>
      <c r="B257" s="377" t="s">
        <v>1617</v>
      </c>
      <c r="C257" s="383" t="s">
        <v>3265</v>
      </c>
      <c r="D257" s="377">
        <v>522140</v>
      </c>
      <c r="E257" s="377">
        <v>20</v>
      </c>
      <c r="F257" s="291"/>
    </row>
    <row r="258" spans="1:6" ht="16.5" x14ac:dyDescent="0.3">
      <c r="A258" s="370">
        <v>257</v>
      </c>
      <c r="B258" s="375" t="s">
        <v>1616</v>
      </c>
      <c r="C258" s="383" t="s">
        <v>3266</v>
      </c>
      <c r="D258" s="377">
        <v>522140</v>
      </c>
      <c r="E258" s="377">
        <v>22</v>
      </c>
      <c r="F258" s="291" t="str">
        <f t="shared" si="4"/>
        <v>TMS:(522140,22)</v>
      </c>
    </row>
    <row r="259" spans="1:6" ht="15.6" customHeight="1" x14ac:dyDescent="0.3">
      <c r="A259" s="370">
        <v>258</v>
      </c>
      <c r="B259" s="375" t="s">
        <v>1616</v>
      </c>
      <c r="C259" s="383" t="s">
        <v>3267</v>
      </c>
      <c r="D259" s="377">
        <v>522088</v>
      </c>
      <c r="E259" s="377">
        <v>5</v>
      </c>
      <c r="F259" s="291" t="str">
        <f t="shared" si="4"/>
        <v>TMS:(522088,5)</v>
      </c>
    </row>
    <row r="260" spans="1:6" ht="16.5" x14ac:dyDescent="0.3">
      <c r="A260" s="370">
        <v>259</v>
      </c>
      <c r="B260" s="375" t="s">
        <v>1616</v>
      </c>
      <c r="C260" s="383" t="s">
        <v>3268</v>
      </c>
      <c r="D260" s="377">
        <v>522088</v>
      </c>
      <c r="E260" s="377">
        <v>12</v>
      </c>
      <c r="F260" s="291" t="str">
        <f t="shared" si="4"/>
        <v>TMS:(522088,12)</v>
      </c>
    </row>
    <row r="261" spans="1:6" ht="15.6" customHeight="1" x14ac:dyDescent="0.3">
      <c r="A261" s="370">
        <v>260</v>
      </c>
      <c r="B261" s="377" t="s">
        <v>1617</v>
      </c>
      <c r="C261" s="383" t="s">
        <v>3269</v>
      </c>
      <c r="D261" s="377">
        <v>522088</v>
      </c>
      <c r="E261" s="377">
        <v>3</v>
      </c>
      <c r="F261" s="291"/>
    </row>
    <row r="262" spans="1:6" ht="15.6" customHeight="1" x14ac:dyDescent="0.3">
      <c r="A262" s="370">
        <v>261</v>
      </c>
      <c r="B262" s="377" t="s">
        <v>1617</v>
      </c>
      <c r="C262" s="383" t="s">
        <v>3270</v>
      </c>
      <c r="D262" s="377">
        <v>522088</v>
      </c>
      <c r="E262" s="377">
        <v>4</v>
      </c>
      <c r="F262" s="291"/>
    </row>
    <row r="263" spans="1:6" ht="15.6" customHeight="1" x14ac:dyDescent="0.3">
      <c r="A263" s="370">
        <v>262</v>
      </c>
      <c r="B263" s="377" t="s">
        <v>1617</v>
      </c>
      <c r="C263" s="383" t="s">
        <v>3271</v>
      </c>
      <c r="D263" s="377">
        <v>522088</v>
      </c>
      <c r="E263" s="377">
        <v>6</v>
      </c>
      <c r="F263" s="291"/>
    </row>
    <row r="264" spans="1:6" ht="15.6" customHeight="1" x14ac:dyDescent="0.3">
      <c r="A264" s="370">
        <v>263</v>
      </c>
      <c r="B264" s="377" t="s">
        <v>1617</v>
      </c>
      <c r="C264" s="383" t="s">
        <v>3272</v>
      </c>
      <c r="D264" s="377">
        <v>522088</v>
      </c>
      <c r="E264" s="377">
        <v>20</v>
      </c>
      <c r="F264" s="291"/>
    </row>
    <row r="265" spans="1:6" ht="16.5" x14ac:dyDescent="0.3">
      <c r="A265" s="370">
        <v>264</v>
      </c>
      <c r="B265" s="375" t="s">
        <v>1616</v>
      </c>
      <c r="C265" s="383" t="s">
        <v>3273</v>
      </c>
      <c r="D265" s="377">
        <v>522088</v>
      </c>
      <c r="E265" s="377">
        <v>22</v>
      </c>
      <c r="F265" s="291" t="str">
        <f t="shared" si="4"/>
        <v>TMS:(522088,22)</v>
      </c>
    </row>
    <row r="266" spans="1:6" ht="16.5" x14ac:dyDescent="0.3">
      <c r="A266" s="370">
        <v>265</v>
      </c>
      <c r="B266" s="375" t="s">
        <v>1616</v>
      </c>
      <c r="C266" s="383" t="s">
        <v>3273</v>
      </c>
      <c r="D266" s="377">
        <v>522088</v>
      </c>
      <c r="E266" s="377">
        <v>2</v>
      </c>
      <c r="F266" s="291" t="str">
        <f t="shared" si="4"/>
        <v>TMS:(522088,2)</v>
      </c>
    </row>
    <row r="267" spans="1:6" ht="15.6" customHeight="1" x14ac:dyDescent="0.3">
      <c r="A267" s="370">
        <v>266</v>
      </c>
      <c r="B267" s="375" t="s">
        <v>1616</v>
      </c>
      <c r="C267" s="383" t="s">
        <v>3274</v>
      </c>
      <c r="D267" s="377">
        <v>522089</v>
      </c>
      <c r="E267" s="377">
        <v>5</v>
      </c>
      <c r="F267" s="291" t="str">
        <f t="shared" ref="F267:F321" si="5">"TMS"&amp;":"&amp;"("&amp;D267&amp;","&amp;E267&amp;")"</f>
        <v>TMS:(522089,5)</v>
      </c>
    </row>
    <row r="268" spans="1:6" ht="16.5" x14ac:dyDescent="0.3">
      <c r="A268" s="370">
        <v>267</v>
      </c>
      <c r="B268" s="375" t="s">
        <v>1616</v>
      </c>
      <c r="C268" s="383" t="s">
        <v>3275</v>
      </c>
      <c r="D268" s="377">
        <v>522089</v>
      </c>
      <c r="E268" s="377">
        <v>12</v>
      </c>
      <c r="F268" s="291" t="str">
        <f t="shared" si="5"/>
        <v>TMS:(522089,12)</v>
      </c>
    </row>
    <row r="269" spans="1:6" ht="15.6" customHeight="1" x14ac:dyDescent="0.3">
      <c r="A269" s="370">
        <v>268</v>
      </c>
      <c r="B269" s="377" t="s">
        <v>1617</v>
      </c>
      <c r="C269" s="383" t="s">
        <v>3276</v>
      </c>
      <c r="D269" s="377">
        <v>522089</v>
      </c>
      <c r="E269" s="377">
        <v>3</v>
      </c>
      <c r="F269" s="291"/>
    </row>
    <row r="270" spans="1:6" ht="15.6" customHeight="1" x14ac:dyDescent="0.3">
      <c r="A270" s="370">
        <v>269</v>
      </c>
      <c r="B270" s="377" t="s">
        <v>1617</v>
      </c>
      <c r="C270" s="383" t="s">
        <v>3277</v>
      </c>
      <c r="D270" s="377">
        <v>522089</v>
      </c>
      <c r="E270" s="377">
        <v>4</v>
      </c>
      <c r="F270" s="291"/>
    </row>
    <row r="271" spans="1:6" ht="15.6" customHeight="1" x14ac:dyDescent="0.3">
      <c r="A271" s="370">
        <v>270</v>
      </c>
      <c r="B271" s="377" t="s">
        <v>1617</v>
      </c>
      <c r="C271" s="383" t="s">
        <v>3278</v>
      </c>
      <c r="D271" s="377">
        <v>522089</v>
      </c>
      <c r="E271" s="377">
        <v>6</v>
      </c>
      <c r="F271" s="291"/>
    </row>
    <row r="272" spans="1:6" ht="15.6" customHeight="1" x14ac:dyDescent="0.3">
      <c r="A272" s="370">
        <v>271</v>
      </c>
      <c r="B272" s="377" t="s">
        <v>1617</v>
      </c>
      <c r="C272" s="383" t="s">
        <v>3279</v>
      </c>
      <c r="D272" s="377">
        <v>522089</v>
      </c>
      <c r="E272" s="377">
        <v>20</v>
      </c>
      <c r="F272" s="291"/>
    </row>
    <row r="273" spans="1:6" ht="16.5" x14ac:dyDescent="0.3">
      <c r="A273" s="370">
        <v>272</v>
      </c>
      <c r="B273" s="375" t="s">
        <v>1616</v>
      </c>
      <c r="C273" s="383" t="s">
        <v>3280</v>
      </c>
      <c r="D273" s="377">
        <v>522089</v>
      </c>
      <c r="E273" s="377">
        <v>22</v>
      </c>
      <c r="F273" s="291" t="str">
        <f t="shared" si="5"/>
        <v>TMS:(522089,22)</v>
      </c>
    </row>
    <row r="274" spans="1:6" ht="16.5" x14ac:dyDescent="0.3">
      <c r="A274" s="370">
        <v>273</v>
      </c>
      <c r="B274" s="375" t="s">
        <v>1616</v>
      </c>
      <c r="C274" s="383" t="s">
        <v>3281</v>
      </c>
      <c r="D274" s="377">
        <v>522089</v>
      </c>
      <c r="E274" s="377">
        <v>2</v>
      </c>
      <c r="F274" s="291" t="str">
        <f t="shared" si="5"/>
        <v>TMS:(522089,2)</v>
      </c>
    </row>
    <row r="275" spans="1:6" ht="15.6" customHeight="1" x14ac:dyDescent="0.3">
      <c r="A275" s="370">
        <v>274</v>
      </c>
      <c r="B275" s="375" t="s">
        <v>1616</v>
      </c>
      <c r="C275" s="383" t="s">
        <v>3282</v>
      </c>
      <c r="D275" s="377">
        <v>522090</v>
      </c>
      <c r="E275" s="377">
        <v>5</v>
      </c>
      <c r="F275" s="291" t="str">
        <f t="shared" si="5"/>
        <v>TMS:(522090,5)</v>
      </c>
    </row>
    <row r="276" spans="1:6" ht="16.5" x14ac:dyDescent="0.3">
      <c r="A276" s="370">
        <v>275</v>
      </c>
      <c r="B276" s="375" t="s">
        <v>1616</v>
      </c>
      <c r="C276" s="383" t="s">
        <v>3283</v>
      </c>
      <c r="D276" s="377">
        <v>522090</v>
      </c>
      <c r="E276" s="377">
        <v>12</v>
      </c>
      <c r="F276" s="291" t="str">
        <f t="shared" si="5"/>
        <v>TMS:(522090,12)</v>
      </c>
    </row>
    <row r="277" spans="1:6" ht="15.6" customHeight="1" x14ac:dyDescent="0.3">
      <c r="A277" s="370">
        <v>276</v>
      </c>
      <c r="B277" s="377" t="s">
        <v>1617</v>
      </c>
      <c r="C277" s="383" t="s">
        <v>3284</v>
      </c>
      <c r="D277" s="377">
        <v>522090</v>
      </c>
      <c r="E277" s="377">
        <v>3</v>
      </c>
      <c r="F277" s="291"/>
    </row>
    <row r="278" spans="1:6" ht="15.6" customHeight="1" x14ac:dyDescent="0.3">
      <c r="A278" s="370">
        <v>277</v>
      </c>
      <c r="B278" s="377" t="s">
        <v>1617</v>
      </c>
      <c r="C278" s="383" t="s">
        <v>3285</v>
      </c>
      <c r="D278" s="377">
        <v>522090</v>
      </c>
      <c r="E278" s="377">
        <v>4</v>
      </c>
      <c r="F278" s="291"/>
    </row>
    <row r="279" spans="1:6" ht="15.6" customHeight="1" x14ac:dyDescent="0.3">
      <c r="A279" s="370">
        <v>278</v>
      </c>
      <c r="B279" s="377" t="s">
        <v>1617</v>
      </c>
      <c r="C279" s="383" t="s">
        <v>3286</v>
      </c>
      <c r="D279" s="377">
        <v>522090</v>
      </c>
      <c r="E279" s="377">
        <v>6</v>
      </c>
      <c r="F279" s="291"/>
    </row>
    <row r="280" spans="1:6" ht="15.6" customHeight="1" x14ac:dyDescent="0.3">
      <c r="A280" s="370">
        <v>279</v>
      </c>
      <c r="B280" s="377" t="s">
        <v>1617</v>
      </c>
      <c r="C280" s="383" t="s">
        <v>3287</v>
      </c>
      <c r="D280" s="377">
        <v>522090</v>
      </c>
      <c r="E280" s="377">
        <v>20</v>
      </c>
      <c r="F280" s="291"/>
    </row>
    <row r="281" spans="1:6" ht="16.5" x14ac:dyDescent="0.3">
      <c r="A281" s="370">
        <v>280</v>
      </c>
      <c r="B281" s="375" t="s">
        <v>1616</v>
      </c>
      <c r="C281" s="383" t="s">
        <v>3288</v>
      </c>
      <c r="D281" s="377">
        <v>522090</v>
      </c>
      <c r="E281" s="377">
        <v>22</v>
      </c>
      <c r="F281" s="291" t="str">
        <f t="shared" si="5"/>
        <v>TMS:(522090,22)</v>
      </c>
    </row>
    <row r="282" spans="1:6" ht="16.5" x14ac:dyDescent="0.3">
      <c r="A282" s="370">
        <v>281</v>
      </c>
      <c r="B282" s="375" t="s">
        <v>1616</v>
      </c>
      <c r="C282" s="383" t="s">
        <v>3289</v>
      </c>
      <c r="D282" s="377">
        <v>522090</v>
      </c>
      <c r="E282" s="377">
        <v>2</v>
      </c>
      <c r="F282" s="291" t="str">
        <f t="shared" si="5"/>
        <v>TMS:(522090,2)</v>
      </c>
    </row>
    <row r="283" spans="1:6" ht="15.6" customHeight="1" x14ac:dyDescent="0.3">
      <c r="A283" s="370">
        <v>282</v>
      </c>
      <c r="B283" s="375" t="s">
        <v>1616</v>
      </c>
      <c r="C283" s="384" t="s">
        <v>3290</v>
      </c>
      <c r="D283" s="377">
        <v>522105</v>
      </c>
      <c r="E283" s="377">
        <v>5</v>
      </c>
      <c r="F283" s="291" t="str">
        <f t="shared" si="5"/>
        <v>TMS:(522105,5)</v>
      </c>
    </row>
    <row r="284" spans="1:6" ht="30" customHeight="1" x14ac:dyDescent="0.3">
      <c r="A284" s="370">
        <v>283</v>
      </c>
      <c r="B284" s="375" t="s">
        <v>1616</v>
      </c>
      <c r="C284" s="384" t="s">
        <v>3291</v>
      </c>
      <c r="D284" s="377">
        <v>522105</v>
      </c>
      <c r="E284" s="377">
        <v>4</v>
      </c>
      <c r="F284" s="291" t="str">
        <f t="shared" si="5"/>
        <v>TMS:(522105,4)</v>
      </c>
    </row>
    <row r="285" spans="1:6" ht="16.5" x14ac:dyDescent="0.3">
      <c r="A285" s="370">
        <v>284</v>
      </c>
      <c r="B285" s="375" t="s">
        <v>1616</v>
      </c>
      <c r="C285" s="384" t="s">
        <v>3292</v>
      </c>
      <c r="D285" s="377">
        <v>522105</v>
      </c>
      <c r="E285" s="377">
        <v>3</v>
      </c>
      <c r="F285" s="291" t="str">
        <f t="shared" si="5"/>
        <v>TMS:(522105,3)</v>
      </c>
    </row>
    <row r="286" spans="1:6" ht="15.6" customHeight="1" x14ac:dyDescent="0.3">
      <c r="A286" s="370">
        <v>285</v>
      </c>
      <c r="B286" s="375" t="s">
        <v>1616</v>
      </c>
      <c r="C286" s="384" t="s">
        <v>3293</v>
      </c>
      <c r="D286" s="377">
        <v>522106</v>
      </c>
      <c r="E286" s="377">
        <v>5</v>
      </c>
      <c r="F286" s="291" t="str">
        <f t="shared" si="5"/>
        <v>TMS:(522106,5)</v>
      </c>
    </row>
    <row r="287" spans="1:6" ht="30" customHeight="1" x14ac:dyDescent="0.3">
      <c r="A287" s="370">
        <v>286</v>
      </c>
      <c r="B287" s="375" t="s">
        <v>1616</v>
      </c>
      <c r="C287" s="384" t="s">
        <v>3294</v>
      </c>
      <c r="D287" s="377">
        <v>522106</v>
      </c>
      <c r="E287" s="377">
        <v>4</v>
      </c>
      <c r="F287" s="291" t="str">
        <f t="shared" si="5"/>
        <v>TMS:(522106,4)</v>
      </c>
    </row>
    <row r="288" spans="1:6" ht="16.5" x14ac:dyDescent="0.3">
      <c r="A288" s="370">
        <v>287</v>
      </c>
      <c r="B288" s="375" t="s">
        <v>1616</v>
      </c>
      <c r="C288" s="384" t="s">
        <v>3295</v>
      </c>
      <c r="D288" s="377">
        <v>522106</v>
      </c>
      <c r="E288" s="377">
        <v>3</v>
      </c>
      <c r="F288" s="291" t="str">
        <f t="shared" si="5"/>
        <v>TMS:(522106,3)</v>
      </c>
    </row>
    <row r="289" spans="1:6" ht="15" customHeight="1" x14ac:dyDescent="0.3">
      <c r="A289" s="370">
        <v>288</v>
      </c>
      <c r="B289" s="375" t="s">
        <v>1616</v>
      </c>
      <c r="C289" s="384" t="s">
        <v>3296</v>
      </c>
      <c r="D289" s="377">
        <v>522107</v>
      </c>
      <c r="E289" s="377">
        <v>5</v>
      </c>
      <c r="F289" s="291" t="str">
        <f t="shared" si="5"/>
        <v>TMS:(522107,5)</v>
      </c>
    </row>
    <row r="290" spans="1:6" ht="16.5" x14ac:dyDescent="0.3">
      <c r="A290" s="370">
        <v>289</v>
      </c>
      <c r="B290" s="375" t="s">
        <v>1616</v>
      </c>
      <c r="C290" s="384" t="s">
        <v>3297</v>
      </c>
      <c r="D290" s="377">
        <v>522107</v>
      </c>
      <c r="E290" s="377">
        <v>4</v>
      </c>
      <c r="F290" s="291" t="str">
        <f t="shared" si="5"/>
        <v>TMS:(522107,4)</v>
      </c>
    </row>
    <row r="291" spans="1:6" ht="16.5" x14ac:dyDescent="0.3">
      <c r="A291" s="370">
        <v>290</v>
      </c>
      <c r="B291" s="375" t="s">
        <v>1616</v>
      </c>
      <c r="C291" s="384" t="s">
        <v>3298</v>
      </c>
      <c r="D291" s="377">
        <v>522107</v>
      </c>
      <c r="E291" s="377">
        <v>3</v>
      </c>
      <c r="F291" s="291" t="str">
        <f t="shared" si="5"/>
        <v>TMS:(522107,3)</v>
      </c>
    </row>
    <row r="292" spans="1:6" ht="15.6" customHeight="1" x14ac:dyDescent="0.3">
      <c r="A292" s="370">
        <v>291</v>
      </c>
      <c r="B292" s="380" t="s">
        <v>1616</v>
      </c>
      <c r="C292" s="384" t="s">
        <v>3299</v>
      </c>
      <c r="D292" s="373">
        <v>522108</v>
      </c>
      <c r="E292" s="377">
        <v>5</v>
      </c>
      <c r="F292" s="291" t="str">
        <f t="shared" si="5"/>
        <v>TMS:(522108,5)</v>
      </c>
    </row>
    <row r="293" spans="1:6" ht="16.5" x14ac:dyDescent="0.3">
      <c r="A293" s="370">
        <v>292</v>
      </c>
      <c r="B293" s="380" t="s">
        <v>1616</v>
      </c>
      <c r="C293" s="384" t="s">
        <v>3300</v>
      </c>
      <c r="D293" s="373">
        <v>522108</v>
      </c>
      <c r="E293" s="377">
        <v>4</v>
      </c>
      <c r="F293" s="291" t="str">
        <f t="shared" si="5"/>
        <v>TMS:(522108,4)</v>
      </c>
    </row>
    <row r="294" spans="1:6" ht="30" customHeight="1" x14ac:dyDescent="0.3">
      <c r="A294" s="370">
        <v>293</v>
      </c>
      <c r="B294" s="373" t="s">
        <v>1617</v>
      </c>
      <c r="C294" s="384" t="s">
        <v>3301</v>
      </c>
      <c r="D294" s="373">
        <v>522108</v>
      </c>
      <c r="E294" s="377">
        <v>3</v>
      </c>
      <c r="F294" s="291"/>
    </row>
    <row r="295" spans="1:6" ht="15.6" customHeight="1" x14ac:dyDescent="0.3">
      <c r="A295" s="370">
        <v>294</v>
      </c>
      <c r="B295" s="373" t="s">
        <v>1617</v>
      </c>
      <c r="C295" s="384" t="s">
        <v>3302</v>
      </c>
      <c r="D295" s="373">
        <v>522108</v>
      </c>
      <c r="E295" s="377">
        <v>12</v>
      </c>
      <c r="F295" s="291"/>
    </row>
    <row r="296" spans="1:6" ht="15.6" customHeight="1" x14ac:dyDescent="0.3">
      <c r="A296" s="370">
        <v>295</v>
      </c>
      <c r="B296" s="373" t="s">
        <v>1617</v>
      </c>
      <c r="C296" s="384" t="s">
        <v>3303</v>
      </c>
      <c r="D296" s="373">
        <v>522108</v>
      </c>
      <c r="E296" s="377">
        <v>13</v>
      </c>
      <c r="F296" s="291"/>
    </row>
    <row r="297" spans="1:6" ht="16.5" x14ac:dyDescent="0.3">
      <c r="A297" s="370">
        <v>296</v>
      </c>
      <c r="B297" s="380" t="s">
        <v>1616</v>
      </c>
      <c r="C297" s="384" t="s">
        <v>3304</v>
      </c>
      <c r="D297" s="373">
        <v>522108</v>
      </c>
      <c r="E297" s="377">
        <v>2</v>
      </c>
      <c r="F297" s="291" t="str">
        <f t="shared" si="5"/>
        <v>TMS:(522108,2)</v>
      </c>
    </row>
    <row r="298" spans="1:6" ht="15.6" customHeight="1" x14ac:dyDescent="0.3">
      <c r="A298" s="370">
        <v>297</v>
      </c>
      <c r="B298" s="375" t="s">
        <v>1616</v>
      </c>
      <c r="C298" s="384" t="s">
        <v>3305</v>
      </c>
      <c r="D298" s="377">
        <v>522109</v>
      </c>
      <c r="E298" s="377">
        <v>5</v>
      </c>
      <c r="F298" s="291" t="str">
        <f t="shared" si="5"/>
        <v>TMS:(522109,5)</v>
      </c>
    </row>
    <row r="299" spans="1:6" ht="16.5" x14ac:dyDescent="0.3">
      <c r="A299" s="370">
        <v>298</v>
      </c>
      <c r="B299" s="375" t="s">
        <v>1616</v>
      </c>
      <c r="C299" s="384" t="s">
        <v>3306</v>
      </c>
      <c r="D299" s="377">
        <v>522109</v>
      </c>
      <c r="E299" s="377">
        <v>4</v>
      </c>
      <c r="F299" s="291" t="str">
        <f t="shared" si="5"/>
        <v>TMS:(522109,4)</v>
      </c>
    </row>
    <row r="300" spans="1:6" ht="30" customHeight="1" x14ac:dyDescent="0.3">
      <c r="A300" s="370">
        <v>299</v>
      </c>
      <c r="B300" s="373" t="s">
        <v>1617</v>
      </c>
      <c r="C300" s="384" t="s">
        <v>3307</v>
      </c>
      <c r="D300" s="377">
        <v>522109</v>
      </c>
      <c r="E300" s="377">
        <v>3</v>
      </c>
      <c r="F300" s="291"/>
    </row>
    <row r="301" spans="1:6" ht="15.6" customHeight="1" x14ac:dyDescent="0.3">
      <c r="A301" s="370">
        <v>300</v>
      </c>
      <c r="B301" s="373" t="s">
        <v>1617</v>
      </c>
      <c r="C301" s="384" t="s">
        <v>3308</v>
      </c>
      <c r="D301" s="377">
        <v>522109</v>
      </c>
      <c r="E301" s="377">
        <v>12</v>
      </c>
      <c r="F301" s="291"/>
    </row>
    <row r="302" spans="1:6" ht="15.6" customHeight="1" x14ac:dyDescent="0.3">
      <c r="A302" s="370">
        <v>301</v>
      </c>
      <c r="B302" s="373" t="s">
        <v>1617</v>
      </c>
      <c r="C302" s="384" t="s">
        <v>3309</v>
      </c>
      <c r="D302" s="377">
        <v>522109</v>
      </c>
      <c r="E302" s="377">
        <v>13</v>
      </c>
      <c r="F302" s="291"/>
    </row>
    <row r="303" spans="1:6" ht="16.5" x14ac:dyDescent="0.3">
      <c r="A303" s="370">
        <v>302</v>
      </c>
      <c r="B303" s="375" t="s">
        <v>1616</v>
      </c>
      <c r="C303" s="384" t="s">
        <v>3310</v>
      </c>
      <c r="D303" s="377">
        <v>522109</v>
      </c>
      <c r="E303" s="377">
        <v>2</v>
      </c>
      <c r="F303" s="291" t="str">
        <f t="shared" si="5"/>
        <v>TMS:(522109,2)</v>
      </c>
    </row>
    <row r="304" spans="1:6" ht="15.6" customHeight="1" x14ac:dyDescent="0.3">
      <c r="A304" s="370">
        <v>303</v>
      </c>
      <c r="B304" s="375" t="s">
        <v>1616</v>
      </c>
      <c r="C304" s="385" t="s">
        <v>3311</v>
      </c>
      <c r="D304" s="377">
        <v>522110</v>
      </c>
      <c r="E304" s="377">
        <v>5</v>
      </c>
      <c r="F304" s="291" t="str">
        <f t="shared" si="5"/>
        <v>TMS:(522110,5)</v>
      </c>
    </row>
    <row r="305" spans="1:6" ht="16.5" x14ac:dyDescent="0.3">
      <c r="A305" s="370">
        <v>304</v>
      </c>
      <c r="B305" s="375" t="s">
        <v>1616</v>
      </c>
      <c r="C305" s="385" t="s">
        <v>3312</v>
      </c>
      <c r="D305" s="377">
        <v>522110</v>
      </c>
      <c r="E305" s="377">
        <v>4</v>
      </c>
      <c r="F305" s="291" t="str">
        <f t="shared" si="5"/>
        <v>TMS:(522110,4)</v>
      </c>
    </row>
    <row r="306" spans="1:6" ht="16.5" x14ac:dyDescent="0.3">
      <c r="A306" s="370">
        <v>305</v>
      </c>
      <c r="B306" s="375" t="s">
        <v>1616</v>
      </c>
      <c r="C306" s="385" t="s">
        <v>3313</v>
      </c>
      <c r="D306" s="377">
        <v>522110</v>
      </c>
      <c r="E306" s="377">
        <v>3</v>
      </c>
      <c r="F306" s="291" t="str">
        <f t="shared" si="5"/>
        <v>TMS:(522110,3)</v>
      </c>
    </row>
    <row r="307" spans="1:6" ht="15" customHeight="1" x14ac:dyDescent="0.3">
      <c r="A307" s="370">
        <v>306</v>
      </c>
      <c r="B307" s="380" t="s">
        <v>1616</v>
      </c>
      <c r="C307" s="384" t="s">
        <v>3314</v>
      </c>
      <c r="D307" s="373">
        <v>522144</v>
      </c>
      <c r="E307" s="377">
        <v>5</v>
      </c>
      <c r="F307" s="291" t="str">
        <f t="shared" si="5"/>
        <v>TMS:(522144,5)</v>
      </c>
    </row>
    <row r="308" spans="1:6" ht="15" customHeight="1" x14ac:dyDescent="0.3">
      <c r="A308" s="370">
        <v>307</v>
      </c>
      <c r="B308" s="380" t="s">
        <v>1616</v>
      </c>
      <c r="C308" s="384" t="s">
        <v>3315</v>
      </c>
      <c r="D308" s="373">
        <v>522144</v>
      </c>
      <c r="E308" s="377">
        <v>4</v>
      </c>
      <c r="F308" s="291" t="str">
        <f t="shared" si="5"/>
        <v>TMS:(522144,4)</v>
      </c>
    </row>
    <row r="309" spans="1:6" ht="16.5" x14ac:dyDescent="0.3">
      <c r="A309" s="370">
        <v>308</v>
      </c>
      <c r="B309" s="373" t="s">
        <v>1617</v>
      </c>
      <c r="C309" s="384" t="s">
        <v>3316</v>
      </c>
      <c r="D309" s="373">
        <v>522144</v>
      </c>
      <c r="E309" s="377">
        <v>3</v>
      </c>
      <c r="F309" s="291"/>
    </row>
    <row r="310" spans="1:6" ht="15.6" customHeight="1" x14ac:dyDescent="0.3">
      <c r="A310" s="370">
        <v>309</v>
      </c>
      <c r="B310" s="373" t="s">
        <v>1617</v>
      </c>
      <c r="C310" s="384" t="s">
        <v>3317</v>
      </c>
      <c r="D310" s="373">
        <v>522144</v>
      </c>
      <c r="E310" s="377">
        <v>12</v>
      </c>
      <c r="F310" s="291"/>
    </row>
    <row r="311" spans="1:6" ht="16.5" x14ac:dyDescent="0.3">
      <c r="A311" s="370">
        <v>310</v>
      </c>
      <c r="B311" s="373" t="s">
        <v>1617</v>
      </c>
      <c r="C311" s="384" t="s">
        <v>3318</v>
      </c>
      <c r="D311" s="373">
        <v>522144</v>
      </c>
      <c r="E311" s="377">
        <v>13</v>
      </c>
      <c r="F311" s="291"/>
    </row>
    <row r="312" spans="1:6" ht="16.5" x14ac:dyDescent="0.3">
      <c r="A312" s="370">
        <v>311</v>
      </c>
      <c r="B312" s="380" t="s">
        <v>1616</v>
      </c>
      <c r="C312" s="384" t="s">
        <v>3319</v>
      </c>
      <c r="D312" s="373">
        <v>522144</v>
      </c>
      <c r="E312" s="377">
        <v>2</v>
      </c>
      <c r="F312" s="291" t="str">
        <f t="shared" si="5"/>
        <v>TMS:(522144,2)</v>
      </c>
    </row>
    <row r="313" spans="1:6" ht="16.5" x14ac:dyDescent="0.3">
      <c r="A313" s="370">
        <v>312</v>
      </c>
      <c r="B313" s="380" t="s">
        <v>1616</v>
      </c>
      <c r="C313" s="384" t="s">
        <v>3320</v>
      </c>
      <c r="D313" s="373">
        <v>522145</v>
      </c>
      <c r="E313" s="377">
        <v>5</v>
      </c>
      <c r="F313" s="291" t="str">
        <f t="shared" si="5"/>
        <v>TMS:(522145,5)</v>
      </c>
    </row>
    <row r="314" spans="1:6" ht="15.6" customHeight="1" x14ac:dyDescent="0.3">
      <c r="A314" s="370">
        <v>313</v>
      </c>
      <c r="B314" s="380" t="s">
        <v>1616</v>
      </c>
      <c r="C314" s="384" t="s">
        <v>3321</v>
      </c>
      <c r="D314" s="373">
        <v>522145</v>
      </c>
      <c r="E314" s="377">
        <v>4</v>
      </c>
      <c r="F314" s="291" t="str">
        <f t="shared" si="5"/>
        <v>TMS:(522145,4)</v>
      </c>
    </row>
    <row r="315" spans="1:6" ht="16.5" x14ac:dyDescent="0.3">
      <c r="A315" s="370">
        <v>314</v>
      </c>
      <c r="B315" s="373" t="s">
        <v>1617</v>
      </c>
      <c r="C315" s="384" t="s">
        <v>3322</v>
      </c>
      <c r="D315" s="373">
        <v>522145</v>
      </c>
      <c r="E315" s="377">
        <v>3</v>
      </c>
      <c r="F315" s="291"/>
    </row>
    <row r="316" spans="1:6" ht="16.5" x14ac:dyDescent="0.3">
      <c r="A316" s="370">
        <v>315</v>
      </c>
      <c r="B316" s="373" t="s">
        <v>1617</v>
      </c>
      <c r="C316" s="384" t="s">
        <v>3323</v>
      </c>
      <c r="D316" s="373">
        <v>522145</v>
      </c>
      <c r="E316" s="377">
        <v>12</v>
      </c>
      <c r="F316" s="291"/>
    </row>
    <row r="317" spans="1:6" ht="16.5" x14ac:dyDescent="0.3">
      <c r="A317" s="370">
        <v>316</v>
      </c>
      <c r="B317" s="373" t="s">
        <v>1617</v>
      </c>
      <c r="C317" s="384" t="s">
        <v>3324</v>
      </c>
      <c r="D317" s="373">
        <v>522145</v>
      </c>
      <c r="E317" s="377">
        <v>13</v>
      </c>
      <c r="F317" s="291"/>
    </row>
    <row r="318" spans="1:6" ht="16.5" x14ac:dyDescent="0.3">
      <c r="A318" s="370">
        <v>317</v>
      </c>
      <c r="B318" s="380" t="s">
        <v>1616</v>
      </c>
      <c r="C318" s="384" t="s">
        <v>3325</v>
      </c>
      <c r="D318" s="373">
        <v>522145</v>
      </c>
      <c r="E318" s="377">
        <v>2</v>
      </c>
      <c r="F318" s="291" t="str">
        <f t="shared" si="5"/>
        <v>TMS:(522145,2)</v>
      </c>
    </row>
    <row r="319" spans="1:6" ht="16.5" x14ac:dyDescent="0.3">
      <c r="A319" s="370">
        <v>318</v>
      </c>
      <c r="B319" s="375" t="s">
        <v>1616</v>
      </c>
      <c r="C319" s="385" t="s">
        <v>3311</v>
      </c>
      <c r="D319" s="377">
        <v>522146</v>
      </c>
      <c r="E319" s="377">
        <v>5</v>
      </c>
      <c r="F319" s="291" t="str">
        <f t="shared" si="5"/>
        <v>TMS:(522146,5)</v>
      </c>
    </row>
    <row r="320" spans="1:6" ht="16.5" x14ac:dyDescent="0.3">
      <c r="A320" s="370">
        <v>319</v>
      </c>
      <c r="B320" s="375" t="s">
        <v>1616</v>
      </c>
      <c r="C320" s="385" t="s">
        <v>3312</v>
      </c>
      <c r="D320" s="377">
        <v>522146</v>
      </c>
      <c r="E320" s="377">
        <v>4</v>
      </c>
      <c r="F320" s="291" t="str">
        <f t="shared" si="5"/>
        <v>TMS:(522146,4)</v>
      </c>
    </row>
    <row r="321" spans="1:6" ht="16.5" x14ac:dyDescent="0.3">
      <c r="A321" s="370">
        <v>320</v>
      </c>
      <c r="B321" s="375" t="s">
        <v>1616</v>
      </c>
      <c r="C321" s="385" t="s">
        <v>3313</v>
      </c>
      <c r="D321" s="377">
        <v>522146</v>
      </c>
      <c r="E321" s="377">
        <v>3</v>
      </c>
      <c r="F321" s="291" t="str">
        <f t="shared" si="5"/>
        <v>TMS:(522146,3)</v>
      </c>
    </row>
    <row r="322" spans="1:6" x14ac:dyDescent="0.35">
      <c r="A322" s="370">
        <v>321</v>
      </c>
      <c r="B322" s="380" t="s">
        <v>1616</v>
      </c>
      <c r="C322" s="381" t="s">
        <v>3326</v>
      </c>
      <c r="D322" s="386">
        <v>522124</v>
      </c>
      <c r="E322" s="386">
        <v>18</v>
      </c>
      <c r="F322" s="387" t="s">
        <v>3335</v>
      </c>
    </row>
    <row r="323" spans="1:6" x14ac:dyDescent="0.35">
      <c r="A323" s="370">
        <v>322</v>
      </c>
      <c r="B323" s="380" t="s">
        <v>1616</v>
      </c>
      <c r="C323" s="381" t="s">
        <v>3327</v>
      </c>
      <c r="D323" s="386">
        <v>522125</v>
      </c>
      <c r="E323" s="386">
        <v>18</v>
      </c>
      <c r="F323" s="387" t="s">
        <v>3335</v>
      </c>
    </row>
    <row r="324" spans="1:6" ht="16.5" x14ac:dyDescent="0.3">
      <c r="A324" s="370">
        <v>323</v>
      </c>
      <c r="B324" s="380" t="s">
        <v>1616</v>
      </c>
      <c r="C324" s="381" t="s">
        <v>3328</v>
      </c>
      <c r="D324" s="377">
        <v>522126</v>
      </c>
      <c r="E324" s="373">
        <v>16</v>
      </c>
      <c r="F324" s="291" t="str">
        <f t="shared" ref="F324:F327" si="6">"TMS"&amp;":"&amp;"("&amp;D324&amp;","&amp;E324&amp;")"</f>
        <v>TMS:(522126,16)</v>
      </c>
    </row>
    <row r="325" spans="1:6" ht="16.5" x14ac:dyDescent="0.3">
      <c r="A325" s="370">
        <v>324</v>
      </c>
      <c r="B325" s="380" t="s">
        <v>1616</v>
      </c>
      <c r="C325" s="381" t="s">
        <v>3329</v>
      </c>
      <c r="D325" s="377">
        <v>522134</v>
      </c>
      <c r="E325" s="373">
        <v>16</v>
      </c>
      <c r="F325" s="291" t="str">
        <f t="shared" si="6"/>
        <v>TMS:(522134,16)</v>
      </c>
    </row>
    <row r="326" spans="1:6" ht="16.5" x14ac:dyDescent="0.3">
      <c r="A326" s="370">
        <v>325</v>
      </c>
      <c r="B326" s="380" t="s">
        <v>1616</v>
      </c>
      <c r="C326" s="381" t="s">
        <v>3330</v>
      </c>
      <c r="D326" s="377">
        <v>522127</v>
      </c>
      <c r="E326" s="373">
        <v>18</v>
      </c>
      <c r="F326" s="291" t="str">
        <f t="shared" si="6"/>
        <v>TMS:(522127,18)</v>
      </c>
    </row>
    <row r="327" spans="1:6" ht="16.5" x14ac:dyDescent="0.3">
      <c r="A327" s="370">
        <v>326</v>
      </c>
      <c r="B327" s="380" t="s">
        <v>1616</v>
      </c>
      <c r="C327" s="381" t="s">
        <v>3331</v>
      </c>
      <c r="D327" s="377">
        <v>522137</v>
      </c>
      <c r="E327" s="373">
        <v>18</v>
      </c>
      <c r="F327" s="291" t="str">
        <f t="shared" si="6"/>
        <v>TMS:(522137,18)</v>
      </c>
    </row>
  </sheetData>
  <autoFilter ref="A1:V327" xr:uid="{2B4B1B66-7A68-498D-8223-FB89CB2D47AB}"/>
  <phoneticPr fontId="6" type="noConversion"/>
  <conditionalFormatting sqref="C24">
    <cfRule type="duplicateValues" dxfId="37" priority="1"/>
  </conditionalFormatting>
  <conditionalFormatting sqref="C25">
    <cfRule type="duplicateValues" dxfId="36" priority="2"/>
  </conditionalFormatting>
  <conditionalFormatting sqref="C26">
    <cfRule type="duplicateValues" dxfId="35" priority="3"/>
  </conditionalFormatting>
  <conditionalFormatting sqref="C27">
    <cfRule type="duplicateValues" dxfId="34" priority="4"/>
  </conditionalFormatting>
  <conditionalFormatting sqref="C28">
    <cfRule type="duplicateValues" dxfId="33" priority="5"/>
  </conditionalFormatting>
  <conditionalFormatting sqref="C29">
    <cfRule type="duplicateValues" dxfId="32" priority="6"/>
  </conditionalFormatting>
  <conditionalFormatting sqref="C30">
    <cfRule type="duplicateValues" dxfId="31" priority="7"/>
  </conditionalFormatting>
  <conditionalFormatting sqref="C31">
    <cfRule type="duplicateValues" dxfId="30" priority="8"/>
  </conditionalFormatting>
  <conditionalFormatting sqref="C38">
    <cfRule type="duplicateValues" dxfId="29" priority="9"/>
  </conditionalFormatting>
  <conditionalFormatting sqref="C39">
    <cfRule type="duplicateValues" dxfId="28" priority="10"/>
  </conditionalFormatting>
  <conditionalFormatting sqref="C40">
    <cfRule type="duplicateValues" dxfId="27" priority="11"/>
  </conditionalFormatting>
  <conditionalFormatting sqref="C41">
    <cfRule type="duplicateValues" dxfId="26" priority="12"/>
  </conditionalFormatting>
  <conditionalFormatting sqref="C42">
    <cfRule type="duplicateValues" dxfId="25" priority="13"/>
  </conditionalFormatting>
  <conditionalFormatting sqref="C43">
    <cfRule type="duplicateValues" dxfId="24" priority="14"/>
  </conditionalFormatting>
  <conditionalFormatting sqref="C44">
    <cfRule type="duplicateValues" dxfId="23" priority="15"/>
  </conditionalFormatting>
  <conditionalFormatting sqref="C45">
    <cfRule type="duplicateValues" dxfId="22" priority="16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13"/>
  <sheetViews>
    <sheetView workbookViewId="0">
      <selection activeCell="E35" sqref="E35"/>
    </sheetView>
  </sheetViews>
  <sheetFormatPr defaultRowHeight="16.5" x14ac:dyDescent="0.15"/>
  <cols>
    <col min="1" max="1" width="9" style="392"/>
    <col min="2" max="2" width="18" style="392" customWidth="1"/>
    <col min="3" max="4" width="9" style="392"/>
    <col min="5" max="5" width="48.75" style="392" customWidth="1"/>
    <col min="6" max="6" width="38.5" style="392" customWidth="1"/>
    <col min="7" max="16384" width="9" style="392"/>
  </cols>
  <sheetData>
    <row r="1" spans="1:6" ht="30.75" customHeight="1" x14ac:dyDescent="0.15">
      <c r="A1" s="391" t="s">
        <v>1703</v>
      </c>
    </row>
    <row r="2" spans="1:6" x14ac:dyDescent="0.15">
      <c r="A2" s="393" t="s">
        <v>0</v>
      </c>
      <c r="B2" s="393" t="s">
        <v>1378</v>
      </c>
      <c r="C2" s="393" t="s">
        <v>1045</v>
      </c>
      <c r="D2" s="394" t="s">
        <v>1044</v>
      </c>
      <c r="E2" s="393" t="s">
        <v>1102</v>
      </c>
    </row>
    <row r="3" spans="1:6" ht="16.149999999999999" customHeight="1" x14ac:dyDescent="0.15">
      <c r="A3" s="102">
        <v>1</v>
      </c>
      <c r="B3" s="104" t="s">
        <v>1379</v>
      </c>
      <c r="C3" s="102">
        <v>521950</v>
      </c>
      <c r="D3" s="102">
        <v>0</v>
      </c>
      <c r="E3" s="104" t="str">
        <f>"LSCU"&amp;":"&amp;"("&amp;C3&amp;","&amp;D3&amp;")"</f>
        <v>LSCU:(521950,0)</v>
      </c>
      <c r="F3" s="392" t="s">
        <v>1390</v>
      </c>
    </row>
    <row r="4" spans="1:6" ht="16.149999999999999" customHeight="1" x14ac:dyDescent="0.15">
      <c r="A4" s="102">
        <v>2</v>
      </c>
      <c r="B4" s="104" t="s">
        <v>1380</v>
      </c>
      <c r="C4" s="102">
        <v>521951</v>
      </c>
      <c r="D4" s="102">
        <v>0</v>
      </c>
      <c r="E4" s="104" t="str">
        <f t="shared" ref="E4:E13" si="0">"LSCU"&amp;":"&amp;"("&amp;C4&amp;","&amp;D4&amp;")"</f>
        <v>LSCU:(521951,0)</v>
      </c>
      <c r="F4" s="392" t="s">
        <v>1390</v>
      </c>
    </row>
    <row r="5" spans="1:6" ht="16.149999999999999" customHeight="1" x14ac:dyDescent="0.15">
      <c r="A5" s="102">
        <v>3</v>
      </c>
      <c r="B5" s="104" t="s">
        <v>1381</v>
      </c>
      <c r="C5" s="102">
        <v>521952</v>
      </c>
      <c r="D5" s="102">
        <v>12</v>
      </c>
      <c r="E5" s="104" t="str">
        <f t="shared" si="0"/>
        <v>LSCU:(521952,12)</v>
      </c>
      <c r="F5" s="392" t="s">
        <v>1390</v>
      </c>
    </row>
    <row r="6" spans="1:6" ht="16.149999999999999" customHeight="1" x14ac:dyDescent="0.15">
      <c r="A6" s="102">
        <v>4</v>
      </c>
      <c r="B6" s="104" t="s">
        <v>1382</v>
      </c>
      <c r="C6" s="102">
        <v>521953</v>
      </c>
      <c r="D6" s="102">
        <v>0</v>
      </c>
      <c r="E6" s="104" t="str">
        <f t="shared" si="0"/>
        <v>LSCU:(521953,0)</v>
      </c>
      <c r="F6" s="392" t="s">
        <v>1390</v>
      </c>
    </row>
    <row r="7" spans="1:6" ht="16.149999999999999" customHeight="1" x14ac:dyDescent="0.15">
      <c r="A7" s="102">
        <v>5</v>
      </c>
      <c r="B7" s="104" t="s">
        <v>1383</v>
      </c>
      <c r="C7" s="102">
        <v>521954</v>
      </c>
      <c r="D7" s="102">
        <v>0</v>
      </c>
      <c r="E7" s="104" t="str">
        <f t="shared" si="0"/>
        <v>LSCU:(521954,0)</v>
      </c>
      <c r="F7" s="392" t="s">
        <v>1390</v>
      </c>
    </row>
    <row r="8" spans="1:6" ht="16.149999999999999" customHeight="1" x14ac:dyDescent="0.15">
      <c r="A8" s="102">
        <v>6</v>
      </c>
      <c r="B8" s="104" t="s">
        <v>1384</v>
      </c>
      <c r="C8" s="102">
        <v>521955</v>
      </c>
      <c r="D8" s="102">
        <v>0</v>
      </c>
      <c r="E8" s="104" t="str">
        <f t="shared" si="0"/>
        <v>LSCU:(521955,0)</v>
      </c>
      <c r="F8" s="392" t="s">
        <v>1390</v>
      </c>
    </row>
    <row r="9" spans="1:6" ht="16.149999999999999" customHeight="1" x14ac:dyDescent="0.15">
      <c r="A9" s="102">
        <v>7</v>
      </c>
      <c r="B9" s="104" t="s">
        <v>1385</v>
      </c>
      <c r="C9" s="102">
        <v>521956</v>
      </c>
      <c r="D9" s="102">
        <v>8</v>
      </c>
      <c r="E9" s="104" t="str">
        <f t="shared" si="0"/>
        <v>LSCU:(521956,8)</v>
      </c>
      <c r="F9" s="392" t="s">
        <v>1390</v>
      </c>
    </row>
    <row r="10" spans="1:6" ht="16.149999999999999" customHeight="1" x14ac:dyDescent="0.15">
      <c r="A10" s="102">
        <v>8</v>
      </c>
      <c r="B10" s="104" t="s">
        <v>1386</v>
      </c>
      <c r="C10" s="102">
        <v>521957</v>
      </c>
      <c r="D10" s="102">
        <v>23</v>
      </c>
      <c r="E10" s="104" t="str">
        <f t="shared" si="0"/>
        <v>LSCU:(521957,23)</v>
      </c>
      <c r="F10" s="392" t="s">
        <v>1390</v>
      </c>
    </row>
    <row r="11" spans="1:6" ht="16.149999999999999" customHeight="1" x14ac:dyDescent="0.15">
      <c r="A11" s="102">
        <v>9</v>
      </c>
      <c r="B11" s="104" t="s">
        <v>1388</v>
      </c>
      <c r="C11" s="102">
        <v>521957</v>
      </c>
      <c r="D11" s="102">
        <v>2</v>
      </c>
      <c r="E11" s="104" t="str">
        <f t="shared" si="0"/>
        <v>LSCU:(521957,2)</v>
      </c>
      <c r="F11" s="392" t="s">
        <v>1390</v>
      </c>
    </row>
    <row r="12" spans="1:6" ht="16.149999999999999" customHeight="1" x14ac:dyDescent="0.15">
      <c r="A12" s="102">
        <v>10</v>
      </c>
      <c r="B12" s="104" t="s">
        <v>1387</v>
      </c>
      <c r="C12" s="102">
        <v>521958</v>
      </c>
      <c r="D12" s="102">
        <v>0</v>
      </c>
      <c r="E12" s="104" t="str">
        <f t="shared" si="0"/>
        <v>LSCU:(521958,0)</v>
      </c>
      <c r="F12" s="392" t="s">
        <v>1390</v>
      </c>
    </row>
    <row r="13" spans="1:6" ht="16.149999999999999" customHeight="1" x14ac:dyDescent="0.15">
      <c r="A13" s="102">
        <v>11</v>
      </c>
      <c r="B13" s="104" t="s">
        <v>1389</v>
      </c>
      <c r="C13" s="102">
        <v>521959</v>
      </c>
      <c r="D13" s="102">
        <v>0</v>
      </c>
      <c r="E13" s="104" t="str">
        <f t="shared" si="0"/>
        <v>LSCU:(521959,0)</v>
      </c>
      <c r="F13" s="392" t="s">
        <v>1390</v>
      </c>
    </row>
  </sheetData>
  <phoneticPr fontId="6" type="noConversion"/>
  <hyperlinks>
    <hyperlink ref="A1" location="'控制器源地址&amp;跳转页面'!A1" display="返回目录" xr:uid="{61261E11-464F-4D0F-A608-BE15365A5E2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28"/>
  <sheetViews>
    <sheetView zoomScale="115" zoomScaleNormal="115" workbookViewId="0">
      <selection activeCell="G3" sqref="G3"/>
    </sheetView>
  </sheetViews>
  <sheetFormatPr defaultRowHeight="16.5" x14ac:dyDescent="0.15"/>
  <cols>
    <col min="1" max="1" width="9.25" style="392" customWidth="1"/>
    <col min="2" max="2" width="9" style="392" bestFit="1" customWidth="1"/>
    <col min="3" max="3" width="9" style="392" customWidth="1"/>
    <col min="4" max="4" width="23.625" style="395" customWidth="1"/>
    <col min="5" max="5" width="9.5" style="396" bestFit="1" customWidth="1"/>
    <col min="6" max="6" width="11.375" style="396" customWidth="1"/>
    <col min="7" max="7" width="41.375" style="392" customWidth="1"/>
    <col min="8" max="8" width="23.75" style="392" bestFit="1" customWidth="1"/>
    <col min="9" max="16384" width="9" style="392"/>
  </cols>
  <sheetData>
    <row r="1" spans="1:7" ht="21" customHeight="1" x14ac:dyDescent="0.15">
      <c r="A1" s="391" t="s">
        <v>1703</v>
      </c>
    </row>
    <row r="2" spans="1:7" s="396" customFormat="1" ht="18.600000000000001" customHeight="1" x14ac:dyDescent="0.15">
      <c r="A2" s="393" t="s">
        <v>0</v>
      </c>
      <c r="B2" s="393" t="s">
        <v>1600</v>
      </c>
      <c r="C2" s="393" t="s">
        <v>1636</v>
      </c>
      <c r="D2" s="393" t="s">
        <v>1265</v>
      </c>
      <c r="E2" s="393" t="s">
        <v>1046</v>
      </c>
      <c r="F2" s="394" t="s">
        <v>1044</v>
      </c>
      <c r="G2" s="393" t="s">
        <v>1040</v>
      </c>
    </row>
    <row r="3" spans="1:7" ht="18.600000000000001" customHeight="1" x14ac:dyDescent="0.35">
      <c r="A3" s="102">
        <v>1</v>
      </c>
      <c r="B3" s="397" t="s">
        <v>1601</v>
      </c>
      <c r="C3" s="398" t="s">
        <v>1644</v>
      </c>
      <c r="D3" s="399" t="s">
        <v>1316</v>
      </c>
      <c r="E3" s="400">
        <v>521900</v>
      </c>
      <c r="F3" s="400">
        <v>0</v>
      </c>
      <c r="G3" s="104" t="str">
        <f>"HSCU"&amp;":"&amp;"("&amp;E3&amp;","&amp;F3&amp;")"</f>
        <v>HSCU:(521900,0)</v>
      </c>
    </row>
    <row r="4" spans="1:7" ht="18.600000000000001" customHeight="1" x14ac:dyDescent="0.35">
      <c r="A4" s="102">
        <v>2</v>
      </c>
      <c r="B4" s="397" t="s">
        <v>1601</v>
      </c>
      <c r="C4" s="398" t="s">
        <v>1304</v>
      </c>
      <c r="D4" s="399" t="s">
        <v>1315</v>
      </c>
      <c r="E4" s="400">
        <v>521901</v>
      </c>
      <c r="F4" s="400">
        <v>0</v>
      </c>
      <c r="G4" s="104" t="str">
        <f t="shared" ref="G4:G27" si="0">"HSCU"&amp;":"&amp;"("&amp;E4&amp;","&amp;F4&amp;")"</f>
        <v>HSCU:(521901,0)</v>
      </c>
    </row>
    <row r="5" spans="1:7" ht="18.600000000000001" customHeight="1" x14ac:dyDescent="0.35">
      <c r="A5" s="102">
        <v>3</v>
      </c>
      <c r="B5" s="397" t="s">
        <v>1601</v>
      </c>
      <c r="C5" s="398" t="s">
        <v>1644</v>
      </c>
      <c r="D5" s="399" t="s">
        <v>2989</v>
      </c>
      <c r="E5" s="400">
        <v>521902</v>
      </c>
      <c r="F5" s="400">
        <v>12</v>
      </c>
      <c r="G5" s="104" t="str">
        <f t="shared" si="0"/>
        <v>HSCU:(521902,12)</v>
      </c>
    </row>
    <row r="6" spans="1:7" ht="18.600000000000001" customHeight="1" x14ac:dyDescent="0.35">
      <c r="A6" s="102">
        <v>4</v>
      </c>
      <c r="B6" s="397" t="s">
        <v>1601</v>
      </c>
      <c r="C6" s="398" t="s">
        <v>1644</v>
      </c>
      <c r="D6" s="399" t="s">
        <v>2990</v>
      </c>
      <c r="E6" s="400">
        <v>521903</v>
      </c>
      <c r="F6" s="400">
        <v>0</v>
      </c>
      <c r="G6" s="104" t="str">
        <f t="shared" si="0"/>
        <v>HSCU:(521903,0)</v>
      </c>
    </row>
    <row r="7" spans="1:7" ht="18.600000000000001" customHeight="1" x14ac:dyDescent="0.35">
      <c r="A7" s="102">
        <v>5</v>
      </c>
      <c r="B7" s="102" t="s">
        <v>1608</v>
      </c>
      <c r="C7" s="398"/>
      <c r="D7" s="399" t="s">
        <v>2991</v>
      </c>
      <c r="E7" s="400">
        <v>521904</v>
      </c>
      <c r="F7" s="400">
        <v>0</v>
      </c>
      <c r="G7" s="104"/>
    </row>
    <row r="8" spans="1:7" ht="18.600000000000001" customHeight="1" x14ac:dyDescent="0.35">
      <c r="A8" s="102">
        <v>6</v>
      </c>
      <c r="B8" s="102" t="s">
        <v>1610</v>
      </c>
      <c r="C8" s="398"/>
      <c r="D8" s="399" t="s">
        <v>1362</v>
      </c>
      <c r="E8" s="147">
        <v>521904</v>
      </c>
      <c r="F8" s="147">
        <v>16</v>
      </c>
      <c r="G8" s="104"/>
    </row>
    <row r="9" spans="1:7" ht="18.600000000000001" customHeight="1" x14ac:dyDescent="0.35">
      <c r="A9" s="102">
        <v>7</v>
      </c>
      <c r="B9" s="401" t="s">
        <v>1603</v>
      </c>
      <c r="C9" s="398" t="s">
        <v>1644</v>
      </c>
      <c r="D9" s="399" t="s">
        <v>2992</v>
      </c>
      <c r="E9" s="400">
        <v>521905</v>
      </c>
      <c r="F9" s="400">
        <v>0</v>
      </c>
      <c r="G9" s="104" t="str">
        <f t="shared" si="0"/>
        <v>HSCU:(521905,0)</v>
      </c>
    </row>
    <row r="10" spans="1:7" ht="18.600000000000001" customHeight="1" x14ac:dyDescent="0.35">
      <c r="A10" s="102">
        <v>8</v>
      </c>
      <c r="B10" s="397" t="s">
        <v>1601</v>
      </c>
      <c r="C10" s="398" t="s">
        <v>1304</v>
      </c>
      <c r="D10" s="399" t="s">
        <v>2993</v>
      </c>
      <c r="E10" s="400">
        <v>521906</v>
      </c>
      <c r="F10" s="400">
        <v>8</v>
      </c>
      <c r="G10" s="104" t="str">
        <f t="shared" si="0"/>
        <v>HSCU:(521906,8)</v>
      </c>
    </row>
    <row r="11" spans="1:7" ht="18.600000000000001" customHeight="1" x14ac:dyDescent="0.35">
      <c r="A11" s="102">
        <v>9</v>
      </c>
      <c r="B11" s="401" t="s">
        <v>1603</v>
      </c>
      <c r="C11" s="398" t="s">
        <v>1645</v>
      </c>
      <c r="D11" s="399" t="s">
        <v>2994</v>
      </c>
      <c r="E11" s="400">
        <v>521907</v>
      </c>
      <c r="F11" s="400">
        <v>23</v>
      </c>
      <c r="G11" s="104" t="str">
        <f t="shared" si="0"/>
        <v>HSCU:(521907,23)</v>
      </c>
    </row>
    <row r="12" spans="1:7" ht="18.600000000000001" customHeight="1" x14ac:dyDescent="0.35">
      <c r="A12" s="102">
        <v>10</v>
      </c>
      <c r="B12" s="401" t="s">
        <v>1603</v>
      </c>
      <c r="C12" s="398" t="s">
        <v>1645</v>
      </c>
      <c r="D12" s="399" t="s">
        <v>2995</v>
      </c>
      <c r="E12" s="400">
        <v>521907</v>
      </c>
      <c r="F12" s="400">
        <v>2</v>
      </c>
      <c r="G12" s="104" t="str">
        <f t="shared" si="0"/>
        <v>HSCU:(521907,2)</v>
      </c>
    </row>
    <row r="13" spans="1:7" ht="18.600000000000001" customHeight="1" x14ac:dyDescent="0.35">
      <c r="A13" s="102">
        <v>11</v>
      </c>
      <c r="B13" s="397" t="s">
        <v>1601</v>
      </c>
      <c r="C13" s="398" t="s">
        <v>1645</v>
      </c>
      <c r="D13" s="399" t="s">
        <v>2996</v>
      </c>
      <c r="E13" s="400">
        <v>521908</v>
      </c>
      <c r="F13" s="400">
        <v>0</v>
      </c>
      <c r="G13" s="104" t="str">
        <f t="shared" si="0"/>
        <v>HSCU:(521908,0)</v>
      </c>
    </row>
    <row r="14" spans="1:7" ht="18.600000000000001" customHeight="1" x14ac:dyDescent="0.35">
      <c r="A14" s="102">
        <v>12</v>
      </c>
      <c r="B14" s="397" t="s">
        <v>1601</v>
      </c>
      <c r="C14" s="398" t="s">
        <v>1644</v>
      </c>
      <c r="D14" s="399" t="s">
        <v>1363</v>
      </c>
      <c r="E14" s="147">
        <v>521908</v>
      </c>
      <c r="F14" s="147">
        <v>12</v>
      </c>
      <c r="G14" s="104" t="str">
        <f t="shared" si="0"/>
        <v>HSCU:(521908,12)</v>
      </c>
    </row>
    <row r="15" spans="1:7" ht="18.600000000000001" customHeight="1" x14ac:dyDescent="0.35">
      <c r="A15" s="102">
        <v>13</v>
      </c>
      <c r="B15" s="397" t="s">
        <v>1601</v>
      </c>
      <c r="C15" s="398" t="s">
        <v>1644</v>
      </c>
      <c r="D15" s="399" t="s">
        <v>2997</v>
      </c>
      <c r="E15" s="147">
        <v>521909</v>
      </c>
      <c r="F15" s="147">
        <v>0</v>
      </c>
      <c r="G15" s="104" t="str">
        <f t="shared" si="0"/>
        <v>HSCU:(521909,0)</v>
      </c>
    </row>
    <row r="16" spans="1:7" ht="18.600000000000001" customHeight="1" x14ac:dyDescent="0.35">
      <c r="A16" s="102">
        <v>14</v>
      </c>
      <c r="B16" s="397" t="s">
        <v>1601</v>
      </c>
      <c r="C16" s="398" t="s">
        <v>1304</v>
      </c>
      <c r="D16" s="399" t="s">
        <v>2998</v>
      </c>
      <c r="E16" s="147">
        <v>521909</v>
      </c>
      <c r="F16" s="147">
        <v>10</v>
      </c>
      <c r="G16" s="104" t="str">
        <f t="shared" si="0"/>
        <v>HSCU:(521909,10)</v>
      </c>
    </row>
    <row r="17" spans="1:8" ht="18.600000000000001" customHeight="1" x14ac:dyDescent="0.35">
      <c r="A17" s="102">
        <v>15</v>
      </c>
      <c r="B17" s="401" t="s">
        <v>1603</v>
      </c>
      <c r="C17" s="398" t="s">
        <v>1645</v>
      </c>
      <c r="D17" s="402" t="s">
        <v>1364</v>
      </c>
      <c r="E17" s="147">
        <v>521909</v>
      </c>
      <c r="F17" s="147">
        <v>16</v>
      </c>
      <c r="G17" s="104" t="str">
        <f t="shared" si="0"/>
        <v>HSCU:(521909,16)</v>
      </c>
    </row>
    <row r="18" spans="1:8" ht="18.600000000000001" customHeight="1" x14ac:dyDescent="0.35">
      <c r="A18" s="102">
        <v>16</v>
      </c>
      <c r="B18" s="102" t="s">
        <v>1608</v>
      </c>
      <c r="C18" s="398"/>
      <c r="D18" s="399" t="s">
        <v>2999</v>
      </c>
      <c r="E18" s="147">
        <v>521910</v>
      </c>
      <c r="F18" s="147">
        <v>12</v>
      </c>
      <c r="G18" s="104"/>
    </row>
    <row r="19" spans="1:8" ht="18.600000000000001" customHeight="1" x14ac:dyDescent="0.35">
      <c r="A19" s="102">
        <v>17</v>
      </c>
      <c r="B19" s="102" t="s">
        <v>1608</v>
      </c>
      <c r="C19" s="398"/>
      <c r="D19" s="399" t="s">
        <v>3000</v>
      </c>
      <c r="E19" s="147">
        <v>521910</v>
      </c>
      <c r="F19" s="147">
        <v>5</v>
      </c>
      <c r="G19" s="104"/>
    </row>
    <row r="20" spans="1:8" ht="18.600000000000001" customHeight="1" x14ac:dyDescent="0.35">
      <c r="A20" s="102">
        <v>18</v>
      </c>
      <c r="B20" s="397" t="s">
        <v>1601</v>
      </c>
      <c r="C20" s="398" t="s">
        <v>1644</v>
      </c>
      <c r="D20" s="399" t="s">
        <v>1365</v>
      </c>
      <c r="E20" s="147">
        <v>521911</v>
      </c>
      <c r="F20" s="147">
        <v>0</v>
      </c>
      <c r="G20" s="104" t="str">
        <f t="shared" si="0"/>
        <v>HSCU:(521911,0)</v>
      </c>
    </row>
    <row r="21" spans="1:8" ht="18.600000000000001" customHeight="1" x14ac:dyDescent="0.35">
      <c r="A21" s="102">
        <v>19</v>
      </c>
      <c r="B21" s="397" t="s">
        <v>1601</v>
      </c>
      <c r="C21" s="398" t="s">
        <v>1644</v>
      </c>
      <c r="D21" s="399" t="s">
        <v>1366</v>
      </c>
      <c r="E21" s="147">
        <v>521912</v>
      </c>
      <c r="F21" s="147">
        <v>7</v>
      </c>
      <c r="G21" s="104" t="str">
        <f t="shared" si="0"/>
        <v>HSCU:(521912,7)</v>
      </c>
    </row>
    <row r="22" spans="1:8" ht="18.600000000000001" customHeight="1" x14ac:dyDescent="0.35">
      <c r="A22" s="102">
        <v>20</v>
      </c>
      <c r="B22" s="397" t="s">
        <v>1601</v>
      </c>
      <c r="C22" s="398" t="s">
        <v>1644</v>
      </c>
      <c r="D22" s="399" t="s">
        <v>3001</v>
      </c>
      <c r="E22" s="147">
        <v>521913</v>
      </c>
      <c r="F22" s="147">
        <v>7</v>
      </c>
      <c r="G22" s="104" t="str">
        <f t="shared" si="0"/>
        <v>HSCU:(521913,7)</v>
      </c>
    </row>
    <row r="23" spans="1:8" ht="18.600000000000001" customHeight="1" x14ac:dyDescent="0.35">
      <c r="A23" s="102">
        <v>21</v>
      </c>
      <c r="B23" s="397" t="s">
        <v>1601</v>
      </c>
      <c r="C23" s="398" t="s">
        <v>1644</v>
      </c>
      <c r="D23" s="399" t="s">
        <v>1367</v>
      </c>
      <c r="E23" s="147">
        <v>521914</v>
      </c>
      <c r="F23" s="147">
        <v>12</v>
      </c>
      <c r="G23" s="104" t="str">
        <f t="shared" si="0"/>
        <v>HSCU:(521914,12)</v>
      </c>
    </row>
    <row r="24" spans="1:8" ht="18.600000000000001" customHeight="1" x14ac:dyDescent="0.35">
      <c r="A24" s="102">
        <v>22</v>
      </c>
      <c r="B24" s="401" t="s">
        <v>1603</v>
      </c>
      <c r="C24" s="398" t="s">
        <v>1306</v>
      </c>
      <c r="D24" s="399" t="s">
        <v>1368</v>
      </c>
      <c r="E24" s="147">
        <v>521915</v>
      </c>
      <c r="F24" s="147">
        <v>5</v>
      </c>
      <c r="G24" s="104" t="str">
        <f t="shared" si="0"/>
        <v>HSCU:(521915,5)</v>
      </c>
    </row>
    <row r="25" spans="1:8" ht="18.600000000000001" customHeight="1" x14ac:dyDescent="0.35">
      <c r="A25" s="102">
        <v>23</v>
      </c>
      <c r="B25" s="401" t="s">
        <v>1603</v>
      </c>
      <c r="C25" s="398" t="s">
        <v>1306</v>
      </c>
      <c r="D25" s="399" t="s">
        <v>1369</v>
      </c>
      <c r="E25" s="147">
        <v>521915</v>
      </c>
      <c r="F25" s="147">
        <v>6</v>
      </c>
      <c r="G25" s="104" t="str">
        <f t="shared" si="0"/>
        <v>HSCU:(521915,6)</v>
      </c>
    </row>
    <row r="26" spans="1:8" ht="18.600000000000001" customHeight="1" x14ac:dyDescent="0.35">
      <c r="A26" s="102">
        <v>24</v>
      </c>
      <c r="B26" s="397" t="s">
        <v>1601</v>
      </c>
      <c r="C26" s="398" t="s">
        <v>1304</v>
      </c>
      <c r="D26" s="399" t="s">
        <v>1354</v>
      </c>
      <c r="E26" s="147">
        <v>521916</v>
      </c>
      <c r="F26" s="147">
        <v>1</v>
      </c>
      <c r="G26" s="104" t="str">
        <f t="shared" si="0"/>
        <v>HSCU:(521916,1)</v>
      </c>
    </row>
    <row r="27" spans="1:8" ht="18.600000000000001" customHeight="1" x14ac:dyDescent="0.35">
      <c r="A27" s="102">
        <v>25</v>
      </c>
      <c r="B27" s="401" t="s">
        <v>1603</v>
      </c>
      <c r="C27" s="398"/>
      <c r="D27" s="399" t="s">
        <v>1355</v>
      </c>
      <c r="E27" s="147">
        <v>521916</v>
      </c>
      <c r="F27" s="147">
        <v>16</v>
      </c>
      <c r="G27" s="104" t="str">
        <f t="shared" si="0"/>
        <v>HSCU:(521916,16)</v>
      </c>
      <c r="H27" s="403" t="s">
        <v>2987</v>
      </c>
    </row>
    <row r="28" spans="1:8" x14ac:dyDescent="0.15">
      <c r="E28" s="404"/>
      <c r="F28" s="404"/>
      <c r="G28" s="404"/>
      <c r="H28" s="404"/>
    </row>
  </sheetData>
  <phoneticPr fontId="6" type="noConversion"/>
  <hyperlinks>
    <hyperlink ref="A1" location="'控制器源地址&amp;跳转页面'!A1" display="返回目录" xr:uid="{E6DF6D78-8412-48CA-843C-968971DD71B9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71"/>
  <sheetViews>
    <sheetView zoomScale="115" zoomScaleNormal="115" workbookViewId="0">
      <pane ySplit="2" topLeftCell="A3" activePane="bottomLeft" state="frozen"/>
      <selection activeCell="S784" sqref="S784"/>
      <selection pane="bottomLeft" activeCell="F31" sqref="F31"/>
    </sheetView>
  </sheetViews>
  <sheetFormatPr defaultColWidth="9" defaultRowHeight="16.5" x14ac:dyDescent="0.35"/>
  <cols>
    <col min="1" max="1" width="9.375" style="332" customWidth="1"/>
    <col min="2" max="2" width="11.375" style="332" customWidth="1"/>
    <col min="3" max="3" width="36.625" style="333" customWidth="1"/>
    <col min="4" max="4" width="13.75" style="334" customWidth="1"/>
    <col min="5" max="5" width="6.375" style="332" customWidth="1"/>
    <col min="6" max="6" width="47.375" style="333" customWidth="1"/>
    <col min="7" max="7" width="48.625" style="335" customWidth="1"/>
    <col min="8" max="16384" width="9" style="332"/>
  </cols>
  <sheetData>
    <row r="1" spans="1:7" ht="17.25" thickBot="1" x14ac:dyDescent="0.4">
      <c r="A1" s="331" t="s">
        <v>2705</v>
      </c>
    </row>
    <row r="2" spans="1:7" s="328" customFormat="1" x14ac:dyDescent="0.25">
      <c r="A2" s="342" t="s">
        <v>0</v>
      </c>
      <c r="B2" s="342" t="s">
        <v>3382</v>
      </c>
      <c r="C2" s="343" t="s">
        <v>834</v>
      </c>
      <c r="D2" s="343" t="s">
        <v>569</v>
      </c>
      <c r="E2" s="343" t="s">
        <v>570</v>
      </c>
      <c r="F2" s="343" t="s">
        <v>114</v>
      </c>
      <c r="G2" s="417" t="s">
        <v>835</v>
      </c>
    </row>
    <row r="3" spans="1:7" s="328" customFormat="1" x14ac:dyDescent="0.25">
      <c r="A3" s="411">
        <v>1</v>
      </c>
      <c r="B3" s="407" t="s">
        <v>3383</v>
      </c>
      <c r="C3" s="337" t="s">
        <v>845</v>
      </c>
      <c r="D3" s="336">
        <v>523010</v>
      </c>
      <c r="E3" s="336">
        <v>8</v>
      </c>
      <c r="F3" s="337" t="s">
        <v>846</v>
      </c>
      <c r="G3" s="407" t="s">
        <v>3386</v>
      </c>
    </row>
    <row r="4" spans="1:7" s="328" customFormat="1" x14ac:dyDescent="0.25">
      <c r="A4" s="411">
        <v>2</v>
      </c>
      <c r="B4" s="407" t="s">
        <v>3383</v>
      </c>
      <c r="C4" s="337" t="s">
        <v>855</v>
      </c>
      <c r="D4" s="336">
        <v>523033</v>
      </c>
      <c r="E4" s="336">
        <v>8</v>
      </c>
      <c r="F4" s="337" t="s">
        <v>1122</v>
      </c>
      <c r="G4" s="336"/>
    </row>
    <row r="5" spans="1:7" s="328" customFormat="1" ht="33" x14ac:dyDescent="0.25">
      <c r="A5" s="411">
        <v>3</v>
      </c>
      <c r="B5" s="407" t="s">
        <v>3383</v>
      </c>
      <c r="C5" s="337" t="s">
        <v>856</v>
      </c>
      <c r="D5" s="336">
        <v>523036</v>
      </c>
      <c r="E5" s="336">
        <v>8</v>
      </c>
      <c r="F5" s="337" t="s">
        <v>1123</v>
      </c>
      <c r="G5" s="336" t="s">
        <v>857</v>
      </c>
    </row>
    <row r="6" spans="1:7" s="328" customFormat="1" ht="33" x14ac:dyDescent="0.25">
      <c r="A6" s="411">
        <v>4</v>
      </c>
      <c r="B6" s="407" t="s">
        <v>3383</v>
      </c>
      <c r="C6" s="337" t="s">
        <v>1124</v>
      </c>
      <c r="D6" s="336">
        <v>523037</v>
      </c>
      <c r="E6" s="336">
        <v>8</v>
      </c>
      <c r="F6" s="337" t="s">
        <v>1125</v>
      </c>
      <c r="G6" s="336" t="s">
        <v>1101</v>
      </c>
    </row>
    <row r="7" spans="1:7" s="328" customFormat="1" ht="33" x14ac:dyDescent="0.25">
      <c r="A7" s="411">
        <v>5</v>
      </c>
      <c r="B7" s="407" t="s">
        <v>3383</v>
      </c>
      <c r="C7" s="339" t="s">
        <v>860</v>
      </c>
      <c r="D7" s="346">
        <v>523042</v>
      </c>
      <c r="E7" s="346">
        <v>8</v>
      </c>
      <c r="F7" s="339" t="s">
        <v>1103</v>
      </c>
      <c r="G7" s="221" t="s">
        <v>3387</v>
      </c>
    </row>
    <row r="8" spans="1:7" s="328" customFormat="1" x14ac:dyDescent="0.25">
      <c r="A8" s="411">
        <v>6</v>
      </c>
      <c r="B8" s="407" t="s">
        <v>3383</v>
      </c>
      <c r="C8" s="339" t="s">
        <v>861</v>
      </c>
      <c r="D8" s="346">
        <v>523045</v>
      </c>
      <c r="E8" s="346">
        <v>8</v>
      </c>
      <c r="F8" s="339" t="s">
        <v>862</v>
      </c>
      <c r="G8" s="339"/>
    </row>
    <row r="9" spans="1:7" s="328" customFormat="1" x14ac:dyDescent="0.25">
      <c r="A9" s="411">
        <v>7</v>
      </c>
      <c r="B9" s="407" t="s">
        <v>3383</v>
      </c>
      <c r="C9" s="337" t="s">
        <v>863</v>
      </c>
      <c r="D9" s="329">
        <v>523047</v>
      </c>
      <c r="E9" s="329">
        <v>8</v>
      </c>
      <c r="F9" s="337" t="s">
        <v>1266</v>
      </c>
      <c r="G9" s="413"/>
    </row>
    <row r="10" spans="1:7" s="328" customFormat="1" x14ac:dyDescent="0.25">
      <c r="A10" s="411">
        <v>8</v>
      </c>
      <c r="B10" s="407" t="s">
        <v>3383</v>
      </c>
      <c r="C10" s="337" t="s">
        <v>864</v>
      </c>
      <c r="D10" s="329">
        <v>523048</v>
      </c>
      <c r="E10" s="329">
        <v>8</v>
      </c>
      <c r="F10" s="337" t="s">
        <v>1267</v>
      </c>
      <c r="G10" s="413"/>
    </row>
    <row r="11" spans="1:7" s="328" customFormat="1" x14ac:dyDescent="0.25">
      <c r="A11" s="411"/>
      <c r="B11" s="411"/>
      <c r="C11" s="412"/>
      <c r="D11" s="412"/>
      <c r="E11" s="412"/>
      <c r="F11" s="412"/>
      <c r="G11" s="413"/>
    </row>
    <row r="12" spans="1:7" s="328" customFormat="1" ht="21.75" customHeight="1" x14ac:dyDescent="0.25">
      <c r="A12" s="414" t="s">
        <v>3401</v>
      </c>
      <c r="B12" s="415"/>
      <c r="C12" s="415"/>
      <c r="D12" s="415"/>
      <c r="E12" s="415"/>
      <c r="F12" s="415"/>
      <c r="G12" s="416"/>
    </row>
    <row r="13" spans="1:7" x14ac:dyDescent="0.35">
      <c r="A13" s="336">
        <v>9</v>
      </c>
      <c r="B13" s="336"/>
      <c r="C13" s="337" t="s">
        <v>1164</v>
      </c>
      <c r="D13" s="336">
        <v>523000</v>
      </c>
      <c r="E13" s="336">
        <v>3</v>
      </c>
      <c r="F13" s="337" t="s">
        <v>3390</v>
      </c>
      <c r="G13" s="336"/>
    </row>
    <row r="14" spans="1:7" x14ac:dyDescent="0.35">
      <c r="A14" s="336">
        <v>10</v>
      </c>
      <c r="B14" s="336"/>
      <c r="C14" s="337" t="s">
        <v>836</v>
      </c>
      <c r="D14" s="336">
        <v>523000</v>
      </c>
      <c r="E14" s="336">
        <v>4</v>
      </c>
      <c r="F14" s="337" t="s">
        <v>3391</v>
      </c>
      <c r="G14" s="336"/>
    </row>
    <row r="15" spans="1:7" x14ac:dyDescent="0.35">
      <c r="A15" s="336">
        <v>11</v>
      </c>
      <c r="B15" s="336"/>
      <c r="C15" s="337" t="s">
        <v>1165</v>
      </c>
      <c r="D15" s="336">
        <v>523004</v>
      </c>
      <c r="E15" s="336">
        <v>3</v>
      </c>
      <c r="F15" s="337" t="s">
        <v>3392</v>
      </c>
      <c r="G15" s="344"/>
    </row>
    <row r="16" spans="1:7" x14ac:dyDescent="0.35">
      <c r="A16" s="336">
        <v>12</v>
      </c>
      <c r="B16" s="336"/>
      <c r="C16" s="337" t="s">
        <v>1166</v>
      </c>
      <c r="D16" s="336">
        <v>523004</v>
      </c>
      <c r="E16" s="336">
        <v>4</v>
      </c>
      <c r="F16" s="337" t="s">
        <v>3393</v>
      </c>
      <c r="G16" s="344"/>
    </row>
    <row r="17" spans="1:7" x14ac:dyDescent="0.35">
      <c r="A17" s="336">
        <v>13</v>
      </c>
      <c r="B17" s="336"/>
      <c r="C17" s="337" t="s">
        <v>837</v>
      </c>
      <c r="D17" s="336">
        <v>523005</v>
      </c>
      <c r="E17" s="336">
        <v>3</v>
      </c>
      <c r="F17" s="337" t="s">
        <v>3394</v>
      </c>
      <c r="G17" s="344"/>
    </row>
    <row r="18" spans="1:7" x14ac:dyDescent="0.35">
      <c r="A18" s="336">
        <v>14</v>
      </c>
      <c r="B18" s="336"/>
      <c r="C18" s="337" t="s">
        <v>838</v>
      </c>
      <c r="D18" s="336">
        <v>523005</v>
      </c>
      <c r="E18" s="336">
        <v>4</v>
      </c>
      <c r="F18" s="337" t="s">
        <v>3395</v>
      </c>
      <c r="G18" s="344"/>
    </row>
    <row r="19" spans="1:7" x14ac:dyDescent="0.35">
      <c r="A19" s="336">
        <v>15</v>
      </c>
      <c r="B19" s="336"/>
      <c r="C19" s="337" t="s">
        <v>839</v>
      </c>
      <c r="D19" s="336">
        <v>523007</v>
      </c>
      <c r="E19" s="336">
        <v>12</v>
      </c>
      <c r="F19" s="337" t="s">
        <v>3397</v>
      </c>
      <c r="G19" s="336"/>
    </row>
    <row r="20" spans="1:7" x14ac:dyDescent="0.35">
      <c r="A20" s="336">
        <v>16</v>
      </c>
      <c r="B20" s="336"/>
      <c r="C20" s="337" t="s">
        <v>840</v>
      </c>
      <c r="D20" s="336">
        <v>523034</v>
      </c>
      <c r="E20" s="336">
        <v>8</v>
      </c>
      <c r="F20" s="337" t="s">
        <v>3398</v>
      </c>
      <c r="G20" s="336"/>
    </row>
    <row r="21" spans="1:7" x14ac:dyDescent="0.35">
      <c r="A21" s="336">
        <v>17</v>
      </c>
      <c r="B21" s="336"/>
      <c r="C21" s="337" t="s">
        <v>841</v>
      </c>
      <c r="D21" s="336">
        <v>523008</v>
      </c>
      <c r="E21" s="336">
        <v>8</v>
      </c>
      <c r="F21" s="345" t="s">
        <v>842</v>
      </c>
      <c r="G21" s="406" t="s">
        <v>3388</v>
      </c>
    </row>
    <row r="22" spans="1:7" x14ac:dyDescent="0.35">
      <c r="A22" s="336">
        <v>18</v>
      </c>
      <c r="B22" s="336"/>
      <c r="C22" s="337" t="s">
        <v>843</v>
      </c>
      <c r="D22" s="336">
        <v>523009</v>
      </c>
      <c r="E22" s="336">
        <v>8</v>
      </c>
      <c r="F22" s="345" t="s">
        <v>844</v>
      </c>
      <c r="G22" s="406" t="s">
        <v>3388</v>
      </c>
    </row>
    <row r="23" spans="1:7" x14ac:dyDescent="0.35">
      <c r="A23" s="336">
        <v>19</v>
      </c>
      <c r="B23" s="336"/>
      <c r="C23" s="337" t="s">
        <v>847</v>
      </c>
      <c r="D23" s="336">
        <v>523023</v>
      </c>
      <c r="E23" s="336">
        <v>12</v>
      </c>
      <c r="F23" s="418" t="s">
        <v>3370</v>
      </c>
      <c r="G23" s="336"/>
    </row>
    <row r="24" spans="1:7" x14ac:dyDescent="0.35">
      <c r="A24" s="336">
        <v>20</v>
      </c>
      <c r="B24" s="336"/>
      <c r="C24" s="337" t="s">
        <v>848</v>
      </c>
      <c r="D24" s="336">
        <v>523024</v>
      </c>
      <c r="E24" s="336">
        <v>12</v>
      </c>
      <c r="F24" s="418" t="s">
        <v>3371</v>
      </c>
      <c r="G24" s="336"/>
    </row>
    <row r="25" spans="1:7" x14ac:dyDescent="0.35">
      <c r="A25" s="336">
        <v>21</v>
      </c>
      <c r="B25" s="336"/>
      <c r="C25" s="337" t="s">
        <v>849</v>
      </c>
      <c r="D25" s="336">
        <v>523025</v>
      </c>
      <c r="E25" s="336">
        <v>12</v>
      </c>
      <c r="F25" s="418" t="s">
        <v>3372</v>
      </c>
      <c r="G25" s="336"/>
    </row>
    <row r="26" spans="1:7" x14ac:dyDescent="0.35">
      <c r="A26" s="336">
        <v>22</v>
      </c>
      <c r="B26" s="336"/>
      <c r="C26" s="337" t="s">
        <v>850</v>
      </c>
      <c r="D26" s="336">
        <v>523026</v>
      </c>
      <c r="E26" s="336">
        <v>12</v>
      </c>
      <c r="F26" s="418" t="s">
        <v>3373</v>
      </c>
      <c r="G26" s="336"/>
    </row>
    <row r="27" spans="1:7" x14ac:dyDescent="0.35">
      <c r="A27" s="336">
        <v>23</v>
      </c>
      <c r="B27" s="336"/>
      <c r="C27" s="337" t="s">
        <v>851</v>
      </c>
      <c r="D27" s="336">
        <v>523027</v>
      </c>
      <c r="E27" s="336">
        <v>12</v>
      </c>
      <c r="F27" s="418" t="s">
        <v>3374</v>
      </c>
      <c r="G27" s="336"/>
    </row>
    <row r="28" spans="1:7" x14ac:dyDescent="0.35">
      <c r="A28" s="336">
        <v>24</v>
      </c>
      <c r="B28" s="336"/>
      <c r="C28" s="337" t="s">
        <v>852</v>
      </c>
      <c r="D28" s="336">
        <v>523028</v>
      </c>
      <c r="E28" s="336">
        <v>12</v>
      </c>
      <c r="F28" s="418" t="s">
        <v>3375</v>
      </c>
      <c r="G28" s="336"/>
    </row>
    <row r="29" spans="1:7" x14ac:dyDescent="0.35">
      <c r="A29" s="336">
        <v>25</v>
      </c>
      <c r="B29" s="336"/>
      <c r="C29" s="337" t="s">
        <v>853</v>
      </c>
      <c r="D29" s="336">
        <v>523029</v>
      </c>
      <c r="E29" s="336">
        <v>12</v>
      </c>
      <c r="F29" s="418" t="s">
        <v>3376</v>
      </c>
      <c r="G29" s="336"/>
    </row>
    <row r="30" spans="1:7" x14ac:dyDescent="0.35">
      <c r="A30" s="336">
        <v>26</v>
      </c>
      <c r="B30" s="336"/>
      <c r="C30" s="337" t="s">
        <v>854</v>
      </c>
      <c r="D30" s="336">
        <v>523030</v>
      </c>
      <c r="E30" s="336">
        <v>12</v>
      </c>
      <c r="F30" s="418" t="s">
        <v>3377</v>
      </c>
      <c r="G30" s="336"/>
    </row>
    <row r="31" spans="1:7" x14ac:dyDescent="0.35">
      <c r="A31" s="336">
        <v>27</v>
      </c>
      <c r="B31" s="407"/>
      <c r="C31" s="408" t="s">
        <v>1597</v>
      </c>
      <c r="D31" s="407">
        <v>523031</v>
      </c>
      <c r="E31" s="407">
        <v>12</v>
      </c>
      <c r="F31" s="418" t="s">
        <v>3378</v>
      </c>
      <c r="G31" s="407" t="s">
        <v>3389</v>
      </c>
    </row>
    <row r="32" spans="1:7" x14ac:dyDescent="0.35">
      <c r="A32" s="336">
        <v>28</v>
      </c>
      <c r="B32" s="407"/>
      <c r="C32" s="408" t="s">
        <v>1596</v>
      </c>
      <c r="D32" s="407">
        <v>523032</v>
      </c>
      <c r="E32" s="407">
        <v>12</v>
      </c>
      <c r="F32" s="418" t="s">
        <v>3379</v>
      </c>
      <c r="G32" s="407" t="s">
        <v>3389</v>
      </c>
    </row>
    <row r="33" spans="1:7" x14ac:dyDescent="0.35">
      <c r="A33" s="336">
        <v>29</v>
      </c>
      <c r="B33" s="336"/>
      <c r="C33" s="337" t="s">
        <v>858</v>
      </c>
      <c r="D33" s="336">
        <v>171</v>
      </c>
      <c r="E33" s="336">
        <v>2</v>
      </c>
      <c r="F33" s="337" t="s">
        <v>3396</v>
      </c>
      <c r="G33" s="336" t="s">
        <v>1126</v>
      </c>
    </row>
    <row r="34" spans="1:7" ht="33" x14ac:dyDescent="0.35">
      <c r="A34" s="336">
        <v>30</v>
      </c>
      <c r="B34" s="336"/>
      <c r="C34" s="337" t="s">
        <v>1149</v>
      </c>
      <c r="D34" s="336">
        <v>171</v>
      </c>
      <c r="E34" s="336">
        <v>3</v>
      </c>
      <c r="F34" s="408" t="s">
        <v>3399</v>
      </c>
      <c r="G34" s="336" t="s">
        <v>3384</v>
      </c>
    </row>
    <row r="35" spans="1:7" ht="33" x14ac:dyDescent="0.35">
      <c r="A35" s="336">
        <v>31</v>
      </c>
      <c r="B35" s="336"/>
      <c r="C35" s="337" t="s">
        <v>859</v>
      </c>
      <c r="D35" s="336">
        <v>171</v>
      </c>
      <c r="E35" s="336">
        <v>4</v>
      </c>
      <c r="F35" s="337" t="s">
        <v>3400</v>
      </c>
      <c r="G35" s="336" t="s">
        <v>3385</v>
      </c>
    </row>
    <row r="36" spans="1:7" s="338" customFormat="1" x14ac:dyDescent="0.35">
      <c r="A36" s="336">
        <v>32</v>
      </c>
      <c r="B36" s="339"/>
      <c r="C36" s="215" t="s">
        <v>1137</v>
      </c>
      <c r="D36" s="216">
        <v>523051</v>
      </c>
      <c r="E36" s="216">
        <v>8</v>
      </c>
      <c r="F36" s="215" t="s">
        <v>1127</v>
      </c>
      <c r="G36" s="340"/>
    </row>
    <row r="37" spans="1:7" s="338" customFormat="1" x14ac:dyDescent="0.35">
      <c r="A37" s="336">
        <v>33</v>
      </c>
      <c r="B37" s="339"/>
      <c r="C37" s="215" t="s">
        <v>1138</v>
      </c>
      <c r="D37" s="216">
        <v>523052</v>
      </c>
      <c r="E37" s="216">
        <v>8</v>
      </c>
      <c r="F37" s="215" t="s">
        <v>1128</v>
      </c>
      <c r="G37" s="341"/>
    </row>
    <row r="38" spans="1:7" s="338" customFormat="1" x14ac:dyDescent="0.35">
      <c r="A38" s="336">
        <v>34</v>
      </c>
      <c r="B38" s="339"/>
      <c r="C38" s="215" t="s">
        <v>1139</v>
      </c>
      <c r="D38" s="216">
        <v>523053</v>
      </c>
      <c r="E38" s="216">
        <v>8</v>
      </c>
      <c r="F38" s="215" t="s">
        <v>1129</v>
      </c>
      <c r="G38" s="341"/>
    </row>
    <row r="39" spans="1:7" s="338" customFormat="1" x14ac:dyDescent="0.35">
      <c r="A39" s="336">
        <v>35</v>
      </c>
      <c r="B39" s="339"/>
      <c r="C39" s="215" t="s">
        <v>1140</v>
      </c>
      <c r="D39" s="216">
        <v>523054</v>
      </c>
      <c r="E39" s="216">
        <v>8</v>
      </c>
      <c r="F39" s="215" t="s">
        <v>1130</v>
      </c>
      <c r="G39" s="341"/>
    </row>
    <row r="40" spans="1:7" s="338" customFormat="1" x14ac:dyDescent="0.35">
      <c r="A40" s="336">
        <v>36</v>
      </c>
      <c r="B40" s="339"/>
      <c r="C40" s="215" t="s">
        <v>1141</v>
      </c>
      <c r="D40" s="216">
        <v>523055</v>
      </c>
      <c r="E40" s="216">
        <v>8</v>
      </c>
      <c r="F40" s="215" t="s">
        <v>1131</v>
      </c>
      <c r="G40" s="341"/>
    </row>
    <row r="41" spans="1:7" s="338" customFormat="1" x14ac:dyDescent="0.35">
      <c r="A41" s="336">
        <v>37</v>
      </c>
      <c r="B41" s="339"/>
      <c r="C41" s="215" t="s">
        <v>1142</v>
      </c>
      <c r="D41" s="216">
        <v>523056</v>
      </c>
      <c r="E41" s="216">
        <v>8</v>
      </c>
      <c r="F41" s="215" t="s">
        <v>1132</v>
      </c>
      <c r="G41" s="341"/>
    </row>
    <row r="42" spans="1:7" s="338" customFormat="1" x14ac:dyDescent="0.35">
      <c r="A42" s="336">
        <v>38</v>
      </c>
      <c r="B42" s="339"/>
      <c r="C42" s="215" t="s">
        <v>1143</v>
      </c>
      <c r="D42" s="216">
        <v>523057</v>
      </c>
      <c r="E42" s="216">
        <v>8</v>
      </c>
      <c r="F42" s="215" t="s">
        <v>1133</v>
      </c>
      <c r="G42" s="341"/>
    </row>
    <row r="43" spans="1:7" s="338" customFormat="1" x14ac:dyDescent="0.35">
      <c r="A43" s="336">
        <v>39</v>
      </c>
      <c r="B43" s="339"/>
      <c r="C43" s="330" t="s">
        <v>1144</v>
      </c>
      <c r="D43" s="216">
        <v>523058</v>
      </c>
      <c r="E43" s="216">
        <v>8</v>
      </c>
      <c r="F43" s="330" t="s">
        <v>1134</v>
      </c>
      <c r="G43" s="341"/>
    </row>
    <row r="44" spans="1:7" s="338" customFormat="1" x14ac:dyDescent="0.35">
      <c r="A44" s="336">
        <v>40</v>
      </c>
      <c r="B44" s="339"/>
      <c r="C44" s="215" t="s">
        <v>1145</v>
      </c>
      <c r="D44" s="216">
        <v>523059</v>
      </c>
      <c r="E44" s="216">
        <v>8</v>
      </c>
      <c r="F44" s="215" t="s">
        <v>1135</v>
      </c>
      <c r="G44" s="341"/>
    </row>
    <row r="45" spans="1:7" s="338" customFormat="1" x14ac:dyDescent="0.35">
      <c r="A45" s="336">
        <v>41</v>
      </c>
      <c r="B45" s="339"/>
      <c r="C45" s="215" t="s">
        <v>1146</v>
      </c>
      <c r="D45" s="216">
        <v>523060</v>
      </c>
      <c r="E45" s="216">
        <v>8</v>
      </c>
      <c r="F45" s="215" t="s">
        <v>1136</v>
      </c>
      <c r="G45" s="341"/>
    </row>
    <row r="46" spans="1:7" x14ac:dyDescent="0.35">
      <c r="A46" s="336">
        <v>42</v>
      </c>
      <c r="B46" s="329" t="s">
        <v>3365</v>
      </c>
      <c r="C46" s="419" t="s">
        <v>3363</v>
      </c>
      <c r="D46" s="420">
        <v>523073</v>
      </c>
      <c r="E46" s="420">
        <v>8</v>
      </c>
      <c r="F46" s="423" t="s">
        <v>3363</v>
      </c>
      <c r="G46" s="425" t="s">
        <v>3402</v>
      </c>
    </row>
    <row r="47" spans="1:7" x14ac:dyDescent="0.35">
      <c r="A47" s="336">
        <v>43</v>
      </c>
      <c r="B47" s="329" t="s">
        <v>3365</v>
      </c>
      <c r="C47" s="421" t="s">
        <v>3364</v>
      </c>
      <c r="D47" s="420">
        <v>523088</v>
      </c>
      <c r="E47" s="420">
        <v>8</v>
      </c>
      <c r="F47" s="424" t="s">
        <v>3364</v>
      </c>
      <c r="G47" s="425" t="s">
        <v>3402</v>
      </c>
    </row>
    <row r="48" spans="1:7" x14ac:dyDescent="0.35">
      <c r="A48" s="336">
        <v>44</v>
      </c>
      <c r="B48" s="329" t="s">
        <v>3365</v>
      </c>
      <c r="C48" s="418" t="s">
        <v>3366</v>
      </c>
      <c r="D48" s="422">
        <v>523099</v>
      </c>
      <c r="E48" s="422">
        <v>3</v>
      </c>
      <c r="F48" s="409" t="s">
        <v>3367</v>
      </c>
      <c r="G48" s="425" t="s">
        <v>3402</v>
      </c>
    </row>
    <row r="49" spans="1:7" x14ac:dyDescent="0.35">
      <c r="A49" s="336">
        <v>45</v>
      </c>
      <c r="B49" s="329" t="s">
        <v>3365</v>
      </c>
      <c r="C49" s="418" t="s">
        <v>3368</v>
      </c>
      <c r="D49" s="422">
        <v>523100</v>
      </c>
      <c r="E49" s="422">
        <v>3</v>
      </c>
      <c r="F49" s="409" t="s">
        <v>3369</v>
      </c>
      <c r="G49" s="425" t="s">
        <v>3402</v>
      </c>
    </row>
    <row r="50" spans="1:7" x14ac:dyDescent="0.35">
      <c r="A50" s="336">
        <v>46</v>
      </c>
      <c r="B50" s="329" t="s">
        <v>3365</v>
      </c>
      <c r="C50" s="418" t="s">
        <v>3380</v>
      </c>
      <c r="D50" s="422">
        <v>523108</v>
      </c>
      <c r="E50" s="422">
        <v>1</v>
      </c>
      <c r="F50" s="409" t="s">
        <v>3380</v>
      </c>
      <c r="G50" s="425" t="s">
        <v>3402</v>
      </c>
    </row>
    <row r="51" spans="1:7" x14ac:dyDescent="0.35">
      <c r="A51" s="336">
        <v>47</v>
      </c>
      <c r="B51" s="329" t="s">
        <v>3365</v>
      </c>
      <c r="C51" s="418" t="s">
        <v>3381</v>
      </c>
      <c r="D51" s="422">
        <v>523109</v>
      </c>
      <c r="E51" s="422">
        <v>2</v>
      </c>
      <c r="F51" s="409" t="s">
        <v>3381</v>
      </c>
      <c r="G51" s="425" t="s">
        <v>3402</v>
      </c>
    </row>
    <row r="52" spans="1:7" x14ac:dyDescent="0.35">
      <c r="C52" s="332"/>
      <c r="G52" s="332"/>
    </row>
    <row r="53" spans="1:7" x14ac:dyDescent="0.35">
      <c r="C53" s="332"/>
      <c r="G53" s="332"/>
    </row>
    <row r="54" spans="1:7" x14ac:dyDescent="0.35">
      <c r="C54" s="332"/>
      <c r="G54" s="332"/>
    </row>
    <row r="55" spans="1:7" x14ac:dyDescent="0.35">
      <c r="C55" s="332"/>
      <c r="G55" s="332"/>
    </row>
    <row r="56" spans="1:7" x14ac:dyDescent="0.35">
      <c r="C56" s="332"/>
      <c r="G56" s="332"/>
    </row>
    <row r="57" spans="1:7" x14ac:dyDescent="0.35">
      <c r="C57" s="332"/>
      <c r="G57" s="332"/>
    </row>
    <row r="58" spans="1:7" x14ac:dyDescent="0.35">
      <c r="C58" s="332"/>
      <c r="G58" s="332"/>
    </row>
    <row r="59" spans="1:7" x14ac:dyDescent="0.35">
      <c r="C59" s="332"/>
      <c r="G59" s="332"/>
    </row>
    <row r="60" spans="1:7" x14ac:dyDescent="0.35">
      <c r="C60" s="332"/>
      <c r="G60" s="332"/>
    </row>
    <row r="61" spans="1:7" x14ac:dyDescent="0.35">
      <c r="C61" s="332"/>
      <c r="F61" s="332"/>
      <c r="G61" s="332"/>
    </row>
    <row r="62" spans="1:7" x14ac:dyDescent="0.35">
      <c r="C62" s="332"/>
      <c r="F62" s="332"/>
      <c r="G62" s="332"/>
    </row>
    <row r="63" spans="1:7" x14ac:dyDescent="0.35">
      <c r="C63" s="332"/>
      <c r="F63" s="332"/>
      <c r="G63" s="332"/>
    </row>
    <row r="64" spans="1:7" x14ac:dyDescent="0.35">
      <c r="C64" s="332"/>
      <c r="F64" s="332"/>
      <c r="G64" s="332"/>
    </row>
    <row r="65" spans="4:4" s="332" customFormat="1" x14ac:dyDescent="0.35">
      <c r="D65" s="334"/>
    </row>
    <row r="66" spans="4:4" s="332" customFormat="1" x14ac:dyDescent="0.35">
      <c r="D66" s="334"/>
    </row>
    <row r="67" spans="4:4" s="332" customFormat="1" x14ac:dyDescent="0.35">
      <c r="D67" s="334"/>
    </row>
    <row r="68" spans="4:4" s="332" customFormat="1" x14ac:dyDescent="0.35">
      <c r="D68" s="334"/>
    </row>
    <row r="69" spans="4:4" s="332" customFormat="1" x14ac:dyDescent="0.35">
      <c r="D69" s="334"/>
    </row>
    <row r="70" spans="4:4" s="332" customFormat="1" x14ac:dyDescent="0.35">
      <c r="D70" s="334"/>
    </row>
    <row r="71" spans="4:4" s="332" customFormat="1" x14ac:dyDescent="0.35">
      <c r="D71" s="334"/>
    </row>
  </sheetData>
  <mergeCells count="1">
    <mergeCell ref="A12:G12"/>
  </mergeCells>
  <phoneticPr fontId="20" type="noConversion"/>
  <conditionalFormatting sqref="D46">
    <cfRule type="cellIs" dxfId="21" priority="4" operator="equal">
      <formula>261591</formula>
    </cfRule>
  </conditionalFormatting>
  <conditionalFormatting sqref="D50:D51">
    <cfRule type="cellIs" dxfId="20" priority="3" operator="equal">
      <formula>261591</formula>
    </cfRule>
  </conditionalFormatting>
  <conditionalFormatting sqref="D47">
    <cfRule type="cellIs" dxfId="19" priority="2" operator="equal">
      <formula>261591</formula>
    </cfRule>
  </conditionalFormatting>
  <conditionalFormatting sqref="D48:D49">
    <cfRule type="cellIs" dxfId="18" priority="1" operator="equal">
      <formula>261591</formula>
    </cfRule>
  </conditionalFormatting>
  <hyperlinks>
    <hyperlink ref="A1" location="'控制器源地址&amp;跳转页面'!A1" display="返回目录" xr:uid="{13E06887-BA9A-4671-A30D-C90C0DDC64D2}"/>
  </hyperlinks>
  <pageMargins left="0.7" right="0.7" top="0.75" bottom="0.75" header="0.3" footer="0.3"/>
  <pageSetup orientation="portrait" horizontalDpi="200" verticalDpi="200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E13"/>
  <sheetViews>
    <sheetView workbookViewId="0">
      <selection activeCell="L37" sqref="L37"/>
    </sheetView>
  </sheetViews>
  <sheetFormatPr defaultRowHeight="16.5" x14ac:dyDescent="0.15"/>
  <cols>
    <col min="1" max="1" width="9" style="392"/>
    <col min="2" max="2" width="22.5" style="392" customWidth="1"/>
    <col min="3" max="3" width="9" style="392"/>
    <col min="4" max="4" width="4.5" style="392" bestFit="1" customWidth="1"/>
    <col min="5" max="5" width="38.75" style="392" customWidth="1"/>
    <col min="6" max="16384" width="9" style="392"/>
  </cols>
  <sheetData>
    <row r="1" spans="1:5" ht="27.75" customHeight="1" x14ac:dyDescent="0.15">
      <c r="A1" s="391" t="s">
        <v>1703</v>
      </c>
    </row>
    <row r="2" spans="1:5" x14ac:dyDescent="0.15">
      <c r="A2" s="393" t="s">
        <v>0</v>
      </c>
      <c r="B2" s="393" t="s">
        <v>2</v>
      </c>
      <c r="C2" s="393" t="s">
        <v>103</v>
      </c>
      <c r="D2" s="393" t="s">
        <v>1044</v>
      </c>
      <c r="E2" s="393" t="s">
        <v>1102</v>
      </c>
    </row>
    <row r="3" spans="1:5" x14ac:dyDescent="0.15">
      <c r="A3" s="102">
        <v>1</v>
      </c>
      <c r="B3" s="405" t="s">
        <v>1104</v>
      </c>
      <c r="C3" s="102">
        <v>524000</v>
      </c>
      <c r="D3" s="102">
        <v>0</v>
      </c>
      <c r="E3" s="104" t="str">
        <f>"SCU"&amp;":"&amp;"("&amp;C3&amp;","&amp;D3&amp;")"</f>
        <v>SCU:(524000,0)</v>
      </c>
    </row>
    <row r="4" spans="1:5" x14ac:dyDescent="0.15">
      <c r="A4" s="102">
        <v>2</v>
      </c>
      <c r="B4" s="405" t="s">
        <v>1105</v>
      </c>
      <c r="C4" s="102">
        <v>524000</v>
      </c>
      <c r="D4" s="102">
        <v>1</v>
      </c>
      <c r="E4" s="104" t="str">
        <f t="shared" ref="E4:E13" si="0">"SCU"&amp;":"&amp;"("&amp;C4&amp;","&amp;D4&amp;")"</f>
        <v>SCU:(524000,1)</v>
      </c>
    </row>
    <row r="5" spans="1:5" x14ac:dyDescent="0.15">
      <c r="A5" s="102">
        <v>3</v>
      </c>
      <c r="B5" s="405" t="s">
        <v>1106</v>
      </c>
      <c r="C5" s="102">
        <v>524001</v>
      </c>
      <c r="D5" s="102">
        <v>19</v>
      </c>
      <c r="E5" s="104" t="str">
        <f t="shared" si="0"/>
        <v>SCU:(524001,19)</v>
      </c>
    </row>
    <row r="6" spans="1:5" x14ac:dyDescent="0.15">
      <c r="A6" s="102">
        <v>4</v>
      </c>
      <c r="B6" s="405" t="s">
        <v>1107</v>
      </c>
      <c r="C6" s="102">
        <v>524002</v>
      </c>
      <c r="D6" s="102">
        <v>3</v>
      </c>
      <c r="E6" s="104" t="str">
        <f t="shared" si="0"/>
        <v>SCU:(524002,3)</v>
      </c>
    </row>
    <row r="7" spans="1:5" x14ac:dyDescent="0.15">
      <c r="A7" s="102">
        <v>5</v>
      </c>
      <c r="B7" s="405" t="s">
        <v>1108</v>
      </c>
      <c r="C7" s="102">
        <v>524002</v>
      </c>
      <c r="D7" s="102">
        <v>4</v>
      </c>
      <c r="E7" s="104" t="str">
        <f t="shared" si="0"/>
        <v>SCU:(524002,4)</v>
      </c>
    </row>
    <row r="8" spans="1:5" x14ac:dyDescent="0.15">
      <c r="A8" s="102">
        <v>6</v>
      </c>
      <c r="B8" s="405" t="s">
        <v>1109</v>
      </c>
      <c r="C8" s="102">
        <v>524003</v>
      </c>
      <c r="D8" s="102">
        <v>3</v>
      </c>
      <c r="E8" s="104" t="str">
        <f t="shared" si="0"/>
        <v>SCU:(524003,3)</v>
      </c>
    </row>
    <row r="9" spans="1:5" x14ac:dyDescent="0.15">
      <c r="A9" s="102">
        <v>7</v>
      </c>
      <c r="B9" s="405" t="s">
        <v>1110</v>
      </c>
      <c r="C9" s="102">
        <v>524003</v>
      </c>
      <c r="D9" s="102">
        <v>4</v>
      </c>
      <c r="E9" s="104" t="str">
        <f t="shared" si="0"/>
        <v>SCU:(524003,4)</v>
      </c>
    </row>
    <row r="10" spans="1:5" x14ac:dyDescent="0.15">
      <c r="A10" s="102">
        <v>8</v>
      </c>
      <c r="B10" s="405" t="s">
        <v>1111</v>
      </c>
      <c r="C10" s="102">
        <v>524004</v>
      </c>
      <c r="D10" s="102">
        <v>3</v>
      </c>
      <c r="E10" s="104" t="str">
        <f t="shared" si="0"/>
        <v>SCU:(524004,3)</v>
      </c>
    </row>
    <row r="11" spans="1:5" x14ac:dyDescent="0.15">
      <c r="A11" s="102">
        <v>9</v>
      </c>
      <c r="B11" s="405" t="s">
        <v>1112</v>
      </c>
      <c r="C11" s="102">
        <v>524005</v>
      </c>
      <c r="D11" s="102">
        <v>3</v>
      </c>
      <c r="E11" s="104" t="str">
        <f t="shared" si="0"/>
        <v>SCU:(524005,3)</v>
      </c>
    </row>
    <row r="12" spans="1:5" x14ac:dyDescent="0.15">
      <c r="A12" s="102">
        <v>10</v>
      </c>
      <c r="B12" s="405" t="s">
        <v>1113</v>
      </c>
      <c r="C12" s="102">
        <v>524006</v>
      </c>
      <c r="D12" s="102">
        <v>3</v>
      </c>
      <c r="E12" s="104" t="str">
        <f t="shared" si="0"/>
        <v>SCU:(524006,3)</v>
      </c>
    </row>
    <row r="13" spans="1:5" x14ac:dyDescent="0.15">
      <c r="A13" s="102">
        <v>11</v>
      </c>
      <c r="B13" s="405" t="s">
        <v>1114</v>
      </c>
      <c r="C13" s="102">
        <v>524006</v>
      </c>
      <c r="D13" s="102">
        <v>4</v>
      </c>
      <c r="E13" s="104" t="str">
        <f t="shared" si="0"/>
        <v>SCU:(524006,4)</v>
      </c>
    </row>
  </sheetData>
  <phoneticPr fontId="6" type="noConversion"/>
  <hyperlinks>
    <hyperlink ref="A1" location="'控制器源地址&amp;跳转页面'!A1" display="返回目录" xr:uid="{302F6E42-52C5-4650-BAE2-52D1671852C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F28"/>
  <sheetViews>
    <sheetView zoomScale="115" zoomScaleNormal="115" workbookViewId="0"/>
  </sheetViews>
  <sheetFormatPr defaultRowHeight="13.5" x14ac:dyDescent="0.15"/>
  <cols>
    <col min="1" max="1" width="8.625" style="3" customWidth="1"/>
    <col min="2" max="2" width="35" bestFit="1" customWidth="1"/>
    <col min="3" max="3" width="10.75" style="1" customWidth="1"/>
    <col min="4" max="4" width="15.375" style="1" customWidth="1"/>
    <col min="5" max="5" width="62.375" customWidth="1"/>
    <col min="6" max="6" width="18.625" customWidth="1"/>
  </cols>
  <sheetData>
    <row r="1" spans="1:6" ht="29.25" customHeight="1" thickBot="1" x14ac:dyDescent="0.2">
      <c r="A1" s="75" t="s">
        <v>1703</v>
      </c>
    </row>
    <row r="2" spans="1:6" ht="20.100000000000001" customHeight="1" x14ac:dyDescent="0.15">
      <c r="A2" s="6" t="s">
        <v>1</v>
      </c>
      <c r="B2" s="8" t="s">
        <v>67</v>
      </c>
      <c r="C2" s="4" t="s">
        <v>68</v>
      </c>
      <c r="D2" s="31" t="s">
        <v>69</v>
      </c>
      <c r="E2" s="11" t="s">
        <v>1041</v>
      </c>
    </row>
    <row r="3" spans="1:6" ht="20.100000000000001" customHeight="1" x14ac:dyDescent="0.15">
      <c r="A3" s="7">
        <v>1</v>
      </c>
      <c r="B3" s="9" t="s">
        <v>83</v>
      </c>
      <c r="C3" s="5">
        <v>789</v>
      </c>
      <c r="D3" s="32">
        <v>8</v>
      </c>
      <c r="E3" s="52" t="s">
        <v>1687</v>
      </c>
      <c r="F3" s="35" t="s">
        <v>1682</v>
      </c>
    </row>
    <row r="4" spans="1:6" ht="20.100000000000001" customHeight="1" x14ac:dyDescent="0.15">
      <c r="A4" s="7">
        <v>2</v>
      </c>
      <c r="B4" s="9" t="s">
        <v>84</v>
      </c>
      <c r="C4" s="5">
        <v>789</v>
      </c>
      <c r="D4" s="32">
        <v>12</v>
      </c>
      <c r="E4" s="52" t="s">
        <v>1688</v>
      </c>
      <c r="F4" s="35" t="s">
        <v>1682</v>
      </c>
    </row>
    <row r="5" spans="1:6" ht="20.100000000000001" customHeight="1" x14ac:dyDescent="0.15">
      <c r="A5" s="7">
        <v>3</v>
      </c>
      <c r="B5" s="9" t="s">
        <v>85</v>
      </c>
      <c r="C5" s="5">
        <v>790</v>
      </c>
      <c r="D5" s="32">
        <v>8</v>
      </c>
      <c r="E5" s="52" t="s">
        <v>1689</v>
      </c>
      <c r="F5" s="35" t="s">
        <v>1682</v>
      </c>
    </row>
    <row r="6" spans="1:6" ht="20.100000000000001" customHeight="1" x14ac:dyDescent="0.15">
      <c r="A6" s="7">
        <v>4</v>
      </c>
      <c r="B6" s="9" t="s">
        <v>86</v>
      </c>
      <c r="C6" s="5">
        <v>790</v>
      </c>
      <c r="D6" s="32">
        <v>12</v>
      </c>
      <c r="E6" s="52" t="s">
        <v>1690</v>
      </c>
      <c r="F6" s="35" t="s">
        <v>1682</v>
      </c>
    </row>
    <row r="7" spans="1:6" ht="20.100000000000001" customHeight="1" x14ac:dyDescent="0.15">
      <c r="A7" s="7">
        <v>5</v>
      </c>
      <c r="B7" s="9" t="s">
        <v>87</v>
      </c>
      <c r="C7" s="5">
        <v>791</v>
      </c>
      <c r="D7" s="32">
        <v>8</v>
      </c>
      <c r="E7" s="52" t="s">
        <v>1686</v>
      </c>
      <c r="F7" s="35" t="s">
        <v>1682</v>
      </c>
    </row>
    <row r="8" spans="1:6" ht="20.100000000000001" customHeight="1" x14ac:dyDescent="0.15">
      <c r="A8" s="7">
        <v>6</v>
      </c>
      <c r="B8" s="9" t="s">
        <v>88</v>
      </c>
      <c r="C8" s="5">
        <v>791</v>
      </c>
      <c r="D8" s="32">
        <v>12</v>
      </c>
      <c r="E8" s="52" t="s">
        <v>1685</v>
      </c>
      <c r="F8" s="35" t="s">
        <v>1682</v>
      </c>
    </row>
    <row r="9" spans="1:6" ht="20.100000000000001" customHeight="1" x14ac:dyDescent="0.15">
      <c r="A9" s="7">
        <v>7</v>
      </c>
      <c r="B9" s="9" t="s">
        <v>89</v>
      </c>
      <c r="C9" s="5">
        <v>792</v>
      </c>
      <c r="D9" s="32">
        <v>8</v>
      </c>
      <c r="E9" s="52" t="s">
        <v>1684</v>
      </c>
      <c r="F9" s="35" t="s">
        <v>1682</v>
      </c>
    </row>
    <row r="10" spans="1:6" ht="20.100000000000001" customHeight="1" x14ac:dyDescent="0.15">
      <c r="A10" s="7">
        <v>8</v>
      </c>
      <c r="B10" s="9" t="s">
        <v>90</v>
      </c>
      <c r="C10" s="5">
        <v>792</v>
      </c>
      <c r="D10" s="32">
        <v>12</v>
      </c>
      <c r="E10" s="52" t="s">
        <v>1683</v>
      </c>
      <c r="F10" s="35" t="s">
        <v>1682</v>
      </c>
    </row>
    <row r="11" spans="1:6" ht="20.100000000000001" customHeight="1" x14ac:dyDescent="0.15">
      <c r="A11" s="7">
        <v>9</v>
      </c>
      <c r="B11" s="9" t="s">
        <v>91</v>
      </c>
      <c r="C11" s="5">
        <v>795</v>
      </c>
      <c r="D11" s="32">
        <v>4</v>
      </c>
      <c r="E11" s="52" t="s">
        <v>1678</v>
      </c>
      <c r="F11" s="35" t="s">
        <v>1682</v>
      </c>
    </row>
    <row r="12" spans="1:6" ht="20.100000000000001" customHeight="1" x14ac:dyDescent="0.15">
      <c r="A12" s="7">
        <v>10</v>
      </c>
      <c r="B12" s="9" t="s">
        <v>92</v>
      </c>
      <c r="C12" s="5">
        <v>795</v>
      </c>
      <c r="D12" s="32">
        <v>5</v>
      </c>
      <c r="E12" s="52" t="s">
        <v>1679</v>
      </c>
      <c r="F12" s="35" t="s">
        <v>1682</v>
      </c>
    </row>
    <row r="13" spans="1:6" ht="20.100000000000001" customHeight="1" x14ac:dyDescent="0.15">
      <c r="A13" s="7">
        <v>11</v>
      </c>
      <c r="B13" s="9" t="s">
        <v>93</v>
      </c>
      <c r="C13" s="5">
        <v>796</v>
      </c>
      <c r="D13" s="32">
        <v>4</v>
      </c>
      <c r="E13" s="52" t="s">
        <v>1680</v>
      </c>
      <c r="F13" s="35" t="s">
        <v>1682</v>
      </c>
    </row>
    <row r="14" spans="1:6" ht="20.100000000000001" customHeight="1" x14ac:dyDescent="0.15">
      <c r="A14" s="7">
        <v>12</v>
      </c>
      <c r="B14" s="9" t="s">
        <v>94</v>
      </c>
      <c r="C14" s="5">
        <v>796</v>
      </c>
      <c r="D14" s="32">
        <v>5</v>
      </c>
      <c r="E14" s="52" t="s">
        <v>1681</v>
      </c>
      <c r="F14" s="35" t="s">
        <v>1682</v>
      </c>
    </row>
    <row r="15" spans="1:6" ht="20.100000000000001" customHeight="1" x14ac:dyDescent="0.15">
      <c r="A15" s="7">
        <v>13</v>
      </c>
      <c r="B15" s="9" t="s">
        <v>95</v>
      </c>
      <c r="C15" s="5">
        <v>797</v>
      </c>
      <c r="D15" s="32">
        <v>4</v>
      </c>
      <c r="E15" s="52" t="s">
        <v>1677</v>
      </c>
      <c r="F15" s="35" t="s">
        <v>1682</v>
      </c>
    </row>
    <row r="16" spans="1:6" ht="20.100000000000001" customHeight="1" x14ac:dyDescent="0.15">
      <c r="A16" s="7">
        <v>14</v>
      </c>
      <c r="B16" s="9" t="s">
        <v>96</v>
      </c>
      <c r="C16" s="5">
        <v>797</v>
      </c>
      <c r="D16" s="32">
        <v>5</v>
      </c>
      <c r="E16" s="52" t="s">
        <v>1676</v>
      </c>
      <c r="F16" s="35" t="s">
        <v>1682</v>
      </c>
    </row>
    <row r="17" spans="1:6" ht="20.100000000000001" customHeight="1" x14ac:dyDescent="0.15">
      <c r="A17" s="7">
        <v>15</v>
      </c>
      <c r="B17" s="9" t="s">
        <v>97</v>
      </c>
      <c r="C17" s="5">
        <v>798</v>
      </c>
      <c r="D17" s="32">
        <v>4</v>
      </c>
      <c r="E17" s="52" t="s">
        <v>1675</v>
      </c>
      <c r="F17" s="35" t="s">
        <v>1682</v>
      </c>
    </row>
    <row r="18" spans="1:6" ht="20.100000000000001" customHeight="1" x14ac:dyDescent="0.15">
      <c r="A18" s="7">
        <v>16</v>
      </c>
      <c r="B18" s="9" t="s">
        <v>98</v>
      </c>
      <c r="C18" s="5">
        <v>798</v>
      </c>
      <c r="D18" s="32">
        <v>5</v>
      </c>
      <c r="E18" s="52" t="s">
        <v>1674</v>
      </c>
      <c r="F18" s="35" t="s">
        <v>1682</v>
      </c>
    </row>
    <row r="19" spans="1:6" ht="20.100000000000001" customHeight="1" x14ac:dyDescent="0.15">
      <c r="A19" s="53">
        <v>17</v>
      </c>
      <c r="B19" s="54" t="s">
        <v>1670</v>
      </c>
      <c r="C19" s="34">
        <v>627</v>
      </c>
      <c r="D19" s="55">
        <v>3</v>
      </c>
      <c r="E19" s="52" t="s">
        <v>1697</v>
      </c>
      <c r="F19" s="35" t="s">
        <v>1669</v>
      </c>
    </row>
    <row r="20" spans="1:6" ht="20.100000000000001" customHeight="1" x14ac:dyDescent="0.15">
      <c r="A20" s="53">
        <v>18</v>
      </c>
      <c r="B20" s="54" t="s">
        <v>1671</v>
      </c>
      <c r="C20" s="34">
        <v>627</v>
      </c>
      <c r="D20" s="55">
        <v>4</v>
      </c>
      <c r="E20" s="52" t="s">
        <v>1698</v>
      </c>
      <c r="F20" s="35" t="s">
        <v>1669</v>
      </c>
    </row>
    <row r="21" spans="1:6" ht="20.100000000000001" customHeight="1" x14ac:dyDescent="0.15">
      <c r="A21" s="7">
        <v>19</v>
      </c>
      <c r="B21" s="10" t="s">
        <v>101</v>
      </c>
      <c r="C21" s="5">
        <v>629</v>
      </c>
      <c r="D21" s="32">
        <v>12</v>
      </c>
      <c r="E21" s="52" t="s">
        <v>1672</v>
      </c>
      <c r="F21" s="35" t="s">
        <v>1682</v>
      </c>
    </row>
    <row r="22" spans="1:6" ht="20.100000000000001" customHeight="1" x14ac:dyDescent="0.15">
      <c r="A22" s="56">
        <v>20</v>
      </c>
      <c r="B22" s="57" t="s">
        <v>1691</v>
      </c>
      <c r="C22" s="58">
        <v>806</v>
      </c>
      <c r="D22" s="59">
        <v>4</v>
      </c>
      <c r="E22" s="60" t="s">
        <v>1692</v>
      </c>
      <c r="F22" s="61" t="s">
        <v>1665</v>
      </c>
    </row>
    <row r="23" spans="1:6" ht="20.100000000000001" customHeight="1" x14ac:dyDescent="0.15">
      <c r="A23" s="7">
        <v>21</v>
      </c>
      <c r="B23" s="9" t="s">
        <v>99</v>
      </c>
      <c r="C23" s="5">
        <v>116</v>
      </c>
      <c r="D23" s="32">
        <v>4</v>
      </c>
      <c r="E23" s="52" t="s">
        <v>1695</v>
      </c>
      <c r="F23" s="35" t="s">
        <v>1682</v>
      </c>
    </row>
    <row r="24" spans="1:6" ht="20.100000000000001" customHeight="1" x14ac:dyDescent="0.15">
      <c r="A24" s="7">
        <v>22</v>
      </c>
      <c r="B24" s="9" t="s">
        <v>100</v>
      </c>
      <c r="C24" s="5">
        <v>117</v>
      </c>
      <c r="D24" s="32">
        <v>4</v>
      </c>
      <c r="E24" s="52" t="s">
        <v>1696</v>
      </c>
      <c r="F24" s="35" t="s">
        <v>1682</v>
      </c>
    </row>
    <row r="25" spans="1:6" ht="17.25" customHeight="1" x14ac:dyDescent="0.15">
      <c r="A25" s="62">
        <v>23</v>
      </c>
      <c r="B25" s="60" t="s">
        <v>109</v>
      </c>
      <c r="C25" s="63">
        <v>116</v>
      </c>
      <c r="D25" s="64">
        <v>5</v>
      </c>
      <c r="E25" s="60" t="s">
        <v>1693</v>
      </c>
      <c r="F25" s="65" t="s">
        <v>1665</v>
      </c>
    </row>
    <row r="26" spans="1:6" ht="23.25" customHeight="1" x14ac:dyDescent="0.15">
      <c r="A26" s="66">
        <v>24</v>
      </c>
      <c r="B26" s="67" t="s">
        <v>110</v>
      </c>
      <c r="C26" s="68">
        <v>117</v>
      </c>
      <c r="D26" s="69">
        <v>5</v>
      </c>
      <c r="E26" s="60" t="s">
        <v>1694</v>
      </c>
      <c r="F26" s="65" t="s">
        <v>1665</v>
      </c>
    </row>
    <row r="27" spans="1:6" x14ac:dyDescent="0.15">
      <c r="A27" s="41">
        <v>25</v>
      </c>
      <c r="B27" s="11" t="s">
        <v>1661</v>
      </c>
      <c r="C27" s="5">
        <v>639</v>
      </c>
      <c r="D27" s="5">
        <v>4</v>
      </c>
      <c r="E27" s="46" t="s">
        <v>1673</v>
      </c>
      <c r="F27" t="s">
        <v>1664</v>
      </c>
    </row>
    <row r="28" spans="1:6" x14ac:dyDescent="0.15">
      <c r="A28" s="41">
        <v>26</v>
      </c>
      <c r="B28" s="11" t="s">
        <v>1661</v>
      </c>
      <c r="C28" s="5">
        <v>639</v>
      </c>
      <c r="D28" s="5">
        <v>5</v>
      </c>
      <c r="E28" s="33" t="s">
        <v>1662</v>
      </c>
      <c r="F28" t="s">
        <v>1664</v>
      </c>
    </row>
  </sheetData>
  <phoneticPr fontId="6" type="noConversion"/>
  <hyperlinks>
    <hyperlink ref="A1" location="'控制器源地址&amp;跳转页面'!A1" display="返回目录" xr:uid="{48D43936-BC53-4026-B88C-7EA2BBE33C1A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K124"/>
  <sheetViews>
    <sheetView zoomScale="115" zoomScaleNormal="115" workbookViewId="0">
      <pane ySplit="2" topLeftCell="A3" activePane="bottomLeft" state="frozen"/>
      <selection pane="bottomLeft" activeCell="H114" sqref="H114"/>
    </sheetView>
  </sheetViews>
  <sheetFormatPr defaultColWidth="22.375" defaultRowHeight="16.5" x14ac:dyDescent="0.15"/>
  <cols>
    <col min="1" max="1" width="5.25" style="175" customWidth="1"/>
    <col min="2" max="2" width="12.375" style="186" customWidth="1"/>
    <col min="3" max="3" width="9" style="175" bestFit="1" customWidth="1"/>
    <col min="4" max="4" width="10.625" style="175" customWidth="1"/>
    <col min="5" max="5" width="31.875" style="176" customWidth="1"/>
    <col min="6" max="6" width="12.875" style="175" customWidth="1"/>
    <col min="7" max="7" width="10.875" style="177" customWidth="1"/>
    <col min="8" max="8" width="46.625" style="176" customWidth="1"/>
    <col min="9" max="9" width="20.75" style="132" customWidth="1"/>
    <col min="10" max="10" width="27.5" style="132" customWidth="1"/>
    <col min="11" max="16384" width="22.375" style="132"/>
  </cols>
  <sheetData>
    <row r="1" spans="1:9" x14ac:dyDescent="0.15">
      <c r="A1" s="347" t="s">
        <v>2862</v>
      </c>
      <c r="B1" s="347"/>
      <c r="C1" s="347"/>
    </row>
    <row r="2" spans="1:9" s="133" customFormat="1" ht="36" x14ac:dyDescent="0.15">
      <c r="A2" s="134" t="s">
        <v>1</v>
      </c>
      <c r="B2" s="183" t="s">
        <v>2867</v>
      </c>
      <c r="C2" s="134" t="s">
        <v>1611</v>
      </c>
      <c r="D2" s="134" t="s">
        <v>1654</v>
      </c>
      <c r="E2" s="135" t="s">
        <v>2</v>
      </c>
      <c r="F2" s="135" t="s">
        <v>1255</v>
      </c>
      <c r="G2" s="135" t="s">
        <v>3</v>
      </c>
      <c r="H2" s="136" t="s">
        <v>1216</v>
      </c>
      <c r="I2" s="137" t="s">
        <v>1335</v>
      </c>
    </row>
    <row r="3" spans="1:9" x14ac:dyDescent="0.15">
      <c r="A3" s="129">
        <v>1</v>
      </c>
      <c r="B3" s="185"/>
      <c r="C3" s="178" t="s">
        <v>1616</v>
      </c>
      <c r="D3" s="205" t="s">
        <v>2914</v>
      </c>
      <c r="E3" s="172" t="s">
        <v>2894</v>
      </c>
      <c r="F3" s="38">
        <v>521300</v>
      </c>
      <c r="G3" s="38">
        <v>17</v>
      </c>
      <c r="H3" s="42" t="str">
        <f>"BMS"&amp;":"&amp;"("&amp;F3&amp;","&amp;G3&amp;")"</f>
        <v>BMS:(521300,17)</v>
      </c>
      <c r="I3" s="131"/>
    </row>
    <row r="4" spans="1:9" x14ac:dyDescent="0.15">
      <c r="A4" s="129">
        <v>2</v>
      </c>
      <c r="B4" s="185"/>
      <c r="C4" s="179" t="s">
        <v>1613</v>
      </c>
      <c r="D4" s="205" t="s">
        <v>2914</v>
      </c>
      <c r="E4" s="172" t="s">
        <v>2895</v>
      </c>
      <c r="F4" s="38">
        <v>521300</v>
      </c>
      <c r="G4" s="38">
        <v>18</v>
      </c>
      <c r="H4" s="42" t="str">
        <f t="shared" ref="H4:H8" si="0">"BMS"&amp;":"&amp;"("&amp;F4&amp;","&amp;G4&amp;")"</f>
        <v>BMS:(521300,18)</v>
      </c>
      <c r="I4" s="131"/>
    </row>
    <row r="5" spans="1:9" x14ac:dyDescent="0.15">
      <c r="A5" s="129">
        <v>3</v>
      </c>
      <c r="B5" s="185"/>
      <c r="C5" s="179" t="s">
        <v>1613</v>
      </c>
      <c r="D5" s="205" t="s">
        <v>2914</v>
      </c>
      <c r="E5" s="172" t="s">
        <v>2896</v>
      </c>
      <c r="F5" s="38">
        <v>521300</v>
      </c>
      <c r="G5" s="38">
        <v>1</v>
      </c>
      <c r="H5" s="42" t="str">
        <f t="shared" si="0"/>
        <v>BMS:(521300,1)</v>
      </c>
      <c r="I5" s="131"/>
    </row>
    <row r="6" spans="1:9" x14ac:dyDescent="0.15">
      <c r="A6" s="129">
        <v>4</v>
      </c>
      <c r="B6" s="185"/>
      <c r="C6" s="178" t="s">
        <v>1616</v>
      </c>
      <c r="D6" s="205" t="s">
        <v>2914</v>
      </c>
      <c r="E6" s="172" t="s">
        <v>2884</v>
      </c>
      <c r="F6" s="38">
        <v>521301</v>
      </c>
      <c r="G6" s="38">
        <v>15</v>
      </c>
      <c r="H6" s="42" t="str">
        <f t="shared" si="0"/>
        <v>BMS:(521301,15)</v>
      </c>
      <c r="I6" s="131"/>
    </row>
    <row r="7" spans="1:9" x14ac:dyDescent="0.15">
      <c r="A7" s="129">
        <v>5</v>
      </c>
      <c r="B7" s="185"/>
      <c r="C7" s="179" t="s">
        <v>1613</v>
      </c>
      <c r="D7" s="205" t="s">
        <v>2914</v>
      </c>
      <c r="E7" s="172" t="s">
        <v>2885</v>
      </c>
      <c r="F7" s="38">
        <v>521301</v>
      </c>
      <c r="G7" s="38">
        <v>16</v>
      </c>
      <c r="H7" s="42" t="str">
        <f t="shared" si="0"/>
        <v>BMS:(521301,16)</v>
      </c>
      <c r="I7" s="131"/>
    </row>
    <row r="8" spans="1:9" x14ac:dyDescent="0.15">
      <c r="A8" s="129">
        <v>6</v>
      </c>
      <c r="B8" s="185"/>
      <c r="C8" s="179" t="s">
        <v>1613</v>
      </c>
      <c r="D8" s="205" t="s">
        <v>2914</v>
      </c>
      <c r="E8" s="172" t="s">
        <v>2886</v>
      </c>
      <c r="F8" s="38">
        <v>521301</v>
      </c>
      <c r="G8" s="38">
        <v>0</v>
      </c>
      <c r="H8" s="42" t="str">
        <f t="shared" si="0"/>
        <v>BMS:(521301,0)</v>
      </c>
      <c r="I8" s="131"/>
    </row>
    <row r="9" spans="1:9" x14ac:dyDescent="0.15">
      <c r="A9" s="129">
        <v>7</v>
      </c>
      <c r="B9" s="184" t="s">
        <v>2876</v>
      </c>
      <c r="C9" s="178" t="s">
        <v>1641</v>
      </c>
      <c r="D9" s="205" t="s">
        <v>2914</v>
      </c>
      <c r="E9" s="42" t="s">
        <v>1026</v>
      </c>
      <c r="F9" s="38">
        <v>521301</v>
      </c>
      <c r="G9" s="38">
        <v>1</v>
      </c>
      <c r="H9" s="173" t="s">
        <v>2887</v>
      </c>
      <c r="I9" s="131"/>
    </row>
    <row r="10" spans="1:9" x14ac:dyDescent="0.15">
      <c r="A10" s="129">
        <v>8</v>
      </c>
      <c r="B10" s="185"/>
      <c r="C10" s="129" t="s">
        <v>1618</v>
      </c>
      <c r="D10" s="205" t="s">
        <v>2914</v>
      </c>
      <c r="E10" s="42" t="s">
        <v>1027</v>
      </c>
      <c r="F10" s="38">
        <v>521302</v>
      </c>
      <c r="G10" s="38">
        <v>15</v>
      </c>
      <c r="H10" s="42"/>
      <c r="I10" s="131"/>
    </row>
    <row r="11" spans="1:9" x14ac:dyDescent="0.15">
      <c r="A11" s="129">
        <v>9</v>
      </c>
      <c r="B11" s="185"/>
      <c r="C11" s="129" t="s">
        <v>1617</v>
      </c>
      <c r="D11" s="205" t="s">
        <v>2914</v>
      </c>
      <c r="E11" s="42" t="s">
        <v>1028</v>
      </c>
      <c r="F11" s="38">
        <v>521302</v>
      </c>
      <c r="G11" s="38">
        <v>16</v>
      </c>
      <c r="H11" s="42"/>
      <c r="I11" s="131"/>
    </row>
    <row r="12" spans="1:9" x14ac:dyDescent="0.15">
      <c r="A12" s="129">
        <v>10</v>
      </c>
      <c r="B12" s="185"/>
      <c r="C12" s="178" t="s">
        <v>1616</v>
      </c>
      <c r="D12" s="205" t="s">
        <v>2914</v>
      </c>
      <c r="E12" s="42" t="s">
        <v>2888</v>
      </c>
      <c r="F12" s="38">
        <v>521302</v>
      </c>
      <c r="G12" s="38">
        <v>0</v>
      </c>
      <c r="H12" s="42" t="str">
        <f t="shared" ref="H12:H27" si="1">"BMS"&amp;":"&amp;"("&amp;F12&amp;","&amp;G12&amp;")"</f>
        <v>BMS:(521302,0)</v>
      </c>
      <c r="I12" s="131"/>
    </row>
    <row r="13" spans="1:9" x14ac:dyDescent="0.15">
      <c r="A13" s="129">
        <v>11</v>
      </c>
      <c r="B13" s="185"/>
      <c r="C13" s="129" t="s">
        <v>1617</v>
      </c>
      <c r="D13" s="205" t="s">
        <v>2914</v>
      </c>
      <c r="E13" s="172" t="s">
        <v>2877</v>
      </c>
      <c r="F13" s="38">
        <v>521304</v>
      </c>
      <c r="G13" s="38">
        <v>15</v>
      </c>
      <c r="H13" s="42"/>
      <c r="I13" s="131"/>
    </row>
    <row r="14" spans="1:9" x14ac:dyDescent="0.15">
      <c r="A14" s="129">
        <v>12</v>
      </c>
      <c r="B14" s="120" t="s">
        <v>2868</v>
      </c>
      <c r="C14" s="178" t="s">
        <v>1616</v>
      </c>
      <c r="D14" s="205" t="s">
        <v>2914</v>
      </c>
      <c r="E14" s="172" t="s">
        <v>2878</v>
      </c>
      <c r="F14" s="38">
        <v>521304</v>
      </c>
      <c r="G14" s="38">
        <v>16</v>
      </c>
      <c r="H14" s="42" t="str">
        <f t="shared" si="1"/>
        <v>BMS:(521304,16)</v>
      </c>
      <c r="I14" s="131"/>
    </row>
    <row r="15" spans="1:9" x14ac:dyDescent="0.15">
      <c r="A15" s="129">
        <v>13</v>
      </c>
      <c r="B15" s="120" t="s">
        <v>2869</v>
      </c>
      <c r="C15" s="179" t="s">
        <v>1612</v>
      </c>
      <c r="D15" s="205" t="s">
        <v>2914</v>
      </c>
      <c r="E15" s="172" t="s">
        <v>2879</v>
      </c>
      <c r="F15" s="38">
        <v>521304</v>
      </c>
      <c r="G15" s="38">
        <v>0</v>
      </c>
      <c r="H15" s="42" t="str">
        <f t="shared" si="1"/>
        <v>BMS:(521304,0)</v>
      </c>
      <c r="I15" s="131"/>
    </row>
    <row r="16" spans="1:9" x14ac:dyDescent="0.15">
      <c r="A16" s="129">
        <v>14</v>
      </c>
      <c r="B16" s="185"/>
      <c r="C16" s="178" t="s">
        <v>1616</v>
      </c>
      <c r="D16" s="205" t="s">
        <v>2914</v>
      </c>
      <c r="E16" s="172" t="s">
        <v>2880</v>
      </c>
      <c r="F16" s="38">
        <v>521304</v>
      </c>
      <c r="G16" s="38">
        <v>17</v>
      </c>
      <c r="H16" s="42" t="str">
        <f t="shared" si="1"/>
        <v>BMS:(521304,17)</v>
      </c>
      <c r="I16" s="131"/>
    </row>
    <row r="17" spans="1:9" x14ac:dyDescent="0.15">
      <c r="A17" s="129">
        <v>15</v>
      </c>
      <c r="B17" s="185"/>
      <c r="C17" s="179" t="s">
        <v>1613</v>
      </c>
      <c r="D17" s="205" t="s">
        <v>2914</v>
      </c>
      <c r="E17" s="172" t="s">
        <v>2881</v>
      </c>
      <c r="F17" s="38">
        <v>521304</v>
      </c>
      <c r="G17" s="38">
        <v>18</v>
      </c>
      <c r="H17" s="42" t="str">
        <f t="shared" si="1"/>
        <v>BMS:(521304,18)</v>
      </c>
      <c r="I17" s="131"/>
    </row>
    <row r="18" spans="1:9" x14ac:dyDescent="0.15">
      <c r="A18" s="129">
        <v>16</v>
      </c>
      <c r="B18" s="185"/>
      <c r="C18" s="179" t="s">
        <v>1613</v>
      </c>
      <c r="D18" s="205" t="s">
        <v>2914</v>
      </c>
      <c r="E18" s="172" t="s">
        <v>2882</v>
      </c>
      <c r="F18" s="38">
        <v>521304</v>
      </c>
      <c r="G18" s="38">
        <v>1</v>
      </c>
      <c r="H18" s="42" t="str">
        <f t="shared" si="1"/>
        <v>BMS:(521304,1)</v>
      </c>
      <c r="I18" s="131"/>
    </row>
    <row r="19" spans="1:9" x14ac:dyDescent="0.15">
      <c r="A19" s="129">
        <v>17</v>
      </c>
      <c r="B19" s="185"/>
      <c r="C19" s="178" t="s">
        <v>1616</v>
      </c>
      <c r="D19" s="205" t="s">
        <v>2914</v>
      </c>
      <c r="E19" s="187" t="s">
        <v>2883</v>
      </c>
      <c r="F19" s="38">
        <v>521304</v>
      </c>
      <c r="G19" s="38">
        <v>23</v>
      </c>
      <c r="H19" s="42" t="str">
        <f t="shared" si="1"/>
        <v>BMS:(521304,23)</v>
      </c>
      <c r="I19" s="131"/>
    </row>
    <row r="20" spans="1:9" x14ac:dyDescent="0.15">
      <c r="A20" s="129">
        <v>18</v>
      </c>
      <c r="B20" s="185"/>
      <c r="C20" s="129" t="s">
        <v>1617</v>
      </c>
      <c r="D20" s="205" t="s">
        <v>2914</v>
      </c>
      <c r="E20" s="42" t="s">
        <v>2872</v>
      </c>
      <c r="F20" s="38">
        <v>521305</v>
      </c>
      <c r="G20" s="38">
        <v>15</v>
      </c>
      <c r="H20" s="42"/>
      <c r="I20" s="131"/>
    </row>
    <row r="21" spans="1:9" x14ac:dyDescent="0.15">
      <c r="A21" s="129">
        <v>19</v>
      </c>
      <c r="B21" s="120" t="s">
        <v>2868</v>
      </c>
      <c r="C21" s="178" t="s">
        <v>1616</v>
      </c>
      <c r="D21" s="205" t="s">
        <v>2914</v>
      </c>
      <c r="E21" s="42" t="s">
        <v>2871</v>
      </c>
      <c r="F21" s="38">
        <v>521305</v>
      </c>
      <c r="G21" s="38">
        <v>16</v>
      </c>
      <c r="H21" s="42" t="str">
        <f t="shared" si="1"/>
        <v>BMS:(521305,16)</v>
      </c>
      <c r="I21" s="131"/>
    </row>
    <row r="22" spans="1:9" x14ac:dyDescent="0.15">
      <c r="A22" s="129">
        <v>20</v>
      </c>
      <c r="B22" s="184" t="s">
        <v>2869</v>
      </c>
      <c r="C22" s="179" t="s">
        <v>1612</v>
      </c>
      <c r="D22" s="205" t="s">
        <v>2914</v>
      </c>
      <c r="E22" s="172" t="s">
        <v>2870</v>
      </c>
      <c r="F22" s="38">
        <v>521305</v>
      </c>
      <c r="G22" s="38">
        <v>0</v>
      </c>
      <c r="H22" s="42" t="str">
        <f t="shared" si="1"/>
        <v>BMS:(521305,0)</v>
      </c>
      <c r="I22" s="131"/>
    </row>
    <row r="23" spans="1:9" x14ac:dyDescent="0.15">
      <c r="A23" s="129">
        <v>21</v>
      </c>
      <c r="B23" s="185"/>
      <c r="C23" s="178" t="s">
        <v>1616</v>
      </c>
      <c r="D23" s="205" t="s">
        <v>2914</v>
      </c>
      <c r="E23" s="42" t="s">
        <v>2873</v>
      </c>
      <c r="F23" s="38">
        <v>521305</v>
      </c>
      <c r="G23" s="38">
        <v>17</v>
      </c>
      <c r="H23" s="42" t="str">
        <f t="shared" si="1"/>
        <v>BMS:(521305,17)</v>
      </c>
      <c r="I23" s="131"/>
    </row>
    <row r="24" spans="1:9" x14ac:dyDescent="0.15">
      <c r="A24" s="129">
        <v>22</v>
      </c>
      <c r="B24" s="185"/>
      <c r="C24" s="179" t="s">
        <v>1612</v>
      </c>
      <c r="D24" s="205" t="s">
        <v>2914</v>
      </c>
      <c r="E24" s="42" t="s">
        <v>2874</v>
      </c>
      <c r="F24" s="38">
        <v>521305</v>
      </c>
      <c r="G24" s="38">
        <v>18</v>
      </c>
      <c r="H24" s="42" t="str">
        <f t="shared" si="1"/>
        <v>BMS:(521305,18)</v>
      </c>
      <c r="I24" s="131"/>
    </row>
    <row r="25" spans="1:9" x14ac:dyDescent="0.15">
      <c r="A25" s="129">
        <v>23</v>
      </c>
      <c r="B25" s="185"/>
      <c r="C25" s="179" t="s">
        <v>1612</v>
      </c>
      <c r="D25" s="205" t="s">
        <v>2914</v>
      </c>
      <c r="E25" s="42" t="s">
        <v>2875</v>
      </c>
      <c r="F25" s="38">
        <v>521305</v>
      </c>
      <c r="G25" s="38">
        <v>1</v>
      </c>
      <c r="H25" s="42" t="str">
        <f t="shared" si="1"/>
        <v>BMS:(521305,1)</v>
      </c>
      <c r="I25" s="131"/>
    </row>
    <row r="26" spans="1:9" x14ac:dyDescent="0.15">
      <c r="A26" s="129">
        <v>24</v>
      </c>
      <c r="B26" s="185"/>
      <c r="C26" s="179" t="s">
        <v>1612</v>
      </c>
      <c r="D26" s="205" t="s">
        <v>2914</v>
      </c>
      <c r="E26" s="37" t="s">
        <v>2897</v>
      </c>
      <c r="F26" s="38">
        <v>521305</v>
      </c>
      <c r="G26" s="38">
        <v>12</v>
      </c>
      <c r="H26" s="42" t="str">
        <f t="shared" si="1"/>
        <v>BMS:(521305,12)</v>
      </c>
      <c r="I26" s="131"/>
    </row>
    <row r="27" spans="1:9" x14ac:dyDescent="0.15">
      <c r="A27" s="129">
        <v>25</v>
      </c>
      <c r="B27" s="184" t="s">
        <v>2904</v>
      </c>
      <c r="C27" s="179" t="s">
        <v>1612</v>
      </c>
      <c r="D27" s="205" t="s">
        <v>2914</v>
      </c>
      <c r="E27" s="37" t="s">
        <v>2897</v>
      </c>
      <c r="F27" s="38">
        <v>521351</v>
      </c>
      <c r="G27" s="38">
        <v>1</v>
      </c>
      <c r="H27" s="42" t="str">
        <f t="shared" si="1"/>
        <v>BMS:(521351,1)</v>
      </c>
      <c r="I27" s="50" t="s">
        <v>2905</v>
      </c>
    </row>
    <row r="28" spans="1:9" x14ac:dyDescent="0.15">
      <c r="A28" s="129">
        <v>26</v>
      </c>
      <c r="B28" s="185"/>
      <c r="C28" s="129" t="s">
        <v>1617</v>
      </c>
      <c r="D28" s="205" t="s">
        <v>2914</v>
      </c>
      <c r="E28" s="42" t="s">
        <v>1029</v>
      </c>
      <c r="F28" s="38">
        <v>521306</v>
      </c>
      <c r="G28" s="38">
        <v>15</v>
      </c>
      <c r="H28" s="42"/>
      <c r="I28" s="181"/>
    </row>
    <row r="29" spans="1:9" x14ac:dyDescent="0.15">
      <c r="A29" s="129">
        <v>27</v>
      </c>
      <c r="B29" s="185"/>
      <c r="C29" s="129" t="s">
        <v>1618</v>
      </c>
      <c r="D29" s="205" t="s">
        <v>2914</v>
      </c>
      <c r="E29" s="42" t="s">
        <v>1030</v>
      </c>
      <c r="F29" s="38">
        <v>521307</v>
      </c>
      <c r="G29" s="38">
        <v>15</v>
      </c>
      <c r="H29" s="42"/>
      <c r="I29" s="131"/>
    </row>
    <row r="30" spans="1:9" x14ac:dyDescent="0.15">
      <c r="A30" s="129">
        <v>28</v>
      </c>
      <c r="B30" s="185"/>
      <c r="C30" s="129" t="s">
        <v>1617</v>
      </c>
      <c r="D30" s="205" t="s">
        <v>2914</v>
      </c>
      <c r="E30" s="42" t="s">
        <v>1031</v>
      </c>
      <c r="F30" s="38">
        <v>521307</v>
      </c>
      <c r="G30" s="38">
        <v>16</v>
      </c>
      <c r="H30" s="42"/>
      <c r="I30" s="131"/>
    </row>
    <row r="31" spans="1:9" x14ac:dyDescent="0.15">
      <c r="A31" s="129">
        <v>29</v>
      </c>
      <c r="B31" s="120" t="s">
        <v>2868</v>
      </c>
      <c r="C31" s="178" t="s">
        <v>1616</v>
      </c>
      <c r="D31" s="205" t="s">
        <v>2914</v>
      </c>
      <c r="E31" s="172" t="s">
        <v>2891</v>
      </c>
      <c r="F31" s="38">
        <v>521307</v>
      </c>
      <c r="G31" s="38">
        <v>0</v>
      </c>
      <c r="H31" s="42" t="str">
        <f t="shared" ref="H31" si="2">"BMS"&amp;":"&amp;"("&amp;F31&amp;","&amp;G31&amp;")"</f>
        <v>BMS:(521307,0)</v>
      </c>
      <c r="I31" s="131"/>
    </row>
    <row r="32" spans="1:9" x14ac:dyDescent="0.15">
      <c r="A32" s="129">
        <v>30</v>
      </c>
      <c r="B32" s="184" t="s">
        <v>2876</v>
      </c>
      <c r="C32" s="178" t="s">
        <v>1641</v>
      </c>
      <c r="D32" s="205" t="s">
        <v>2914</v>
      </c>
      <c r="E32" s="39" t="s">
        <v>1326</v>
      </c>
      <c r="F32" s="38">
        <v>521307</v>
      </c>
      <c r="G32" s="38">
        <v>6</v>
      </c>
      <c r="H32" s="173" t="s">
        <v>2892</v>
      </c>
      <c r="I32" s="131"/>
    </row>
    <row r="33" spans="1:9" x14ac:dyDescent="0.15">
      <c r="A33" s="129">
        <v>31</v>
      </c>
      <c r="B33" s="184" t="s">
        <v>2904</v>
      </c>
      <c r="C33" s="178" t="s">
        <v>1641</v>
      </c>
      <c r="D33" s="205" t="s">
        <v>2914</v>
      </c>
      <c r="E33" s="172" t="s">
        <v>2947</v>
      </c>
      <c r="F33" s="195">
        <v>521358</v>
      </c>
      <c r="G33" s="195">
        <v>16</v>
      </c>
      <c r="H33" s="173" t="s">
        <v>2892</v>
      </c>
      <c r="I33" s="50" t="s">
        <v>2905</v>
      </c>
    </row>
    <row r="34" spans="1:9" x14ac:dyDescent="0.15">
      <c r="A34" s="129">
        <v>32</v>
      </c>
      <c r="B34" s="185"/>
      <c r="C34" s="129" t="s">
        <v>1617</v>
      </c>
      <c r="D34" s="205" t="s">
        <v>2914</v>
      </c>
      <c r="E34" s="42" t="s">
        <v>1032</v>
      </c>
      <c r="F34" s="38">
        <v>521308</v>
      </c>
      <c r="G34" s="38">
        <v>15</v>
      </c>
      <c r="H34" s="42"/>
      <c r="I34" s="131"/>
    </row>
    <row r="35" spans="1:9" x14ac:dyDescent="0.15">
      <c r="A35" s="129">
        <v>33</v>
      </c>
      <c r="B35" s="185"/>
      <c r="C35" s="129" t="s">
        <v>1617</v>
      </c>
      <c r="D35" s="205" t="s">
        <v>2914</v>
      </c>
      <c r="E35" s="42" t="s">
        <v>1033</v>
      </c>
      <c r="F35" s="38">
        <v>521308</v>
      </c>
      <c r="G35" s="38">
        <v>16</v>
      </c>
      <c r="H35" s="42"/>
      <c r="I35" s="131"/>
    </row>
    <row r="36" spans="1:9" x14ac:dyDescent="0.15">
      <c r="A36" s="129">
        <v>34</v>
      </c>
      <c r="B36" s="185"/>
      <c r="C36" s="178" t="s">
        <v>1616</v>
      </c>
      <c r="D36" s="205" t="s">
        <v>2914</v>
      </c>
      <c r="E36" s="42" t="s">
        <v>2890</v>
      </c>
      <c r="F36" s="38">
        <v>521308</v>
      </c>
      <c r="G36" s="38">
        <v>0</v>
      </c>
      <c r="H36" s="42" t="str">
        <f t="shared" ref="H36" si="3">"BMS"&amp;":"&amp;"("&amp;F36&amp;","&amp;G36&amp;")"</f>
        <v>BMS:(521308,0)</v>
      </c>
      <c r="I36" s="131"/>
    </row>
    <row r="37" spans="1:9" x14ac:dyDescent="0.15">
      <c r="A37" s="129">
        <v>35</v>
      </c>
      <c r="B37" s="184" t="s">
        <v>2904</v>
      </c>
      <c r="C37" s="196" t="s">
        <v>2771</v>
      </c>
      <c r="D37" s="205" t="s">
        <v>2914</v>
      </c>
      <c r="E37" s="172" t="s">
        <v>2908</v>
      </c>
      <c r="F37" s="195" t="s">
        <v>2906</v>
      </c>
      <c r="G37" s="195" t="s">
        <v>754</v>
      </c>
      <c r="H37" s="42"/>
      <c r="I37" s="50" t="s">
        <v>2905</v>
      </c>
    </row>
    <row r="38" spans="1:9" x14ac:dyDescent="0.15">
      <c r="A38" s="129">
        <v>36</v>
      </c>
      <c r="B38" s="184" t="s">
        <v>2904</v>
      </c>
      <c r="C38" s="196" t="s">
        <v>2771</v>
      </c>
      <c r="D38" s="205" t="s">
        <v>2914</v>
      </c>
      <c r="E38" s="172" t="s">
        <v>2909</v>
      </c>
      <c r="F38" s="195" t="s">
        <v>2906</v>
      </c>
      <c r="G38" s="195" t="s">
        <v>761</v>
      </c>
      <c r="H38" s="42"/>
      <c r="I38" s="50" t="s">
        <v>2905</v>
      </c>
    </row>
    <row r="39" spans="1:9" x14ac:dyDescent="0.15">
      <c r="A39" s="129">
        <v>37</v>
      </c>
      <c r="B39" s="184" t="s">
        <v>2904</v>
      </c>
      <c r="C39" s="197" t="s">
        <v>1615</v>
      </c>
      <c r="D39" s="205" t="s">
        <v>2914</v>
      </c>
      <c r="E39" s="172" t="s">
        <v>2890</v>
      </c>
      <c r="F39" s="195" t="s">
        <v>2906</v>
      </c>
      <c r="G39" s="195" t="s">
        <v>2907</v>
      </c>
      <c r="H39" s="42" t="str">
        <f t="shared" ref="H39" si="4">"BMS"&amp;":"&amp;"("&amp;F39&amp;","&amp;G39&amp;")"</f>
        <v>BMS:(521360,0)</v>
      </c>
      <c r="I39" s="50" t="s">
        <v>2905</v>
      </c>
    </row>
    <row r="40" spans="1:9" x14ac:dyDescent="0.15">
      <c r="A40" s="129">
        <v>38</v>
      </c>
      <c r="B40" s="184" t="s">
        <v>2904</v>
      </c>
      <c r="C40" s="196" t="s">
        <v>2766</v>
      </c>
      <c r="D40" s="205" t="s">
        <v>2914</v>
      </c>
      <c r="E40" s="172" t="s">
        <v>2910</v>
      </c>
      <c r="F40" s="195" t="s">
        <v>2906</v>
      </c>
      <c r="G40" s="195" t="s">
        <v>767</v>
      </c>
      <c r="H40" s="42"/>
      <c r="I40" s="50" t="s">
        <v>2905</v>
      </c>
    </row>
    <row r="41" spans="1:9" x14ac:dyDescent="0.15">
      <c r="A41" s="129">
        <v>39</v>
      </c>
      <c r="B41" s="184" t="s">
        <v>2904</v>
      </c>
      <c r="C41" s="196" t="s">
        <v>2771</v>
      </c>
      <c r="D41" s="205" t="s">
        <v>2914</v>
      </c>
      <c r="E41" s="172" t="s">
        <v>2911</v>
      </c>
      <c r="F41" s="195" t="s">
        <v>2906</v>
      </c>
      <c r="G41" s="195" t="s">
        <v>774</v>
      </c>
      <c r="H41" s="42"/>
      <c r="I41" s="50" t="s">
        <v>2905</v>
      </c>
    </row>
    <row r="42" spans="1:9" x14ac:dyDescent="0.15">
      <c r="A42" s="129">
        <v>40</v>
      </c>
      <c r="B42" s="184" t="s">
        <v>2904</v>
      </c>
      <c r="C42" s="198" t="s">
        <v>1615</v>
      </c>
      <c r="D42" s="205" t="s">
        <v>2914</v>
      </c>
      <c r="E42" s="172" t="s">
        <v>2891</v>
      </c>
      <c r="F42" s="195" t="s">
        <v>2906</v>
      </c>
      <c r="G42" s="195" t="s">
        <v>866</v>
      </c>
      <c r="H42" s="42" t="str">
        <f t="shared" ref="H42" si="5">"BMS"&amp;":"&amp;"("&amp;F42&amp;","&amp;G42&amp;")"</f>
        <v>BMS:(521360,1)</v>
      </c>
      <c r="I42" s="50" t="s">
        <v>2905</v>
      </c>
    </row>
    <row r="43" spans="1:9" x14ac:dyDescent="0.15">
      <c r="A43" s="129">
        <v>41</v>
      </c>
      <c r="B43" s="185"/>
      <c r="C43" s="129" t="s">
        <v>1617</v>
      </c>
      <c r="D43" s="205" t="s">
        <v>2914</v>
      </c>
      <c r="E43" s="42" t="s">
        <v>1034</v>
      </c>
      <c r="F43" s="38">
        <v>521309</v>
      </c>
      <c r="G43" s="38">
        <v>17</v>
      </c>
      <c r="H43" s="42"/>
      <c r="I43" s="131"/>
    </row>
    <row r="44" spans="1:9" x14ac:dyDescent="0.15">
      <c r="A44" s="129">
        <v>42</v>
      </c>
      <c r="B44" s="184" t="s">
        <v>2876</v>
      </c>
      <c r="C44" s="178" t="s">
        <v>1641</v>
      </c>
      <c r="D44" s="205" t="s">
        <v>2914</v>
      </c>
      <c r="E44" s="42" t="s">
        <v>2898</v>
      </c>
      <c r="F44" s="38">
        <v>521309</v>
      </c>
      <c r="G44" s="38">
        <v>18</v>
      </c>
      <c r="H44" s="173" t="s">
        <v>2900</v>
      </c>
      <c r="I44" s="131"/>
    </row>
    <row r="45" spans="1:9" x14ac:dyDescent="0.15">
      <c r="A45" s="129">
        <v>43</v>
      </c>
      <c r="B45" s="184" t="s">
        <v>2876</v>
      </c>
      <c r="C45" s="178" t="s">
        <v>1641</v>
      </c>
      <c r="D45" s="205" t="s">
        <v>2914</v>
      </c>
      <c r="E45" s="172" t="s">
        <v>2899</v>
      </c>
      <c r="F45" s="38">
        <v>521309</v>
      </c>
      <c r="G45" s="38">
        <v>1</v>
      </c>
      <c r="H45" s="173" t="s">
        <v>2901</v>
      </c>
      <c r="I45" s="131"/>
    </row>
    <row r="46" spans="1:9" x14ac:dyDescent="0.15">
      <c r="A46" s="129">
        <v>44</v>
      </c>
      <c r="B46" s="185"/>
      <c r="C46" s="129" t="s">
        <v>1617</v>
      </c>
      <c r="D46" s="205" t="s">
        <v>2914</v>
      </c>
      <c r="E46" s="42" t="s">
        <v>1035</v>
      </c>
      <c r="F46" s="38">
        <v>521309</v>
      </c>
      <c r="G46" s="38">
        <v>0</v>
      </c>
      <c r="H46" s="42" t="str">
        <f t="shared" ref="H46" si="6">"BMS"&amp;":"&amp;"("&amp;F46&amp;","&amp;G46&amp;")"</f>
        <v>BMS:(521309,0)</v>
      </c>
      <c r="I46" s="131"/>
    </row>
    <row r="47" spans="1:9" x14ac:dyDescent="0.15">
      <c r="A47" s="129">
        <v>45</v>
      </c>
      <c r="B47" s="185"/>
      <c r="C47" s="129" t="s">
        <v>1617</v>
      </c>
      <c r="D47" s="205" t="s">
        <v>2914</v>
      </c>
      <c r="E47" s="172" t="s">
        <v>2902</v>
      </c>
      <c r="F47" s="38">
        <v>521309</v>
      </c>
      <c r="G47" s="38">
        <v>2</v>
      </c>
      <c r="H47" s="42"/>
      <c r="I47" s="50"/>
    </row>
    <row r="48" spans="1:9" x14ac:dyDescent="0.15">
      <c r="A48" s="129">
        <v>46</v>
      </c>
      <c r="B48" s="185"/>
      <c r="C48" s="179" t="s">
        <v>1613</v>
      </c>
      <c r="D48" s="205" t="s">
        <v>2914</v>
      </c>
      <c r="E48" s="174" t="s">
        <v>2903</v>
      </c>
      <c r="F48" s="38">
        <v>521310</v>
      </c>
      <c r="G48" s="38">
        <v>13</v>
      </c>
      <c r="H48" s="42" t="str">
        <f t="shared" ref="H48:H49" si="7">"BMS"&amp;":"&amp;"("&amp;F48&amp;","&amp;G48&amp;")"</f>
        <v>BMS:(521310,13)</v>
      </c>
      <c r="I48" s="131"/>
    </row>
    <row r="49" spans="1:9" x14ac:dyDescent="0.15">
      <c r="A49" s="129">
        <v>47</v>
      </c>
      <c r="B49" s="185"/>
      <c r="C49" s="179" t="s">
        <v>1613</v>
      </c>
      <c r="D49" s="205" t="s">
        <v>2914</v>
      </c>
      <c r="E49" s="42" t="s">
        <v>2915</v>
      </c>
      <c r="F49" s="38">
        <v>521311</v>
      </c>
      <c r="G49" s="38">
        <v>9</v>
      </c>
      <c r="H49" s="42" t="str">
        <f t="shared" si="7"/>
        <v>BMS:(521311,9)</v>
      </c>
      <c r="I49" s="131"/>
    </row>
    <row r="50" spans="1:9" x14ac:dyDescent="0.15">
      <c r="A50" s="129">
        <v>48</v>
      </c>
      <c r="B50" s="184" t="s">
        <v>2876</v>
      </c>
      <c r="C50" s="178" t="s">
        <v>1641</v>
      </c>
      <c r="D50" s="205" t="s">
        <v>2914</v>
      </c>
      <c r="E50" s="42" t="s">
        <v>1036</v>
      </c>
      <c r="F50" s="38">
        <v>521312</v>
      </c>
      <c r="G50" s="38">
        <v>5</v>
      </c>
      <c r="H50" s="173" t="s">
        <v>2916</v>
      </c>
      <c r="I50" s="131"/>
    </row>
    <row r="51" spans="1:9" x14ac:dyDescent="0.15">
      <c r="A51" s="129">
        <v>49</v>
      </c>
      <c r="B51" s="185"/>
      <c r="C51" s="179" t="s">
        <v>1613</v>
      </c>
      <c r="D51" s="205" t="s">
        <v>2914</v>
      </c>
      <c r="E51" s="42" t="s">
        <v>2919</v>
      </c>
      <c r="F51" s="38">
        <v>521327</v>
      </c>
      <c r="G51" s="38">
        <v>5</v>
      </c>
      <c r="H51" s="42" t="str">
        <f t="shared" ref="H51:H66" si="8">"BMS"&amp;":"&amp;"("&amp;F51&amp;","&amp;G51&amp;")"</f>
        <v>BMS:(521327,5)</v>
      </c>
      <c r="I51" s="131"/>
    </row>
    <row r="52" spans="1:9" x14ac:dyDescent="0.15">
      <c r="A52" s="129">
        <v>50</v>
      </c>
      <c r="B52" s="185"/>
      <c r="C52" s="178" t="s">
        <v>1616</v>
      </c>
      <c r="D52" s="205" t="s">
        <v>2914</v>
      </c>
      <c r="E52" s="42" t="s">
        <v>2920</v>
      </c>
      <c r="F52" s="38">
        <v>521327</v>
      </c>
      <c r="G52" s="38">
        <v>3</v>
      </c>
      <c r="H52" s="42" t="str">
        <f t="shared" si="8"/>
        <v>BMS:(521327,3)</v>
      </c>
      <c r="I52" s="131"/>
    </row>
    <row r="53" spans="1:9" x14ac:dyDescent="0.15">
      <c r="A53" s="129">
        <v>51</v>
      </c>
      <c r="B53" s="185"/>
      <c r="C53" s="179" t="s">
        <v>1613</v>
      </c>
      <c r="D53" s="205" t="s">
        <v>2914</v>
      </c>
      <c r="E53" s="40" t="s">
        <v>2917</v>
      </c>
      <c r="F53" s="38">
        <v>521328</v>
      </c>
      <c r="G53" s="38">
        <v>5</v>
      </c>
      <c r="H53" s="42" t="str">
        <f t="shared" si="8"/>
        <v>BMS:(521328,5)</v>
      </c>
      <c r="I53" s="131"/>
    </row>
    <row r="54" spans="1:9" x14ac:dyDescent="0.15">
      <c r="A54" s="129">
        <v>52</v>
      </c>
      <c r="B54" s="185"/>
      <c r="C54" s="178" t="s">
        <v>1616</v>
      </c>
      <c r="D54" s="205" t="s">
        <v>2914</v>
      </c>
      <c r="E54" s="40" t="s">
        <v>2918</v>
      </c>
      <c r="F54" s="38">
        <v>521328</v>
      </c>
      <c r="G54" s="38">
        <v>3</v>
      </c>
      <c r="H54" s="42" t="str">
        <f t="shared" si="8"/>
        <v>BMS:(521328,3)</v>
      </c>
      <c r="I54" s="131"/>
    </row>
    <row r="55" spans="1:9" x14ac:dyDescent="0.15">
      <c r="A55" s="129">
        <v>53</v>
      </c>
      <c r="B55" s="185"/>
      <c r="C55" s="178" t="s">
        <v>1616</v>
      </c>
      <c r="D55" s="205" t="s">
        <v>2914</v>
      </c>
      <c r="E55" s="174" t="s">
        <v>2921</v>
      </c>
      <c r="F55" s="38">
        <v>521329</v>
      </c>
      <c r="G55" s="38">
        <v>5</v>
      </c>
      <c r="H55" s="42" t="str">
        <f t="shared" si="8"/>
        <v>BMS:(521329,5)</v>
      </c>
      <c r="I55" s="131"/>
    </row>
    <row r="56" spans="1:9" x14ac:dyDescent="0.15">
      <c r="A56" s="129">
        <v>54</v>
      </c>
      <c r="B56" s="185"/>
      <c r="C56" s="178" t="s">
        <v>1616</v>
      </c>
      <c r="D56" s="205" t="s">
        <v>2914</v>
      </c>
      <c r="E56" s="174" t="s">
        <v>2922</v>
      </c>
      <c r="F56" s="38">
        <v>521329</v>
      </c>
      <c r="G56" s="38">
        <v>3</v>
      </c>
      <c r="H56" s="42" t="str">
        <f t="shared" si="8"/>
        <v>BMS:(521329,3)</v>
      </c>
      <c r="I56" s="131"/>
    </row>
    <row r="57" spans="1:9" x14ac:dyDescent="0.15">
      <c r="A57" s="129">
        <v>55</v>
      </c>
      <c r="B57" s="185"/>
      <c r="C57" s="178" t="s">
        <v>1616</v>
      </c>
      <c r="D57" s="205" t="s">
        <v>2914</v>
      </c>
      <c r="E57" s="174" t="s">
        <v>2928</v>
      </c>
      <c r="F57" s="38">
        <v>521330</v>
      </c>
      <c r="G57" s="38">
        <v>5</v>
      </c>
      <c r="H57" s="42" t="str">
        <f t="shared" si="8"/>
        <v>BMS:(521330,5)</v>
      </c>
      <c r="I57" s="131"/>
    </row>
    <row r="58" spans="1:9" x14ac:dyDescent="0.15">
      <c r="A58" s="129">
        <v>56</v>
      </c>
      <c r="B58" s="185"/>
      <c r="C58" s="178" t="s">
        <v>1616</v>
      </c>
      <c r="D58" s="205" t="s">
        <v>2914</v>
      </c>
      <c r="E58" s="174" t="s">
        <v>2927</v>
      </c>
      <c r="F58" s="38">
        <v>521330</v>
      </c>
      <c r="G58" s="38">
        <v>3</v>
      </c>
      <c r="H58" s="42" t="str">
        <f t="shared" si="8"/>
        <v>BMS:(521330,3)</v>
      </c>
      <c r="I58" s="131"/>
    </row>
    <row r="59" spans="1:9" x14ac:dyDescent="0.15">
      <c r="A59" s="129">
        <v>57</v>
      </c>
      <c r="B59" s="185"/>
      <c r="C59" s="178" t="s">
        <v>1616</v>
      </c>
      <c r="D59" s="205" t="s">
        <v>2914</v>
      </c>
      <c r="E59" s="174" t="s">
        <v>2926</v>
      </c>
      <c r="F59" s="38">
        <v>521331</v>
      </c>
      <c r="G59" s="38">
        <v>5</v>
      </c>
      <c r="H59" s="42" t="str">
        <f t="shared" si="8"/>
        <v>BMS:(521331,5)</v>
      </c>
      <c r="I59" s="131"/>
    </row>
    <row r="60" spans="1:9" x14ac:dyDescent="0.15">
      <c r="A60" s="129">
        <v>58</v>
      </c>
      <c r="B60" s="185"/>
      <c r="C60" s="178" t="s">
        <v>1616</v>
      </c>
      <c r="D60" s="205" t="s">
        <v>2914</v>
      </c>
      <c r="E60" s="174" t="s">
        <v>2923</v>
      </c>
      <c r="F60" s="38">
        <v>521331</v>
      </c>
      <c r="G60" s="38">
        <v>3</v>
      </c>
      <c r="H60" s="42" t="str">
        <f t="shared" si="8"/>
        <v>BMS:(521331,3)</v>
      </c>
      <c r="I60" s="131"/>
    </row>
    <row r="61" spans="1:9" x14ac:dyDescent="0.15">
      <c r="A61" s="129">
        <v>59</v>
      </c>
      <c r="B61" s="185"/>
      <c r="C61" s="178" t="s">
        <v>1616</v>
      </c>
      <c r="D61" s="205" t="s">
        <v>2914</v>
      </c>
      <c r="E61" s="174" t="s">
        <v>2924</v>
      </c>
      <c r="F61" s="38">
        <v>521332</v>
      </c>
      <c r="G61" s="38">
        <v>5</v>
      </c>
      <c r="H61" s="42" t="str">
        <f t="shared" si="8"/>
        <v>BMS:(521332,5)</v>
      </c>
      <c r="I61" s="131"/>
    </row>
    <row r="62" spans="1:9" x14ac:dyDescent="0.15">
      <c r="A62" s="129">
        <v>60</v>
      </c>
      <c r="B62" s="185"/>
      <c r="C62" s="178" t="s">
        <v>1616</v>
      </c>
      <c r="D62" s="205" t="s">
        <v>2914</v>
      </c>
      <c r="E62" s="174" t="s">
        <v>2925</v>
      </c>
      <c r="F62" s="38">
        <v>521332</v>
      </c>
      <c r="G62" s="38">
        <v>3</v>
      </c>
      <c r="H62" s="42" t="str">
        <f t="shared" si="8"/>
        <v>BMS:(521332,3)</v>
      </c>
      <c r="I62" s="131"/>
    </row>
    <row r="63" spans="1:9" x14ac:dyDescent="0.15">
      <c r="A63" s="129">
        <v>61</v>
      </c>
      <c r="B63" s="185"/>
      <c r="C63" s="178" t="s">
        <v>1616</v>
      </c>
      <c r="D63" s="205" t="s">
        <v>2914</v>
      </c>
      <c r="E63" s="172" t="s">
        <v>2929</v>
      </c>
      <c r="F63" s="38">
        <v>521333</v>
      </c>
      <c r="G63" s="38">
        <v>5</v>
      </c>
      <c r="H63" s="42" t="str">
        <f t="shared" si="8"/>
        <v>BMS:(521333,5)</v>
      </c>
      <c r="I63" s="131"/>
    </row>
    <row r="64" spans="1:9" x14ac:dyDescent="0.15">
      <c r="A64" s="129">
        <v>62</v>
      </c>
      <c r="B64" s="184" t="s">
        <v>2904</v>
      </c>
      <c r="C64" s="178" t="s">
        <v>1616</v>
      </c>
      <c r="D64" s="205" t="s">
        <v>2914</v>
      </c>
      <c r="E64" s="174" t="s">
        <v>2930</v>
      </c>
      <c r="F64" s="195">
        <v>521344</v>
      </c>
      <c r="G64" s="195">
        <v>5</v>
      </c>
      <c r="H64" s="42" t="str">
        <f t="shared" si="8"/>
        <v>BMS:(521344,5)</v>
      </c>
      <c r="I64" s="131"/>
    </row>
    <row r="65" spans="1:11" x14ac:dyDescent="0.15">
      <c r="A65" s="129">
        <v>63</v>
      </c>
      <c r="B65" s="120" t="s">
        <v>2869</v>
      </c>
      <c r="C65" s="179" t="s">
        <v>1612</v>
      </c>
      <c r="D65" s="205" t="s">
        <v>2914</v>
      </c>
      <c r="E65" s="174" t="s">
        <v>2955</v>
      </c>
      <c r="F65" s="38">
        <v>521334</v>
      </c>
      <c r="G65" s="38">
        <v>3</v>
      </c>
      <c r="H65" s="42" t="str">
        <f t="shared" si="8"/>
        <v>BMS:(521334,3)</v>
      </c>
      <c r="I65" s="131"/>
    </row>
    <row r="66" spans="1:11" x14ac:dyDescent="0.15">
      <c r="A66" s="129">
        <v>64</v>
      </c>
      <c r="B66" s="185"/>
      <c r="C66" s="179" t="s">
        <v>1612</v>
      </c>
      <c r="D66" s="205" t="s">
        <v>2914</v>
      </c>
      <c r="E66" s="42" t="s">
        <v>2889</v>
      </c>
      <c r="F66" s="38">
        <v>521335</v>
      </c>
      <c r="G66" s="38">
        <v>3</v>
      </c>
      <c r="H66" s="42" t="str">
        <f t="shared" si="8"/>
        <v>BMS:(521335,3)</v>
      </c>
      <c r="I66" s="131"/>
    </row>
    <row r="67" spans="1:11" x14ac:dyDescent="0.15">
      <c r="A67" s="129">
        <v>65</v>
      </c>
      <c r="B67" s="185"/>
      <c r="C67" s="129"/>
      <c r="D67" s="205" t="s">
        <v>2914</v>
      </c>
      <c r="E67" s="188" t="s">
        <v>1037</v>
      </c>
      <c r="F67" s="192">
        <v>521336</v>
      </c>
      <c r="G67" s="192">
        <v>5</v>
      </c>
      <c r="H67" s="188"/>
      <c r="I67" s="131"/>
      <c r="K67" s="273"/>
    </row>
    <row r="68" spans="1:11" x14ac:dyDescent="0.15">
      <c r="A68" s="129">
        <v>66</v>
      </c>
      <c r="B68" s="184" t="s">
        <v>2876</v>
      </c>
      <c r="C68" s="178" t="s">
        <v>1641</v>
      </c>
      <c r="D68" s="205" t="s">
        <v>2914</v>
      </c>
      <c r="E68" s="174" t="s">
        <v>2931</v>
      </c>
      <c r="F68" s="38">
        <v>521336</v>
      </c>
      <c r="G68" s="38">
        <v>16</v>
      </c>
      <c r="H68" s="173" t="s">
        <v>2933</v>
      </c>
      <c r="I68" s="131"/>
    </row>
    <row r="69" spans="1:11" x14ac:dyDescent="0.15">
      <c r="A69" s="129">
        <v>67</v>
      </c>
      <c r="B69" s="184" t="s">
        <v>2904</v>
      </c>
      <c r="C69" s="178" t="s">
        <v>1641</v>
      </c>
      <c r="D69" s="205" t="s">
        <v>2914</v>
      </c>
      <c r="E69" s="174" t="s">
        <v>2931</v>
      </c>
      <c r="F69" s="38">
        <v>521336</v>
      </c>
      <c r="G69" s="38">
        <v>15</v>
      </c>
      <c r="H69" s="173" t="s">
        <v>2933</v>
      </c>
      <c r="I69" s="50" t="s">
        <v>2905</v>
      </c>
    </row>
    <row r="70" spans="1:11" x14ac:dyDescent="0.15">
      <c r="A70" s="129">
        <v>68</v>
      </c>
      <c r="B70" s="120" t="s">
        <v>2868</v>
      </c>
      <c r="C70" s="178" t="s">
        <v>1616</v>
      </c>
      <c r="D70" s="205" t="s">
        <v>2914</v>
      </c>
      <c r="E70" s="174" t="s">
        <v>2932</v>
      </c>
      <c r="F70" s="38">
        <v>521336</v>
      </c>
      <c r="G70" s="38">
        <v>0</v>
      </c>
      <c r="H70" s="42" t="str">
        <f t="shared" ref="H70:H76" si="9">"BMS"&amp;":"&amp;"("&amp;F70&amp;","&amp;G70&amp;")"</f>
        <v>BMS:(521336,0)</v>
      </c>
      <c r="I70" s="131"/>
    </row>
    <row r="71" spans="1:11" x14ac:dyDescent="0.15">
      <c r="A71" s="129">
        <v>69</v>
      </c>
      <c r="B71" s="185"/>
      <c r="C71" s="178" t="s">
        <v>1616</v>
      </c>
      <c r="D71" s="205" t="s">
        <v>2914</v>
      </c>
      <c r="E71" s="187" t="s">
        <v>2893</v>
      </c>
      <c r="F71" s="38">
        <v>521350</v>
      </c>
      <c r="G71" s="38">
        <v>12</v>
      </c>
      <c r="H71" s="42" t="str">
        <f t="shared" si="9"/>
        <v>BMS:(521350,12)</v>
      </c>
      <c r="I71" s="131"/>
    </row>
    <row r="72" spans="1:11" x14ac:dyDescent="0.15">
      <c r="A72" s="129">
        <v>70</v>
      </c>
      <c r="B72" s="184" t="s">
        <v>2904</v>
      </c>
      <c r="C72" s="178" t="s">
        <v>1616</v>
      </c>
      <c r="D72" s="205" t="s">
        <v>2914</v>
      </c>
      <c r="E72" s="172" t="s">
        <v>2912</v>
      </c>
      <c r="F72" s="195">
        <v>521352</v>
      </c>
      <c r="G72" s="195">
        <v>12</v>
      </c>
      <c r="H72" s="42" t="str">
        <f t="shared" si="9"/>
        <v>BMS:(521352,12)</v>
      </c>
      <c r="I72" s="50" t="s">
        <v>2905</v>
      </c>
    </row>
    <row r="73" spans="1:11" x14ac:dyDescent="0.15">
      <c r="A73" s="129">
        <v>71</v>
      </c>
      <c r="B73" s="185"/>
      <c r="C73" s="129" t="s">
        <v>1617</v>
      </c>
      <c r="D73" s="205" t="s">
        <v>2914</v>
      </c>
      <c r="E73" s="39" t="s">
        <v>1328</v>
      </c>
      <c r="F73" s="38">
        <v>521353</v>
      </c>
      <c r="G73" s="38">
        <v>0</v>
      </c>
      <c r="H73" s="42"/>
      <c r="I73" s="131"/>
    </row>
    <row r="74" spans="1:11" x14ac:dyDescent="0.15">
      <c r="A74" s="129">
        <v>72</v>
      </c>
      <c r="B74" s="185"/>
      <c r="C74" s="178" t="s">
        <v>1616</v>
      </c>
      <c r="D74" s="205" t="s">
        <v>2914</v>
      </c>
      <c r="E74" s="202" t="s">
        <v>2941</v>
      </c>
      <c r="F74" s="38">
        <v>521360</v>
      </c>
      <c r="G74" s="38">
        <v>15</v>
      </c>
      <c r="H74" s="42" t="str">
        <f t="shared" si="9"/>
        <v>BMS:(521360,15)</v>
      </c>
      <c r="I74" s="131"/>
    </row>
    <row r="75" spans="1:11" x14ac:dyDescent="0.15">
      <c r="A75" s="129">
        <v>73</v>
      </c>
      <c r="B75" s="185"/>
      <c r="C75" s="178" t="s">
        <v>1616</v>
      </c>
      <c r="D75" s="205" t="s">
        <v>2914</v>
      </c>
      <c r="E75" s="202" t="s">
        <v>2942</v>
      </c>
      <c r="F75" s="38">
        <v>521360</v>
      </c>
      <c r="G75" s="38">
        <v>16</v>
      </c>
      <c r="H75" s="42" t="str">
        <f t="shared" si="9"/>
        <v>BMS:(521360,16)</v>
      </c>
      <c r="I75" s="131"/>
    </row>
    <row r="76" spans="1:11" x14ac:dyDescent="0.15">
      <c r="A76" s="129">
        <v>74</v>
      </c>
      <c r="B76" s="185"/>
      <c r="C76" s="178" t="s">
        <v>1616</v>
      </c>
      <c r="D76" s="205" t="s">
        <v>2914</v>
      </c>
      <c r="E76" s="202" t="s">
        <v>2943</v>
      </c>
      <c r="F76" s="38">
        <v>521360</v>
      </c>
      <c r="G76" s="38">
        <v>0</v>
      </c>
      <c r="H76" s="42" t="str">
        <f t="shared" si="9"/>
        <v>BMS:(521360,0)</v>
      </c>
      <c r="I76" s="131"/>
    </row>
    <row r="77" spans="1:11" x14ac:dyDescent="0.15">
      <c r="A77" s="129">
        <v>75</v>
      </c>
      <c r="B77" s="185"/>
      <c r="C77" s="129" t="s">
        <v>1617</v>
      </c>
      <c r="D77" s="205" t="s">
        <v>2914</v>
      </c>
      <c r="E77" s="202" t="s">
        <v>2944</v>
      </c>
      <c r="F77" s="38">
        <v>521361</v>
      </c>
      <c r="G77" s="38">
        <v>15</v>
      </c>
      <c r="H77" s="42"/>
      <c r="I77" s="131"/>
    </row>
    <row r="78" spans="1:11" x14ac:dyDescent="0.15">
      <c r="A78" s="129">
        <v>76</v>
      </c>
      <c r="B78" s="185"/>
      <c r="C78" s="129" t="s">
        <v>1617</v>
      </c>
      <c r="D78" s="205" t="s">
        <v>2914</v>
      </c>
      <c r="E78" s="202" t="s">
        <v>2945</v>
      </c>
      <c r="F78" s="38">
        <v>521361</v>
      </c>
      <c r="G78" s="38">
        <v>16</v>
      </c>
      <c r="H78" s="42"/>
      <c r="I78" s="131"/>
    </row>
    <row r="79" spans="1:11" x14ac:dyDescent="0.15">
      <c r="A79" s="129">
        <v>77</v>
      </c>
      <c r="B79" s="185"/>
      <c r="C79" s="129" t="s">
        <v>1617</v>
      </c>
      <c r="D79" s="205" t="s">
        <v>2914</v>
      </c>
      <c r="E79" s="202" t="s">
        <v>2946</v>
      </c>
      <c r="F79" s="38">
        <v>521361</v>
      </c>
      <c r="G79" s="38">
        <v>0</v>
      </c>
      <c r="H79" s="42"/>
      <c r="I79" s="131"/>
    </row>
    <row r="80" spans="1:11" x14ac:dyDescent="0.15">
      <c r="A80" s="129">
        <v>78</v>
      </c>
      <c r="B80" s="185"/>
      <c r="C80" s="179" t="s">
        <v>1613</v>
      </c>
      <c r="D80" s="205" t="s">
        <v>2914</v>
      </c>
      <c r="E80" s="40" t="s">
        <v>1329</v>
      </c>
      <c r="F80" s="38">
        <v>521362</v>
      </c>
      <c r="G80" s="38">
        <v>7</v>
      </c>
      <c r="H80" s="42" t="str">
        <f t="shared" ref="H80:H94" si="10">"BMS"&amp;":"&amp;"("&amp;F80&amp;","&amp;G80&amp;")"</f>
        <v>BMS:(521362,7)</v>
      </c>
      <c r="I80" s="131"/>
    </row>
    <row r="81" spans="1:9" x14ac:dyDescent="0.15">
      <c r="A81" s="129">
        <v>79</v>
      </c>
      <c r="B81" s="185"/>
      <c r="C81" s="179" t="s">
        <v>1613</v>
      </c>
      <c r="D81" s="205" t="s">
        <v>2914</v>
      </c>
      <c r="E81" s="40" t="s">
        <v>1330</v>
      </c>
      <c r="F81" s="38">
        <v>521363</v>
      </c>
      <c r="G81" s="38">
        <v>7</v>
      </c>
      <c r="H81" s="42" t="str">
        <f t="shared" si="10"/>
        <v>BMS:(521363,7)</v>
      </c>
      <c r="I81" s="131"/>
    </row>
    <row r="82" spans="1:9" x14ac:dyDescent="0.15">
      <c r="A82" s="129">
        <v>80</v>
      </c>
      <c r="B82" s="185"/>
      <c r="C82" s="129" t="s">
        <v>1618</v>
      </c>
      <c r="D82" s="205" t="s">
        <v>2914</v>
      </c>
      <c r="E82" s="40" t="s">
        <v>1331</v>
      </c>
      <c r="F82" s="38">
        <v>521364</v>
      </c>
      <c r="G82" s="38">
        <v>12</v>
      </c>
      <c r="H82" s="42" t="str">
        <f t="shared" si="10"/>
        <v>BMS:(521364,12)</v>
      </c>
      <c r="I82" s="131"/>
    </row>
    <row r="83" spans="1:9" x14ac:dyDescent="0.15">
      <c r="A83" s="129">
        <v>81</v>
      </c>
      <c r="B83" s="185"/>
      <c r="C83" s="178" t="s">
        <v>1616</v>
      </c>
      <c r="D83" s="205" t="s">
        <v>2914</v>
      </c>
      <c r="E83" s="203" t="s">
        <v>1327</v>
      </c>
      <c r="F83" s="38">
        <v>521365</v>
      </c>
      <c r="G83" s="38">
        <v>12</v>
      </c>
      <c r="H83" s="42" t="str">
        <f t="shared" si="10"/>
        <v>BMS:(521365,12)</v>
      </c>
      <c r="I83" s="131"/>
    </row>
    <row r="84" spans="1:9" x14ac:dyDescent="0.15">
      <c r="A84" s="129">
        <v>82</v>
      </c>
      <c r="B84" s="184" t="s">
        <v>2904</v>
      </c>
      <c r="C84" s="178" t="s">
        <v>1616</v>
      </c>
      <c r="D84" s="205" t="s">
        <v>2914</v>
      </c>
      <c r="E84" s="203" t="s">
        <v>1327</v>
      </c>
      <c r="F84" s="195">
        <v>521359</v>
      </c>
      <c r="G84" s="195">
        <v>12</v>
      </c>
      <c r="H84" s="42" t="str">
        <f t="shared" si="10"/>
        <v>BMS:(521359,12)</v>
      </c>
      <c r="I84" s="50" t="s">
        <v>2905</v>
      </c>
    </row>
    <row r="85" spans="1:9" x14ac:dyDescent="0.15">
      <c r="A85" s="129">
        <v>83</v>
      </c>
      <c r="B85" s="185"/>
      <c r="C85" s="129" t="s">
        <v>1618</v>
      </c>
      <c r="D85" s="205" t="s">
        <v>2914</v>
      </c>
      <c r="E85" s="40" t="s">
        <v>1325</v>
      </c>
      <c r="F85" s="38">
        <v>521366</v>
      </c>
      <c r="G85" s="38">
        <v>5</v>
      </c>
      <c r="H85" s="42" t="str">
        <f t="shared" si="10"/>
        <v>BMS:(521366,5)</v>
      </c>
      <c r="I85" s="131"/>
    </row>
    <row r="86" spans="1:9" x14ac:dyDescent="0.15">
      <c r="A86" s="129">
        <v>84</v>
      </c>
      <c r="B86" s="185"/>
      <c r="C86" s="129" t="s">
        <v>1618</v>
      </c>
      <c r="D86" s="205" t="s">
        <v>2914</v>
      </c>
      <c r="E86" s="40" t="s">
        <v>1332</v>
      </c>
      <c r="F86" s="38">
        <v>521366</v>
      </c>
      <c r="G86" s="38">
        <v>3</v>
      </c>
      <c r="H86" s="42" t="str">
        <f t="shared" si="10"/>
        <v>BMS:(521366,3)</v>
      </c>
      <c r="I86" s="131"/>
    </row>
    <row r="87" spans="1:9" x14ac:dyDescent="0.15">
      <c r="A87" s="129">
        <v>85</v>
      </c>
      <c r="B87" s="185"/>
      <c r="C87" s="129" t="s">
        <v>1618</v>
      </c>
      <c r="D87" s="205" t="s">
        <v>2914</v>
      </c>
      <c r="E87" s="40" t="s">
        <v>1333</v>
      </c>
      <c r="F87" s="38">
        <v>521367</v>
      </c>
      <c r="G87" s="38">
        <v>5</v>
      </c>
      <c r="H87" s="42" t="str">
        <f t="shared" si="10"/>
        <v>BMS:(521367,5)</v>
      </c>
      <c r="I87" s="131"/>
    </row>
    <row r="88" spans="1:9" x14ac:dyDescent="0.15">
      <c r="A88" s="129">
        <v>86</v>
      </c>
      <c r="B88" s="185"/>
      <c r="C88" s="129" t="s">
        <v>1618</v>
      </c>
      <c r="D88" s="205" t="s">
        <v>2914</v>
      </c>
      <c r="E88" s="40" t="s">
        <v>1334</v>
      </c>
      <c r="F88" s="38">
        <v>521367</v>
      </c>
      <c r="G88" s="38">
        <v>3</v>
      </c>
      <c r="H88" s="42" t="str">
        <f t="shared" si="10"/>
        <v>BMS:(521367,3)</v>
      </c>
      <c r="I88" s="131"/>
    </row>
    <row r="89" spans="1:9" x14ac:dyDescent="0.15">
      <c r="A89" s="129">
        <v>87</v>
      </c>
      <c r="B89" s="185"/>
      <c r="C89" s="178" t="s">
        <v>1616</v>
      </c>
      <c r="D89" s="205" t="s">
        <v>2914</v>
      </c>
      <c r="E89" s="189" t="s">
        <v>1160</v>
      </c>
      <c r="F89" s="185">
        <v>522138</v>
      </c>
      <c r="G89" s="38">
        <v>0</v>
      </c>
      <c r="H89" s="42" t="str">
        <f t="shared" si="10"/>
        <v>BMS:(522138,0)</v>
      </c>
      <c r="I89" s="131"/>
    </row>
    <row r="90" spans="1:9" x14ac:dyDescent="0.15">
      <c r="A90" s="129">
        <v>88</v>
      </c>
      <c r="B90" s="120" t="s">
        <v>2904</v>
      </c>
      <c r="C90" s="178" t="s">
        <v>1616</v>
      </c>
      <c r="D90" s="205" t="s">
        <v>2914</v>
      </c>
      <c r="E90" s="189" t="s">
        <v>2954</v>
      </c>
      <c r="F90" s="185">
        <v>521355</v>
      </c>
      <c r="G90" s="38">
        <v>12</v>
      </c>
      <c r="H90" s="42" t="str">
        <f t="shared" si="10"/>
        <v>BMS:(521355,12)</v>
      </c>
      <c r="I90" s="50" t="s">
        <v>2905</v>
      </c>
    </row>
    <row r="91" spans="1:9" x14ac:dyDescent="0.15">
      <c r="A91" s="129">
        <v>89</v>
      </c>
      <c r="B91" s="120" t="s">
        <v>2868</v>
      </c>
      <c r="C91" s="178" t="s">
        <v>1616</v>
      </c>
      <c r="D91" s="205" t="s">
        <v>2914</v>
      </c>
      <c r="E91" s="187" t="s">
        <v>1151</v>
      </c>
      <c r="F91" s="185">
        <v>522139</v>
      </c>
      <c r="G91" s="185">
        <v>1</v>
      </c>
      <c r="H91" s="42" t="str">
        <f t="shared" si="10"/>
        <v>BMS:(522139,1)</v>
      </c>
      <c r="I91" s="131"/>
    </row>
    <row r="92" spans="1:9" x14ac:dyDescent="0.15">
      <c r="A92" s="129">
        <v>90</v>
      </c>
      <c r="B92" s="120" t="s">
        <v>2904</v>
      </c>
      <c r="C92" s="178" t="s">
        <v>1616</v>
      </c>
      <c r="D92" s="205" t="s">
        <v>2914</v>
      </c>
      <c r="E92" s="187" t="s">
        <v>2952</v>
      </c>
      <c r="F92" s="185">
        <v>521356</v>
      </c>
      <c r="G92" s="185">
        <v>1</v>
      </c>
      <c r="H92" s="42" t="str">
        <f t="shared" si="10"/>
        <v>BMS:(521356,1)</v>
      </c>
      <c r="I92" s="50" t="s">
        <v>2905</v>
      </c>
    </row>
    <row r="93" spans="1:9" x14ac:dyDescent="0.15">
      <c r="A93" s="129">
        <v>91</v>
      </c>
      <c r="B93" s="185"/>
      <c r="C93" s="178" t="s">
        <v>1616</v>
      </c>
      <c r="D93" s="205" t="s">
        <v>2914</v>
      </c>
      <c r="E93" s="187" t="s">
        <v>1152</v>
      </c>
      <c r="F93" s="185">
        <v>522140</v>
      </c>
      <c r="G93" s="185">
        <v>9</v>
      </c>
      <c r="H93" s="42" t="str">
        <f t="shared" si="10"/>
        <v>BMS:(522140,9)</v>
      </c>
      <c r="I93" s="131"/>
    </row>
    <row r="94" spans="1:9" x14ac:dyDescent="0.15">
      <c r="A94" s="129">
        <v>92</v>
      </c>
      <c r="B94" s="184" t="s">
        <v>2904</v>
      </c>
      <c r="C94" s="178" t="s">
        <v>1616</v>
      </c>
      <c r="D94" s="205" t="s">
        <v>2914</v>
      </c>
      <c r="E94" s="187" t="s">
        <v>2953</v>
      </c>
      <c r="F94" s="185">
        <v>521323</v>
      </c>
      <c r="G94" s="185">
        <v>9</v>
      </c>
      <c r="H94" s="42" t="str">
        <f t="shared" si="10"/>
        <v>BMS:(521323,9)</v>
      </c>
      <c r="I94" s="50" t="s">
        <v>2905</v>
      </c>
    </row>
    <row r="95" spans="1:9" x14ac:dyDescent="0.15">
      <c r="A95" s="129">
        <v>93</v>
      </c>
      <c r="B95" s="184" t="s">
        <v>2876</v>
      </c>
      <c r="C95" s="178" t="s">
        <v>1641</v>
      </c>
      <c r="D95" s="205" t="s">
        <v>2914</v>
      </c>
      <c r="E95" s="187" t="s">
        <v>1153</v>
      </c>
      <c r="F95" s="185">
        <v>522141</v>
      </c>
      <c r="G95" s="185">
        <v>9</v>
      </c>
      <c r="H95" s="204" t="s">
        <v>2950</v>
      </c>
      <c r="I95" s="131"/>
    </row>
    <row r="96" spans="1:9" x14ac:dyDescent="0.15">
      <c r="A96" s="129">
        <v>94</v>
      </c>
      <c r="B96" s="184" t="s">
        <v>2904</v>
      </c>
      <c r="C96" s="178" t="s">
        <v>1641</v>
      </c>
      <c r="D96" s="205" t="s">
        <v>2914</v>
      </c>
      <c r="E96" s="172" t="s">
        <v>2951</v>
      </c>
      <c r="F96" s="195">
        <v>521360</v>
      </c>
      <c r="G96" s="195">
        <v>5</v>
      </c>
      <c r="H96" s="204" t="s">
        <v>2950</v>
      </c>
      <c r="I96" s="50" t="s">
        <v>2905</v>
      </c>
    </row>
    <row r="97" spans="1:11" x14ac:dyDescent="0.15">
      <c r="A97" s="129">
        <v>95</v>
      </c>
      <c r="B97" s="185"/>
      <c r="C97" s="178" t="s">
        <v>1616</v>
      </c>
      <c r="D97" s="205" t="s">
        <v>2914</v>
      </c>
      <c r="E97" s="172" t="s">
        <v>2948</v>
      </c>
      <c r="F97" s="185">
        <v>522142</v>
      </c>
      <c r="G97" s="185">
        <v>0</v>
      </c>
      <c r="H97" s="42" t="str">
        <f t="shared" ref="H97:H106" si="11">"BMS"&amp;":"&amp;"("&amp;F97&amp;","&amp;G97&amp;")"</f>
        <v>BMS:(522142,0)</v>
      </c>
      <c r="I97" s="131"/>
    </row>
    <row r="98" spans="1:11" x14ac:dyDescent="0.15">
      <c r="A98" s="129">
        <v>96</v>
      </c>
      <c r="B98" s="184" t="s">
        <v>2904</v>
      </c>
      <c r="C98" s="178" t="s">
        <v>1616</v>
      </c>
      <c r="D98" s="205" t="s">
        <v>2914</v>
      </c>
      <c r="E98" s="172" t="s">
        <v>2949</v>
      </c>
      <c r="F98" s="195">
        <v>521357</v>
      </c>
      <c r="G98" s="195">
        <v>16</v>
      </c>
      <c r="H98" s="42" t="str">
        <f t="shared" si="11"/>
        <v>BMS:(521357,16)</v>
      </c>
      <c r="I98" s="50" t="s">
        <v>2905</v>
      </c>
    </row>
    <row r="99" spans="1:11" x14ac:dyDescent="0.15">
      <c r="A99" s="129">
        <v>97</v>
      </c>
      <c r="B99" s="185"/>
      <c r="C99" s="129" t="s">
        <v>1617</v>
      </c>
      <c r="D99" s="205" t="s">
        <v>2914</v>
      </c>
      <c r="E99" s="187" t="s">
        <v>1154</v>
      </c>
      <c r="F99" s="185">
        <v>522143</v>
      </c>
      <c r="G99" s="185">
        <v>5</v>
      </c>
      <c r="H99" s="42" t="str">
        <f t="shared" si="11"/>
        <v>BMS:(522143,5)</v>
      </c>
      <c r="I99" s="131"/>
    </row>
    <row r="100" spans="1:11" x14ac:dyDescent="0.15">
      <c r="A100" s="129">
        <v>98</v>
      </c>
      <c r="B100" s="185"/>
      <c r="C100" s="129" t="s">
        <v>1617</v>
      </c>
      <c r="D100" s="205" t="s">
        <v>2914</v>
      </c>
      <c r="E100" s="187" t="s">
        <v>1155</v>
      </c>
      <c r="F100" s="185">
        <v>522144</v>
      </c>
      <c r="G100" s="185">
        <v>5</v>
      </c>
      <c r="H100" s="42" t="str">
        <f t="shared" si="11"/>
        <v>BMS:(522144,5)</v>
      </c>
      <c r="I100" s="131"/>
    </row>
    <row r="101" spans="1:11" x14ac:dyDescent="0.15">
      <c r="A101" s="129">
        <v>99</v>
      </c>
      <c r="B101" s="185"/>
      <c r="C101" s="129" t="s">
        <v>1618</v>
      </c>
      <c r="D101" s="205" t="s">
        <v>2914</v>
      </c>
      <c r="E101" s="42" t="s">
        <v>2913</v>
      </c>
      <c r="F101" s="38">
        <v>522240</v>
      </c>
      <c r="G101" s="38">
        <v>12</v>
      </c>
      <c r="H101" s="42"/>
      <c r="I101" s="131"/>
    </row>
    <row r="102" spans="1:11" x14ac:dyDescent="0.15">
      <c r="A102" s="129">
        <v>100</v>
      </c>
      <c r="B102" s="185"/>
      <c r="C102" s="178" t="s">
        <v>1655</v>
      </c>
      <c r="D102" s="205" t="s">
        <v>2914</v>
      </c>
      <c r="E102" s="187" t="s">
        <v>1156</v>
      </c>
      <c r="F102" s="185">
        <v>522241</v>
      </c>
      <c r="G102" s="185">
        <v>16</v>
      </c>
      <c r="H102" s="42" t="str">
        <f t="shared" si="11"/>
        <v>BMS:(522241,16)</v>
      </c>
      <c r="I102" s="131"/>
    </row>
    <row r="103" spans="1:11" x14ac:dyDescent="0.15">
      <c r="A103" s="129">
        <v>101</v>
      </c>
      <c r="B103" s="185"/>
      <c r="C103" s="179" t="s">
        <v>1656</v>
      </c>
      <c r="D103" s="205" t="s">
        <v>2914</v>
      </c>
      <c r="E103" s="187" t="s">
        <v>1157</v>
      </c>
      <c r="F103" s="185">
        <v>522242</v>
      </c>
      <c r="G103" s="185">
        <v>5</v>
      </c>
      <c r="H103" s="42" t="str">
        <f t="shared" si="11"/>
        <v>BMS:(522242,5)</v>
      </c>
      <c r="I103" s="131"/>
    </row>
    <row r="104" spans="1:11" x14ac:dyDescent="0.15">
      <c r="A104" s="129">
        <v>102</v>
      </c>
      <c r="B104" s="185"/>
      <c r="C104" s="179" t="s">
        <v>1656</v>
      </c>
      <c r="D104" s="205" t="s">
        <v>2914</v>
      </c>
      <c r="E104" s="187" t="s">
        <v>1158</v>
      </c>
      <c r="F104" s="185">
        <v>522243</v>
      </c>
      <c r="G104" s="185">
        <v>5</v>
      </c>
      <c r="H104" s="42" t="str">
        <f t="shared" si="11"/>
        <v>BMS:(522243,5)</v>
      </c>
      <c r="I104" s="131"/>
    </row>
    <row r="105" spans="1:11" x14ac:dyDescent="0.15">
      <c r="A105" s="129">
        <v>103</v>
      </c>
      <c r="B105" s="185"/>
      <c r="C105" s="179" t="s">
        <v>1656</v>
      </c>
      <c r="D105" s="205" t="s">
        <v>2914</v>
      </c>
      <c r="E105" s="42" t="s">
        <v>1156</v>
      </c>
      <c r="F105" s="185">
        <v>522244</v>
      </c>
      <c r="G105" s="185">
        <v>0</v>
      </c>
      <c r="H105" s="42" t="str">
        <f t="shared" si="11"/>
        <v>BMS:(522244,0)</v>
      </c>
      <c r="I105" s="131"/>
    </row>
    <row r="106" spans="1:11" x14ac:dyDescent="0.15">
      <c r="A106" s="129">
        <v>104</v>
      </c>
      <c r="B106" s="185"/>
      <c r="C106" s="179" t="s">
        <v>1656</v>
      </c>
      <c r="D106" s="205" t="s">
        <v>2914</v>
      </c>
      <c r="E106" s="42" t="s">
        <v>1159</v>
      </c>
      <c r="F106" s="185">
        <v>522245</v>
      </c>
      <c r="G106" s="185">
        <v>9</v>
      </c>
      <c r="H106" s="42" t="str">
        <f t="shared" si="11"/>
        <v>BMS:(522245,9)</v>
      </c>
      <c r="I106" s="131"/>
    </row>
    <row r="107" spans="1:11" x14ac:dyDescent="0.15">
      <c r="A107" s="129">
        <v>105</v>
      </c>
      <c r="B107" s="185"/>
      <c r="C107" s="129"/>
      <c r="D107" s="205"/>
      <c r="E107" s="188" t="s">
        <v>1392</v>
      </c>
      <c r="F107" s="193">
        <v>522243</v>
      </c>
      <c r="G107" s="193" t="s">
        <v>1394</v>
      </c>
      <c r="H107" s="188"/>
      <c r="I107" s="131"/>
      <c r="J107" s="182"/>
    </row>
    <row r="108" spans="1:11" x14ac:dyDescent="0.15">
      <c r="A108" s="129">
        <v>106</v>
      </c>
      <c r="B108" s="185"/>
      <c r="C108" s="129"/>
      <c r="D108" s="205"/>
      <c r="E108" s="188" t="s">
        <v>1399</v>
      </c>
      <c r="F108" s="193" t="s">
        <v>1393</v>
      </c>
      <c r="G108" s="193" t="s">
        <v>1395</v>
      </c>
      <c r="H108" s="188"/>
      <c r="I108" s="131"/>
      <c r="J108" s="182"/>
    </row>
    <row r="109" spans="1:11" x14ac:dyDescent="0.15">
      <c r="A109" s="129">
        <v>107</v>
      </c>
      <c r="B109" s="185"/>
      <c r="C109" s="129"/>
      <c r="D109" s="205"/>
      <c r="E109" s="188" t="s">
        <v>1400</v>
      </c>
      <c r="F109" s="193" t="s">
        <v>1393</v>
      </c>
      <c r="G109" s="193" t="s">
        <v>1396</v>
      </c>
      <c r="H109" s="188"/>
      <c r="I109" s="131"/>
      <c r="J109" s="182"/>
    </row>
    <row r="110" spans="1:11" x14ac:dyDescent="0.15">
      <c r="A110" s="129">
        <v>108</v>
      </c>
      <c r="B110" s="185"/>
      <c r="C110" s="178" t="s">
        <v>1655</v>
      </c>
      <c r="D110" s="205" t="s">
        <v>2914</v>
      </c>
      <c r="E110" s="42" t="s">
        <v>1401</v>
      </c>
      <c r="F110" s="185">
        <v>522244</v>
      </c>
      <c r="G110" s="185">
        <v>5</v>
      </c>
      <c r="H110" s="42" t="s">
        <v>3403</v>
      </c>
      <c r="I110" s="131"/>
      <c r="J110" s="274"/>
    </row>
    <row r="111" spans="1:11" x14ac:dyDescent="0.15">
      <c r="A111" s="129">
        <v>109</v>
      </c>
      <c r="B111" s="185"/>
      <c r="C111" s="129"/>
      <c r="D111" s="205"/>
      <c r="E111" s="188" t="s">
        <v>1402</v>
      </c>
      <c r="F111" s="193">
        <v>522239</v>
      </c>
      <c r="G111" s="193">
        <v>12</v>
      </c>
      <c r="H111" s="188"/>
      <c r="I111" s="426"/>
      <c r="J111" s="274"/>
      <c r="K111" s="273"/>
    </row>
    <row r="112" spans="1:11" x14ac:dyDescent="0.15">
      <c r="A112" s="129">
        <v>110</v>
      </c>
      <c r="B112" s="185"/>
      <c r="C112" s="129"/>
      <c r="D112" s="205"/>
      <c r="E112" s="188" t="s">
        <v>1403</v>
      </c>
      <c r="F112" s="193">
        <v>522238</v>
      </c>
      <c r="G112" s="193">
        <v>13</v>
      </c>
      <c r="H112" s="188"/>
      <c r="I112" s="426"/>
      <c r="J112" s="274"/>
      <c r="K112" s="273"/>
    </row>
    <row r="113" spans="1:11" x14ac:dyDescent="0.15">
      <c r="A113" s="129">
        <v>111</v>
      </c>
      <c r="B113" s="185"/>
      <c r="C113" s="129"/>
      <c r="D113" s="205"/>
      <c r="E113" s="188" t="s">
        <v>1404</v>
      </c>
      <c r="F113" s="193">
        <v>522237</v>
      </c>
      <c r="G113" s="193">
        <v>23</v>
      </c>
      <c r="H113" s="188"/>
      <c r="I113" s="426"/>
      <c r="J113" s="274"/>
      <c r="K113" s="273"/>
    </row>
    <row r="114" spans="1:11" x14ac:dyDescent="0.15">
      <c r="A114" s="129">
        <v>112</v>
      </c>
      <c r="B114" s="120" t="s">
        <v>2868</v>
      </c>
      <c r="C114" s="178" t="s">
        <v>1616</v>
      </c>
      <c r="D114" s="205" t="s">
        <v>2914</v>
      </c>
      <c r="E114" s="42" t="s">
        <v>1614</v>
      </c>
      <c r="F114" s="185">
        <v>521313</v>
      </c>
      <c r="G114" s="185">
        <v>7</v>
      </c>
      <c r="H114" s="42" t="str">
        <f t="shared" ref="H114:H120" si="12">"BMS"&amp;":"&amp;"("&amp;F114&amp;","&amp;G114&amp;")"</f>
        <v>BMS:(521313,7)</v>
      </c>
      <c r="I114" s="427"/>
      <c r="J114" s="274"/>
    </row>
    <row r="115" spans="1:11" x14ac:dyDescent="0.15">
      <c r="A115" s="129">
        <v>113</v>
      </c>
      <c r="B115" s="120" t="s">
        <v>2868</v>
      </c>
      <c r="C115" s="178" t="s">
        <v>1616</v>
      </c>
      <c r="D115" s="205" t="s">
        <v>2914</v>
      </c>
      <c r="E115" s="200" t="s">
        <v>2936</v>
      </c>
      <c r="F115" s="185">
        <v>521316</v>
      </c>
      <c r="G115" s="185">
        <v>12</v>
      </c>
      <c r="H115" s="42" t="str">
        <f t="shared" si="12"/>
        <v>BMS:(521316,12)</v>
      </c>
      <c r="I115" s="427"/>
      <c r="J115" s="274"/>
    </row>
    <row r="116" spans="1:11" x14ac:dyDescent="0.15">
      <c r="A116" s="129">
        <v>114</v>
      </c>
      <c r="B116" s="185"/>
      <c r="C116" s="178" t="s">
        <v>1616</v>
      </c>
      <c r="D116" s="205" t="s">
        <v>2914</v>
      </c>
      <c r="E116" s="199" t="s">
        <v>2934</v>
      </c>
      <c r="F116" s="185">
        <v>521314</v>
      </c>
      <c r="G116" s="185">
        <v>3</v>
      </c>
      <c r="H116" s="42" t="str">
        <f t="shared" si="12"/>
        <v>BMS:(521314,3)</v>
      </c>
      <c r="I116" s="427"/>
      <c r="J116" s="274"/>
    </row>
    <row r="117" spans="1:11" x14ac:dyDescent="0.15">
      <c r="A117" s="129">
        <v>115</v>
      </c>
      <c r="B117" s="185"/>
      <c r="C117" s="178" t="s">
        <v>1616</v>
      </c>
      <c r="D117" s="205" t="s">
        <v>2914</v>
      </c>
      <c r="E117" s="199" t="s">
        <v>2935</v>
      </c>
      <c r="F117" s="185">
        <v>521315</v>
      </c>
      <c r="G117" s="185">
        <v>5</v>
      </c>
      <c r="H117" s="42" t="str">
        <f t="shared" si="12"/>
        <v>BMS:(521315,5)</v>
      </c>
      <c r="I117" s="427"/>
      <c r="J117" s="274"/>
    </row>
    <row r="118" spans="1:11" x14ac:dyDescent="0.15">
      <c r="A118" s="129">
        <v>116</v>
      </c>
      <c r="B118" s="185"/>
      <c r="C118" s="178" t="s">
        <v>1616</v>
      </c>
      <c r="D118" s="205" t="s">
        <v>2914</v>
      </c>
      <c r="E118" s="199" t="s">
        <v>2937</v>
      </c>
      <c r="F118" s="185">
        <v>521317</v>
      </c>
      <c r="G118" s="185">
        <v>3</v>
      </c>
      <c r="H118" s="42" t="str">
        <f t="shared" si="12"/>
        <v>BMS:(521317,3)</v>
      </c>
      <c r="I118" s="427"/>
      <c r="J118" s="274"/>
    </row>
    <row r="119" spans="1:11" x14ac:dyDescent="0.15">
      <c r="A119" s="129">
        <v>117</v>
      </c>
      <c r="B119" s="185"/>
      <c r="C119" s="178" t="s">
        <v>1616</v>
      </c>
      <c r="D119" s="205" t="s">
        <v>2914</v>
      </c>
      <c r="E119" s="199" t="s">
        <v>2938</v>
      </c>
      <c r="F119" s="185">
        <v>521318</v>
      </c>
      <c r="G119" s="185">
        <v>5</v>
      </c>
      <c r="H119" s="42" t="str">
        <f t="shared" si="12"/>
        <v>BMS:(521318,5)</v>
      </c>
      <c r="I119" s="427"/>
      <c r="J119" s="274"/>
    </row>
    <row r="120" spans="1:11" x14ac:dyDescent="0.15">
      <c r="A120" s="129">
        <v>118</v>
      </c>
      <c r="B120" s="184" t="s">
        <v>2904</v>
      </c>
      <c r="C120" s="178" t="s">
        <v>1616</v>
      </c>
      <c r="D120" s="205" t="s">
        <v>2914</v>
      </c>
      <c r="E120" s="199" t="s">
        <v>2940</v>
      </c>
      <c r="F120" s="196">
        <v>521319</v>
      </c>
      <c r="G120" s="196">
        <v>12</v>
      </c>
      <c r="H120" s="42" t="str">
        <f t="shared" si="12"/>
        <v>BMS:(521319,12)</v>
      </c>
      <c r="I120" s="427"/>
      <c r="J120" s="274"/>
    </row>
    <row r="121" spans="1:11" x14ac:dyDescent="0.15">
      <c r="A121" s="129">
        <v>119</v>
      </c>
      <c r="B121" s="184" t="s">
        <v>2904</v>
      </c>
      <c r="C121" s="178" t="s">
        <v>1641</v>
      </c>
      <c r="D121" s="205" t="s">
        <v>2914</v>
      </c>
      <c r="E121" s="199" t="s">
        <v>2939</v>
      </c>
      <c r="F121" s="196">
        <v>521320</v>
      </c>
      <c r="G121" s="196">
        <v>12</v>
      </c>
      <c r="H121" s="201" t="s">
        <v>2892</v>
      </c>
      <c r="I121" s="427"/>
      <c r="J121" s="274"/>
    </row>
    <row r="122" spans="1:11" x14ac:dyDescent="0.15">
      <c r="E122" s="191"/>
      <c r="F122" s="186"/>
      <c r="G122" s="194"/>
      <c r="H122" s="191"/>
    </row>
    <row r="124" spans="1:11" x14ac:dyDescent="0.15">
      <c r="C124" s="38"/>
    </row>
  </sheetData>
  <autoFilter ref="A2:J121" xr:uid="{00000000-0001-0000-0900-000000000000}">
    <sortState xmlns:xlrd2="http://schemas.microsoft.com/office/spreadsheetml/2017/richdata2" ref="A74:J76">
      <sortCondition descending="1" ref="F2:F121"/>
    </sortState>
  </autoFilter>
  <sortState xmlns:xlrd2="http://schemas.microsoft.com/office/spreadsheetml/2017/richdata2" ref="A2:I109">
    <sortCondition ref="F2"/>
  </sortState>
  <mergeCells count="1">
    <mergeCell ref="A1:C1"/>
  </mergeCells>
  <phoneticPr fontId="20" type="noConversion"/>
  <hyperlinks>
    <hyperlink ref="A1:C1" location="'控制器源地址&amp;跳转页面'!A1" display="返回目录" xr:uid="{7D14E464-5E5B-483C-B227-0153B33F698A}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J77"/>
  <sheetViews>
    <sheetView zoomScale="115" zoomScaleNormal="115" workbookViewId="0">
      <pane ySplit="2" topLeftCell="A60" activePane="bottomLeft" state="frozen"/>
      <selection pane="bottomLeft" activeCell="H75" sqref="H75"/>
    </sheetView>
  </sheetViews>
  <sheetFormatPr defaultColWidth="9" defaultRowHeight="16.5" x14ac:dyDescent="0.15"/>
  <cols>
    <col min="1" max="1" width="5.25" style="132" customWidth="1"/>
    <col min="2" max="2" width="13.125" style="132" customWidth="1"/>
    <col min="3" max="3" width="8.125" style="132" customWidth="1"/>
    <col min="4" max="4" width="9" style="132" customWidth="1"/>
    <col min="5" max="5" width="33.625" style="261" customWidth="1"/>
    <col min="6" max="7" width="9.5" style="225" customWidth="1"/>
    <col min="8" max="8" width="61.5" style="132" customWidth="1"/>
    <col min="9" max="9" width="28.875" style="132" customWidth="1"/>
    <col min="10" max="10" width="19" style="132" customWidth="1"/>
    <col min="11" max="16384" width="9" style="132"/>
  </cols>
  <sheetData>
    <row r="1" spans="1:10" x14ac:dyDescent="0.15">
      <c r="A1" s="348" t="s">
        <v>1703</v>
      </c>
      <c r="B1" s="349"/>
      <c r="C1" s="350"/>
      <c r="D1" s="131"/>
      <c r="E1" s="253"/>
      <c r="F1" s="139"/>
      <c r="G1" s="139"/>
      <c r="H1" s="131"/>
    </row>
    <row r="2" spans="1:10" ht="20.100000000000001" customHeight="1" x14ac:dyDescent="0.15">
      <c r="A2" s="264" t="s">
        <v>0</v>
      </c>
      <c r="B2" s="254" t="s">
        <v>2832</v>
      </c>
      <c r="C2" s="264" t="s">
        <v>1600</v>
      </c>
      <c r="D2" s="264" t="s">
        <v>1636</v>
      </c>
      <c r="E2" s="265" t="s">
        <v>1370</v>
      </c>
      <c r="F2" s="264" t="s">
        <v>10</v>
      </c>
      <c r="G2" s="264" t="s">
        <v>25</v>
      </c>
      <c r="H2" s="264" t="s">
        <v>1039</v>
      </c>
    </row>
    <row r="3" spans="1:10" ht="17.25" customHeight="1" x14ac:dyDescent="0.15">
      <c r="A3" s="257">
        <v>1</v>
      </c>
      <c r="B3" s="255" t="s">
        <v>2772</v>
      </c>
      <c r="C3" s="266" t="s">
        <v>1603</v>
      </c>
      <c r="D3" s="257"/>
      <c r="E3" s="42" t="s">
        <v>1289</v>
      </c>
      <c r="F3" s="257">
        <v>521700</v>
      </c>
      <c r="G3" s="257">
        <v>16</v>
      </c>
      <c r="H3" s="50" t="str">
        <f>"MCU"&amp;":"&amp;"("&amp;F3&amp;","&amp;G3&amp;")"</f>
        <v>MCU:(521700,16)</v>
      </c>
    </row>
    <row r="4" spans="1:10" x14ac:dyDescent="0.15">
      <c r="A4" s="257">
        <v>2</v>
      </c>
      <c r="B4" s="256" t="s">
        <v>2774</v>
      </c>
      <c r="C4" s="267" t="s">
        <v>1601</v>
      </c>
      <c r="D4" s="257" t="s">
        <v>1639</v>
      </c>
      <c r="E4" s="42" t="s">
        <v>2834</v>
      </c>
      <c r="F4" s="257">
        <v>521700</v>
      </c>
      <c r="G4" s="257">
        <v>0</v>
      </c>
      <c r="H4" s="50" t="str">
        <f t="shared" ref="H4:H67" si="0">"MCU"&amp;":"&amp;"("&amp;F4&amp;","&amp;G4&amp;")"</f>
        <v>MCU:(521700,0)</v>
      </c>
    </row>
    <row r="5" spans="1:10" x14ac:dyDescent="0.15">
      <c r="A5" s="257">
        <v>3</v>
      </c>
      <c r="B5" s="256" t="s">
        <v>2774</v>
      </c>
      <c r="C5" s="267" t="s">
        <v>1601</v>
      </c>
      <c r="D5" s="257" t="s">
        <v>1639</v>
      </c>
      <c r="E5" s="42" t="s">
        <v>2835</v>
      </c>
      <c r="F5" s="257">
        <v>521700</v>
      </c>
      <c r="G5" s="257">
        <v>22</v>
      </c>
      <c r="H5" s="50" t="str">
        <f t="shared" si="0"/>
        <v>MCU:(521700,22)</v>
      </c>
    </row>
    <row r="6" spans="1:10" x14ac:dyDescent="0.15">
      <c r="A6" s="257">
        <v>4</v>
      </c>
      <c r="B6" s="257"/>
      <c r="C6" s="257" t="s">
        <v>1608</v>
      </c>
      <c r="D6" s="257"/>
      <c r="E6" s="42" t="s">
        <v>1290</v>
      </c>
      <c r="F6" s="257">
        <v>521700</v>
      </c>
      <c r="G6" s="257">
        <v>18</v>
      </c>
      <c r="H6" s="50"/>
    </row>
    <row r="7" spans="1:10" x14ac:dyDescent="0.15">
      <c r="A7" s="257">
        <v>5</v>
      </c>
      <c r="B7" s="257"/>
      <c r="C7" s="266" t="s">
        <v>1603</v>
      </c>
      <c r="D7" s="257" t="s">
        <v>1639</v>
      </c>
      <c r="E7" s="42" t="s">
        <v>2836</v>
      </c>
      <c r="F7" s="257">
        <v>521700</v>
      </c>
      <c r="G7" s="257">
        <v>1</v>
      </c>
      <c r="H7" s="50" t="str">
        <f t="shared" si="0"/>
        <v>MCU:(521700,1)</v>
      </c>
    </row>
    <row r="8" spans="1:10" ht="20.100000000000001" customHeight="1" x14ac:dyDescent="0.15">
      <c r="A8" s="257">
        <v>6</v>
      </c>
      <c r="B8" s="255" t="s">
        <v>2774</v>
      </c>
      <c r="C8" s="267" t="s">
        <v>1601</v>
      </c>
      <c r="D8" s="257" t="s">
        <v>1639</v>
      </c>
      <c r="E8" s="42" t="s">
        <v>2837</v>
      </c>
      <c r="F8" s="257">
        <v>521701</v>
      </c>
      <c r="G8" s="257">
        <v>0</v>
      </c>
      <c r="H8" s="50" t="str">
        <f t="shared" si="0"/>
        <v>MCU:(521701,0)</v>
      </c>
    </row>
    <row r="9" spans="1:10" ht="20.100000000000001" customHeight="1" x14ac:dyDescent="0.15">
      <c r="A9" s="257">
        <v>7</v>
      </c>
      <c r="B9" s="255" t="s">
        <v>2774</v>
      </c>
      <c r="C9" s="267" t="s">
        <v>1601</v>
      </c>
      <c r="D9" s="257" t="s">
        <v>1639</v>
      </c>
      <c r="E9" s="42" t="s">
        <v>2838</v>
      </c>
      <c r="F9" s="257">
        <v>521701</v>
      </c>
      <c r="G9" s="257">
        <v>22</v>
      </c>
      <c r="H9" s="50" t="str">
        <f t="shared" si="0"/>
        <v>MCU:(521701,22)</v>
      </c>
    </row>
    <row r="10" spans="1:10" ht="32.25" customHeight="1" x14ac:dyDescent="0.15">
      <c r="A10" s="257">
        <v>8</v>
      </c>
      <c r="B10" s="257"/>
      <c r="C10" s="266" t="s">
        <v>1603</v>
      </c>
      <c r="D10" s="257" t="s">
        <v>1640</v>
      </c>
      <c r="E10" s="42" t="s">
        <v>1291</v>
      </c>
      <c r="F10" s="257">
        <v>521702</v>
      </c>
      <c r="G10" s="257">
        <v>16</v>
      </c>
      <c r="H10" s="50" t="str">
        <f t="shared" si="0"/>
        <v>MCU:(521702,16)</v>
      </c>
      <c r="I10" s="132" t="s">
        <v>1283</v>
      </c>
      <c r="J10" s="132" t="s">
        <v>1339</v>
      </c>
    </row>
    <row r="11" spans="1:10" x14ac:dyDescent="0.15">
      <c r="A11" s="257">
        <v>9</v>
      </c>
      <c r="B11" s="256" t="s">
        <v>2774</v>
      </c>
      <c r="C11" s="267" t="s">
        <v>1601</v>
      </c>
      <c r="D11" s="257" t="s">
        <v>1639</v>
      </c>
      <c r="E11" s="42" t="s">
        <v>1292</v>
      </c>
      <c r="F11" s="257">
        <v>521702</v>
      </c>
      <c r="G11" s="257">
        <v>0</v>
      </c>
      <c r="H11" s="50" t="str">
        <f t="shared" si="0"/>
        <v>MCU:(521702,0)</v>
      </c>
      <c r="I11" s="132" t="s">
        <v>1284</v>
      </c>
      <c r="J11" s="132" t="s">
        <v>1340</v>
      </c>
    </row>
    <row r="12" spans="1:10" ht="20.100000000000001" customHeight="1" x14ac:dyDescent="0.15">
      <c r="A12" s="257">
        <v>10</v>
      </c>
      <c r="B12" s="255" t="s">
        <v>2772</v>
      </c>
      <c r="C12" s="266" t="s">
        <v>1603</v>
      </c>
      <c r="D12" s="257"/>
      <c r="E12" s="42" t="s">
        <v>1293</v>
      </c>
      <c r="F12" s="257">
        <v>521703</v>
      </c>
      <c r="G12" s="257">
        <v>16</v>
      </c>
      <c r="H12" s="50" t="str">
        <f t="shared" si="0"/>
        <v>MCU:(521703,16)</v>
      </c>
    </row>
    <row r="13" spans="1:10" ht="20.100000000000001" customHeight="1" x14ac:dyDescent="0.15">
      <c r="A13" s="257">
        <v>11</v>
      </c>
      <c r="B13" s="255" t="s">
        <v>2774</v>
      </c>
      <c r="C13" s="267" t="s">
        <v>1601</v>
      </c>
      <c r="D13" s="257" t="s">
        <v>1639</v>
      </c>
      <c r="E13" s="42" t="s">
        <v>1294</v>
      </c>
      <c r="F13" s="257">
        <v>521703</v>
      </c>
      <c r="G13" s="257">
        <v>0</v>
      </c>
      <c r="H13" s="50" t="str">
        <f t="shared" si="0"/>
        <v>MCU:(521703,0)</v>
      </c>
    </row>
    <row r="14" spans="1:10" ht="20.100000000000001" customHeight="1" x14ac:dyDescent="0.15">
      <c r="A14" s="257">
        <v>12</v>
      </c>
      <c r="B14" s="255" t="s">
        <v>2772</v>
      </c>
      <c r="C14" s="266" t="s">
        <v>1603</v>
      </c>
      <c r="D14" s="257"/>
      <c r="E14" s="42" t="s">
        <v>2839</v>
      </c>
      <c r="F14" s="257">
        <v>521704</v>
      </c>
      <c r="G14" s="257">
        <v>16</v>
      </c>
      <c r="H14" s="50" t="str">
        <f t="shared" si="0"/>
        <v>MCU:(521704,16)</v>
      </c>
    </row>
    <row r="15" spans="1:10" ht="20.100000000000001" customHeight="1" x14ac:dyDescent="0.15">
      <c r="A15" s="257">
        <v>13</v>
      </c>
      <c r="B15" s="255" t="s">
        <v>2774</v>
      </c>
      <c r="C15" s="267" t="s">
        <v>1601</v>
      </c>
      <c r="D15" s="257" t="s">
        <v>1639</v>
      </c>
      <c r="E15" s="42" t="s">
        <v>2840</v>
      </c>
      <c r="F15" s="257">
        <v>521704</v>
      </c>
      <c r="G15" s="257">
        <v>0</v>
      </c>
      <c r="H15" s="50" t="str">
        <f t="shared" si="0"/>
        <v>MCU:(521704,0)</v>
      </c>
    </row>
    <row r="16" spans="1:10" ht="20.100000000000001" customHeight="1" x14ac:dyDescent="0.15">
      <c r="A16" s="257">
        <v>14</v>
      </c>
      <c r="B16" s="257" t="s">
        <v>2841</v>
      </c>
      <c r="C16" s="268" t="s">
        <v>1601</v>
      </c>
      <c r="D16" s="269" t="s">
        <v>1639</v>
      </c>
      <c r="E16" s="270" t="s">
        <v>11</v>
      </c>
      <c r="F16" s="269">
        <v>521705</v>
      </c>
      <c r="G16" s="269">
        <v>22</v>
      </c>
      <c r="H16" s="50"/>
    </row>
    <row r="17" spans="1:9" ht="20.100000000000001" customHeight="1" x14ac:dyDescent="0.15">
      <c r="A17" s="257">
        <v>15</v>
      </c>
      <c r="B17" s="255" t="s">
        <v>2774</v>
      </c>
      <c r="C17" s="267" t="s">
        <v>1601</v>
      </c>
      <c r="D17" s="257"/>
      <c r="E17" s="47" t="s">
        <v>2842</v>
      </c>
      <c r="F17" s="257">
        <v>521706</v>
      </c>
      <c r="G17" s="257">
        <v>16</v>
      </c>
      <c r="H17" s="50" t="str">
        <f t="shared" si="0"/>
        <v>MCU:(521706,16)</v>
      </c>
    </row>
    <row r="18" spans="1:9" ht="20.100000000000001" customHeight="1" x14ac:dyDescent="0.15">
      <c r="A18" s="257">
        <v>16</v>
      </c>
      <c r="B18" s="255" t="s">
        <v>2774</v>
      </c>
      <c r="C18" s="267" t="s">
        <v>1601</v>
      </c>
      <c r="D18" s="257"/>
      <c r="E18" s="47" t="s">
        <v>2843</v>
      </c>
      <c r="F18" s="257">
        <v>521706</v>
      </c>
      <c r="G18" s="257">
        <v>22</v>
      </c>
      <c r="H18" s="50" t="str">
        <f t="shared" si="0"/>
        <v>MCU:(521706,22)</v>
      </c>
    </row>
    <row r="19" spans="1:9" ht="20.100000000000001" customHeight="1" x14ac:dyDescent="0.15">
      <c r="A19" s="257">
        <v>17</v>
      </c>
      <c r="B19" s="257"/>
      <c r="C19" s="266" t="s">
        <v>1603</v>
      </c>
      <c r="D19" s="257" t="s">
        <v>1639</v>
      </c>
      <c r="E19" s="47" t="s">
        <v>2844</v>
      </c>
      <c r="F19" s="257">
        <v>168</v>
      </c>
      <c r="G19" s="257">
        <v>0</v>
      </c>
      <c r="H19" s="50" t="str">
        <f t="shared" si="0"/>
        <v>MCU:(168,0)</v>
      </c>
    </row>
    <row r="20" spans="1:9" ht="20.100000000000001" customHeight="1" x14ac:dyDescent="0.15">
      <c r="A20" s="257">
        <v>18</v>
      </c>
      <c r="B20" s="257"/>
      <c r="C20" s="266" t="s">
        <v>1603</v>
      </c>
      <c r="D20" s="257" t="s">
        <v>1639</v>
      </c>
      <c r="E20" s="47" t="s">
        <v>2845</v>
      </c>
      <c r="F20" s="257">
        <v>168</v>
      </c>
      <c r="G20" s="257">
        <v>1</v>
      </c>
      <c r="H20" s="50" t="str">
        <f t="shared" si="0"/>
        <v>MCU:(168,1)</v>
      </c>
    </row>
    <row r="21" spans="1:9" ht="20.100000000000001" customHeight="1" x14ac:dyDescent="0.15">
      <c r="A21" s="257">
        <v>19</v>
      </c>
      <c r="B21" s="255" t="s">
        <v>2774</v>
      </c>
      <c r="C21" s="267" t="s">
        <v>1601</v>
      </c>
      <c r="D21" s="257" t="s">
        <v>1639</v>
      </c>
      <c r="E21" s="47" t="s">
        <v>12</v>
      </c>
      <c r="F21" s="257">
        <v>521708</v>
      </c>
      <c r="G21" s="257">
        <v>2</v>
      </c>
      <c r="H21" s="50" t="str">
        <f t="shared" si="0"/>
        <v>MCU:(521708,2)</v>
      </c>
    </row>
    <row r="22" spans="1:9" ht="20.100000000000001" customHeight="1" x14ac:dyDescent="0.15">
      <c r="A22" s="257">
        <v>20</v>
      </c>
      <c r="B22" s="257"/>
      <c r="C22" s="267" t="s">
        <v>1601</v>
      </c>
      <c r="D22" s="257" t="s">
        <v>1639</v>
      </c>
      <c r="E22" s="47" t="s">
        <v>13</v>
      </c>
      <c r="F22" s="257">
        <v>521708</v>
      </c>
      <c r="G22" s="257">
        <v>4</v>
      </c>
      <c r="H22" s="50" t="str">
        <f t="shared" si="0"/>
        <v>MCU:(521708,4)</v>
      </c>
    </row>
    <row r="23" spans="1:9" ht="20.100000000000001" customHeight="1" x14ac:dyDescent="0.15">
      <c r="A23" s="257">
        <v>21</v>
      </c>
      <c r="B23" s="257"/>
      <c r="C23" s="267" t="s">
        <v>1601</v>
      </c>
      <c r="D23" s="257" t="s">
        <v>1639</v>
      </c>
      <c r="E23" s="47" t="s">
        <v>14</v>
      </c>
      <c r="F23" s="257">
        <v>521708</v>
      </c>
      <c r="G23" s="257">
        <v>3</v>
      </c>
      <c r="H23" s="50" t="str">
        <f t="shared" si="0"/>
        <v>MCU:(521708,3)</v>
      </c>
    </row>
    <row r="24" spans="1:9" ht="20.100000000000001" customHeight="1" x14ac:dyDescent="0.15">
      <c r="A24" s="257">
        <v>22</v>
      </c>
      <c r="B24" s="257"/>
      <c r="C24" s="266" t="s">
        <v>1603</v>
      </c>
      <c r="D24" s="257" t="s">
        <v>1639</v>
      </c>
      <c r="E24" s="47" t="s">
        <v>15</v>
      </c>
      <c r="F24" s="257">
        <v>521710</v>
      </c>
      <c r="G24" s="257">
        <v>2</v>
      </c>
      <c r="H24" s="50" t="str">
        <f t="shared" si="0"/>
        <v>MCU:(521710,2)</v>
      </c>
    </row>
    <row r="25" spans="1:9" ht="20.100000000000001" customHeight="1" x14ac:dyDescent="0.15">
      <c r="A25" s="257">
        <v>23</v>
      </c>
      <c r="B25" s="257"/>
      <c r="C25" s="267" t="s">
        <v>1601</v>
      </c>
      <c r="D25" s="257" t="s">
        <v>1639</v>
      </c>
      <c r="E25" s="47" t="s">
        <v>16</v>
      </c>
      <c r="F25" s="257">
        <v>521710</v>
      </c>
      <c r="G25" s="257">
        <v>4</v>
      </c>
      <c r="H25" s="50" t="str">
        <f t="shared" si="0"/>
        <v>MCU:(521710,4)</v>
      </c>
    </row>
    <row r="26" spans="1:9" ht="20.100000000000001" customHeight="1" x14ac:dyDescent="0.15">
      <c r="A26" s="257">
        <v>24</v>
      </c>
      <c r="B26" s="257"/>
      <c r="C26" s="267" t="s">
        <v>1601</v>
      </c>
      <c r="D26" s="257" t="s">
        <v>1639</v>
      </c>
      <c r="E26" s="47" t="s">
        <v>17</v>
      </c>
      <c r="F26" s="257">
        <v>521710</v>
      </c>
      <c r="G26" s="257">
        <v>3</v>
      </c>
      <c r="H26" s="50" t="str">
        <f t="shared" si="0"/>
        <v>MCU:(521710,3)</v>
      </c>
    </row>
    <row r="27" spans="1:9" ht="20.100000000000001" customHeight="1" x14ac:dyDescent="0.15">
      <c r="A27" s="257">
        <v>25</v>
      </c>
      <c r="B27" s="257"/>
      <c r="C27" s="266" t="s">
        <v>1603</v>
      </c>
      <c r="D27" s="257" t="s">
        <v>1640</v>
      </c>
      <c r="E27" s="47" t="s">
        <v>18</v>
      </c>
      <c r="F27" s="257">
        <v>521713</v>
      </c>
      <c r="G27" s="257">
        <v>2</v>
      </c>
      <c r="H27" s="50" t="str">
        <f t="shared" si="0"/>
        <v>MCU:(521713,2)</v>
      </c>
    </row>
    <row r="28" spans="1:9" ht="20.100000000000001" customHeight="1" x14ac:dyDescent="0.15">
      <c r="A28" s="257">
        <v>26</v>
      </c>
      <c r="B28" s="257"/>
      <c r="C28" s="266" t="s">
        <v>1603</v>
      </c>
      <c r="D28" s="257" t="s">
        <v>1640</v>
      </c>
      <c r="E28" s="258" t="s">
        <v>3342</v>
      </c>
      <c r="F28" s="262">
        <v>521713</v>
      </c>
      <c r="G28" s="262">
        <v>4</v>
      </c>
      <c r="H28" s="50" t="str">
        <f t="shared" si="0"/>
        <v>MCU:(521713,4)</v>
      </c>
      <c r="I28" s="132" t="s">
        <v>1351</v>
      </c>
    </row>
    <row r="29" spans="1:9" ht="20.100000000000001" customHeight="1" x14ac:dyDescent="0.15">
      <c r="A29" s="257">
        <v>27</v>
      </c>
      <c r="B29" s="257"/>
      <c r="C29" s="266" t="s">
        <v>1603</v>
      </c>
      <c r="D29" s="257" t="s">
        <v>1640</v>
      </c>
      <c r="E29" s="258" t="s">
        <v>3343</v>
      </c>
      <c r="F29" s="262">
        <v>521714</v>
      </c>
      <c r="G29" s="262">
        <v>2</v>
      </c>
      <c r="H29" s="50" t="str">
        <f t="shared" si="0"/>
        <v>MCU:(521714,2)</v>
      </c>
      <c r="I29" s="132" t="s">
        <v>1351</v>
      </c>
    </row>
    <row r="30" spans="1:9" ht="20.100000000000001" customHeight="1" x14ac:dyDescent="0.15">
      <c r="A30" s="257">
        <v>28</v>
      </c>
      <c r="B30" s="257"/>
      <c r="C30" s="266" t="s">
        <v>1603</v>
      </c>
      <c r="D30" s="257" t="s">
        <v>1640</v>
      </c>
      <c r="E30" s="258" t="s">
        <v>3344</v>
      </c>
      <c r="F30" s="262">
        <v>521714</v>
      </c>
      <c r="G30" s="262">
        <v>4</v>
      </c>
      <c r="H30" s="50" t="str">
        <f t="shared" si="0"/>
        <v>MCU:(521714,4)</v>
      </c>
      <c r="I30" s="132" t="s">
        <v>1351</v>
      </c>
    </row>
    <row r="31" spans="1:9" ht="19.899999999999999" customHeight="1" x14ac:dyDescent="0.15">
      <c r="A31" s="257">
        <v>29</v>
      </c>
      <c r="B31" s="255" t="s">
        <v>2772</v>
      </c>
      <c r="C31" s="266" t="s">
        <v>1603</v>
      </c>
      <c r="D31" s="257"/>
      <c r="E31" s="47" t="s">
        <v>19</v>
      </c>
      <c r="F31" s="257">
        <v>630</v>
      </c>
      <c r="G31" s="257">
        <v>12</v>
      </c>
      <c r="H31" s="50" t="str">
        <f t="shared" si="0"/>
        <v>MCU:(630,12)</v>
      </c>
    </row>
    <row r="32" spans="1:9" ht="20.100000000000001" customHeight="1" x14ac:dyDescent="0.15">
      <c r="A32" s="257">
        <v>30</v>
      </c>
      <c r="B32" s="257"/>
      <c r="C32" s="266" t="s">
        <v>1603</v>
      </c>
      <c r="D32" s="257" t="s">
        <v>1639</v>
      </c>
      <c r="E32" s="47" t="s">
        <v>2846</v>
      </c>
      <c r="F32" s="257">
        <v>639</v>
      </c>
      <c r="G32" s="257">
        <v>9</v>
      </c>
      <c r="H32" s="50" t="str">
        <f t="shared" si="0"/>
        <v>MCU:(639,9)</v>
      </c>
    </row>
    <row r="33" spans="1:9" ht="20.100000000000001" customHeight="1" x14ac:dyDescent="0.15">
      <c r="A33" s="257">
        <v>31</v>
      </c>
      <c r="B33" s="255" t="s">
        <v>2774</v>
      </c>
      <c r="C33" s="267" t="s">
        <v>1601</v>
      </c>
      <c r="D33" s="257"/>
      <c r="E33" s="47" t="s">
        <v>76</v>
      </c>
      <c r="F33" s="257">
        <v>521717</v>
      </c>
      <c r="G33" s="257">
        <v>23</v>
      </c>
      <c r="H33" s="50" t="str">
        <f t="shared" si="0"/>
        <v>MCU:(521717,23)</v>
      </c>
    </row>
    <row r="34" spans="1:9" ht="20.100000000000001" customHeight="1" x14ac:dyDescent="0.15">
      <c r="A34" s="257">
        <v>32</v>
      </c>
      <c r="B34" s="255" t="s">
        <v>2774</v>
      </c>
      <c r="C34" s="267" t="s">
        <v>1601</v>
      </c>
      <c r="D34" s="257" t="s">
        <v>1639</v>
      </c>
      <c r="E34" s="47" t="s">
        <v>2847</v>
      </c>
      <c r="F34" s="257">
        <v>521721</v>
      </c>
      <c r="G34" s="257">
        <v>0</v>
      </c>
      <c r="H34" s="50" t="str">
        <f t="shared" si="0"/>
        <v>MCU:(521721,0)</v>
      </c>
    </row>
    <row r="35" spans="1:9" ht="20.100000000000001" customHeight="1" x14ac:dyDescent="0.15">
      <c r="A35" s="257">
        <v>33</v>
      </c>
      <c r="B35" s="255" t="s">
        <v>2774</v>
      </c>
      <c r="C35" s="267" t="s">
        <v>1601</v>
      </c>
      <c r="D35" s="257" t="s">
        <v>1639</v>
      </c>
      <c r="E35" s="47" t="s">
        <v>20</v>
      </c>
      <c r="F35" s="257">
        <v>521721</v>
      </c>
      <c r="G35" s="257">
        <v>4</v>
      </c>
      <c r="H35" s="50" t="str">
        <f t="shared" si="0"/>
        <v>MCU:(521721,4)</v>
      </c>
    </row>
    <row r="36" spans="1:9" ht="20.100000000000001" customHeight="1" x14ac:dyDescent="0.15">
      <c r="A36" s="257">
        <v>34</v>
      </c>
      <c r="B36" s="255" t="s">
        <v>2774</v>
      </c>
      <c r="C36" s="267" t="s">
        <v>1601</v>
      </c>
      <c r="D36" s="257" t="s">
        <v>1639</v>
      </c>
      <c r="E36" s="47" t="s">
        <v>21</v>
      </c>
      <c r="F36" s="257">
        <v>521722</v>
      </c>
      <c r="G36" s="257">
        <v>0</v>
      </c>
      <c r="H36" s="50" t="str">
        <f t="shared" si="0"/>
        <v>MCU:(521722,0)</v>
      </c>
    </row>
    <row r="37" spans="1:9" ht="20.100000000000001" customHeight="1" x14ac:dyDescent="0.15">
      <c r="A37" s="257">
        <v>35</v>
      </c>
      <c r="B37" s="255" t="s">
        <v>2774</v>
      </c>
      <c r="C37" s="267" t="s">
        <v>1601</v>
      </c>
      <c r="D37" s="257" t="s">
        <v>1639</v>
      </c>
      <c r="E37" s="47" t="s">
        <v>22</v>
      </c>
      <c r="F37" s="257">
        <v>521722</v>
      </c>
      <c r="G37" s="257">
        <v>4</v>
      </c>
      <c r="H37" s="50" t="str">
        <f t="shared" si="0"/>
        <v>MCU:(521722,4)</v>
      </c>
    </row>
    <row r="38" spans="1:9" ht="20.100000000000001" customHeight="1" x14ac:dyDescent="0.15">
      <c r="A38" s="257">
        <v>36</v>
      </c>
      <c r="B38" s="257"/>
      <c r="C38" s="267" t="s">
        <v>1601</v>
      </c>
      <c r="D38" s="257" t="s">
        <v>1639</v>
      </c>
      <c r="E38" s="47" t="s">
        <v>23</v>
      </c>
      <c r="F38" s="257">
        <v>521723</v>
      </c>
      <c r="G38" s="257">
        <v>2</v>
      </c>
      <c r="H38" s="50" t="str">
        <f t="shared" si="0"/>
        <v>MCU:(521723,2)</v>
      </c>
    </row>
    <row r="39" spans="1:9" ht="20.100000000000001" customHeight="1" x14ac:dyDescent="0.15">
      <c r="A39" s="257">
        <v>37</v>
      </c>
      <c r="B39" s="255" t="s">
        <v>2774</v>
      </c>
      <c r="C39" s="267" t="s">
        <v>1601</v>
      </c>
      <c r="D39" s="257" t="s">
        <v>1639</v>
      </c>
      <c r="E39" s="47" t="s">
        <v>24</v>
      </c>
      <c r="F39" s="257">
        <v>521724</v>
      </c>
      <c r="G39" s="257">
        <v>0</v>
      </c>
      <c r="H39" s="50" t="str">
        <f t="shared" si="0"/>
        <v>MCU:(521724,0)</v>
      </c>
    </row>
    <row r="40" spans="1:9" ht="20.100000000000001" customHeight="1" x14ac:dyDescent="0.15">
      <c r="A40" s="257">
        <v>38</v>
      </c>
      <c r="B40" s="255" t="s">
        <v>2774</v>
      </c>
      <c r="C40" s="267" t="s">
        <v>1601</v>
      </c>
      <c r="D40" s="257" t="s">
        <v>1639</v>
      </c>
      <c r="E40" s="47" t="s">
        <v>2848</v>
      </c>
      <c r="F40" s="257">
        <v>521725</v>
      </c>
      <c r="G40" s="257">
        <v>0</v>
      </c>
      <c r="H40" s="50" t="str">
        <f t="shared" si="0"/>
        <v>MCU:(521725,0)</v>
      </c>
    </row>
    <row r="41" spans="1:9" ht="20.100000000000001" customHeight="1" x14ac:dyDescent="0.15">
      <c r="A41" s="257">
        <v>39</v>
      </c>
      <c r="B41" s="255" t="s">
        <v>2774</v>
      </c>
      <c r="C41" s="267" t="s">
        <v>1601</v>
      </c>
      <c r="D41" s="257" t="s">
        <v>1639</v>
      </c>
      <c r="E41" s="47" t="s">
        <v>26</v>
      </c>
      <c r="F41" s="257">
        <v>521726</v>
      </c>
      <c r="G41" s="257">
        <v>2</v>
      </c>
      <c r="H41" s="50" t="str">
        <f t="shared" si="0"/>
        <v>MCU:(521726,2)</v>
      </c>
    </row>
    <row r="42" spans="1:9" ht="20.45" customHeight="1" x14ac:dyDescent="0.15">
      <c r="A42" s="257">
        <v>40</v>
      </c>
      <c r="B42" s="49"/>
      <c r="C42" s="267" t="s">
        <v>1601</v>
      </c>
      <c r="D42" s="257" t="s">
        <v>1639</v>
      </c>
      <c r="E42" s="271" t="s">
        <v>1161</v>
      </c>
      <c r="F42" s="49">
        <v>521727</v>
      </c>
      <c r="G42" s="49">
        <v>16</v>
      </c>
      <c r="H42" s="50" t="str">
        <f t="shared" si="0"/>
        <v>MCU:(521727,16)</v>
      </c>
    </row>
    <row r="43" spans="1:9" ht="20.45" customHeight="1" x14ac:dyDescent="0.15">
      <c r="A43" s="257">
        <v>41</v>
      </c>
      <c r="B43" s="255" t="s">
        <v>2774</v>
      </c>
      <c r="C43" s="267" t="s">
        <v>1601</v>
      </c>
      <c r="D43" s="257"/>
      <c r="E43" s="271" t="s">
        <v>1162</v>
      </c>
      <c r="F43" s="49">
        <v>521728</v>
      </c>
      <c r="G43" s="49">
        <v>3</v>
      </c>
      <c r="H43" s="50" t="str">
        <f t="shared" si="0"/>
        <v>MCU:(521728,3)</v>
      </c>
    </row>
    <row r="44" spans="1:9" ht="20.45" customHeight="1" x14ac:dyDescent="0.15">
      <c r="A44" s="257">
        <v>42</v>
      </c>
      <c r="B44" s="255" t="s">
        <v>2774</v>
      </c>
      <c r="C44" s="267" t="s">
        <v>1601</v>
      </c>
      <c r="D44" s="257"/>
      <c r="E44" s="271" t="s">
        <v>1163</v>
      </c>
      <c r="F44" s="49">
        <v>521729</v>
      </c>
      <c r="G44" s="49">
        <v>16</v>
      </c>
      <c r="H44" s="50" t="str">
        <f t="shared" si="0"/>
        <v>MCU:(521729,16)</v>
      </c>
    </row>
    <row r="45" spans="1:9" ht="20.45" customHeight="1" x14ac:dyDescent="0.15">
      <c r="A45" s="257">
        <v>43</v>
      </c>
      <c r="B45" s="49"/>
      <c r="C45" s="267" t="s">
        <v>1601</v>
      </c>
      <c r="D45" s="257" t="s">
        <v>1639</v>
      </c>
      <c r="E45" s="242" t="s">
        <v>1342</v>
      </c>
      <c r="F45" s="125">
        <v>521730</v>
      </c>
      <c r="G45" s="125">
        <v>22</v>
      </c>
      <c r="H45" s="50" t="str">
        <f t="shared" si="0"/>
        <v>MCU:(521730,22)</v>
      </c>
      <c r="I45" s="132" t="s">
        <v>1351</v>
      </c>
    </row>
    <row r="46" spans="1:9" ht="20.45" customHeight="1" x14ac:dyDescent="0.15">
      <c r="A46" s="257">
        <v>44</v>
      </c>
      <c r="B46" s="49"/>
      <c r="C46" s="267" t="s">
        <v>1601</v>
      </c>
      <c r="D46" s="257" t="s">
        <v>1639</v>
      </c>
      <c r="E46" s="242" t="s">
        <v>1343</v>
      </c>
      <c r="F46" s="125">
        <v>521731</v>
      </c>
      <c r="G46" s="125">
        <v>2</v>
      </c>
      <c r="H46" s="50" t="str">
        <f t="shared" si="0"/>
        <v>MCU:(521731,2)</v>
      </c>
      <c r="I46" s="132" t="s">
        <v>1351</v>
      </c>
    </row>
    <row r="47" spans="1:9" ht="20.45" customHeight="1" x14ac:dyDescent="0.15">
      <c r="A47" s="257">
        <v>45</v>
      </c>
      <c r="B47" s="49"/>
      <c r="C47" s="267" t="s">
        <v>1601</v>
      </c>
      <c r="D47" s="257" t="s">
        <v>1639</v>
      </c>
      <c r="E47" s="242" t="s">
        <v>1344</v>
      </c>
      <c r="F47" s="125">
        <v>521732</v>
      </c>
      <c r="G47" s="125">
        <v>0</v>
      </c>
      <c r="H47" s="50" t="str">
        <f t="shared" si="0"/>
        <v>MCU:(521732,0)</v>
      </c>
      <c r="I47" s="132" t="s">
        <v>1351</v>
      </c>
    </row>
    <row r="48" spans="1:9" ht="20.45" customHeight="1" x14ac:dyDescent="0.15">
      <c r="A48" s="257">
        <v>46</v>
      </c>
      <c r="B48" s="49"/>
      <c r="C48" s="266" t="s">
        <v>1603</v>
      </c>
      <c r="D48" s="257" t="s">
        <v>1640</v>
      </c>
      <c r="E48" s="242" t="s">
        <v>1345</v>
      </c>
      <c r="F48" s="125">
        <v>521732</v>
      </c>
      <c r="G48" s="125">
        <v>16</v>
      </c>
      <c r="H48" s="50" t="str">
        <f t="shared" si="0"/>
        <v>MCU:(521732,16)</v>
      </c>
      <c r="I48" s="132" t="s">
        <v>1351</v>
      </c>
    </row>
    <row r="49" spans="1:9" ht="20.45" customHeight="1" x14ac:dyDescent="0.15">
      <c r="A49" s="257">
        <v>47</v>
      </c>
      <c r="B49" s="49" t="s">
        <v>2841</v>
      </c>
      <c r="C49" s="268" t="s">
        <v>1601</v>
      </c>
      <c r="D49" s="269" t="s">
        <v>1639</v>
      </c>
      <c r="E49" s="259" t="s">
        <v>1346</v>
      </c>
      <c r="F49" s="263">
        <v>521732</v>
      </c>
      <c r="G49" s="263">
        <v>2</v>
      </c>
      <c r="H49" s="50"/>
      <c r="I49" s="132" t="s">
        <v>1351</v>
      </c>
    </row>
    <row r="50" spans="1:9" ht="20.45" customHeight="1" x14ac:dyDescent="0.15">
      <c r="A50" s="257">
        <v>48</v>
      </c>
      <c r="B50" s="49"/>
      <c r="C50" s="267" t="s">
        <v>1601</v>
      </c>
      <c r="D50" s="257" t="s">
        <v>1639</v>
      </c>
      <c r="E50" s="242" t="s">
        <v>1347</v>
      </c>
      <c r="F50" s="125">
        <v>521733</v>
      </c>
      <c r="G50" s="125">
        <v>0</v>
      </c>
      <c r="H50" s="50" t="str">
        <f t="shared" si="0"/>
        <v>MCU:(521733,0)</v>
      </c>
      <c r="I50" s="132" t="s">
        <v>1351</v>
      </c>
    </row>
    <row r="51" spans="1:9" ht="20.45" customHeight="1" x14ac:dyDescent="0.15">
      <c r="A51" s="257">
        <v>49</v>
      </c>
      <c r="B51" s="49"/>
      <c r="C51" s="266" t="s">
        <v>1603</v>
      </c>
      <c r="D51" s="257"/>
      <c r="E51" s="242" t="s">
        <v>1348</v>
      </c>
      <c r="F51" s="125">
        <v>521733</v>
      </c>
      <c r="G51" s="125">
        <v>16</v>
      </c>
      <c r="H51" s="50" t="str">
        <f t="shared" si="0"/>
        <v>MCU:(521733,16)</v>
      </c>
      <c r="I51" s="132" t="s">
        <v>1351</v>
      </c>
    </row>
    <row r="52" spans="1:9" ht="20.45" customHeight="1" x14ac:dyDescent="0.15">
      <c r="A52" s="257">
        <v>50</v>
      </c>
      <c r="B52" s="49"/>
      <c r="C52" s="257" t="s">
        <v>1608</v>
      </c>
      <c r="D52" s="257"/>
      <c r="E52" s="242" t="s">
        <v>1349</v>
      </c>
      <c r="F52" s="125">
        <v>521734</v>
      </c>
      <c r="G52" s="125">
        <v>2</v>
      </c>
      <c r="H52" s="50"/>
      <c r="I52" s="132" t="s">
        <v>1351</v>
      </c>
    </row>
    <row r="53" spans="1:9" ht="20.45" customHeight="1" x14ac:dyDescent="0.15">
      <c r="A53" s="257">
        <v>51</v>
      </c>
      <c r="B53" s="49"/>
      <c r="C53" s="257" t="s">
        <v>1608</v>
      </c>
      <c r="D53" s="257"/>
      <c r="E53" s="242" t="s">
        <v>1350</v>
      </c>
      <c r="F53" s="125">
        <v>521735</v>
      </c>
      <c r="G53" s="125">
        <v>2</v>
      </c>
      <c r="H53" s="50"/>
      <c r="I53" s="132" t="s">
        <v>1351</v>
      </c>
    </row>
    <row r="54" spans="1:9" ht="22.15" customHeight="1" x14ac:dyDescent="0.15">
      <c r="A54" s="257">
        <v>52</v>
      </c>
      <c r="B54" s="49"/>
      <c r="C54" s="266" t="s">
        <v>1603</v>
      </c>
      <c r="D54" s="49"/>
      <c r="E54" s="242" t="s">
        <v>1436</v>
      </c>
      <c r="F54" s="125">
        <v>521736</v>
      </c>
      <c r="G54" s="125">
        <v>3</v>
      </c>
      <c r="H54" s="50" t="str">
        <f t="shared" si="0"/>
        <v>MCU:(521736,3)</v>
      </c>
      <c r="I54" s="132" t="s">
        <v>1443</v>
      </c>
    </row>
    <row r="55" spans="1:9" ht="22.15" customHeight="1" x14ac:dyDescent="0.15">
      <c r="A55" s="257">
        <v>53</v>
      </c>
      <c r="B55" s="49"/>
      <c r="C55" s="266" t="s">
        <v>1603</v>
      </c>
      <c r="D55" s="49"/>
      <c r="E55" s="242" t="s">
        <v>1437</v>
      </c>
      <c r="F55" s="125">
        <v>521736</v>
      </c>
      <c r="G55" s="125">
        <v>4</v>
      </c>
      <c r="H55" s="50" t="str">
        <f t="shared" si="0"/>
        <v>MCU:(521736,4)</v>
      </c>
      <c r="I55" s="132" t="s">
        <v>1444</v>
      </c>
    </row>
    <row r="56" spans="1:9" ht="22.15" customHeight="1" x14ac:dyDescent="0.15">
      <c r="A56" s="257">
        <v>54</v>
      </c>
      <c r="B56" s="49"/>
      <c r="C56" s="266" t="s">
        <v>1603</v>
      </c>
      <c r="D56" s="49"/>
      <c r="E56" s="260" t="s">
        <v>1438</v>
      </c>
      <c r="F56" s="125">
        <v>521736</v>
      </c>
      <c r="G56" s="125">
        <v>22</v>
      </c>
      <c r="H56" s="50" t="str">
        <f t="shared" si="0"/>
        <v>MCU:(521736,22)</v>
      </c>
      <c r="I56" s="132" t="s">
        <v>1447</v>
      </c>
    </row>
    <row r="57" spans="1:9" ht="22.15" customHeight="1" x14ac:dyDescent="0.15">
      <c r="A57" s="257">
        <v>55</v>
      </c>
      <c r="B57" s="49"/>
      <c r="C57" s="266" t="s">
        <v>1603</v>
      </c>
      <c r="D57" s="49"/>
      <c r="E57" s="242" t="s">
        <v>1439</v>
      </c>
      <c r="F57" s="125">
        <v>521736</v>
      </c>
      <c r="G57" s="125">
        <v>6</v>
      </c>
      <c r="H57" s="50" t="str">
        <f t="shared" si="0"/>
        <v>MCU:(521736,6)</v>
      </c>
      <c r="I57" s="132" t="s">
        <v>1445</v>
      </c>
    </row>
    <row r="58" spans="1:9" ht="22.15" customHeight="1" x14ac:dyDescent="0.15">
      <c r="A58" s="257">
        <v>56</v>
      </c>
      <c r="B58" s="49"/>
      <c r="C58" s="266" t="s">
        <v>1603</v>
      </c>
      <c r="D58" s="49"/>
      <c r="E58" s="242" t="s">
        <v>1440</v>
      </c>
      <c r="F58" s="125">
        <v>521736</v>
      </c>
      <c r="G58" s="125">
        <v>7</v>
      </c>
      <c r="H58" s="50" t="str">
        <f t="shared" si="0"/>
        <v>MCU:(521736,7)</v>
      </c>
      <c r="I58" s="132" t="s">
        <v>1446</v>
      </c>
    </row>
    <row r="59" spans="1:9" ht="22.15" customHeight="1" x14ac:dyDescent="0.15">
      <c r="A59" s="257">
        <v>57</v>
      </c>
      <c r="B59" s="49"/>
      <c r="C59" s="266" t="s">
        <v>1603</v>
      </c>
      <c r="D59" s="49"/>
      <c r="E59" s="242" t="s">
        <v>1441</v>
      </c>
      <c r="F59" s="125">
        <v>521736</v>
      </c>
      <c r="G59" s="125">
        <v>16</v>
      </c>
      <c r="H59" s="50" t="str">
        <f t="shared" si="0"/>
        <v>MCU:(521736,16)</v>
      </c>
      <c r="I59" s="132" t="s">
        <v>1448</v>
      </c>
    </row>
    <row r="60" spans="1:9" ht="22.15" customHeight="1" x14ac:dyDescent="0.15">
      <c r="A60" s="257">
        <v>58</v>
      </c>
      <c r="B60" s="49"/>
      <c r="C60" s="266" t="s">
        <v>1603</v>
      </c>
      <c r="D60" s="49"/>
      <c r="E60" s="242" t="s">
        <v>1442</v>
      </c>
      <c r="F60" s="125">
        <v>521736</v>
      </c>
      <c r="G60" s="125">
        <v>0</v>
      </c>
      <c r="H60" s="50" t="str">
        <f t="shared" si="0"/>
        <v>MCU:(521736,0)</v>
      </c>
      <c r="I60" s="132" t="s">
        <v>1449</v>
      </c>
    </row>
    <row r="61" spans="1:9" x14ac:dyDescent="0.15">
      <c r="A61" s="257">
        <v>59</v>
      </c>
      <c r="B61" s="272" t="s">
        <v>2778</v>
      </c>
      <c r="C61" s="128" t="s">
        <v>2833</v>
      </c>
      <c r="D61" s="50"/>
      <c r="E61" s="50" t="s">
        <v>2850</v>
      </c>
      <c r="F61" s="49">
        <v>1378</v>
      </c>
      <c r="G61" s="49">
        <v>1</v>
      </c>
      <c r="H61" s="50" t="str">
        <f t="shared" si="0"/>
        <v>MCU:(1378,1)</v>
      </c>
    </row>
    <row r="62" spans="1:9" x14ac:dyDescent="0.15">
      <c r="A62" s="257">
        <v>60</v>
      </c>
      <c r="B62" s="272" t="s">
        <v>2778</v>
      </c>
      <c r="C62" s="128" t="s">
        <v>2833</v>
      </c>
      <c r="D62" s="50"/>
      <c r="E62" s="50" t="s">
        <v>28</v>
      </c>
      <c r="F62" s="49">
        <v>1378</v>
      </c>
      <c r="G62" s="49">
        <v>2</v>
      </c>
      <c r="H62" s="50" t="str">
        <f t="shared" si="0"/>
        <v>MCU:(1378,2)</v>
      </c>
    </row>
    <row r="63" spans="1:9" x14ac:dyDescent="0.15">
      <c r="A63" s="257">
        <v>61</v>
      </c>
      <c r="B63" s="272" t="s">
        <v>2778</v>
      </c>
      <c r="C63" s="266" t="s">
        <v>1603</v>
      </c>
      <c r="D63" s="50"/>
      <c r="E63" s="50" t="s">
        <v>2851</v>
      </c>
      <c r="F63" s="49">
        <v>7670</v>
      </c>
      <c r="G63" s="49">
        <v>4</v>
      </c>
      <c r="H63" s="50" t="str">
        <f t="shared" si="0"/>
        <v>MCU:(7670,4)</v>
      </c>
    </row>
    <row r="64" spans="1:9" x14ac:dyDescent="0.15">
      <c r="A64" s="257">
        <v>62</v>
      </c>
      <c r="B64" s="272" t="s">
        <v>2778</v>
      </c>
      <c r="C64" s="266" t="s">
        <v>1603</v>
      </c>
      <c r="D64" s="50"/>
      <c r="E64" s="50" t="s">
        <v>2852</v>
      </c>
      <c r="F64" s="49">
        <v>7670</v>
      </c>
      <c r="G64" s="49">
        <v>5</v>
      </c>
      <c r="H64" s="50" t="str">
        <f t="shared" si="0"/>
        <v>MCU:(7670,5)</v>
      </c>
    </row>
    <row r="65" spans="1:8" x14ac:dyDescent="0.15">
      <c r="A65" s="257">
        <v>63</v>
      </c>
      <c r="B65" s="272" t="s">
        <v>2778</v>
      </c>
      <c r="C65" s="266" t="s">
        <v>1603</v>
      </c>
      <c r="D65" s="50"/>
      <c r="E65" s="50" t="s">
        <v>2853</v>
      </c>
      <c r="F65" s="49">
        <v>520200</v>
      </c>
      <c r="G65" s="49">
        <v>7</v>
      </c>
      <c r="H65" s="50" t="str">
        <f t="shared" si="0"/>
        <v>MCU:(520200,7)</v>
      </c>
    </row>
    <row r="66" spans="1:8" x14ac:dyDescent="0.15">
      <c r="A66" s="257">
        <v>64</v>
      </c>
      <c r="B66" s="272" t="s">
        <v>2778</v>
      </c>
      <c r="C66" s="266" t="s">
        <v>1603</v>
      </c>
      <c r="D66" s="50"/>
      <c r="E66" s="50" t="s">
        <v>2854</v>
      </c>
      <c r="F66" s="49">
        <v>520201</v>
      </c>
      <c r="G66" s="49">
        <v>7</v>
      </c>
      <c r="H66" s="50" t="str">
        <f t="shared" si="0"/>
        <v>MCU:(520201,7)</v>
      </c>
    </row>
    <row r="67" spans="1:8" x14ac:dyDescent="0.15">
      <c r="A67" s="257">
        <v>65</v>
      </c>
      <c r="B67" s="272" t="s">
        <v>2778</v>
      </c>
      <c r="C67" s="266" t="s">
        <v>1603</v>
      </c>
      <c r="D67" s="50"/>
      <c r="E67" s="50" t="s">
        <v>2855</v>
      </c>
      <c r="F67" s="49">
        <v>520202</v>
      </c>
      <c r="G67" s="49">
        <v>7</v>
      </c>
      <c r="H67" s="50" t="str">
        <f t="shared" si="0"/>
        <v>MCU:(520202,7)</v>
      </c>
    </row>
    <row r="68" spans="1:8" x14ac:dyDescent="0.15">
      <c r="A68" s="257">
        <v>66</v>
      </c>
      <c r="B68" s="272" t="s">
        <v>2778</v>
      </c>
      <c r="C68" s="266" t="s">
        <v>1603</v>
      </c>
      <c r="D68" s="50"/>
      <c r="E68" s="50" t="s">
        <v>2856</v>
      </c>
      <c r="F68" s="49">
        <v>520203</v>
      </c>
      <c r="G68" s="49">
        <v>7</v>
      </c>
      <c r="H68" s="50" t="str">
        <f t="shared" ref="H68:H77" si="1">"MCU"&amp;":"&amp;"("&amp;F68&amp;","&amp;G68&amp;")"</f>
        <v>MCU:(520203,7)</v>
      </c>
    </row>
    <row r="69" spans="1:8" x14ac:dyDescent="0.15">
      <c r="A69" s="257">
        <v>67</v>
      </c>
      <c r="B69" s="272" t="s">
        <v>2778</v>
      </c>
      <c r="C69" s="266" t="s">
        <v>1603</v>
      </c>
      <c r="D69" s="50"/>
      <c r="E69" s="50" t="s">
        <v>2857</v>
      </c>
      <c r="F69" s="49">
        <v>520204</v>
      </c>
      <c r="G69" s="49">
        <v>7</v>
      </c>
      <c r="H69" s="50" t="str">
        <f t="shared" si="1"/>
        <v>MCU:(520204,7)</v>
      </c>
    </row>
    <row r="70" spans="1:8" x14ac:dyDescent="0.15">
      <c r="A70" s="257">
        <v>68</v>
      </c>
      <c r="B70" s="272" t="s">
        <v>2778</v>
      </c>
      <c r="C70" s="266" t="s">
        <v>1603</v>
      </c>
      <c r="D70" s="50"/>
      <c r="E70" s="50" t="s">
        <v>2858</v>
      </c>
      <c r="F70" s="49">
        <v>520205</v>
      </c>
      <c r="G70" s="49">
        <v>7</v>
      </c>
      <c r="H70" s="50" t="str">
        <f t="shared" si="1"/>
        <v>MCU:(520205,7)</v>
      </c>
    </row>
    <row r="71" spans="1:8" x14ac:dyDescent="0.15">
      <c r="A71" s="257">
        <v>69</v>
      </c>
      <c r="B71" s="272" t="s">
        <v>2778</v>
      </c>
      <c r="C71" s="38" t="s">
        <v>2771</v>
      </c>
      <c r="D71" s="50"/>
      <c r="E71" s="50" t="s">
        <v>2859</v>
      </c>
      <c r="F71" s="49">
        <v>520206</v>
      </c>
      <c r="G71" s="49">
        <v>7</v>
      </c>
      <c r="H71" s="50"/>
    </row>
    <row r="72" spans="1:8" x14ac:dyDescent="0.15">
      <c r="A72" s="257">
        <v>70</v>
      </c>
      <c r="B72" s="272" t="s">
        <v>2778</v>
      </c>
      <c r="C72" s="128" t="s">
        <v>2833</v>
      </c>
      <c r="D72" s="50"/>
      <c r="E72" s="50" t="s">
        <v>2860</v>
      </c>
      <c r="F72" s="49">
        <v>520207</v>
      </c>
      <c r="G72" s="49">
        <v>7</v>
      </c>
      <c r="H72" s="50" t="str">
        <f t="shared" si="1"/>
        <v>MCU:(520207,7)</v>
      </c>
    </row>
    <row r="73" spans="1:8" x14ac:dyDescent="0.15">
      <c r="A73" s="257">
        <v>71</v>
      </c>
      <c r="B73" s="272" t="s">
        <v>2778</v>
      </c>
      <c r="C73" s="128" t="s">
        <v>2833</v>
      </c>
      <c r="D73" s="50"/>
      <c r="E73" s="50" t="s">
        <v>2861</v>
      </c>
      <c r="F73" s="49">
        <v>520213</v>
      </c>
      <c r="G73" s="49">
        <v>7</v>
      </c>
      <c r="H73" s="50" t="str">
        <f t="shared" si="1"/>
        <v>MCU:(520213,7)</v>
      </c>
    </row>
    <row r="74" spans="1:8" x14ac:dyDescent="0.35">
      <c r="A74" s="257">
        <v>72</v>
      </c>
      <c r="B74" s="272" t="s">
        <v>2778</v>
      </c>
      <c r="C74" s="126" t="s">
        <v>1615</v>
      </c>
      <c r="D74" s="50"/>
      <c r="E74" s="48" t="s">
        <v>2708</v>
      </c>
      <c r="F74" s="124">
        <v>4178</v>
      </c>
      <c r="G74" s="124">
        <v>5</v>
      </c>
      <c r="H74" s="50" t="str">
        <f t="shared" si="1"/>
        <v>MCU:(4178,5)</v>
      </c>
    </row>
    <row r="75" spans="1:8" x14ac:dyDescent="0.35">
      <c r="A75" s="257">
        <v>73</v>
      </c>
      <c r="B75" s="272" t="s">
        <v>2778</v>
      </c>
      <c r="C75" s="126" t="s">
        <v>1615</v>
      </c>
      <c r="D75" s="50"/>
      <c r="E75" s="48" t="s">
        <v>2961</v>
      </c>
      <c r="F75" s="124">
        <v>4178</v>
      </c>
      <c r="G75" s="124">
        <v>3</v>
      </c>
      <c r="H75" s="50" t="str">
        <f t="shared" si="1"/>
        <v>MCU:(4178,3)</v>
      </c>
    </row>
    <row r="76" spans="1:8" x14ac:dyDescent="0.35">
      <c r="A76" s="257">
        <v>74</v>
      </c>
      <c r="B76" s="272" t="s">
        <v>2778</v>
      </c>
      <c r="C76" s="126" t="s">
        <v>1615</v>
      </c>
      <c r="D76" s="50"/>
      <c r="E76" s="48" t="s">
        <v>2962</v>
      </c>
      <c r="F76" s="124">
        <v>4178</v>
      </c>
      <c r="G76" s="124">
        <v>4</v>
      </c>
      <c r="H76" s="50" t="str">
        <f t="shared" si="1"/>
        <v>MCU:(4178,4)</v>
      </c>
    </row>
    <row r="77" spans="1:8" x14ac:dyDescent="0.35">
      <c r="A77" s="257">
        <v>75</v>
      </c>
      <c r="B77" s="272" t="s">
        <v>2778</v>
      </c>
      <c r="C77" s="126" t="s">
        <v>1615</v>
      </c>
      <c r="D77" s="50"/>
      <c r="E77" s="271" t="s">
        <v>3341</v>
      </c>
      <c r="F77" s="38">
        <v>521736</v>
      </c>
      <c r="G77" s="124">
        <v>9</v>
      </c>
      <c r="H77" s="50" t="str">
        <f t="shared" si="1"/>
        <v>MCU:(521736,9)</v>
      </c>
    </row>
  </sheetData>
  <mergeCells count="1">
    <mergeCell ref="A1:C1"/>
  </mergeCells>
  <phoneticPr fontId="6" type="noConversion"/>
  <hyperlinks>
    <hyperlink ref="A1:C1" location="'控制器源地址&amp;跳转页面'!A1" display="返回目录" xr:uid="{CBE9354E-8CE5-40A3-B4CC-7FDACD86231F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G31"/>
  <sheetViews>
    <sheetView zoomScaleNormal="100" workbookViewId="0"/>
  </sheetViews>
  <sheetFormatPr defaultRowHeight="13.5" x14ac:dyDescent="0.15"/>
  <cols>
    <col min="1" max="1" width="8.5" customWidth="1"/>
    <col min="2" max="2" width="9" bestFit="1" customWidth="1"/>
    <col min="3" max="3" width="24.75" style="3" customWidth="1"/>
    <col min="4" max="4" width="14" customWidth="1"/>
    <col min="5" max="5" width="12.5" customWidth="1"/>
    <col min="6" max="6" width="38.125" style="3" customWidth="1"/>
    <col min="7" max="7" width="31.375" customWidth="1"/>
  </cols>
  <sheetData>
    <row r="1" spans="1:7" ht="35.25" customHeight="1" x14ac:dyDescent="0.15">
      <c r="A1" s="74" t="s">
        <v>1703</v>
      </c>
    </row>
    <row r="2" spans="1:7" ht="20.100000000000001" customHeight="1" x14ac:dyDescent="0.15">
      <c r="A2" s="232" t="s">
        <v>0</v>
      </c>
      <c r="B2" s="232" t="s">
        <v>1600</v>
      </c>
      <c r="C2" s="232" t="s">
        <v>2</v>
      </c>
      <c r="D2" s="232" t="s">
        <v>57</v>
      </c>
      <c r="E2" s="232" t="s">
        <v>58</v>
      </c>
      <c r="F2" s="238" t="s">
        <v>1038</v>
      </c>
      <c r="G2" s="230" t="s">
        <v>3003</v>
      </c>
    </row>
    <row r="3" spans="1:7" ht="16.899999999999999" customHeight="1" x14ac:dyDescent="0.15">
      <c r="A3" s="130">
        <v>1</v>
      </c>
      <c r="B3" s="235" t="s">
        <v>1601</v>
      </c>
      <c r="C3" s="42" t="s">
        <v>44</v>
      </c>
      <c r="D3" s="38">
        <v>521801</v>
      </c>
      <c r="E3" s="38">
        <v>12</v>
      </c>
      <c r="F3" s="42" t="str">
        <f>"ACU"&amp;":"&amp;"("&amp;D3&amp;","&amp;E3&amp;")"</f>
        <v>ACU:(521801,12)</v>
      </c>
      <c r="G3" s="132"/>
    </row>
    <row r="4" spans="1:7" ht="16.899999999999999" customHeight="1" x14ac:dyDescent="0.15">
      <c r="A4" s="130">
        <v>2</v>
      </c>
      <c r="B4" s="235" t="s">
        <v>1601</v>
      </c>
      <c r="C4" s="42" t="s">
        <v>45</v>
      </c>
      <c r="D4" s="38">
        <v>521803</v>
      </c>
      <c r="E4" s="38">
        <v>3</v>
      </c>
      <c r="F4" s="42" t="str">
        <f t="shared" ref="F4:F31" si="0">"ACU"&amp;":"&amp;"("&amp;D4&amp;","&amp;E4&amp;")"</f>
        <v>ACU:(521803,3)</v>
      </c>
      <c r="G4" s="132"/>
    </row>
    <row r="5" spans="1:7" ht="16.899999999999999" customHeight="1" x14ac:dyDescent="0.15">
      <c r="A5" s="130">
        <v>3</v>
      </c>
      <c r="B5" s="235" t="s">
        <v>1601</v>
      </c>
      <c r="C5" s="42" t="s">
        <v>46</v>
      </c>
      <c r="D5" s="38">
        <v>521803</v>
      </c>
      <c r="E5" s="38">
        <v>12</v>
      </c>
      <c r="F5" s="42" t="str">
        <f t="shared" si="0"/>
        <v>ACU:(521803,12)</v>
      </c>
      <c r="G5" s="132"/>
    </row>
    <row r="6" spans="1:7" ht="16.899999999999999" customHeight="1" x14ac:dyDescent="0.15">
      <c r="A6" s="130">
        <v>4</v>
      </c>
      <c r="B6" s="130" t="s">
        <v>1608</v>
      </c>
      <c r="C6" s="42" t="s">
        <v>77</v>
      </c>
      <c r="D6" s="38">
        <v>521808</v>
      </c>
      <c r="E6" s="38">
        <v>12</v>
      </c>
      <c r="F6" s="42"/>
      <c r="G6" s="132"/>
    </row>
    <row r="7" spans="1:7" ht="16.899999999999999" customHeight="1" x14ac:dyDescent="0.15">
      <c r="A7" s="130">
        <v>5</v>
      </c>
      <c r="B7" s="130" t="s">
        <v>1608</v>
      </c>
      <c r="C7" s="42" t="s">
        <v>78</v>
      </c>
      <c r="D7" s="38">
        <v>521808</v>
      </c>
      <c r="E7" s="38">
        <v>5</v>
      </c>
      <c r="F7" s="42"/>
      <c r="G7" s="132"/>
    </row>
    <row r="8" spans="1:7" ht="16.899999999999999" customHeight="1" x14ac:dyDescent="0.15">
      <c r="A8" s="130">
        <v>6</v>
      </c>
      <c r="B8" s="236" t="s">
        <v>1603</v>
      </c>
      <c r="C8" s="231" t="s">
        <v>1368</v>
      </c>
      <c r="D8" s="38">
        <v>521809</v>
      </c>
      <c r="E8" s="38">
        <v>5</v>
      </c>
      <c r="F8" s="42" t="str">
        <f t="shared" si="0"/>
        <v>ACU:(521809,5)</v>
      </c>
      <c r="G8" s="237"/>
    </row>
    <row r="9" spans="1:7" ht="16.899999999999999" customHeight="1" x14ac:dyDescent="0.15">
      <c r="A9" s="130">
        <v>7</v>
      </c>
      <c r="B9" s="236" t="s">
        <v>1603</v>
      </c>
      <c r="C9" s="231" t="s">
        <v>1369</v>
      </c>
      <c r="D9" s="38">
        <v>521809</v>
      </c>
      <c r="E9" s="38">
        <v>6</v>
      </c>
      <c r="F9" s="42" t="str">
        <f t="shared" si="0"/>
        <v>ACU:(521809,6)</v>
      </c>
      <c r="G9" s="237"/>
    </row>
    <row r="10" spans="1:7" ht="16.899999999999999" customHeight="1" x14ac:dyDescent="0.15">
      <c r="A10" s="130">
        <v>8</v>
      </c>
      <c r="B10" s="235" t="s">
        <v>1601</v>
      </c>
      <c r="C10" s="231" t="s">
        <v>1354</v>
      </c>
      <c r="D10" s="38">
        <v>521810</v>
      </c>
      <c r="E10" s="38">
        <v>1</v>
      </c>
      <c r="F10" s="42" t="str">
        <f t="shared" si="0"/>
        <v>ACU:(521810,1)</v>
      </c>
      <c r="G10" s="237"/>
    </row>
    <row r="11" spans="1:7" ht="16.899999999999999" customHeight="1" x14ac:dyDescent="0.15">
      <c r="A11" s="130">
        <v>9</v>
      </c>
      <c r="B11" s="236" t="s">
        <v>1603</v>
      </c>
      <c r="C11" s="231" t="s">
        <v>1355</v>
      </c>
      <c r="D11" s="38">
        <v>521810</v>
      </c>
      <c r="E11" s="38">
        <v>16</v>
      </c>
      <c r="F11" s="42" t="str">
        <f t="shared" si="0"/>
        <v>ACU:(521810,16)</v>
      </c>
      <c r="G11" s="239" t="s">
        <v>3006</v>
      </c>
    </row>
    <row r="12" spans="1:7" ht="16.899999999999999" customHeight="1" x14ac:dyDescent="0.15">
      <c r="A12" s="130">
        <v>10</v>
      </c>
      <c r="B12" s="235" t="s">
        <v>1601</v>
      </c>
      <c r="C12" s="42" t="s">
        <v>47</v>
      </c>
      <c r="D12" s="38">
        <v>521817</v>
      </c>
      <c r="E12" s="38">
        <v>4</v>
      </c>
      <c r="F12" s="42" t="str">
        <f t="shared" si="0"/>
        <v>ACU:(521817,4)</v>
      </c>
      <c r="G12" s="132"/>
    </row>
    <row r="13" spans="1:7" ht="16.899999999999999" customHeight="1" x14ac:dyDescent="0.15">
      <c r="A13" s="130">
        <v>11</v>
      </c>
      <c r="B13" s="235" t="s">
        <v>1601</v>
      </c>
      <c r="C13" s="42" t="s">
        <v>48</v>
      </c>
      <c r="D13" s="38">
        <v>521817</v>
      </c>
      <c r="E13" s="38">
        <v>3</v>
      </c>
      <c r="F13" s="42" t="str">
        <f t="shared" si="0"/>
        <v>ACU:(521817,3)</v>
      </c>
      <c r="G13" s="132"/>
    </row>
    <row r="14" spans="1:7" ht="16.899999999999999" customHeight="1" x14ac:dyDescent="0.15">
      <c r="A14" s="130">
        <v>12</v>
      </c>
      <c r="B14" s="235" t="s">
        <v>1601</v>
      </c>
      <c r="C14" s="42" t="s">
        <v>49</v>
      </c>
      <c r="D14" s="38">
        <v>521819</v>
      </c>
      <c r="E14" s="38">
        <v>0</v>
      </c>
      <c r="F14" s="42" t="str">
        <f t="shared" si="0"/>
        <v>ACU:(521819,0)</v>
      </c>
      <c r="G14" s="132"/>
    </row>
    <row r="15" spans="1:7" ht="16.899999999999999" customHeight="1" x14ac:dyDescent="0.15">
      <c r="A15" s="130">
        <v>13</v>
      </c>
      <c r="B15" s="236" t="s">
        <v>1603</v>
      </c>
      <c r="C15" s="42" t="s">
        <v>50</v>
      </c>
      <c r="D15" s="38">
        <v>521819</v>
      </c>
      <c r="E15" s="38">
        <v>3</v>
      </c>
      <c r="F15" s="42" t="str">
        <f t="shared" si="0"/>
        <v>ACU:(521819,3)</v>
      </c>
      <c r="G15" s="132"/>
    </row>
    <row r="16" spans="1:7" ht="16.899999999999999" customHeight="1" x14ac:dyDescent="0.15">
      <c r="A16" s="130">
        <v>14</v>
      </c>
      <c r="B16" s="130" t="s">
        <v>1608</v>
      </c>
      <c r="C16" s="42" t="s">
        <v>51</v>
      </c>
      <c r="D16" s="38">
        <v>521820</v>
      </c>
      <c r="E16" s="38">
        <v>0</v>
      </c>
      <c r="F16" s="42"/>
      <c r="G16" s="132"/>
    </row>
    <row r="17" spans="1:7" ht="16.899999999999999" customHeight="1" x14ac:dyDescent="0.15">
      <c r="A17" s="130">
        <v>15</v>
      </c>
      <c r="B17" s="130" t="s">
        <v>1610</v>
      </c>
      <c r="C17" s="42" t="s">
        <v>52</v>
      </c>
      <c r="D17" s="38">
        <v>521820</v>
      </c>
      <c r="E17" s="38">
        <v>3</v>
      </c>
      <c r="F17" s="42"/>
      <c r="G17" s="132"/>
    </row>
    <row r="18" spans="1:7" ht="16.899999999999999" customHeight="1" x14ac:dyDescent="0.15">
      <c r="A18" s="130">
        <v>16</v>
      </c>
      <c r="B18" s="235" t="s">
        <v>1601</v>
      </c>
      <c r="C18" s="42" t="s">
        <v>53</v>
      </c>
      <c r="D18" s="38">
        <v>521835</v>
      </c>
      <c r="E18" s="38">
        <v>2</v>
      </c>
      <c r="F18" s="42" t="str">
        <f t="shared" si="0"/>
        <v>ACU:(521835,2)</v>
      </c>
      <c r="G18" s="132"/>
    </row>
    <row r="19" spans="1:7" ht="16.899999999999999" customHeight="1" x14ac:dyDescent="0.15">
      <c r="A19" s="130">
        <v>17</v>
      </c>
      <c r="B19" s="235" t="s">
        <v>1601</v>
      </c>
      <c r="C19" s="231" t="s">
        <v>1367</v>
      </c>
      <c r="D19" s="38">
        <v>521840</v>
      </c>
      <c r="E19" s="38">
        <v>12</v>
      </c>
      <c r="F19" s="42" t="str">
        <f t="shared" si="0"/>
        <v>ACU:(521840,12)</v>
      </c>
      <c r="G19" s="132"/>
    </row>
    <row r="20" spans="1:7" ht="16.899999999999999" customHeight="1" x14ac:dyDescent="0.15">
      <c r="A20" s="130">
        <v>18</v>
      </c>
      <c r="B20" s="235" t="s">
        <v>1601</v>
      </c>
      <c r="C20" s="231" t="s">
        <v>1365</v>
      </c>
      <c r="D20" s="38">
        <v>521841</v>
      </c>
      <c r="E20" s="38">
        <v>0</v>
      </c>
      <c r="F20" s="42" t="str">
        <f t="shared" si="0"/>
        <v>ACU:(521841,0)</v>
      </c>
      <c r="G20" s="132"/>
    </row>
    <row r="21" spans="1:7" ht="16.899999999999999" customHeight="1" x14ac:dyDescent="0.15">
      <c r="A21" s="130">
        <v>19</v>
      </c>
      <c r="B21" s="235" t="s">
        <v>1601</v>
      </c>
      <c r="C21" s="231" t="s">
        <v>2986</v>
      </c>
      <c r="D21" s="38">
        <v>521842</v>
      </c>
      <c r="E21" s="38">
        <v>12</v>
      </c>
      <c r="F21" s="42" t="str">
        <f t="shared" si="0"/>
        <v>ACU:(521842,12)</v>
      </c>
      <c r="G21" s="132"/>
    </row>
    <row r="22" spans="1:7" ht="16.899999999999999" customHeight="1" x14ac:dyDescent="0.15">
      <c r="A22" s="130">
        <v>20</v>
      </c>
      <c r="B22" s="235" t="s">
        <v>1601</v>
      </c>
      <c r="C22" s="231" t="s">
        <v>1366</v>
      </c>
      <c r="D22" s="38">
        <v>521843</v>
      </c>
      <c r="E22" s="38">
        <v>7</v>
      </c>
      <c r="F22" s="42" t="str">
        <f t="shared" si="0"/>
        <v>ACU:(521843,7)</v>
      </c>
      <c r="G22" s="132"/>
    </row>
    <row r="23" spans="1:7" ht="16.899999999999999" customHeight="1" x14ac:dyDescent="0.15">
      <c r="A23" s="130">
        <v>21</v>
      </c>
      <c r="B23" s="235" t="s">
        <v>1601</v>
      </c>
      <c r="C23" s="42" t="s">
        <v>54</v>
      </c>
      <c r="D23" s="38">
        <v>521844</v>
      </c>
      <c r="E23" s="38">
        <v>6</v>
      </c>
      <c r="F23" s="42" t="str">
        <f t="shared" si="0"/>
        <v>ACU:(521844,6)</v>
      </c>
      <c r="G23" s="132"/>
    </row>
    <row r="24" spans="1:7" ht="16.899999999999999" customHeight="1" x14ac:dyDescent="0.15">
      <c r="A24" s="130">
        <v>22</v>
      </c>
      <c r="B24" s="235" t="s">
        <v>1601</v>
      </c>
      <c r="C24" s="42" t="s">
        <v>55</v>
      </c>
      <c r="D24" s="38">
        <v>521845</v>
      </c>
      <c r="E24" s="38">
        <v>12</v>
      </c>
      <c r="F24" s="42" t="str">
        <f t="shared" si="0"/>
        <v>ACU:(521845,12)</v>
      </c>
      <c r="G24" s="132"/>
    </row>
    <row r="25" spans="1:7" ht="16.899999999999999" customHeight="1" x14ac:dyDescent="0.15">
      <c r="A25" s="130">
        <v>23</v>
      </c>
      <c r="B25" s="235" t="s">
        <v>1601</v>
      </c>
      <c r="C25" s="42" t="s">
        <v>56</v>
      </c>
      <c r="D25" s="38">
        <v>521846</v>
      </c>
      <c r="E25" s="38">
        <v>10</v>
      </c>
      <c r="F25" s="42" t="str">
        <f t="shared" si="0"/>
        <v>ACU:(521846,10)</v>
      </c>
      <c r="G25" s="132"/>
    </row>
    <row r="26" spans="1:7" ht="16.899999999999999" customHeight="1" x14ac:dyDescent="0.15">
      <c r="A26" s="130">
        <v>24</v>
      </c>
      <c r="B26" s="235" t="s">
        <v>1601</v>
      </c>
      <c r="C26" s="42" t="s">
        <v>1295</v>
      </c>
      <c r="D26" s="38">
        <v>521847</v>
      </c>
      <c r="E26" s="38">
        <v>0</v>
      </c>
      <c r="F26" s="42" t="str">
        <f t="shared" si="0"/>
        <v>ACU:(521847,0)</v>
      </c>
      <c r="G26" s="132"/>
    </row>
    <row r="27" spans="1:7" ht="16.899999999999999" customHeight="1" x14ac:dyDescent="0.15">
      <c r="A27" s="130">
        <v>25</v>
      </c>
      <c r="B27" s="236" t="s">
        <v>1615</v>
      </c>
      <c r="C27" s="42" t="s">
        <v>3004</v>
      </c>
      <c r="D27" s="38">
        <v>521848</v>
      </c>
      <c r="E27" s="38">
        <v>0</v>
      </c>
      <c r="F27" s="42" t="str">
        <f t="shared" si="0"/>
        <v>ACU:(521848,0)</v>
      </c>
      <c r="G27" s="132"/>
    </row>
    <row r="28" spans="1:7" ht="16.899999999999999" customHeight="1" x14ac:dyDescent="0.15">
      <c r="A28" s="130">
        <v>26</v>
      </c>
      <c r="B28" s="236" t="s">
        <v>1603</v>
      </c>
      <c r="C28" s="42" t="s">
        <v>1318</v>
      </c>
      <c r="D28" s="38">
        <v>521848</v>
      </c>
      <c r="E28" s="38">
        <v>23</v>
      </c>
      <c r="F28" s="42" t="str">
        <f t="shared" si="0"/>
        <v>ACU:(521848,23)</v>
      </c>
      <c r="G28" s="132"/>
    </row>
    <row r="29" spans="1:7" ht="16.899999999999999" customHeight="1" x14ac:dyDescent="0.15">
      <c r="A29" s="130">
        <v>27</v>
      </c>
      <c r="B29" s="236" t="s">
        <v>1603</v>
      </c>
      <c r="C29" s="42" t="s">
        <v>3005</v>
      </c>
      <c r="D29" s="38">
        <v>521849</v>
      </c>
      <c r="E29" s="38">
        <v>2</v>
      </c>
      <c r="F29" s="42" t="str">
        <f t="shared" si="0"/>
        <v>ACU:(521849,2)</v>
      </c>
      <c r="G29" s="132"/>
    </row>
    <row r="30" spans="1:7" ht="16.5" x14ac:dyDescent="0.15">
      <c r="A30" s="130">
        <v>28</v>
      </c>
      <c r="B30" s="236" t="s">
        <v>1603</v>
      </c>
      <c r="C30" s="42" t="s">
        <v>3007</v>
      </c>
      <c r="D30" s="38">
        <v>521849</v>
      </c>
      <c r="E30" s="38">
        <v>3</v>
      </c>
      <c r="F30" s="42" t="str">
        <f t="shared" si="0"/>
        <v>ACU:(521849,3)</v>
      </c>
      <c r="G30" s="237"/>
    </row>
    <row r="31" spans="1:7" ht="16.5" x14ac:dyDescent="0.15">
      <c r="A31" s="130">
        <v>29</v>
      </c>
      <c r="B31" s="236" t="s">
        <v>1603</v>
      </c>
      <c r="C31" s="42" t="s">
        <v>3008</v>
      </c>
      <c r="D31" s="38">
        <v>521849</v>
      </c>
      <c r="E31" s="38">
        <v>4</v>
      </c>
      <c r="F31" s="42" t="str">
        <f t="shared" si="0"/>
        <v>ACU:(521849,4)</v>
      </c>
      <c r="G31" s="237"/>
    </row>
  </sheetData>
  <phoneticPr fontId="6" type="noConversion"/>
  <hyperlinks>
    <hyperlink ref="A1" location="'控制器源地址&amp;跳转页面'!A1" display="返回目录" xr:uid="{C237F4DF-C3E3-4123-BD80-53FEF2A5EF8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F87"/>
  <sheetViews>
    <sheetView zoomScale="115" zoomScaleNormal="115" workbookViewId="0">
      <pane ySplit="2" topLeftCell="A3" activePane="bottomLeft" state="frozen"/>
      <selection pane="bottomLeft" activeCell="C65" sqref="C65"/>
    </sheetView>
  </sheetViews>
  <sheetFormatPr defaultRowHeight="13.5" x14ac:dyDescent="0.15"/>
  <cols>
    <col min="1" max="1" width="8.75" style="1" customWidth="1"/>
    <col min="2" max="2" width="9" style="1" bestFit="1" customWidth="1"/>
    <col min="3" max="3" width="44.5" customWidth="1"/>
    <col min="4" max="4" width="9.5" style="3" customWidth="1"/>
    <col min="5" max="5" width="9.5" style="1" bestFit="1" customWidth="1"/>
    <col min="6" max="6" width="50.75" style="1" customWidth="1"/>
    <col min="7" max="7" width="7.875" customWidth="1"/>
  </cols>
  <sheetData>
    <row r="1" spans="1:6" ht="24" customHeight="1" x14ac:dyDescent="0.15">
      <c r="A1" s="70" t="s">
        <v>1704</v>
      </c>
    </row>
    <row r="2" spans="1:6" ht="20.100000000000001" customHeight="1" x14ac:dyDescent="0.15">
      <c r="A2" s="207" t="s">
        <v>0</v>
      </c>
      <c r="B2" s="207" t="s">
        <v>1600</v>
      </c>
      <c r="C2" s="207" t="s">
        <v>2</v>
      </c>
      <c r="D2" s="208" t="s">
        <v>79</v>
      </c>
      <c r="E2" s="207" t="s">
        <v>80</v>
      </c>
      <c r="F2" s="209" t="s">
        <v>1038</v>
      </c>
    </row>
    <row r="3" spans="1:6" ht="27.75" customHeight="1" x14ac:dyDescent="0.15">
      <c r="A3" s="30">
        <v>1</v>
      </c>
      <c r="B3" s="221" t="s">
        <v>2833</v>
      </c>
      <c r="C3" s="210" t="s">
        <v>27</v>
      </c>
      <c r="D3" s="211">
        <v>1378</v>
      </c>
      <c r="E3" s="211">
        <v>1</v>
      </c>
      <c r="F3" s="42" t="str">
        <f>"AMT"&amp;":"&amp;"("&amp;D3&amp;","&amp;E3&amp;")"</f>
        <v>AMT:(1378,1)</v>
      </c>
    </row>
    <row r="4" spans="1:6" ht="28.5" customHeight="1" x14ac:dyDescent="0.15">
      <c r="A4" s="30">
        <v>2</v>
      </c>
      <c r="B4" s="221" t="s">
        <v>2833</v>
      </c>
      <c r="C4" s="210" t="s">
        <v>28</v>
      </c>
      <c r="D4" s="211">
        <v>1378</v>
      </c>
      <c r="E4" s="211">
        <v>2</v>
      </c>
      <c r="F4" s="42" t="str">
        <f t="shared" ref="F4:F67" si="0">"AMT"&amp;":"&amp;"("&amp;D4&amp;","&amp;E4&amp;")"</f>
        <v>AMT:(1378,2)</v>
      </c>
    </row>
    <row r="5" spans="1:6" ht="20.100000000000001" customHeight="1" x14ac:dyDescent="0.15">
      <c r="A5" s="30">
        <v>3</v>
      </c>
      <c r="B5" s="211" t="s">
        <v>1615</v>
      </c>
      <c r="C5" s="210" t="s">
        <v>1408</v>
      </c>
      <c r="D5" s="211">
        <v>1810</v>
      </c>
      <c r="E5" s="211">
        <v>13</v>
      </c>
      <c r="F5" s="42" t="str">
        <f t="shared" si="0"/>
        <v>AMT:(1810,13)</v>
      </c>
    </row>
    <row r="6" spans="1:6" ht="20.100000000000001" customHeight="1" x14ac:dyDescent="0.15">
      <c r="A6" s="30">
        <v>4</v>
      </c>
      <c r="B6" s="211" t="s">
        <v>1615</v>
      </c>
      <c r="C6" s="210" t="s">
        <v>2957</v>
      </c>
      <c r="D6" s="211">
        <v>1810</v>
      </c>
      <c r="E6" s="211">
        <v>14</v>
      </c>
      <c r="F6" s="42" t="str">
        <f t="shared" si="0"/>
        <v>AMT:(1810,14)</v>
      </c>
    </row>
    <row r="7" spans="1:6" ht="20.100000000000001" customHeight="1" x14ac:dyDescent="0.15">
      <c r="A7" s="30">
        <v>5</v>
      </c>
      <c r="B7" s="211" t="s">
        <v>1615</v>
      </c>
      <c r="C7" s="210" t="s">
        <v>1407</v>
      </c>
      <c r="D7" s="211">
        <v>1810</v>
      </c>
      <c r="E7" s="211">
        <v>2</v>
      </c>
      <c r="F7" s="42" t="str">
        <f t="shared" si="0"/>
        <v>AMT:(1810,2)</v>
      </c>
    </row>
    <row r="8" spans="1:6" ht="20.100000000000001" customHeight="1" x14ac:dyDescent="0.15">
      <c r="A8" s="30">
        <v>6</v>
      </c>
      <c r="B8" s="211" t="s">
        <v>1615</v>
      </c>
      <c r="C8" s="210" t="s">
        <v>2958</v>
      </c>
      <c r="D8" s="211">
        <v>1810</v>
      </c>
      <c r="E8" s="211">
        <v>4</v>
      </c>
      <c r="F8" s="42" t="str">
        <f t="shared" si="0"/>
        <v>AMT:(1810,4)</v>
      </c>
    </row>
    <row r="9" spans="1:6" ht="20.100000000000001" customHeight="1" x14ac:dyDescent="0.15">
      <c r="A9" s="30">
        <v>7</v>
      </c>
      <c r="B9" s="211" t="s">
        <v>1615</v>
      </c>
      <c r="C9" s="210" t="s">
        <v>1415</v>
      </c>
      <c r="D9" s="211">
        <v>1810</v>
      </c>
      <c r="E9" s="211">
        <v>12</v>
      </c>
      <c r="F9" s="42" t="str">
        <f t="shared" si="0"/>
        <v>AMT:(1810,12)</v>
      </c>
    </row>
    <row r="10" spans="1:6" ht="20.100000000000001" customHeight="1" x14ac:dyDescent="0.15">
      <c r="A10" s="30">
        <v>8</v>
      </c>
      <c r="B10" s="221" t="s">
        <v>1616</v>
      </c>
      <c r="C10" s="210" t="s">
        <v>29</v>
      </c>
      <c r="D10" s="211">
        <v>1824</v>
      </c>
      <c r="E10" s="211">
        <v>4</v>
      </c>
      <c r="F10" s="42" t="str">
        <f t="shared" si="0"/>
        <v>AMT:(1824,4)</v>
      </c>
    </row>
    <row r="11" spans="1:6" ht="20.100000000000001" customHeight="1" x14ac:dyDescent="0.15">
      <c r="A11" s="30">
        <v>9</v>
      </c>
      <c r="B11" s="221" t="s">
        <v>1616</v>
      </c>
      <c r="C11" s="210" t="s">
        <v>2959</v>
      </c>
      <c r="D11" s="211">
        <v>1824</v>
      </c>
      <c r="E11" s="211">
        <v>8</v>
      </c>
      <c r="F11" s="42" t="str">
        <f t="shared" si="0"/>
        <v>AMT:(1824,8)</v>
      </c>
    </row>
    <row r="12" spans="1:6" ht="20.100000000000001" customHeight="1" x14ac:dyDescent="0.15">
      <c r="A12" s="30">
        <v>10</v>
      </c>
      <c r="B12" s="221" t="s">
        <v>1616</v>
      </c>
      <c r="C12" s="210" t="s">
        <v>2960</v>
      </c>
      <c r="D12" s="211">
        <v>1824</v>
      </c>
      <c r="E12" s="211">
        <v>1</v>
      </c>
      <c r="F12" s="42" t="str">
        <f t="shared" si="0"/>
        <v>AMT:(1824,1)</v>
      </c>
    </row>
    <row r="13" spans="1:6" ht="20.100000000000001" customHeight="1" x14ac:dyDescent="0.15">
      <c r="A13" s="30">
        <v>11</v>
      </c>
      <c r="B13" s="221" t="s">
        <v>2833</v>
      </c>
      <c r="C13" s="210" t="s">
        <v>2860</v>
      </c>
      <c r="D13" s="211">
        <v>520207</v>
      </c>
      <c r="E13" s="211">
        <v>7</v>
      </c>
      <c r="F13" s="42" t="str">
        <f t="shared" si="0"/>
        <v>AMT:(520207,7)</v>
      </c>
    </row>
    <row r="14" spans="1:6" ht="20.100000000000001" customHeight="1" x14ac:dyDescent="0.3">
      <c r="A14" s="30">
        <v>12</v>
      </c>
      <c r="B14" s="213" t="s">
        <v>1615</v>
      </c>
      <c r="C14" s="212" t="s">
        <v>2849</v>
      </c>
      <c r="D14" s="211">
        <v>4178</v>
      </c>
      <c r="E14" s="211">
        <v>5</v>
      </c>
      <c r="F14" s="42" t="str">
        <f t="shared" si="0"/>
        <v>AMT:(4178,5)</v>
      </c>
    </row>
    <row r="15" spans="1:6" ht="20.100000000000001" customHeight="1" x14ac:dyDescent="0.3">
      <c r="A15" s="30">
        <v>13</v>
      </c>
      <c r="B15" s="213" t="s">
        <v>1615</v>
      </c>
      <c r="C15" s="212" t="s">
        <v>2961</v>
      </c>
      <c r="D15" s="211">
        <v>4178</v>
      </c>
      <c r="E15" s="211">
        <v>3</v>
      </c>
      <c r="F15" s="42" t="str">
        <f t="shared" si="0"/>
        <v>AMT:(4178,3)</v>
      </c>
    </row>
    <row r="16" spans="1:6" ht="20.100000000000001" customHeight="1" x14ac:dyDescent="0.3">
      <c r="A16" s="30">
        <v>14</v>
      </c>
      <c r="B16" s="213" t="s">
        <v>1615</v>
      </c>
      <c r="C16" s="212" t="s">
        <v>2962</v>
      </c>
      <c r="D16" s="211">
        <v>4178</v>
      </c>
      <c r="E16" s="211">
        <v>4</v>
      </c>
      <c r="F16" s="42" t="str">
        <f t="shared" si="0"/>
        <v>AMT:(4178,4)</v>
      </c>
    </row>
    <row r="17" spans="1:6" ht="20.100000000000001" customHeight="1" x14ac:dyDescent="0.15">
      <c r="A17" s="30">
        <v>15</v>
      </c>
      <c r="B17" s="211" t="s">
        <v>1615</v>
      </c>
      <c r="C17" s="210" t="s">
        <v>2851</v>
      </c>
      <c r="D17" s="211">
        <v>7670</v>
      </c>
      <c r="E17" s="211">
        <v>4</v>
      </c>
      <c r="F17" s="42" t="str">
        <f t="shared" si="0"/>
        <v>AMT:(7670,4)</v>
      </c>
    </row>
    <row r="18" spans="1:6" ht="20.100000000000001" customHeight="1" x14ac:dyDescent="0.15">
      <c r="A18" s="30">
        <v>16</v>
      </c>
      <c r="B18" s="211" t="s">
        <v>1615</v>
      </c>
      <c r="C18" s="210" t="s">
        <v>2852</v>
      </c>
      <c r="D18" s="211">
        <v>7670</v>
      </c>
      <c r="E18" s="211">
        <v>5</v>
      </c>
      <c r="F18" s="42" t="str">
        <f t="shared" si="0"/>
        <v>AMT:(7670,5)</v>
      </c>
    </row>
    <row r="19" spans="1:6" ht="20.100000000000001" customHeight="1" x14ac:dyDescent="0.15">
      <c r="A19" s="30">
        <v>17</v>
      </c>
      <c r="B19" s="211" t="s">
        <v>1615</v>
      </c>
      <c r="C19" s="210" t="s">
        <v>2963</v>
      </c>
      <c r="D19" s="211">
        <v>7670</v>
      </c>
      <c r="E19" s="211">
        <v>6</v>
      </c>
      <c r="F19" s="42" t="str">
        <f t="shared" si="0"/>
        <v>AMT:(7670,6)</v>
      </c>
    </row>
    <row r="20" spans="1:6" ht="20.100000000000001" customHeight="1" x14ac:dyDescent="0.15">
      <c r="A20" s="30">
        <v>18</v>
      </c>
      <c r="B20" s="211" t="s">
        <v>1615</v>
      </c>
      <c r="C20" s="210" t="s">
        <v>2964</v>
      </c>
      <c r="D20" s="211">
        <v>7670</v>
      </c>
      <c r="E20" s="211">
        <v>7</v>
      </c>
      <c r="F20" s="42" t="str">
        <f t="shared" si="0"/>
        <v>AMT:(7670,7)</v>
      </c>
    </row>
    <row r="21" spans="1:6" ht="20.100000000000001" customHeight="1" x14ac:dyDescent="0.15">
      <c r="A21" s="30">
        <v>19</v>
      </c>
      <c r="B21" s="211" t="s">
        <v>1615</v>
      </c>
      <c r="C21" s="210" t="s">
        <v>2965</v>
      </c>
      <c r="D21" s="211">
        <v>7670</v>
      </c>
      <c r="E21" s="211">
        <v>8</v>
      </c>
      <c r="F21" s="42" t="str">
        <f t="shared" si="0"/>
        <v>AMT:(7670,8)</v>
      </c>
    </row>
    <row r="22" spans="1:6" ht="16.5" x14ac:dyDescent="0.15">
      <c r="A22" s="30">
        <v>20</v>
      </c>
      <c r="B22" s="211" t="s">
        <v>1615</v>
      </c>
      <c r="C22" s="210" t="s">
        <v>2966</v>
      </c>
      <c r="D22" s="211">
        <v>7670</v>
      </c>
      <c r="E22" s="211">
        <v>1</v>
      </c>
      <c r="F22" s="42" t="str">
        <f t="shared" si="0"/>
        <v>AMT:(7670,1)</v>
      </c>
    </row>
    <row r="23" spans="1:6" ht="16.5" x14ac:dyDescent="0.15">
      <c r="A23" s="30">
        <v>21</v>
      </c>
      <c r="B23" s="211" t="s">
        <v>1615</v>
      </c>
      <c r="C23" s="210" t="s">
        <v>2967</v>
      </c>
      <c r="D23" s="211">
        <v>7670</v>
      </c>
      <c r="E23" s="211">
        <v>2</v>
      </c>
      <c r="F23" s="42" t="str">
        <f t="shared" si="0"/>
        <v>AMT:(7670,2)</v>
      </c>
    </row>
    <row r="24" spans="1:6" ht="16.5" x14ac:dyDescent="0.15">
      <c r="A24" s="30">
        <v>22</v>
      </c>
      <c r="B24" s="211" t="s">
        <v>1615</v>
      </c>
      <c r="C24" s="210" t="s">
        <v>2709</v>
      </c>
      <c r="D24" s="211">
        <v>5935</v>
      </c>
      <c r="E24" s="211">
        <v>1</v>
      </c>
      <c r="F24" s="42" t="str">
        <f t="shared" si="0"/>
        <v>AMT:(5935,1)</v>
      </c>
    </row>
    <row r="25" spans="1:6" ht="16.5" x14ac:dyDescent="0.15">
      <c r="A25" s="30">
        <v>23</v>
      </c>
      <c r="B25" s="211" t="s">
        <v>1615</v>
      </c>
      <c r="C25" s="210" t="s">
        <v>2710</v>
      </c>
      <c r="D25" s="211">
        <v>5935</v>
      </c>
      <c r="E25" s="211">
        <v>2</v>
      </c>
      <c r="F25" s="42" t="str">
        <f t="shared" si="0"/>
        <v>AMT:(5935,2)</v>
      </c>
    </row>
    <row r="26" spans="1:6" ht="16.5" x14ac:dyDescent="0.15">
      <c r="A26" s="30">
        <v>24</v>
      </c>
      <c r="B26" s="211" t="s">
        <v>1615</v>
      </c>
      <c r="C26" s="210" t="s">
        <v>2711</v>
      </c>
      <c r="D26" s="211">
        <v>5935</v>
      </c>
      <c r="E26" s="211">
        <v>4</v>
      </c>
      <c r="F26" s="42" t="str">
        <f t="shared" si="0"/>
        <v>AMT:(5935,4)</v>
      </c>
    </row>
    <row r="27" spans="1:6" ht="16.5" x14ac:dyDescent="0.15">
      <c r="A27" s="30">
        <v>25</v>
      </c>
      <c r="B27" s="211" t="s">
        <v>1615</v>
      </c>
      <c r="C27" s="210" t="s">
        <v>2712</v>
      </c>
      <c r="D27" s="211">
        <v>5935</v>
      </c>
      <c r="E27" s="211">
        <v>3</v>
      </c>
      <c r="F27" s="42" t="str">
        <f t="shared" si="0"/>
        <v>AMT:(5935,3)</v>
      </c>
    </row>
    <row r="28" spans="1:6" ht="16.5" x14ac:dyDescent="0.15">
      <c r="A28" s="30">
        <v>26</v>
      </c>
      <c r="B28" s="211" t="s">
        <v>1615</v>
      </c>
      <c r="C28" s="210" t="s">
        <v>2713</v>
      </c>
      <c r="D28" s="211">
        <v>5935</v>
      </c>
      <c r="E28" s="211">
        <v>9</v>
      </c>
      <c r="F28" s="42" t="str">
        <f t="shared" si="0"/>
        <v>AMT:(5935,9)</v>
      </c>
    </row>
    <row r="29" spans="1:6" ht="16.5" x14ac:dyDescent="0.15">
      <c r="A29" s="30">
        <v>27</v>
      </c>
      <c r="B29" s="211" t="s">
        <v>1615</v>
      </c>
      <c r="C29" s="210" t="s">
        <v>2714</v>
      </c>
      <c r="D29" s="211">
        <v>5935</v>
      </c>
      <c r="E29" s="211">
        <v>10</v>
      </c>
      <c r="F29" s="42" t="str">
        <f t="shared" si="0"/>
        <v>AMT:(5935,10)</v>
      </c>
    </row>
    <row r="30" spans="1:6" ht="16.5" x14ac:dyDescent="0.15">
      <c r="A30" s="30">
        <v>28</v>
      </c>
      <c r="B30" s="211" t="s">
        <v>1615</v>
      </c>
      <c r="C30" s="210" t="s">
        <v>2715</v>
      </c>
      <c r="D30" s="211">
        <v>5935</v>
      </c>
      <c r="E30" s="211">
        <v>8</v>
      </c>
      <c r="F30" s="42" t="str">
        <f t="shared" si="0"/>
        <v>AMT:(5935,8)</v>
      </c>
    </row>
    <row r="31" spans="1:6" ht="16.5" x14ac:dyDescent="0.15">
      <c r="A31" s="30">
        <v>29</v>
      </c>
      <c r="B31" s="211" t="s">
        <v>1615</v>
      </c>
      <c r="C31" s="210" t="s">
        <v>30</v>
      </c>
      <c r="D31" s="211">
        <v>5953</v>
      </c>
      <c r="E31" s="211">
        <v>1</v>
      </c>
      <c r="F31" s="42" t="str">
        <f t="shared" si="0"/>
        <v>AMT:(5953,1)</v>
      </c>
    </row>
    <row r="32" spans="1:6" ht="16.5" x14ac:dyDescent="0.15">
      <c r="A32" s="30">
        <v>30</v>
      </c>
      <c r="B32" s="211" t="s">
        <v>1615</v>
      </c>
      <c r="C32" s="210" t="s">
        <v>31</v>
      </c>
      <c r="D32" s="211">
        <v>5953</v>
      </c>
      <c r="E32" s="211">
        <v>2</v>
      </c>
      <c r="F32" s="42" t="str">
        <f t="shared" si="0"/>
        <v>AMT:(5953,2)</v>
      </c>
    </row>
    <row r="33" spans="1:6" ht="16.5" x14ac:dyDescent="0.15">
      <c r="A33" s="30">
        <v>31</v>
      </c>
      <c r="B33" s="211" t="s">
        <v>1615</v>
      </c>
      <c r="C33" s="210" t="s">
        <v>32</v>
      </c>
      <c r="D33" s="211">
        <v>5953</v>
      </c>
      <c r="E33" s="211">
        <v>8</v>
      </c>
      <c r="F33" s="42" t="str">
        <f t="shared" si="0"/>
        <v>AMT:(5953,8)</v>
      </c>
    </row>
    <row r="34" spans="1:6" ht="16.5" x14ac:dyDescent="0.15">
      <c r="A34" s="30">
        <v>32</v>
      </c>
      <c r="B34" s="211" t="s">
        <v>1615</v>
      </c>
      <c r="C34" s="210" t="s">
        <v>33</v>
      </c>
      <c r="D34" s="211">
        <v>5954</v>
      </c>
      <c r="E34" s="211">
        <v>1</v>
      </c>
      <c r="F34" s="42" t="str">
        <f t="shared" si="0"/>
        <v>AMT:(5954,1)</v>
      </c>
    </row>
    <row r="35" spans="1:6" ht="16.5" x14ac:dyDescent="0.15">
      <c r="A35" s="30">
        <v>33</v>
      </c>
      <c r="B35" s="211" t="s">
        <v>1615</v>
      </c>
      <c r="C35" s="210" t="s">
        <v>34</v>
      </c>
      <c r="D35" s="211">
        <v>5954</v>
      </c>
      <c r="E35" s="211">
        <v>2</v>
      </c>
      <c r="F35" s="42" t="str">
        <f t="shared" si="0"/>
        <v>AMT:(5954,2)</v>
      </c>
    </row>
    <row r="36" spans="1:6" ht="16.5" x14ac:dyDescent="0.15">
      <c r="A36" s="30">
        <v>34</v>
      </c>
      <c r="B36" s="211" t="s">
        <v>1615</v>
      </c>
      <c r="C36" s="214" t="s">
        <v>35</v>
      </c>
      <c r="D36" s="211">
        <v>5954</v>
      </c>
      <c r="E36" s="211">
        <v>8</v>
      </c>
      <c r="F36" s="42" t="str">
        <f t="shared" si="0"/>
        <v>AMT:(5954,8)</v>
      </c>
    </row>
    <row r="37" spans="1:6" ht="16.5" x14ac:dyDescent="0.15">
      <c r="A37" s="30">
        <v>35</v>
      </c>
      <c r="B37" s="211" t="s">
        <v>1615</v>
      </c>
      <c r="C37" s="210" t="s">
        <v>2853</v>
      </c>
      <c r="D37" s="211">
        <v>520200</v>
      </c>
      <c r="E37" s="211">
        <v>7</v>
      </c>
      <c r="F37" s="42" t="str">
        <f t="shared" si="0"/>
        <v>AMT:(520200,7)</v>
      </c>
    </row>
    <row r="38" spans="1:6" ht="16.5" x14ac:dyDescent="0.15">
      <c r="A38" s="30">
        <v>36</v>
      </c>
      <c r="B38" s="211" t="s">
        <v>1615</v>
      </c>
      <c r="C38" s="210" t="s">
        <v>2968</v>
      </c>
      <c r="D38" s="211">
        <v>520201</v>
      </c>
      <c r="E38" s="211">
        <v>7</v>
      </c>
      <c r="F38" s="42" t="str">
        <f t="shared" si="0"/>
        <v>AMT:(520201,7)</v>
      </c>
    </row>
    <row r="39" spans="1:6" ht="16.5" x14ac:dyDescent="0.15">
      <c r="A39" s="30">
        <v>37</v>
      </c>
      <c r="B39" s="211" t="s">
        <v>1615</v>
      </c>
      <c r="C39" s="210" t="s">
        <v>2855</v>
      </c>
      <c r="D39" s="211">
        <v>520202</v>
      </c>
      <c r="E39" s="211">
        <v>7</v>
      </c>
      <c r="F39" s="42" t="str">
        <f t="shared" si="0"/>
        <v>AMT:(520202,7)</v>
      </c>
    </row>
    <row r="40" spans="1:6" ht="16.5" x14ac:dyDescent="0.15">
      <c r="A40" s="30">
        <v>38</v>
      </c>
      <c r="B40" s="221" t="s">
        <v>2833</v>
      </c>
      <c r="C40" s="210" t="s">
        <v>36</v>
      </c>
      <c r="D40" s="211">
        <v>5969</v>
      </c>
      <c r="E40" s="211">
        <v>8</v>
      </c>
      <c r="F40" s="42" t="str">
        <f t="shared" si="0"/>
        <v>AMT:(5969,8)</v>
      </c>
    </row>
    <row r="41" spans="1:6" ht="16.5" x14ac:dyDescent="0.15">
      <c r="A41" s="30">
        <v>39</v>
      </c>
      <c r="B41" s="221" t="s">
        <v>2833</v>
      </c>
      <c r="C41" s="215" t="s">
        <v>37</v>
      </c>
      <c r="D41" s="216">
        <v>5971</v>
      </c>
      <c r="E41" s="216">
        <v>8</v>
      </c>
      <c r="F41" s="42" t="str">
        <f t="shared" si="0"/>
        <v>AMT:(5971,8)</v>
      </c>
    </row>
    <row r="42" spans="1:6" ht="16.5" x14ac:dyDescent="0.15">
      <c r="A42" s="30">
        <v>40</v>
      </c>
      <c r="B42" s="211" t="s">
        <v>1615</v>
      </c>
      <c r="C42" s="210" t="s">
        <v>2856</v>
      </c>
      <c r="D42" s="211">
        <v>520203</v>
      </c>
      <c r="E42" s="211">
        <v>7</v>
      </c>
      <c r="F42" s="42" t="str">
        <f t="shared" si="0"/>
        <v>AMT:(520203,7)</v>
      </c>
    </row>
    <row r="43" spans="1:6" ht="16.5" x14ac:dyDescent="0.15">
      <c r="A43" s="30">
        <v>41</v>
      </c>
      <c r="B43" s="211" t="s">
        <v>1615</v>
      </c>
      <c r="C43" s="210" t="s">
        <v>2969</v>
      </c>
      <c r="D43" s="211">
        <v>520204</v>
      </c>
      <c r="E43" s="211">
        <v>7</v>
      </c>
      <c r="F43" s="42" t="str">
        <f t="shared" si="0"/>
        <v>AMT:(520204,7)</v>
      </c>
    </row>
    <row r="44" spans="1:6" ht="16.5" x14ac:dyDescent="0.15">
      <c r="A44" s="30">
        <v>42</v>
      </c>
      <c r="B44" s="211" t="s">
        <v>1615</v>
      </c>
      <c r="C44" s="210" t="s">
        <v>2858</v>
      </c>
      <c r="D44" s="211">
        <v>520205</v>
      </c>
      <c r="E44" s="211">
        <v>7</v>
      </c>
      <c r="F44" s="42" t="str">
        <f t="shared" si="0"/>
        <v>AMT:(520205,7)</v>
      </c>
    </row>
    <row r="45" spans="1:6" ht="16.5" x14ac:dyDescent="0.15">
      <c r="A45" s="30">
        <v>43</v>
      </c>
      <c r="B45" s="211" t="s">
        <v>1615</v>
      </c>
      <c r="C45" s="210" t="s">
        <v>1413</v>
      </c>
      <c r="D45" s="213">
        <v>5970</v>
      </c>
      <c r="E45" s="213">
        <v>3</v>
      </c>
      <c r="F45" s="42" t="str">
        <f t="shared" si="0"/>
        <v>AMT:(5970,3)</v>
      </c>
    </row>
    <row r="46" spans="1:6" ht="16.5" x14ac:dyDescent="0.15">
      <c r="A46" s="30">
        <v>44</v>
      </c>
      <c r="B46" s="211" t="s">
        <v>1615</v>
      </c>
      <c r="C46" s="210" t="s">
        <v>1414</v>
      </c>
      <c r="D46" s="213">
        <v>5970</v>
      </c>
      <c r="E46" s="213">
        <v>4</v>
      </c>
      <c r="F46" s="42" t="str">
        <f t="shared" si="0"/>
        <v>AMT:(5970,4)</v>
      </c>
    </row>
    <row r="47" spans="1:6" ht="16.5" x14ac:dyDescent="0.15">
      <c r="A47" s="30">
        <v>45</v>
      </c>
      <c r="B47" s="211" t="s">
        <v>1615</v>
      </c>
      <c r="C47" s="210" t="s">
        <v>1412</v>
      </c>
      <c r="D47" s="213">
        <v>5970</v>
      </c>
      <c r="E47" s="213">
        <v>2</v>
      </c>
      <c r="F47" s="42" t="str">
        <f t="shared" si="0"/>
        <v>AMT:(5970,2)</v>
      </c>
    </row>
    <row r="48" spans="1:6" ht="16.5" x14ac:dyDescent="0.15">
      <c r="A48" s="30">
        <v>46</v>
      </c>
      <c r="B48" s="221" t="s">
        <v>2833</v>
      </c>
      <c r="C48" s="210" t="s">
        <v>1411</v>
      </c>
      <c r="D48" s="213">
        <v>5970</v>
      </c>
      <c r="E48" s="213">
        <v>1</v>
      </c>
      <c r="F48" s="42" t="str">
        <f t="shared" si="0"/>
        <v>AMT:(5970,1)</v>
      </c>
    </row>
    <row r="49" spans="1:6" ht="16.5" x14ac:dyDescent="0.15">
      <c r="A49" s="30">
        <v>47</v>
      </c>
      <c r="B49" s="221" t="s">
        <v>2833</v>
      </c>
      <c r="C49" s="210" t="s">
        <v>1405</v>
      </c>
      <c r="D49" s="211">
        <v>7649</v>
      </c>
      <c r="E49" s="211">
        <v>1</v>
      </c>
      <c r="F49" s="42" t="str">
        <f t="shared" si="0"/>
        <v>AMT:(7649,1)</v>
      </c>
    </row>
    <row r="50" spans="1:6" ht="16.5" x14ac:dyDescent="0.15">
      <c r="A50" s="30">
        <v>48</v>
      </c>
      <c r="B50" s="221" t="s">
        <v>2833</v>
      </c>
      <c r="C50" s="210" t="s">
        <v>1406</v>
      </c>
      <c r="D50" s="211">
        <v>7649</v>
      </c>
      <c r="E50" s="211">
        <v>2</v>
      </c>
      <c r="F50" s="42" t="str">
        <f t="shared" si="0"/>
        <v>AMT:(7649,2)</v>
      </c>
    </row>
    <row r="51" spans="1:6" ht="16.5" x14ac:dyDescent="0.15">
      <c r="A51" s="30">
        <v>49</v>
      </c>
      <c r="B51" s="211" t="s">
        <v>2833</v>
      </c>
      <c r="C51" s="210" t="s">
        <v>2970</v>
      </c>
      <c r="D51" s="211">
        <v>520208</v>
      </c>
      <c r="E51" s="211">
        <v>7</v>
      </c>
      <c r="F51" s="42" t="str">
        <f t="shared" si="0"/>
        <v>AMT:(520208,7)</v>
      </c>
    </row>
    <row r="52" spans="1:6" ht="16.5" x14ac:dyDescent="0.15">
      <c r="A52" s="30">
        <v>50</v>
      </c>
      <c r="B52" s="211" t="s">
        <v>2833</v>
      </c>
      <c r="C52" s="210" t="s">
        <v>2971</v>
      </c>
      <c r="D52" s="211">
        <v>520209</v>
      </c>
      <c r="E52" s="211">
        <v>7</v>
      </c>
      <c r="F52" s="42" t="str">
        <f t="shared" si="0"/>
        <v>AMT:(520209,7)</v>
      </c>
    </row>
    <row r="53" spans="1:6" ht="16.5" x14ac:dyDescent="0.15">
      <c r="A53" s="30">
        <v>51</v>
      </c>
      <c r="B53" s="211" t="s">
        <v>2833</v>
      </c>
      <c r="C53" s="210" t="s">
        <v>2972</v>
      </c>
      <c r="D53" s="211">
        <v>54786</v>
      </c>
      <c r="E53" s="211">
        <v>4</v>
      </c>
      <c r="F53" s="42" t="str">
        <f t="shared" si="0"/>
        <v>AMT:(54786,4)</v>
      </c>
    </row>
    <row r="54" spans="1:6" ht="16.5" x14ac:dyDescent="0.15">
      <c r="A54" s="30">
        <v>52</v>
      </c>
      <c r="B54" s="221" t="s">
        <v>2833</v>
      </c>
      <c r="C54" s="210" t="s">
        <v>2973</v>
      </c>
      <c r="D54" s="211">
        <v>522117</v>
      </c>
      <c r="E54" s="211">
        <v>12</v>
      </c>
      <c r="F54" s="42" t="str">
        <f t="shared" si="0"/>
        <v>AMT:(522117,12)</v>
      </c>
    </row>
    <row r="55" spans="1:6" ht="16.5" x14ac:dyDescent="0.15">
      <c r="A55" s="30">
        <v>53</v>
      </c>
      <c r="B55" s="211" t="s">
        <v>1615</v>
      </c>
      <c r="C55" s="210" t="s">
        <v>2723</v>
      </c>
      <c r="D55" s="211">
        <v>522118</v>
      </c>
      <c r="E55" s="211">
        <v>9</v>
      </c>
      <c r="F55" s="42" t="str">
        <f t="shared" si="0"/>
        <v>AMT:(522118,9)</v>
      </c>
    </row>
    <row r="56" spans="1:6" ht="16.5" x14ac:dyDescent="0.15">
      <c r="A56" s="30">
        <v>54</v>
      </c>
      <c r="B56" s="221" t="s">
        <v>2833</v>
      </c>
      <c r="C56" s="210" t="s">
        <v>2974</v>
      </c>
      <c r="D56" s="211">
        <v>522119</v>
      </c>
      <c r="E56" s="211">
        <v>12</v>
      </c>
      <c r="F56" s="42" t="str">
        <f t="shared" si="0"/>
        <v>AMT:(522119,12)</v>
      </c>
    </row>
    <row r="57" spans="1:6" ht="16.5" x14ac:dyDescent="0.15">
      <c r="A57" s="30">
        <v>55</v>
      </c>
      <c r="B57" s="211" t="s">
        <v>1615</v>
      </c>
      <c r="C57" s="210" t="s">
        <v>2724</v>
      </c>
      <c r="D57" s="211">
        <v>522120</v>
      </c>
      <c r="E57" s="211">
        <v>9</v>
      </c>
      <c r="F57" s="42" t="str">
        <f t="shared" si="0"/>
        <v>AMT:(522120,9)</v>
      </c>
    </row>
    <row r="58" spans="1:6" ht="16.5" x14ac:dyDescent="0.15">
      <c r="A58" s="30">
        <v>56</v>
      </c>
      <c r="B58" s="221" t="s">
        <v>2833</v>
      </c>
      <c r="C58" s="210" t="s">
        <v>2725</v>
      </c>
      <c r="D58" s="211">
        <v>522121</v>
      </c>
      <c r="E58" s="211">
        <v>9</v>
      </c>
      <c r="F58" s="42" t="str">
        <f t="shared" si="0"/>
        <v>AMT:(522121,9)</v>
      </c>
    </row>
    <row r="59" spans="1:6" ht="16.5" x14ac:dyDescent="0.15">
      <c r="A59" s="30">
        <v>57</v>
      </c>
      <c r="B59" s="211" t="s">
        <v>1615</v>
      </c>
      <c r="C59" s="210" t="s">
        <v>2716</v>
      </c>
      <c r="D59" s="211">
        <v>1824</v>
      </c>
      <c r="E59" s="211">
        <v>2</v>
      </c>
      <c r="F59" s="42" t="str">
        <f t="shared" si="0"/>
        <v>AMT:(1824,2)</v>
      </c>
    </row>
    <row r="60" spans="1:6" ht="16.5" x14ac:dyDescent="0.15">
      <c r="A60" s="30">
        <v>58</v>
      </c>
      <c r="B60" s="221" t="s">
        <v>2833</v>
      </c>
      <c r="C60" s="210" t="s">
        <v>2975</v>
      </c>
      <c r="D60" s="211">
        <v>518332</v>
      </c>
      <c r="E60" s="211">
        <v>11</v>
      </c>
      <c r="F60" s="42" t="str">
        <f t="shared" si="0"/>
        <v>AMT:(518332,11)</v>
      </c>
    </row>
    <row r="61" spans="1:6" ht="16.5" x14ac:dyDescent="0.15">
      <c r="A61" s="30">
        <v>59</v>
      </c>
      <c r="B61" s="211" t="s">
        <v>1615</v>
      </c>
      <c r="C61" s="210" t="s">
        <v>2717</v>
      </c>
      <c r="D61" s="211">
        <v>522112</v>
      </c>
      <c r="E61" s="211">
        <v>13</v>
      </c>
      <c r="F61" s="42" t="str">
        <f t="shared" si="0"/>
        <v>AMT:(522112,13)</v>
      </c>
    </row>
    <row r="62" spans="1:6" ht="16.5" x14ac:dyDescent="0.15">
      <c r="A62" s="30">
        <v>60</v>
      </c>
      <c r="B62" s="211" t="s">
        <v>1615</v>
      </c>
      <c r="C62" s="210" t="s">
        <v>2718</v>
      </c>
      <c r="D62" s="211">
        <v>522112</v>
      </c>
      <c r="E62" s="211">
        <v>2</v>
      </c>
      <c r="F62" s="42" t="str">
        <f t="shared" si="0"/>
        <v>AMT:(522112,2)</v>
      </c>
    </row>
    <row r="63" spans="1:6" ht="16.5" x14ac:dyDescent="0.15">
      <c r="A63" s="30">
        <v>61</v>
      </c>
      <c r="B63" s="211" t="s">
        <v>1615</v>
      </c>
      <c r="C63" s="210" t="s">
        <v>2719</v>
      </c>
      <c r="D63" s="211">
        <v>522112</v>
      </c>
      <c r="E63" s="211">
        <v>7</v>
      </c>
      <c r="F63" s="42" t="str">
        <f t="shared" si="0"/>
        <v>AMT:(522112,7)</v>
      </c>
    </row>
    <row r="64" spans="1:6" ht="16.5" x14ac:dyDescent="0.15">
      <c r="A64" s="30">
        <v>62</v>
      </c>
      <c r="B64" s="211" t="s">
        <v>1615</v>
      </c>
      <c r="C64" s="210" t="s">
        <v>2720</v>
      </c>
      <c r="D64" s="211">
        <v>522112</v>
      </c>
      <c r="E64" s="211">
        <v>8</v>
      </c>
      <c r="F64" s="42" t="str">
        <f t="shared" si="0"/>
        <v>AMT:(522112,8)</v>
      </c>
    </row>
    <row r="65" spans="1:6" ht="16.5" x14ac:dyDescent="0.15">
      <c r="A65" s="30">
        <v>63</v>
      </c>
      <c r="B65" s="211" t="s">
        <v>1615</v>
      </c>
      <c r="C65" s="217" t="s">
        <v>2976</v>
      </c>
      <c r="D65" s="211">
        <v>9000</v>
      </c>
      <c r="E65" s="211">
        <v>1</v>
      </c>
      <c r="F65" s="42" t="str">
        <f t="shared" si="0"/>
        <v>AMT:(9000,1)</v>
      </c>
    </row>
    <row r="66" spans="1:6" ht="16.5" x14ac:dyDescent="0.15">
      <c r="A66" s="30">
        <v>64</v>
      </c>
      <c r="B66" s="211" t="s">
        <v>1615</v>
      </c>
      <c r="C66" s="214" t="s">
        <v>42</v>
      </c>
      <c r="D66" s="218">
        <v>5977</v>
      </c>
      <c r="E66" s="218">
        <v>1</v>
      </c>
      <c r="F66" s="42" t="str">
        <f t="shared" si="0"/>
        <v>AMT:(5977,1)</v>
      </c>
    </row>
    <row r="67" spans="1:6" ht="16.5" x14ac:dyDescent="0.15">
      <c r="A67" s="30">
        <v>65</v>
      </c>
      <c r="B67" s="221" t="s">
        <v>2833</v>
      </c>
      <c r="C67" s="210" t="s">
        <v>2721</v>
      </c>
      <c r="D67" s="211">
        <v>6208</v>
      </c>
      <c r="E67" s="211">
        <v>7</v>
      </c>
      <c r="F67" s="42" t="str">
        <f t="shared" si="0"/>
        <v>AMT:(6208,7)</v>
      </c>
    </row>
    <row r="68" spans="1:6" ht="16.5" x14ac:dyDescent="0.15">
      <c r="A68" s="30">
        <v>66</v>
      </c>
      <c r="B68" s="211" t="s">
        <v>2833</v>
      </c>
      <c r="C68" s="215" t="s">
        <v>38</v>
      </c>
      <c r="D68" s="216">
        <v>6208</v>
      </c>
      <c r="E68" s="216">
        <v>8</v>
      </c>
      <c r="F68" s="42" t="str">
        <f t="shared" ref="F68:F86" si="1">"AMT"&amp;":"&amp;"("&amp;D68&amp;","&amp;E68&amp;")"</f>
        <v>AMT:(6208,8)</v>
      </c>
    </row>
    <row r="69" spans="1:6" ht="16.5" x14ac:dyDescent="0.15">
      <c r="A69" s="30">
        <v>67</v>
      </c>
      <c r="B69" s="211" t="s">
        <v>2833</v>
      </c>
      <c r="C69" s="210" t="s">
        <v>2977</v>
      </c>
      <c r="D69" s="211">
        <v>520213</v>
      </c>
      <c r="E69" s="211">
        <v>7</v>
      </c>
      <c r="F69" s="42" t="str">
        <f t="shared" si="1"/>
        <v>AMT:(520213,7)</v>
      </c>
    </row>
    <row r="70" spans="1:6" ht="16.5" x14ac:dyDescent="0.15">
      <c r="A70" s="30">
        <v>68</v>
      </c>
      <c r="B70" s="221" t="s">
        <v>2833</v>
      </c>
      <c r="C70" s="215" t="s">
        <v>1409</v>
      </c>
      <c r="D70" s="216">
        <v>520213</v>
      </c>
      <c r="E70" s="216">
        <v>6</v>
      </c>
      <c r="F70" s="42" t="str">
        <f t="shared" si="1"/>
        <v>AMT:(520213,6)</v>
      </c>
    </row>
    <row r="71" spans="1:6" ht="16.5" x14ac:dyDescent="0.15">
      <c r="A71" s="30">
        <v>69</v>
      </c>
      <c r="B71" s="221" t="s">
        <v>2833</v>
      </c>
      <c r="C71" s="219" t="s">
        <v>1410</v>
      </c>
      <c r="D71" s="220">
        <v>520213</v>
      </c>
      <c r="E71" s="220">
        <v>9</v>
      </c>
      <c r="F71" s="42" t="str">
        <f t="shared" si="1"/>
        <v>AMT:(520213,9)</v>
      </c>
    </row>
    <row r="72" spans="1:6" ht="16.5" x14ac:dyDescent="0.15">
      <c r="A72" s="30">
        <v>70</v>
      </c>
      <c r="B72" s="211" t="s">
        <v>1615</v>
      </c>
      <c r="C72" s="210" t="s">
        <v>2726</v>
      </c>
      <c r="D72" s="211">
        <v>522115</v>
      </c>
      <c r="E72" s="211">
        <v>8</v>
      </c>
      <c r="F72" s="42" t="str">
        <f t="shared" si="1"/>
        <v>AMT:(522115,8)</v>
      </c>
    </row>
    <row r="73" spans="1:6" ht="16.5" x14ac:dyDescent="0.15">
      <c r="A73" s="30">
        <v>71</v>
      </c>
      <c r="B73" s="221" t="s">
        <v>2833</v>
      </c>
      <c r="C73" s="210" t="s">
        <v>2727</v>
      </c>
      <c r="D73" s="211">
        <v>522116</v>
      </c>
      <c r="E73" s="211">
        <v>8</v>
      </c>
      <c r="F73" s="42" t="str">
        <f t="shared" si="1"/>
        <v>AMT:(522116,8)</v>
      </c>
    </row>
    <row r="74" spans="1:6" ht="16.5" x14ac:dyDescent="0.15">
      <c r="A74" s="30">
        <v>72</v>
      </c>
      <c r="B74" s="211" t="s">
        <v>1615</v>
      </c>
      <c r="C74" s="210" t="s">
        <v>2978</v>
      </c>
      <c r="D74" s="211">
        <v>522110</v>
      </c>
      <c r="E74" s="211">
        <v>5</v>
      </c>
      <c r="F74" s="42" t="str">
        <f t="shared" si="1"/>
        <v>AMT:(522110,5)</v>
      </c>
    </row>
    <row r="75" spans="1:6" ht="16.5" x14ac:dyDescent="0.15">
      <c r="A75" s="30">
        <v>73</v>
      </c>
      <c r="B75" s="211" t="s">
        <v>1615</v>
      </c>
      <c r="C75" s="210" t="s">
        <v>1642</v>
      </c>
      <c r="D75" s="211">
        <v>522111</v>
      </c>
      <c r="E75" s="211">
        <v>8</v>
      </c>
      <c r="F75" s="42" t="str">
        <f t="shared" si="1"/>
        <v>AMT:(522111,8)</v>
      </c>
    </row>
    <row r="76" spans="1:6" ht="16.5" x14ac:dyDescent="0.15">
      <c r="A76" s="30">
        <v>74</v>
      </c>
      <c r="B76" s="211" t="s">
        <v>1615</v>
      </c>
      <c r="C76" s="210" t="s">
        <v>2979</v>
      </c>
      <c r="D76" s="211">
        <v>522111</v>
      </c>
      <c r="E76" s="211">
        <v>6</v>
      </c>
      <c r="F76" s="42" t="str">
        <f t="shared" si="1"/>
        <v>AMT:(522111,6)</v>
      </c>
    </row>
    <row r="77" spans="1:6" ht="16.5" x14ac:dyDescent="0.15">
      <c r="A77" s="30">
        <v>75</v>
      </c>
      <c r="B77" s="211" t="s">
        <v>1615</v>
      </c>
      <c r="C77" s="210" t="s">
        <v>1643</v>
      </c>
      <c r="D77" s="211">
        <v>522111</v>
      </c>
      <c r="E77" s="211">
        <v>7</v>
      </c>
      <c r="F77" s="42" t="str">
        <f t="shared" si="1"/>
        <v>AMT:(522111,7)</v>
      </c>
    </row>
    <row r="78" spans="1:6" ht="16.5" x14ac:dyDescent="0.15">
      <c r="A78" s="30">
        <v>76</v>
      </c>
      <c r="B78" s="211" t="s">
        <v>1615</v>
      </c>
      <c r="C78" s="210" t="s">
        <v>2980</v>
      </c>
      <c r="D78" s="211">
        <v>522113</v>
      </c>
      <c r="E78" s="211">
        <v>13</v>
      </c>
      <c r="F78" s="42" t="str">
        <f t="shared" si="1"/>
        <v>AMT:(522113,13)</v>
      </c>
    </row>
    <row r="79" spans="1:6" ht="16.5" x14ac:dyDescent="0.15">
      <c r="A79" s="30">
        <v>77</v>
      </c>
      <c r="B79" s="211" t="s">
        <v>1615</v>
      </c>
      <c r="C79" s="210" t="s">
        <v>2722</v>
      </c>
      <c r="D79" s="211">
        <v>522114</v>
      </c>
      <c r="E79" s="211">
        <v>13</v>
      </c>
      <c r="F79" s="42" t="str">
        <f t="shared" si="1"/>
        <v>AMT:(522114,13)</v>
      </c>
    </row>
    <row r="80" spans="1:6" ht="16.5" x14ac:dyDescent="0.15">
      <c r="A80" s="30">
        <v>78</v>
      </c>
      <c r="B80" s="221" t="s">
        <v>2771</v>
      </c>
      <c r="C80" s="214" t="s">
        <v>39</v>
      </c>
      <c r="D80" s="216">
        <v>5990</v>
      </c>
      <c r="E80" s="216">
        <v>8</v>
      </c>
      <c r="F80" s="42" t="str">
        <f t="shared" si="1"/>
        <v>AMT:(5990,8)</v>
      </c>
    </row>
    <row r="81" spans="1:6" ht="16.5" x14ac:dyDescent="0.15">
      <c r="A81" s="30">
        <v>79</v>
      </c>
      <c r="B81" s="211" t="s">
        <v>2833</v>
      </c>
      <c r="C81" s="214" t="s">
        <v>40</v>
      </c>
      <c r="D81" s="216">
        <v>5991</v>
      </c>
      <c r="E81" s="216">
        <v>8</v>
      </c>
      <c r="F81" s="42" t="str">
        <f t="shared" si="1"/>
        <v>AMT:(5991,8)</v>
      </c>
    </row>
    <row r="82" spans="1:6" ht="16.5" x14ac:dyDescent="0.15">
      <c r="A82" s="30">
        <v>80</v>
      </c>
      <c r="B82" s="211" t="s">
        <v>2833</v>
      </c>
      <c r="C82" s="214" t="s">
        <v>41</v>
      </c>
      <c r="D82" s="216">
        <v>5992</v>
      </c>
      <c r="E82" s="216">
        <v>8</v>
      </c>
      <c r="F82" s="42" t="str">
        <f t="shared" si="1"/>
        <v>AMT:(5992,8)</v>
      </c>
    </row>
    <row r="83" spans="1:6" ht="16.5" x14ac:dyDescent="0.15">
      <c r="A83" s="30">
        <v>81</v>
      </c>
      <c r="B83" s="211" t="s">
        <v>1615</v>
      </c>
      <c r="C83" s="214" t="s">
        <v>2981</v>
      </c>
      <c r="D83" s="216">
        <v>153</v>
      </c>
      <c r="E83" s="216">
        <v>1</v>
      </c>
      <c r="F83" s="42" t="str">
        <f t="shared" si="1"/>
        <v>AMT:(153,1)</v>
      </c>
    </row>
    <row r="84" spans="1:6" ht="16.5" x14ac:dyDescent="0.15">
      <c r="A84" s="30">
        <v>82</v>
      </c>
      <c r="B84" s="221" t="s">
        <v>2833</v>
      </c>
      <c r="C84" s="210" t="s">
        <v>2982</v>
      </c>
      <c r="D84" s="211">
        <v>7665</v>
      </c>
      <c r="E84" s="211">
        <v>3</v>
      </c>
      <c r="F84" s="42" t="str">
        <f t="shared" si="1"/>
        <v>AMT:(7665,3)</v>
      </c>
    </row>
    <row r="85" spans="1:6" ht="16.5" x14ac:dyDescent="0.15">
      <c r="A85" s="30">
        <v>83</v>
      </c>
      <c r="B85" s="211" t="s">
        <v>1615</v>
      </c>
      <c r="C85" s="210" t="s">
        <v>2983</v>
      </c>
      <c r="D85" s="211">
        <v>7665</v>
      </c>
      <c r="E85" s="211">
        <v>6</v>
      </c>
      <c r="F85" s="42" t="str">
        <f t="shared" si="1"/>
        <v>AMT:(7665,6)</v>
      </c>
    </row>
    <row r="86" spans="1:6" ht="16.5" x14ac:dyDescent="0.15">
      <c r="A86" s="30">
        <v>84</v>
      </c>
      <c r="B86" s="211" t="s">
        <v>1615</v>
      </c>
      <c r="C86" s="210" t="s">
        <v>2984</v>
      </c>
      <c r="D86" s="211">
        <v>7669</v>
      </c>
      <c r="E86" s="211">
        <v>1</v>
      </c>
      <c r="F86" s="42" t="str">
        <f t="shared" si="1"/>
        <v>AMT:(7669,1)</v>
      </c>
    </row>
    <row r="87" spans="1:6" x14ac:dyDescent="0.15">
      <c r="D87" s="222"/>
      <c r="E87" s="223"/>
    </row>
  </sheetData>
  <autoFilter ref="A2:F86" xr:uid="{00000000-0001-0000-0C00-000000000000}"/>
  <phoneticPr fontId="6" type="noConversion"/>
  <conditionalFormatting sqref="C49:C50">
    <cfRule type="duplicateValues" dxfId="17" priority="6"/>
  </conditionalFormatting>
  <conditionalFormatting sqref="C80 C66">
    <cfRule type="duplicateValues" dxfId="16" priority="4"/>
  </conditionalFormatting>
  <conditionalFormatting sqref="C81">
    <cfRule type="duplicateValues" dxfId="15" priority="5"/>
  </conditionalFormatting>
  <conditionalFormatting sqref="C82">
    <cfRule type="duplicateValues" dxfId="14" priority="2"/>
  </conditionalFormatting>
  <conditionalFormatting sqref="C83 C67">
    <cfRule type="duplicateValues" dxfId="13" priority="3"/>
  </conditionalFormatting>
  <conditionalFormatting sqref="C84:C86">
    <cfRule type="duplicateValues" dxfId="12" priority="1"/>
  </conditionalFormatting>
  <hyperlinks>
    <hyperlink ref="A1" location="'控制器源地址&amp;跳转页面'!A1" display="返回目录" xr:uid="{41ED785F-067D-4EB3-8C37-36D789B0CB4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K28"/>
  <sheetViews>
    <sheetView workbookViewId="0"/>
  </sheetViews>
  <sheetFormatPr defaultRowHeight="13.5" x14ac:dyDescent="0.15"/>
  <cols>
    <col min="1" max="1" width="9.375" style="1" customWidth="1"/>
    <col min="2" max="2" width="9" style="1" bestFit="1" customWidth="1"/>
    <col min="3" max="3" width="20.125" style="3" customWidth="1"/>
    <col min="4" max="4" width="12.5" customWidth="1"/>
    <col min="5" max="5" width="11.25" customWidth="1"/>
    <col min="6" max="6" width="40.5" style="3" customWidth="1"/>
    <col min="7" max="7" width="23.75" bestFit="1" customWidth="1"/>
    <col min="8" max="8" width="22" bestFit="1" customWidth="1"/>
    <col min="12" max="12" width="43.875" customWidth="1"/>
  </cols>
  <sheetData>
    <row r="1" spans="1:11" ht="30.75" customHeight="1" x14ac:dyDescent="0.15">
      <c r="A1" s="70" t="s">
        <v>1703</v>
      </c>
    </row>
    <row r="2" spans="1:11" ht="20.100000000000001" customHeight="1" x14ac:dyDescent="0.15">
      <c r="A2" s="122" t="s">
        <v>0</v>
      </c>
      <c r="B2" s="122" t="s">
        <v>1600</v>
      </c>
      <c r="C2" s="234" t="s">
        <v>2</v>
      </c>
      <c r="D2" s="234" t="s">
        <v>10</v>
      </c>
      <c r="E2" s="234" t="s">
        <v>3</v>
      </c>
      <c r="F2" s="243" t="s">
        <v>1038</v>
      </c>
      <c r="G2" s="132"/>
      <c r="H2" s="132"/>
    </row>
    <row r="3" spans="1:11" ht="17.45" customHeight="1" x14ac:dyDescent="0.15">
      <c r="A3" s="240">
        <v>1</v>
      </c>
      <c r="B3" s="244" t="s">
        <v>1601</v>
      </c>
      <c r="C3" s="242" t="s">
        <v>1312</v>
      </c>
      <c r="D3" s="242">
        <v>521500</v>
      </c>
      <c r="E3" s="242">
        <v>0</v>
      </c>
      <c r="F3" s="228" t="str">
        <f>"DCDC"&amp;":"&amp;"("&amp;D3&amp;","&amp;E3&amp;")"</f>
        <v>DCDC:(521500,0)</v>
      </c>
      <c r="G3" s="132"/>
      <c r="H3" s="248"/>
      <c r="I3" s="248"/>
      <c r="J3" s="248"/>
      <c r="K3" s="249"/>
    </row>
    <row r="4" spans="1:11" ht="17.45" customHeight="1" x14ac:dyDescent="0.15">
      <c r="A4" s="240">
        <v>2</v>
      </c>
      <c r="B4" s="241" t="s">
        <v>1603</v>
      </c>
      <c r="C4" s="242" t="s">
        <v>1305</v>
      </c>
      <c r="D4" s="242">
        <v>521500</v>
      </c>
      <c r="E4" s="242">
        <v>16</v>
      </c>
      <c r="F4" s="228" t="str">
        <f t="shared" ref="F4:F23" si="0">"DCDC"&amp;":"&amp;"("&amp;D4&amp;","&amp;E4&amp;")"</f>
        <v>DCDC:(521500,16)</v>
      </c>
      <c r="G4" s="132"/>
      <c r="H4" s="248"/>
      <c r="I4" s="248"/>
      <c r="J4" s="248"/>
      <c r="K4" s="250"/>
    </row>
    <row r="5" spans="1:11" ht="17.45" customHeight="1" x14ac:dyDescent="0.15">
      <c r="A5" s="240">
        <v>3</v>
      </c>
      <c r="B5" s="244" t="s">
        <v>1601</v>
      </c>
      <c r="C5" s="242" t="s">
        <v>1313</v>
      </c>
      <c r="D5" s="242">
        <v>521501</v>
      </c>
      <c r="E5" s="242">
        <v>0</v>
      </c>
      <c r="F5" s="228" t="str">
        <f t="shared" si="0"/>
        <v>DCDC:(521501,0)</v>
      </c>
      <c r="G5" s="132"/>
      <c r="H5" s="248"/>
      <c r="I5" s="248"/>
      <c r="J5" s="248"/>
      <c r="K5" s="249"/>
    </row>
    <row r="6" spans="1:11" ht="17.45" customHeight="1" x14ac:dyDescent="0.15">
      <c r="A6" s="240">
        <v>4</v>
      </c>
      <c r="B6" s="244" t="s">
        <v>1601</v>
      </c>
      <c r="C6" s="242" t="s">
        <v>1314</v>
      </c>
      <c r="D6" s="242">
        <v>521502</v>
      </c>
      <c r="E6" s="242">
        <v>7</v>
      </c>
      <c r="F6" s="228" t="str">
        <f t="shared" si="0"/>
        <v>DCDC:(521502,7)</v>
      </c>
      <c r="G6" s="132"/>
      <c r="H6" s="248"/>
      <c r="I6" s="248"/>
      <c r="J6" s="248"/>
      <c r="K6" s="249"/>
    </row>
    <row r="7" spans="1:11" ht="17.45" customHeight="1" x14ac:dyDescent="0.15">
      <c r="A7" s="240">
        <v>5</v>
      </c>
      <c r="B7" s="244" t="s">
        <v>1601</v>
      </c>
      <c r="C7" s="242" t="s">
        <v>1315</v>
      </c>
      <c r="D7" s="242">
        <v>521503</v>
      </c>
      <c r="E7" s="242">
        <v>0</v>
      </c>
      <c r="F7" s="228" t="str">
        <f t="shared" si="0"/>
        <v>DCDC:(521503,0)</v>
      </c>
      <c r="G7" s="132"/>
      <c r="H7" s="248"/>
      <c r="I7" s="248"/>
      <c r="J7" s="248"/>
      <c r="K7" s="249"/>
    </row>
    <row r="8" spans="1:11" ht="17.45" customHeight="1" x14ac:dyDescent="0.15">
      <c r="A8" s="240">
        <v>6</v>
      </c>
      <c r="B8" s="244" t="s">
        <v>1601</v>
      </c>
      <c r="C8" s="242" t="s">
        <v>1316</v>
      </c>
      <c r="D8" s="242">
        <v>521504</v>
      </c>
      <c r="E8" s="242">
        <v>4</v>
      </c>
      <c r="F8" s="228" t="str">
        <f t="shared" si="0"/>
        <v>DCDC:(521504,4)</v>
      </c>
      <c r="G8" s="132"/>
      <c r="H8" s="248"/>
      <c r="I8" s="248"/>
      <c r="J8" s="248"/>
      <c r="K8" s="249"/>
    </row>
    <row r="9" spans="1:11" ht="17.45" customHeight="1" x14ac:dyDescent="0.15">
      <c r="A9" s="240">
        <v>7</v>
      </c>
      <c r="B9" s="241" t="s">
        <v>1603</v>
      </c>
      <c r="C9" s="242" t="s">
        <v>1307</v>
      </c>
      <c r="D9" s="242">
        <v>521505</v>
      </c>
      <c r="E9" s="242">
        <v>3</v>
      </c>
      <c r="F9" s="228" t="str">
        <f t="shared" si="0"/>
        <v>DCDC:(521505,3)</v>
      </c>
      <c r="G9" s="132"/>
      <c r="H9" s="248"/>
      <c r="I9" s="248"/>
      <c r="J9" s="248"/>
      <c r="K9" s="250"/>
    </row>
    <row r="10" spans="1:11" ht="17.45" customHeight="1" x14ac:dyDescent="0.15">
      <c r="A10" s="240">
        <v>8</v>
      </c>
      <c r="B10" s="244" t="s">
        <v>1601</v>
      </c>
      <c r="C10" s="231" t="s">
        <v>1317</v>
      </c>
      <c r="D10" s="231">
        <v>521506</v>
      </c>
      <c r="E10" s="231">
        <v>1</v>
      </c>
      <c r="F10" s="228" t="str">
        <f t="shared" si="0"/>
        <v>DCDC:(521506,1)</v>
      </c>
      <c r="G10" s="132"/>
      <c r="H10" s="248"/>
      <c r="I10" s="248"/>
      <c r="J10" s="248"/>
      <c r="K10" s="250"/>
    </row>
    <row r="11" spans="1:11" ht="17.45" customHeight="1" x14ac:dyDescent="0.15">
      <c r="A11" s="240">
        <v>9</v>
      </c>
      <c r="B11" s="241" t="s">
        <v>1603</v>
      </c>
      <c r="C11" s="231" t="s">
        <v>1318</v>
      </c>
      <c r="D11" s="231">
        <v>521507</v>
      </c>
      <c r="E11" s="231">
        <v>12</v>
      </c>
      <c r="F11" s="228" t="str">
        <f t="shared" si="0"/>
        <v>DCDC:(521507,12)</v>
      </c>
      <c r="G11" s="132"/>
      <c r="H11" s="248"/>
      <c r="I11" s="248"/>
      <c r="J11" s="248"/>
      <c r="K11" s="250"/>
    </row>
    <row r="12" spans="1:11" ht="17.45" customHeight="1" x14ac:dyDescent="0.15">
      <c r="A12" s="240">
        <v>10</v>
      </c>
      <c r="B12" s="244" t="s">
        <v>1601</v>
      </c>
      <c r="C12" s="231" t="s">
        <v>3013</v>
      </c>
      <c r="D12" s="231">
        <v>521508</v>
      </c>
      <c r="E12" s="231">
        <v>11</v>
      </c>
      <c r="F12" s="228" t="str">
        <f t="shared" si="0"/>
        <v>DCDC:(521508,11)</v>
      </c>
      <c r="G12" s="132"/>
      <c r="H12" s="248"/>
      <c r="I12" s="248"/>
      <c r="J12" s="248"/>
      <c r="K12" s="250"/>
    </row>
    <row r="13" spans="1:11" ht="17.45" customHeight="1" x14ac:dyDescent="0.15">
      <c r="A13" s="240">
        <v>11</v>
      </c>
      <c r="B13" s="244" t="s">
        <v>1601</v>
      </c>
      <c r="C13" s="231" t="s">
        <v>1308</v>
      </c>
      <c r="D13" s="231">
        <v>521508</v>
      </c>
      <c r="E13" s="231">
        <v>7</v>
      </c>
      <c r="F13" s="228" t="str">
        <f t="shared" si="0"/>
        <v>DCDC:(521508,7)</v>
      </c>
      <c r="G13" s="132"/>
      <c r="H13" s="248"/>
      <c r="I13" s="248"/>
      <c r="J13" s="248"/>
      <c r="K13" s="250"/>
    </row>
    <row r="14" spans="1:11" ht="17.45" customHeight="1" x14ac:dyDescent="0.15">
      <c r="A14" s="240">
        <v>12</v>
      </c>
      <c r="B14" s="244" t="s">
        <v>1601</v>
      </c>
      <c r="C14" s="231" t="s">
        <v>1319</v>
      </c>
      <c r="D14" s="231">
        <v>521509</v>
      </c>
      <c r="E14" s="231">
        <v>1</v>
      </c>
      <c r="F14" s="228" t="str">
        <f t="shared" si="0"/>
        <v>DCDC:(521509,1)</v>
      </c>
      <c r="G14" s="132"/>
      <c r="H14" s="248"/>
      <c r="I14" s="248"/>
      <c r="J14" s="248"/>
      <c r="K14" s="249"/>
    </row>
    <row r="15" spans="1:11" ht="17.45" customHeight="1" x14ac:dyDescent="0.15">
      <c r="A15" s="240">
        <v>13</v>
      </c>
      <c r="B15" s="244" t="s">
        <v>1601</v>
      </c>
      <c r="C15" s="231" t="s">
        <v>3010</v>
      </c>
      <c r="D15" s="231">
        <v>521509</v>
      </c>
      <c r="E15" s="231">
        <v>0</v>
      </c>
      <c r="F15" s="228" t="str">
        <f t="shared" si="0"/>
        <v>DCDC:(521509,0)</v>
      </c>
      <c r="G15" s="132"/>
      <c r="H15" s="248"/>
      <c r="I15" s="248"/>
      <c r="J15" s="248"/>
      <c r="K15" s="250"/>
    </row>
    <row r="16" spans="1:11" ht="17.45" customHeight="1" x14ac:dyDescent="0.15">
      <c r="A16" s="240">
        <v>14</v>
      </c>
      <c r="B16" s="244" t="s">
        <v>1601</v>
      </c>
      <c r="C16" s="231" t="s">
        <v>1371</v>
      </c>
      <c r="D16" s="231">
        <v>521510</v>
      </c>
      <c r="E16" s="231">
        <v>0</v>
      </c>
      <c r="F16" s="228" t="str">
        <f t="shared" si="0"/>
        <v>DCDC:(521510,0)</v>
      </c>
      <c r="G16" s="132"/>
      <c r="H16" s="248"/>
      <c r="I16" s="248"/>
      <c r="J16" s="248"/>
      <c r="K16" s="250"/>
    </row>
    <row r="17" spans="1:11" ht="17.45" customHeight="1" x14ac:dyDescent="0.15">
      <c r="A17" s="240">
        <v>15</v>
      </c>
      <c r="B17" s="244" t="s">
        <v>1601</v>
      </c>
      <c r="C17" s="231" t="s">
        <v>1372</v>
      </c>
      <c r="D17" s="231">
        <v>521511</v>
      </c>
      <c r="E17" s="231">
        <v>0</v>
      </c>
      <c r="F17" s="228" t="str">
        <f t="shared" si="0"/>
        <v>DCDC:(521511,0)</v>
      </c>
      <c r="G17" s="132"/>
      <c r="H17" s="248"/>
      <c r="I17" s="248"/>
      <c r="J17" s="248"/>
      <c r="K17" s="250"/>
    </row>
    <row r="18" spans="1:11" ht="17.45" customHeight="1" x14ac:dyDescent="0.15">
      <c r="A18" s="240">
        <v>16</v>
      </c>
      <c r="B18" s="244" t="s">
        <v>1601</v>
      </c>
      <c r="C18" s="231" t="s">
        <v>1373</v>
      </c>
      <c r="D18" s="231">
        <v>521512</v>
      </c>
      <c r="E18" s="231">
        <v>0</v>
      </c>
      <c r="F18" s="228" t="str">
        <f t="shared" si="0"/>
        <v>DCDC:(521512,0)</v>
      </c>
      <c r="G18" s="132"/>
      <c r="H18" s="248"/>
      <c r="I18" s="248"/>
      <c r="J18" s="248"/>
      <c r="K18" s="250"/>
    </row>
    <row r="19" spans="1:11" ht="17.45" customHeight="1" x14ac:dyDescent="0.15">
      <c r="A19" s="240">
        <v>17</v>
      </c>
      <c r="B19" s="244" t="s">
        <v>1601</v>
      </c>
      <c r="C19" s="231" t="s">
        <v>2986</v>
      </c>
      <c r="D19" s="231">
        <v>521513</v>
      </c>
      <c r="E19" s="231">
        <v>12</v>
      </c>
      <c r="F19" s="228" t="str">
        <f t="shared" si="0"/>
        <v>DCDC:(521513,12)</v>
      </c>
      <c r="G19" s="132"/>
      <c r="H19" s="248"/>
      <c r="I19" s="248"/>
      <c r="J19" s="248"/>
      <c r="K19" s="250"/>
    </row>
    <row r="20" spans="1:11" ht="17.45" customHeight="1" x14ac:dyDescent="0.15">
      <c r="A20" s="240">
        <v>18</v>
      </c>
      <c r="B20" s="241" t="s">
        <v>1603</v>
      </c>
      <c r="C20" s="231" t="s">
        <v>1374</v>
      </c>
      <c r="D20" s="231">
        <v>521514</v>
      </c>
      <c r="E20" s="231">
        <v>16</v>
      </c>
      <c r="F20" s="228" t="str">
        <f t="shared" si="0"/>
        <v>DCDC:(521514,16)</v>
      </c>
      <c r="G20" s="132"/>
      <c r="H20" s="248"/>
      <c r="I20" s="248"/>
      <c r="J20" s="248"/>
      <c r="K20" s="250"/>
    </row>
    <row r="21" spans="1:11" ht="17.45" customHeight="1" x14ac:dyDescent="0.15">
      <c r="A21" s="240">
        <v>19</v>
      </c>
      <c r="B21" s="244" t="s">
        <v>1601</v>
      </c>
      <c r="C21" s="231" t="s">
        <v>1375</v>
      </c>
      <c r="D21" s="231">
        <v>521515</v>
      </c>
      <c r="E21" s="231">
        <v>7</v>
      </c>
      <c r="F21" s="228" t="str">
        <f t="shared" si="0"/>
        <v>DCDC:(521515,7)</v>
      </c>
      <c r="G21" s="132"/>
      <c r="H21" s="248"/>
      <c r="I21" s="248"/>
      <c r="J21" s="248"/>
      <c r="K21" s="250"/>
    </row>
    <row r="22" spans="1:11" ht="16.5" x14ac:dyDescent="0.15">
      <c r="A22" s="240">
        <v>20</v>
      </c>
      <c r="B22" s="244" t="s">
        <v>1601</v>
      </c>
      <c r="C22" s="247" t="s">
        <v>3011</v>
      </c>
      <c r="D22" s="190">
        <v>521516</v>
      </c>
      <c r="E22" s="190">
        <v>2</v>
      </c>
      <c r="F22" s="275" t="str">
        <f t="shared" si="0"/>
        <v>DCDC:(521516,2)</v>
      </c>
      <c r="G22" s="230" t="s">
        <v>3014</v>
      </c>
      <c r="H22" s="251"/>
      <c r="I22" s="251"/>
      <c r="J22" s="251"/>
      <c r="K22" s="249"/>
    </row>
    <row r="23" spans="1:11" ht="16.5" x14ac:dyDescent="0.15">
      <c r="A23" s="240">
        <v>21</v>
      </c>
      <c r="B23" s="244" t="s">
        <v>1601</v>
      </c>
      <c r="C23" s="247" t="s">
        <v>3012</v>
      </c>
      <c r="D23" s="190">
        <v>521517</v>
      </c>
      <c r="E23" s="190">
        <v>31</v>
      </c>
      <c r="F23" s="275" t="str">
        <f t="shared" si="0"/>
        <v>DCDC:(521517,31)</v>
      </c>
      <c r="G23" s="230" t="s">
        <v>3014</v>
      </c>
      <c r="H23" s="251"/>
      <c r="I23" s="251"/>
      <c r="J23" s="251"/>
      <c r="K23" s="249"/>
    </row>
    <row r="24" spans="1:11" ht="16.5" x14ac:dyDescent="0.15">
      <c r="A24" s="225"/>
      <c r="B24" s="225"/>
      <c r="C24" s="226"/>
      <c r="D24" s="132"/>
      <c r="E24" s="132"/>
      <c r="F24" s="226"/>
      <c r="G24" s="132"/>
      <c r="H24" s="132"/>
    </row>
    <row r="25" spans="1:11" ht="16.5" x14ac:dyDescent="0.15">
      <c r="A25" s="225"/>
      <c r="B25" s="225"/>
      <c r="C25" s="226"/>
      <c r="D25" s="132"/>
      <c r="E25" s="132"/>
      <c r="F25" s="226"/>
      <c r="G25" s="132"/>
      <c r="H25" s="132"/>
    </row>
    <row r="26" spans="1:11" ht="16.5" x14ac:dyDescent="0.15">
      <c r="A26" s="225"/>
      <c r="B26" s="225"/>
      <c r="C26" s="226"/>
      <c r="D26" s="132"/>
      <c r="E26" s="132"/>
      <c r="F26" s="226"/>
      <c r="G26" s="132"/>
      <c r="H26" s="132"/>
    </row>
    <row r="27" spans="1:11" ht="16.5" x14ac:dyDescent="0.15">
      <c r="A27" s="225"/>
      <c r="B27" s="225"/>
      <c r="C27" s="226"/>
      <c r="D27" s="132"/>
      <c r="E27" s="132"/>
      <c r="F27" s="226"/>
      <c r="G27" s="132"/>
      <c r="H27" s="132"/>
    </row>
    <row r="28" spans="1:11" ht="16.5" x14ac:dyDescent="0.15">
      <c r="A28" s="225"/>
      <c r="B28" s="225"/>
      <c r="C28" s="226"/>
      <c r="D28" s="132"/>
      <c r="E28" s="132"/>
      <c r="F28" s="226"/>
      <c r="G28" s="132"/>
      <c r="H28" s="132"/>
    </row>
  </sheetData>
  <phoneticPr fontId="6" type="noConversion"/>
  <hyperlinks>
    <hyperlink ref="A1" location="'控制器源地址&amp;跳转页面'!A1" display="返回目录" xr:uid="{F12D205E-1A29-4B64-91AF-83C68597399F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G31"/>
  <sheetViews>
    <sheetView zoomScaleNormal="100" workbookViewId="0">
      <selection activeCell="F3" sqref="F3"/>
    </sheetView>
  </sheetViews>
  <sheetFormatPr defaultRowHeight="16.5" x14ac:dyDescent="0.15"/>
  <cols>
    <col min="1" max="1" width="10.875" style="225" customWidth="1"/>
    <col min="2" max="2" width="9" style="225" bestFit="1" customWidth="1"/>
    <col min="3" max="3" width="23.625" style="226" bestFit="1" customWidth="1"/>
    <col min="4" max="4" width="12.75" style="225" customWidth="1"/>
    <col min="5" max="5" width="12.375" style="225" customWidth="1"/>
    <col min="6" max="6" width="56.25" style="132" customWidth="1"/>
    <col min="7" max="7" width="37.75" style="132" customWidth="1"/>
    <col min="8" max="16384" width="9" style="132"/>
  </cols>
  <sheetData>
    <row r="1" spans="1:7" ht="20.100000000000001" customHeight="1" x14ac:dyDescent="0.15">
      <c r="A1" s="224" t="s">
        <v>2705</v>
      </c>
    </row>
    <row r="2" spans="1:7" ht="18.600000000000001" customHeight="1" x14ac:dyDescent="0.15">
      <c r="A2" s="233" t="s">
        <v>9</v>
      </c>
      <c r="B2" s="233" t="s">
        <v>1600</v>
      </c>
      <c r="C2" s="234" t="s">
        <v>2</v>
      </c>
      <c r="D2" s="234" t="s">
        <v>10</v>
      </c>
      <c r="E2" s="234" t="s">
        <v>3</v>
      </c>
      <c r="F2" s="121" t="s">
        <v>1039</v>
      </c>
    </row>
    <row r="3" spans="1:7" ht="18" customHeight="1" x14ac:dyDescent="0.15">
      <c r="A3" s="139">
        <v>1</v>
      </c>
      <c r="B3" s="227" t="s">
        <v>1601</v>
      </c>
      <c r="C3" s="228" t="s">
        <v>59</v>
      </c>
      <c r="D3" s="125">
        <v>521550</v>
      </c>
      <c r="E3" s="125">
        <v>3</v>
      </c>
      <c r="F3" s="131" t="str">
        <f>"PDU"&amp;":"&amp;"("&amp;D3&amp;","&amp;E3&amp;")"</f>
        <v>PDU:(521550,3)</v>
      </c>
    </row>
    <row r="4" spans="1:7" ht="18" customHeight="1" x14ac:dyDescent="0.15">
      <c r="A4" s="139">
        <v>2</v>
      </c>
      <c r="B4" s="227" t="s">
        <v>1601</v>
      </c>
      <c r="C4" s="228" t="s">
        <v>60</v>
      </c>
      <c r="D4" s="125">
        <v>521551</v>
      </c>
      <c r="E4" s="125">
        <v>15</v>
      </c>
      <c r="F4" s="131" t="str">
        <f t="shared" ref="F4:F30" si="0">"PDU"&amp;":"&amp;"("&amp;D4&amp;","&amp;E4&amp;")"</f>
        <v>PDU:(521551,15)</v>
      </c>
    </row>
    <row r="5" spans="1:7" ht="18" customHeight="1" x14ac:dyDescent="0.15">
      <c r="A5" s="139">
        <v>3</v>
      </c>
      <c r="B5" s="227" t="s">
        <v>1601</v>
      </c>
      <c r="C5" s="228" t="s">
        <v>81</v>
      </c>
      <c r="D5" s="125">
        <v>521552</v>
      </c>
      <c r="E5" s="125">
        <v>5</v>
      </c>
      <c r="F5" s="131" t="str">
        <f t="shared" si="0"/>
        <v>PDU:(521552,5)</v>
      </c>
    </row>
    <row r="6" spans="1:7" ht="18" customHeight="1" x14ac:dyDescent="0.15">
      <c r="A6" s="139">
        <v>4</v>
      </c>
      <c r="B6" s="227" t="s">
        <v>1601</v>
      </c>
      <c r="C6" s="228" t="s">
        <v>61</v>
      </c>
      <c r="D6" s="125">
        <v>521553</v>
      </c>
      <c r="E6" s="125">
        <v>15</v>
      </c>
      <c r="F6" s="131" t="str">
        <f t="shared" si="0"/>
        <v>PDU:(521553,15)</v>
      </c>
    </row>
    <row r="7" spans="1:7" ht="18" customHeight="1" x14ac:dyDescent="0.15">
      <c r="A7" s="139">
        <v>5</v>
      </c>
      <c r="B7" s="227" t="s">
        <v>1601</v>
      </c>
      <c r="C7" s="231" t="s">
        <v>2985</v>
      </c>
      <c r="D7" s="38">
        <v>521554</v>
      </c>
      <c r="E7" s="38">
        <v>31</v>
      </c>
      <c r="F7" s="131" t="str">
        <f t="shared" si="0"/>
        <v>PDU:(521554,31)</v>
      </c>
    </row>
    <row r="8" spans="1:7" ht="18" customHeight="1" x14ac:dyDescent="0.15">
      <c r="A8" s="139">
        <v>6</v>
      </c>
      <c r="B8" s="227" t="s">
        <v>1601</v>
      </c>
      <c r="C8" s="231" t="s">
        <v>1352</v>
      </c>
      <c r="D8" s="38">
        <v>521554</v>
      </c>
      <c r="E8" s="38">
        <v>30</v>
      </c>
      <c r="F8" s="131" t="str">
        <f t="shared" si="0"/>
        <v>PDU:(521554,30)</v>
      </c>
    </row>
    <row r="9" spans="1:7" ht="18" customHeight="1" x14ac:dyDescent="0.15">
      <c r="A9" s="139">
        <v>7</v>
      </c>
      <c r="B9" s="227" t="s">
        <v>1601</v>
      </c>
      <c r="C9" s="231" t="s">
        <v>1353</v>
      </c>
      <c r="D9" s="38">
        <v>521554</v>
      </c>
      <c r="E9" s="38">
        <v>29</v>
      </c>
      <c r="F9" s="131" t="str">
        <f t="shared" si="0"/>
        <v>PDU:(521554,29)</v>
      </c>
    </row>
    <row r="10" spans="1:7" ht="18" customHeight="1" x14ac:dyDescent="0.15">
      <c r="A10" s="139">
        <v>8</v>
      </c>
      <c r="B10" s="229" t="s">
        <v>1603</v>
      </c>
      <c r="C10" s="228" t="s">
        <v>82</v>
      </c>
      <c r="D10" s="125">
        <v>521555</v>
      </c>
      <c r="E10" s="125">
        <v>2</v>
      </c>
      <c r="F10" s="131" t="str">
        <f t="shared" si="0"/>
        <v>PDU:(521555,2)</v>
      </c>
      <c r="G10" s="230" t="s">
        <v>2987</v>
      </c>
    </row>
    <row r="11" spans="1:7" ht="18" customHeight="1" x14ac:dyDescent="0.15">
      <c r="A11" s="139">
        <v>9</v>
      </c>
      <c r="B11" s="227" t="s">
        <v>1601</v>
      </c>
      <c r="C11" s="231" t="s">
        <v>1354</v>
      </c>
      <c r="D11" s="38">
        <v>521555</v>
      </c>
      <c r="E11" s="38">
        <v>1</v>
      </c>
      <c r="F11" s="131" t="str">
        <f t="shared" si="0"/>
        <v>PDU:(521555,1)</v>
      </c>
    </row>
    <row r="12" spans="1:7" ht="18" customHeight="1" x14ac:dyDescent="0.15">
      <c r="A12" s="139">
        <v>10</v>
      </c>
      <c r="B12" s="227" t="s">
        <v>1601</v>
      </c>
      <c r="C12" s="231" t="s">
        <v>1355</v>
      </c>
      <c r="D12" s="38">
        <v>521555</v>
      </c>
      <c r="E12" s="38">
        <v>16</v>
      </c>
      <c r="F12" s="131" t="str">
        <f t="shared" si="0"/>
        <v>PDU:(521555,16)</v>
      </c>
    </row>
    <row r="13" spans="1:7" ht="18" customHeight="1" x14ac:dyDescent="0.15">
      <c r="A13" s="139">
        <v>11</v>
      </c>
      <c r="B13" s="227" t="s">
        <v>1601</v>
      </c>
      <c r="C13" s="228" t="s">
        <v>62</v>
      </c>
      <c r="D13" s="125">
        <v>521555</v>
      </c>
      <c r="E13" s="125">
        <v>5</v>
      </c>
      <c r="F13" s="131" t="str">
        <f t="shared" si="0"/>
        <v>PDU:(521555,5)</v>
      </c>
    </row>
    <row r="14" spans="1:7" ht="18" customHeight="1" x14ac:dyDescent="0.15">
      <c r="A14" s="139">
        <v>12</v>
      </c>
      <c r="B14" s="229" t="s">
        <v>1603</v>
      </c>
      <c r="C14" s="228" t="s">
        <v>63</v>
      </c>
      <c r="D14" s="125">
        <v>521556</v>
      </c>
      <c r="E14" s="125">
        <v>31</v>
      </c>
      <c r="F14" s="131" t="str">
        <f t="shared" si="0"/>
        <v>PDU:(521556,31)</v>
      </c>
      <c r="G14" s="230" t="s">
        <v>2987</v>
      </c>
    </row>
    <row r="15" spans="1:7" ht="18" customHeight="1" x14ac:dyDescent="0.15">
      <c r="A15" s="139">
        <v>13</v>
      </c>
      <c r="B15" s="227" t="s">
        <v>1601</v>
      </c>
      <c r="C15" s="228" t="s">
        <v>64</v>
      </c>
      <c r="D15" s="125">
        <v>521557</v>
      </c>
      <c r="E15" s="125">
        <v>1</v>
      </c>
      <c r="F15" s="131" t="str">
        <f t="shared" si="0"/>
        <v>PDU:(521557,1)</v>
      </c>
    </row>
    <row r="16" spans="1:7" ht="18" customHeight="1" x14ac:dyDescent="0.15">
      <c r="A16" s="139">
        <v>14</v>
      </c>
      <c r="B16" s="227" t="s">
        <v>1601</v>
      </c>
      <c r="C16" s="228" t="s">
        <v>65</v>
      </c>
      <c r="D16" s="125">
        <v>521558</v>
      </c>
      <c r="E16" s="125">
        <v>3</v>
      </c>
      <c r="F16" s="131" t="str">
        <f t="shared" si="0"/>
        <v>PDU:(521558,3)</v>
      </c>
    </row>
    <row r="17" spans="1:7" ht="18" customHeight="1" x14ac:dyDescent="0.15">
      <c r="A17" s="139">
        <v>15</v>
      </c>
      <c r="B17" s="227" t="s">
        <v>1601</v>
      </c>
      <c r="C17" s="228" t="s">
        <v>66</v>
      </c>
      <c r="D17" s="125">
        <v>521558</v>
      </c>
      <c r="E17" s="125">
        <v>5</v>
      </c>
      <c r="F17" s="131" t="str">
        <f t="shared" si="0"/>
        <v>PDU:(521558,5)</v>
      </c>
    </row>
    <row r="18" spans="1:7" ht="18" customHeight="1" x14ac:dyDescent="0.15">
      <c r="A18" s="139">
        <v>16</v>
      </c>
      <c r="B18" s="227" t="s">
        <v>1601</v>
      </c>
      <c r="C18" s="228" t="s">
        <v>1322</v>
      </c>
      <c r="D18" s="125">
        <v>521559</v>
      </c>
      <c r="E18" s="125">
        <v>3</v>
      </c>
      <c r="F18" s="131" t="str">
        <f t="shared" si="0"/>
        <v>PDU:(521559,3)</v>
      </c>
    </row>
    <row r="19" spans="1:7" ht="18" customHeight="1" x14ac:dyDescent="0.15">
      <c r="A19" s="139">
        <v>17</v>
      </c>
      <c r="B19" s="227" t="s">
        <v>1601</v>
      </c>
      <c r="C19" s="228" t="s">
        <v>1320</v>
      </c>
      <c r="D19" s="125">
        <v>521559</v>
      </c>
      <c r="E19" s="125">
        <v>5</v>
      </c>
      <c r="F19" s="131" t="str">
        <f t="shared" si="0"/>
        <v>PDU:(521559,5)</v>
      </c>
    </row>
    <row r="20" spans="1:7" ht="18" customHeight="1" x14ac:dyDescent="0.15">
      <c r="A20" s="139">
        <v>18</v>
      </c>
      <c r="B20" s="227" t="s">
        <v>1601</v>
      </c>
      <c r="C20" s="228" t="s">
        <v>47</v>
      </c>
      <c r="D20" s="125">
        <v>521560</v>
      </c>
      <c r="E20" s="125">
        <v>0</v>
      </c>
      <c r="F20" s="131" t="str">
        <f t="shared" si="0"/>
        <v>PDU:(521560,0)</v>
      </c>
    </row>
    <row r="21" spans="1:7" ht="18" customHeight="1" x14ac:dyDescent="0.15">
      <c r="A21" s="139">
        <v>19</v>
      </c>
      <c r="B21" s="227" t="s">
        <v>1601</v>
      </c>
      <c r="C21" s="228" t="s">
        <v>48</v>
      </c>
      <c r="D21" s="125">
        <v>521561</v>
      </c>
      <c r="E21" s="125">
        <v>0</v>
      </c>
      <c r="F21" s="131" t="str">
        <f t="shared" si="0"/>
        <v>PDU:(521561,0)</v>
      </c>
    </row>
    <row r="22" spans="1:7" ht="18" customHeight="1" x14ac:dyDescent="0.15">
      <c r="A22" s="139">
        <v>20</v>
      </c>
      <c r="B22" s="227" t="s">
        <v>1601</v>
      </c>
      <c r="C22" s="228" t="s">
        <v>1318</v>
      </c>
      <c r="D22" s="125">
        <v>521562</v>
      </c>
      <c r="E22" s="125">
        <v>23</v>
      </c>
      <c r="F22" s="131" t="str">
        <f t="shared" si="0"/>
        <v>PDU:(521562,23)</v>
      </c>
    </row>
    <row r="23" spans="1:7" ht="18" customHeight="1" x14ac:dyDescent="0.15">
      <c r="A23" s="139">
        <v>21</v>
      </c>
      <c r="B23" s="227" t="s">
        <v>1601</v>
      </c>
      <c r="C23" s="228" t="s">
        <v>1323</v>
      </c>
      <c r="D23" s="125">
        <v>521563</v>
      </c>
      <c r="E23" s="125">
        <v>3</v>
      </c>
      <c r="F23" s="131" t="str">
        <f t="shared" si="0"/>
        <v>PDU:(521563,3)</v>
      </c>
    </row>
    <row r="24" spans="1:7" ht="18" customHeight="1" x14ac:dyDescent="0.15">
      <c r="A24" s="139">
        <v>22</v>
      </c>
      <c r="B24" s="139" t="s">
        <v>1608</v>
      </c>
      <c r="C24" s="228" t="s">
        <v>1321</v>
      </c>
      <c r="D24" s="125">
        <v>521564</v>
      </c>
      <c r="E24" s="125">
        <v>2</v>
      </c>
      <c r="F24" s="131"/>
      <c r="G24" s="230" t="s">
        <v>2988</v>
      </c>
    </row>
    <row r="25" spans="1:7" ht="18" customHeight="1" x14ac:dyDescent="0.15">
      <c r="A25" s="139">
        <v>23</v>
      </c>
      <c r="B25" s="227" t="s">
        <v>1601</v>
      </c>
      <c r="C25" s="231" t="s">
        <v>2986</v>
      </c>
      <c r="D25" s="38">
        <v>521565</v>
      </c>
      <c r="E25" s="38">
        <v>12</v>
      </c>
      <c r="F25" s="131" t="str">
        <f t="shared" si="0"/>
        <v>PDU:(521565,12)</v>
      </c>
    </row>
    <row r="26" spans="1:7" ht="18" customHeight="1" x14ac:dyDescent="0.15">
      <c r="A26" s="139">
        <v>24</v>
      </c>
      <c r="B26" s="227" t="s">
        <v>1601</v>
      </c>
      <c r="C26" s="231" t="s">
        <v>1356</v>
      </c>
      <c r="D26" s="38">
        <v>521566</v>
      </c>
      <c r="E26" s="38">
        <v>0</v>
      </c>
      <c r="F26" s="131" t="str">
        <f t="shared" si="0"/>
        <v>PDU:(521566,0)</v>
      </c>
    </row>
    <row r="27" spans="1:7" ht="18" customHeight="1" x14ac:dyDescent="0.15">
      <c r="A27" s="139">
        <v>25</v>
      </c>
      <c r="B27" s="227" t="s">
        <v>1601</v>
      </c>
      <c r="C27" s="231" t="s">
        <v>1357</v>
      </c>
      <c r="D27" s="38">
        <v>521567</v>
      </c>
      <c r="E27" s="38">
        <v>0</v>
      </c>
      <c r="F27" s="131" t="str">
        <f t="shared" si="0"/>
        <v>PDU:(521567,0)</v>
      </c>
    </row>
    <row r="28" spans="1:7" ht="18" customHeight="1" x14ac:dyDescent="0.15">
      <c r="A28" s="139">
        <v>26</v>
      </c>
      <c r="B28" s="227" t="s">
        <v>1601</v>
      </c>
      <c r="C28" s="231" t="s">
        <v>1358</v>
      </c>
      <c r="D28" s="38">
        <v>521568</v>
      </c>
      <c r="E28" s="38">
        <v>20</v>
      </c>
      <c r="F28" s="131" t="str">
        <f t="shared" si="0"/>
        <v>PDU:(521568,20)</v>
      </c>
    </row>
    <row r="29" spans="1:7" ht="18" customHeight="1" x14ac:dyDescent="0.15">
      <c r="A29" s="139">
        <v>27</v>
      </c>
      <c r="B29" s="227" t="s">
        <v>1601</v>
      </c>
      <c r="C29" s="231" t="s">
        <v>1359</v>
      </c>
      <c r="D29" s="38">
        <v>521568</v>
      </c>
      <c r="E29" s="38">
        <v>21</v>
      </c>
      <c r="F29" s="131" t="str">
        <f t="shared" si="0"/>
        <v>PDU:(521568,21)</v>
      </c>
    </row>
    <row r="30" spans="1:7" ht="18" customHeight="1" x14ac:dyDescent="0.15">
      <c r="A30" s="139">
        <v>28</v>
      </c>
      <c r="B30" s="227" t="s">
        <v>1601</v>
      </c>
      <c r="C30" s="231" t="s">
        <v>1360</v>
      </c>
      <c r="D30" s="38">
        <v>521568</v>
      </c>
      <c r="E30" s="38">
        <v>22</v>
      </c>
      <c r="F30" s="131" t="str">
        <f t="shared" si="0"/>
        <v>PDU:(521568,22)</v>
      </c>
    </row>
    <row r="31" spans="1:7" ht="18" customHeight="1" x14ac:dyDescent="0.15"/>
  </sheetData>
  <phoneticPr fontId="6" type="noConversion"/>
  <hyperlinks>
    <hyperlink ref="A1" location="'控制器源地址&amp;跳转页面'!A1" display="返回目录" xr:uid="{93D694C3-F859-4910-B12D-E1341E7BBB7D}"/>
  </hyperlink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6"/>
  <sheetViews>
    <sheetView zoomScale="90" zoomScaleNormal="90" workbookViewId="0">
      <pane xSplit="1" ySplit="1" topLeftCell="B2" activePane="bottomRight" state="frozen"/>
      <selection activeCell="H6" sqref="H6"/>
      <selection pane="topRight" activeCell="H6" sqref="H6"/>
      <selection pane="bottomLeft" activeCell="H6" sqref="H6"/>
      <selection pane="bottomRight" activeCell="F14" sqref="F14"/>
    </sheetView>
  </sheetViews>
  <sheetFormatPr defaultColWidth="9" defaultRowHeight="13.5" x14ac:dyDescent="0.15"/>
  <cols>
    <col min="1" max="1" width="8" style="16" customWidth="1"/>
    <col min="2" max="2" width="10.25" style="16" customWidth="1"/>
    <col min="3" max="3" width="14" style="17" customWidth="1"/>
    <col min="4" max="4" width="36.625" style="16" customWidth="1"/>
    <col min="5" max="5" width="42" style="16" customWidth="1"/>
    <col min="6" max="6" width="37.875" style="16" customWidth="1"/>
    <col min="7" max="16384" width="9" style="16"/>
  </cols>
  <sheetData>
    <row r="1" spans="1:6" ht="22.5" customHeight="1" x14ac:dyDescent="0.3">
      <c r="A1" s="428" t="s">
        <v>112</v>
      </c>
      <c r="B1" s="428" t="s">
        <v>1043</v>
      </c>
      <c r="C1" s="428" t="s">
        <v>113</v>
      </c>
      <c r="D1" s="429" t="s">
        <v>1519</v>
      </c>
      <c r="E1" s="429" t="s">
        <v>2668</v>
      </c>
      <c r="F1" s="430"/>
    </row>
    <row r="2" spans="1:6" ht="17.25" x14ac:dyDescent="0.3">
      <c r="A2" s="431">
        <v>1</v>
      </c>
      <c r="B2" s="432">
        <v>1066</v>
      </c>
      <c r="C2" s="432">
        <v>13</v>
      </c>
      <c r="D2" s="433" t="s">
        <v>2692</v>
      </c>
      <c r="E2" s="434" t="s">
        <v>2693</v>
      </c>
      <c r="F2" s="430" t="s">
        <v>2700</v>
      </c>
    </row>
    <row r="3" spans="1:6" ht="17.25" x14ac:dyDescent="0.3">
      <c r="A3" s="431">
        <v>2</v>
      </c>
      <c r="B3" s="432">
        <v>1807</v>
      </c>
      <c r="C3" s="432">
        <v>13</v>
      </c>
      <c r="D3" s="433" t="s">
        <v>2694</v>
      </c>
      <c r="E3" s="434" t="s">
        <v>2695</v>
      </c>
      <c r="F3" s="430" t="s">
        <v>2700</v>
      </c>
    </row>
    <row r="4" spans="1:6" ht="17.25" x14ac:dyDescent="0.3">
      <c r="A4" s="431">
        <v>3</v>
      </c>
      <c r="B4" s="432">
        <v>1808</v>
      </c>
      <c r="C4" s="432">
        <v>13</v>
      </c>
      <c r="D4" s="433" t="s">
        <v>2696</v>
      </c>
      <c r="E4" s="434" t="s">
        <v>2697</v>
      </c>
      <c r="F4" s="430" t="s">
        <v>2700</v>
      </c>
    </row>
    <row r="5" spans="1:6" ht="19.5" customHeight="1" x14ac:dyDescent="0.3">
      <c r="A5" s="431">
        <v>4</v>
      </c>
      <c r="B5" s="432">
        <v>1809</v>
      </c>
      <c r="C5" s="432">
        <v>13</v>
      </c>
      <c r="D5" s="433" t="s">
        <v>2698</v>
      </c>
      <c r="E5" s="434" t="s">
        <v>2699</v>
      </c>
      <c r="F5" s="430" t="s">
        <v>2700</v>
      </c>
    </row>
    <row r="6" spans="1:6" ht="42.95" customHeight="1" x14ac:dyDescent="0.3">
      <c r="A6" s="435"/>
      <c r="B6" s="435"/>
      <c r="C6" s="436"/>
      <c r="D6" s="435"/>
      <c r="E6" s="435"/>
      <c r="F6" s="430"/>
    </row>
    <row r="7" spans="1:6" ht="42.95" customHeight="1" x14ac:dyDescent="0.15">
      <c r="A7" s="97"/>
      <c r="B7" s="97"/>
      <c r="C7" s="98"/>
      <c r="D7" s="97"/>
      <c r="E7" s="97"/>
    </row>
    <row r="8" spans="1:6" ht="42.95" customHeight="1" x14ac:dyDescent="0.15">
      <c r="A8" s="97"/>
      <c r="B8" s="97"/>
      <c r="C8" s="98"/>
      <c r="D8" s="97"/>
      <c r="E8" s="97"/>
    </row>
    <row r="9" spans="1:6" ht="42.95" customHeight="1" x14ac:dyDescent="0.15">
      <c r="A9" s="97"/>
      <c r="B9" s="97"/>
      <c r="C9" s="98"/>
      <c r="D9" s="97"/>
      <c r="E9" s="97"/>
    </row>
    <row r="10" spans="1:6" ht="42.95" customHeight="1" x14ac:dyDescent="0.15">
      <c r="A10" s="97"/>
      <c r="B10" s="97"/>
      <c r="C10" s="98"/>
      <c r="D10" s="97"/>
      <c r="E10" s="97"/>
    </row>
    <row r="11" spans="1:6" ht="14.25" x14ac:dyDescent="0.15">
      <c r="A11" s="97"/>
      <c r="B11" s="97"/>
      <c r="C11" s="98"/>
      <c r="D11" s="97"/>
      <c r="E11" s="97"/>
    </row>
    <row r="12" spans="1:6" ht="14.25" x14ac:dyDescent="0.15">
      <c r="A12" s="97"/>
      <c r="B12" s="97"/>
      <c r="C12" s="98"/>
      <c r="D12" s="97"/>
      <c r="E12" s="97"/>
    </row>
    <row r="13" spans="1:6" ht="42.95" customHeight="1" x14ac:dyDescent="0.15">
      <c r="A13" s="97"/>
      <c r="B13" s="97"/>
      <c r="C13" s="98"/>
      <c r="D13" s="97"/>
      <c r="E13" s="97"/>
    </row>
    <row r="14" spans="1:6" ht="42.95" customHeight="1" x14ac:dyDescent="0.15">
      <c r="A14" s="97"/>
      <c r="B14" s="97"/>
      <c r="C14" s="98"/>
      <c r="D14" s="97"/>
      <c r="E14" s="97"/>
    </row>
    <row r="15" spans="1:6" ht="42.95" customHeight="1" x14ac:dyDescent="0.15">
      <c r="A15" s="97"/>
      <c r="B15" s="97"/>
      <c r="C15" s="98"/>
      <c r="D15" s="97"/>
      <c r="E15" s="97"/>
    </row>
    <row r="16" spans="1:6" ht="14.25" x14ac:dyDescent="0.15">
      <c r="A16" s="97"/>
      <c r="B16" s="97"/>
      <c r="C16" s="98"/>
      <c r="D16" s="97"/>
      <c r="E16" s="97"/>
    </row>
    <row r="17" spans="1:5" ht="42.95" customHeight="1" x14ac:dyDescent="0.15">
      <c r="A17" s="97"/>
      <c r="B17" s="97"/>
      <c r="C17" s="98"/>
      <c r="D17" s="97"/>
      <c r="E17" s="97"/>
    </row>
    <row r="18" spans="1:5" ht="42.95" customHeight="1" x14ac:dyDescent="0.15">
      <c r="A18" s="97"/>
      <c r="B18" s="97"/>
      <c r="C18" s="98"/>
      <c r="D18" s="97"/>
      <c r="E18" s="97"/>
    </row>
    <row r="19" spans="1:5" ht="42.95" customHeight="1" x14ac:dyDescent="0.15">
      <c r="A19" s="97"/>
      <c r="B19" s="97"/>
      <c r="C19" s="98"/>
      <c r="D19" s="97"/>
      <c r="E19" s="97"/>
    </row>
    <row r="20" spans="1:5" ht="42.95" customHeight="1" x14ac:dyDescent="0.15">
      <c r="A20" s="97"/>
      <c r="B20" s="97"/>
      <c r="C20" s="98"/>
      <c r="D20" s="97"/>
      <c r="E20" s="97"/>
    </row>
    <row r="21" spans="1:5" ht="42.95" customHeight="1" x14ac:dyDescent="0.15">
      <c r="A21" s="97"/>
      <c r="B21" s="97"/>
      <c r="C21" s="98"/>
      <c r="D21" s="97"/>
      <c r="E21" s="97"/>
    </row>
    <row r="22" spans="1:5" ht="42.95" customHeight="1" x14ac:dyDescent="0.15">
      <c r="A22" s="97"/>
      <c r="B22" s="97"/>
      <c r="C22" s="98"/>
      <c r="D22" s="97"/>
      <c r="E22" s="97"/>
    </row>
    <row r="23" spans="1:5" ht="42.95" customHeight="1" x14ac:dyDescent="0.15">
      <c r="A23" s="97"/>
      <c r="B23" s="97"/>
      <c r="C23" s="98"/>
      <c r="D23" s="97"/>
      <c r="E23" s="97"/>
    </row>
    <row r="24" spans="1:5" ht="42.95" customHeight="1" x14ac:dyDescent="0.15">
      <c r="A24" s="97"/>
      <c r="B24" s="97"/>
      <c r="C24" s="98"/>
      <c r="D24" s="97"/>
      <c r="E24" s="97"/>
    </row>
    <row r="25" spans="1:5" ht="42.95" customHeight="1" x14ac:dyDescent="0.15">
      <c r="A25" s="97"/>
      <c r="B25" s="97"/>
      <c r="C25" s="98"/>
      <c r="D25" s="97"/>
      <c r="E25" s="97"/>
    </row>
    <row r="26" spans="1:5" ht="42.95" customHeight="1" x14ac:dyDescent="0.15">
      <c r="A26" s="97"/>
      <c r="B26" s="97"/>
      <c r="C26" s="98"/>
      <c r="D26" s="97"/>
      <c r="E26" s="97"/>
    </row>
    <row r="27" spans="1:5" ht="42.95" customHeight="1" x14ac:dyDescent="0.15">
      <c r="A27" s="97"/>
      <c r="B27" s="97"/>
      <c r="C27" s="98"/>
      <c r="D27" s="97"/>
      <c r="E27" s="97"/>
    </row>
    <row r="28" spans="1:5" ht="14.25" x14ac:dyDescent="0.15">
      <c r="A28" s="97"/>
      <c r="B28" s="97"/>
      <c r="C28" s="98"/>
      <c r="D28" s="97"/>
      <c r="E28" s="97"/>
    </row>
    <row r="29" spans="1:5" ht="14.25" x14ac:dyDescent="0.15">
      <c r="A29" s="97"/>
      <c r="B29" s="97"/>
      <c r="C29" s="98"/>
      <c r="D29" s="97"/>
      <c r="E29" s="97"/>
    </row>
    <row r="30" spans="1:5" ht="42.95" customHeight="1" x14ac:dyDescent="0.15">
      <c r="A30" s="97"/>
      <c r="B30" s="97"/>
      <c r="C30" s="98"/>
      <c r="D30" s="97"/>
      <c r="E30" s="97"/>
    </row>
    <row r="31" spans="1:5" ht="42.95" customHeight="1" x14ac:dyDescent="0.15">
      <c r="A31" s="97"/>
      <c r="B31" s="97"/>
      <c r="C31" s="98"/>
      <c r="D31" s="97"/>
      <c r="E31" s="97"/>
    </row>
    <row r="32" spans="1:5" ht="42.95" customHeight="1" x14ac:dyDescent="0.15">
      <c r="A32" s="97"/>
      <c r="B32" s="97"/>
      <c r="C32" s="98"/>
      <c r="D32" s="97"/>
      <c r="E32" s="97"/>
    </row>
    <row r="33" spans="1:5" ht="42.95" customHeight="1" x14ac:dyDescent="0.15">
      <c r="A33" s="97"/>
      <c r="B33" s="97"/>
      <c r="C33" s="98"/>
      <c r="D33" s="97"/>
      <c r="E33" s="97"/>
    </row>
    <row r="34" spans="1:5" ht="42.95" customHeight="1" x14ac:dyDescent="0.15">
      <c r="A34" s="97"/>
      <c r="B34" s="97"/>
      <c r="C34" s="98"/>
      <c r="D34" s="97"/>
      <c r="E34" s="97"/>
    </row>
    <row r="35" spans="1:5" ht="42.95" customHeight="1" x14ac:dyDescent="0.15">
      <c r="A35" s="97"/>
      <c r="B35" s="97"/>
      <c r="C35" s="98"/>
      <c r="D35" s="97"/>
      <c r="E35" s="97"/>
    </row>
    <row r="36" spans="1:5" ht="42.95" customHeight="1" x14ac:dyDescent="0.15">
      <c r="A36" s="97"/>
      <c r="B36" s="97"/>
      <c r="C36" s="98"/>
      <c r="D36" s="97"/>
      <c r="E36" s="97"/>
    </row>
    <row r="37" spans="1:5" ht="42.95" customHeight="1" x14ac:dyDescent="0.15">
      <c r="A37" s="97"/>
      <c r="B37" s="97"/>
      <c r="C37" s="98"/>
      <c r="D37" s="97"/>
      <c r="E37" s="97"/>
    </row>
    <row r="38" spans="1:5" ht="42.95" customHeight="1" x14ac:dyDescent="0.15">
      <c r="A38" s="97"/>
      <c r="B38" s="97"/>
      <c r="C38" s="98"/>
      <c r="D38" s="97"/>
      <c r="E38" s="97"/>
    </row>
    <row r="39" spans="1:5" ht="42.95" customHeight="1" x14ac:dyDescent="0.15">
      <c r="A39" s="97"/>
      <c r="B39" s="97"/>
      <c r="C39" s="98"/>
      <c r="D39" s="97"/>
      <c r="E39" s="97"/>
    </row>
    <row r="40" spans="1:5" ht="42.95" customHeight="1" x14ac:dyDescent="0.15">
      <c r="A40" s="97"/>
      <c r="B40" s="97"/>
      <c r="C40" s="98"/>
      <c r="D40" s="97"/>
      <c r="E40" s="97"/>
    </row>
    <row r="41" spans="1:5" ht="42.95" customHeight="1" x14ac:dyDescent="0.15">
      <c r="A41" s="97"/>
      <c r="B41" s="97"/>
      <c r="C41" s="98"/>
      <c r="D41" s="97"/>
      <c r="E41" s="97"/>
    </row>
    <row r="42" spans="1:5" ht="42.95" customHeight="1" x14ac:dyDescent="0.15">
      <c r="A42" s="97"/>
      <c r="B42" s="97"/>
      <c r="C42" s="98"/>
      <c r="D42" s="97"/>
      <c r="E42" s="97"/>
    </row>
    <row r="43" spans="1:5" ht="42.95" customHeight="1" x14ac:dyDescent="0.15">
      <c r="A43" s="97"/>
      <c r="B43" s="97"/>
      <c r="C43" s="98"/>
      <c r="D43" s="97"/>
      <c r="E43" s="97"/>
    </row>
    <row r="44" spans="1:5" ht="42.95" customHeight="1" x14ac:dyDescent="0.15">
      <c r="A44" s="97"/>
      <c r="B44" s="97"/>
      <c r="C44" s="98"/>
      <c r="D44" s="97"/>
      <c r="E44" s="97"/>
    </row>
    <row r="45" spans="1:5" ht="42.95" customHeight="1" x14ac:dyDescent="0.15">
      <c r="A45" s="97"/>
      <c r="B45" s="97"/>
      <c r="C45" s="98"/>
      <c r="D45" s="97"/>
      <c r="E45" s="97"/>
    </row>
    <row r="46" spans="1:5" ht="42.95" customHeight="1" x14ac:dyDescent="0.15">
      <c r="A46" s="97"/>
      <c r="B46" s="97"/>
      <c r="C46" s="98"/>
      <c r="D46" s="97"/>
      <c r="E46" s="97"/>
    </row>
    <row r="47" spans="1:5" ht="42.95" customHeight="1" x14ac:dyDescent="0.15">
      <c r="A47" s="97"/>
      <c r="B47" s="97"/>
      <c r="C47" s="98"/>
      <c r="D47" s="97"/>
      <c r="E47" s="97"/>
    </row>
    <row r="48" spans="1:5" ht="42.95" customHeight="1" x14ac:dyDescent="0.15">
      <c r="A48" s="97"/>
      <c r="B48" s="97"/>
      <c r="C48" s="98"/>
      <c r="D48" s="97"/>
      <c r="E48" s="97"/>
    </row>
    <row r="49" spans="1:5" ht="42.95" customHeight="1" x14ac:dyDescent="0.15">
      <c r="A49" s="97"/>
      <c r="B49" s="97"/>
      <c r="C49" s="98"/>
      <c r="D49" s="97"/>
      <c r="E49" s="97"/>
    </row>
    <row r="50" spans="1:5" ht="42.95" customHeight="1" x14ac:dyDescent="0.15">
      <c r="A50" s="97"/>
      <c r="B50" s="97"/>
      <c r="C50" s="98"/>
      <c r="D50" s="97"/>
      <c r="E50" s="97"/>
    </row>
    <row r="51" spans="1:5" ht="42.95" customHeight="1" x14ac:dyDescent="0.15">
      <c r="A51" s="97"/>
      <c r="B51" s="97"/>
      <c r="C51" s="98"/>
      <c r="D51" s="97"/>
      <c r="E51" s="97"/>
    </row>
    <row r="52" spans="1:5" ht="42.95" customHeight="1" x14ac:dyDescent="0.15">
      <c r="A52" s="97"/>
      <c r="B52" s="97"/>
      <c r="C52" s="98"/>
      <c r="D52" s="97"/>
      <c r="E52" s="97"/>
    </row>
    <row r="53" spans="1:5" ht="42.95" customHeight="1" x14ac:dyDescent="0.15">
      <c r="A53" s="97"/>
      <c r="B53" s="97"/>
      <c r="C53" s="98"/>
      <c r="D53" s="97"/>
      <c r="E53" s="97"/>
    </row>
    <row r="54" spans="1:5" ht="42.95" customHeight="1" x14ac:dyDescent="0.15">
      <c r="A54" s="97"/>
      <c r="B54" s="97"/>
      <c r="C54" s="98"/>
      <c r="D54" s="97"/>
      <c r="E54" s="97"/>
    </row>
    <row r="55" spans="1:5" ht="42.95" customHeight="1" x14ac:dyDescent="0.15">
      <c r="A55" s="97"/>
      <c r="B55" s="97"/>
      <c r="C55" s="98"/>
      <c r="D55" s="97"/>
      <c r="E55" s="97"/>
    </row>
    <row r="56" spans="1:5" ht="42.95" customHeight="1" x14ac:dyDescent="0.15">
      <c r="A56" s="97"/>
      <c r="B56" s="97"/>
      <c r="C56" s="98"/>
      <c r="D56" s="97"/>
      <c r="E56" s="97"/>
    </row>
    <row r="57" spans="1:5" ht="42.95" customHeight="1" x14ac:dyDescent="0.15">
      <c r="A57" s="97"/>
      <c r="B57" s="97"/>
      <c r="C57" s="98"/>
      <c r="D57" s="97"/>
      <c r="E57" s="97"/>
    </row>
    <row r="58" spans="1:5" ht="42.95" customHeight="1" x14ac:dyDescent="0.15">
      <c r="A58" s="97"/>
      <c r="B58" s="97"/>
      <c r="C58" s="98"/>
      <c r="D58" s="97"/>
      <c r="E58" s="97"/>
    </row>
    <row r="59" spans="1:5" ht="42.95" customHeight="1" x14ac:dyDescent="0.15">
      <c r="A59" s="97"/>
      <c r="B59" s="97"/>
      <c r="C59" s="98"/>
      <c r="D59" s="97"/>
      <c r="E59" s="97"/>
    </row>
    <row r="60" spans="1:5" ht="42.95" customHeight="1" x14ac:dyDescent="0.15">
      <c r="A60" s="97"/>
      <c r="B60" s="97"/>
      <c r="C60" s="98"/>
      <c r="D60" s="97"/>
      <c r="E60" s="97"/>
    </row>
    <row r="61" spans="1:5" ht="42.95" customHeight="1" x14ac:dyDescent="0.15">
      <c r="A61" s="97"/>
      <c r="B61" s="97"/>
      <c r="C61" s="98"/>
      <c r="D61" s="97"/>
      <c r="E61" s="97"/>
    </row>
    <row r="62" spans="1:5" ht="42.95" customHeight="1" x14ac:dyDescent="0.15">
      <c r="A62" s="97"/>
      <c r="B62" s="97"/>
      <c r="C62" s="98"/>
      <c r="D62" s="97"/>
      <c r="E62" s="97"/>
    </row>
    <row r="63" spans="1:5" ht="42.95" customHeight="1" x14ac:dyDescent="0.15">
      <c r="A63" s="97"/>
      <c r="B63" s="97"/>
      <c r="C63" s="98"/>
      <c r="D63" s="97"/>
      <c r="E63" s="97"/>
    </row>
    <row r="64" spans="1:5" ht="42.95" customHeight="1" x14ac:dyDescent="0.15">
      <c r="A64" s="97"/>
      <c r="B64" s="97"/>
      <c r="C64" s="98"/>
      <c r="D64" s="97"/>
      <c r="E64" s="97"/>
    </row>
    <row r="65" spans="1:5" ht="42.95" customHeight="1" x14ac:dyDescent="0.15">
      <c r="A65" s="97"/>
      <c r="B65" s="97"/>
      <c r="C65" s="98"/>
      <c r="D65" s="97"/>
      <c r="E65" s="97"/>
    </row>
    <row r="66" spans="1:5" ht="42.95" customHeight="1" x14ac:dyDescent="0.15">
      <c r="A66" s="97"/>
      <c r="B66" s="97"/>
      <c r="C66" s="98"/>
      <c r="D66" s="97"/>
      <c r="E66" s="97"/>
    </row>
    <row r="67" spans="1:5" ht="42.95" customHeight="1" x14ac:dyDescent="0.15">
      <c r="A67" s="97"/>
      <c r="B67" s="97"/>
      <c r="C67" s="98"/>
      <c r="D67" s="97"/>
      <c r="E67" s="97"/>
    </row>
    <row r="68" spans="1:5" ht="42.95" customHeight="1" x14ac:dyDescent="0.15">
      <c r="A68" s="97"/>
      <c r="B68" s="97"/>
      <c r="C68" s="98"/>
      <c r="D68" s="97"/>
      <c r="E68" s="97"/>
    </row>
    <row r="69" spans="1:5" ht="42.95" customHeight="1" x14ac:dyDescent="0.15">
      <c r="A69" s="97"/>
      <c r="B69" s="97"/>
      <c r="C69" s="98"/>
      <c r="D69" s="97"/>
      <c r="E69" s="97"/>
    </row>
    <row r="70" spans="1:5" ht="42.95" customHeight="1" x14ac:dyDescent="0.15">
      <c r="A70" s="97"/>
      <c r="B70" s="97"/>
      <c r="C70" s="98"/>
      <c r="D70" s="97"/>
      <c r="E70" s="97"/>
    </row>
    <row r="71" spans="1:5" ht="42.95" customHeight="1" x14ac:dyDescent="0.15">
      <c r="A71" s="97"/>
      <c r="B71" s="97"/>
      <c r="C71" s="98"/>
      <c r="D71" s="97"/>
      <c r="E71" s="97"/>
    </row>
    <row r="72" spans="1:5" ht="42.95" customHeight="1" x14ac:dyDescent="0.15">
      <c r="A72" s="97"/>
      <c r="B72" s="97"/>
      <c r="C72" s="98"/>
      <c r="D72" s="97"/>
      <c r="E72" s="97"/>
    </row>
    <row r="73" spans="1:5" ht="42.95" customHeight="1" x14ac:dyDescent="0.15">
      <c r="A73" s="97"/>
      <c r="B73" s="97"/>
      <c r="C73" s="98"/>
      <c r="D73" s="97"/>
      <c r="E73" s="97"/>
    </row>
    <row r="74" spans="1:5" ht="42.95" customHeight="1" x14ac:dyDescent="0.15">
      <c r="A74" s="97"/>
      <c r="B74" s="97"/>
      <c r="C74" s="98"/>
      <c r="D74" s="97"/>
      <c r="E74" s="97"/>
    </row>
    <row r="75" spans="1:5" ht="42.95" customHeight="1" x14ac:dyDescent="0.15">
      <c r="A75" s="97"/>
      <c r="B75" s="97"/>
      <c r="C75" s="98"/>
      <c r="D75" s="97"/>
      <c r="E75" s="97"/>
    </row>
    <row r="76" spans="1:5" ht="42.95" customHeight="1" x14ac:dyDescent="0.15">
      <c r="A76" s="97"/>
      <c r="B76" s="97"/>
      <c r="C76" s="98"/>
      <c r="D76" s="97"/>
      <c r="E76" s="97"/>
    </row>
    <row r="77" spans="1:5" ht="42.95" customHeight="1" x14ac:dyDescent="0.15">
      <c r="A77" s="97"/>
      <c r="B77" s="97"/>
      <c r="C77" s="98"/>
      <c r="D77" s="97"/>
      <c r="E77" s="97"/>
    </row>
    <row r="78" spans="1:5" ht="42.95" customHeight="1" x14ac:dyDescent="0.15">
      <c r="A78" s="97"/>
      <c r="B78" s="97"/>
      <c r="C78" s="98"/>
      <c r="D78" s="97"/>
      <c r="E78" s="97"/>
    </row>
    <row r="79" spans="1:5" ht="42.95" customHeight="1" x14ac:dyDescent="0.15">
      <c r="A79" s="97"/>
      <c r="B79" s="97"/>
      <c r="C79" s="98"/>
      <c r="D79" s="97"/>
      <c r="E79" s="97"/>
    </row>
    <row r="80" spans="1:5" ht="42.95" customHeight="1" x14ac:dyDescent="0.15">
      <c r="A80" s="97"/>
      <c r="B80" s="97"/>
      <c r="C80" s="98"/>
      <c r="D80" s="97"/>
      <c r="E80" s="97"/>
    </row>
    <row r="81" spans="1:5" ht="42.95" customHeight="1" x14ac:dyDescent="0.15">
      <c r="A81" s="97"/>
      <c r="B81" s="97"/>
      <c r="C81" s="98"/>
      <c r="D81" s="97"/>
      <c r="E81" s="97"/>
    </row>
    <row r="82" spans="1:5" ht="42.95" customHeight="1" x14ac:dyDescent="0.15">
      <c r="A82" s="97"/>
      <c r="B82" s="97"/>
      <c r="C82" s="98"/>
      <c r="D82" s="97"/>
      <c r="E82" s="97"/>
    </row>
    <row r="83" spans="1:5" ht="42.95" customHeight="1" x14ac:dyDescent="0.15">
      <c r="A83" s="97"/>
      <c r="B83" s="97"/>
      <c r="C83" s="98"/>
      <c r="D83" s="97"/>
      <c r="E83" s="97"/>
    </row>
    <row r="84" spans="1:5" ht="42.95" customHeight="1" x14ac:dyDescent="0.15">
      <c r="A84" s="97"/>
      <c r="B84" s="97"/>
      <c r="C84" s="98"/>
      <c r="D84" s="97"/>
      <c r="E84" s="97"/>
    </row>
    <row r="85" spans="1:5" ht="42.95" customHeight="1" x14ac:dyDescent="0.15">
      <c r="A85" s="97"/>
      <c r="B85" s="97"/>
      <c r="C85" s="98"/>
      <c r="D85" s="97"/>
      <c r="E85" s="97"/>
    </row>
    <row r="86" spans="1:5" ht="42.95" customHeight="1" x14ac:dyDescent="0.15">
      <c r="A86" s="97"/>
      <c r="B86" s="97"/>
      <c r="C86" s="98"/>
      <c r="D86" s="97"/>
      <c r="E86" s="97"/>
    </row>
    <row r="87" spans="1:5" ht="42.95" customHeight="1" x14ac:dyDescent="0.15">
      <c r="A87" s="97"/>
      <c r="B87" s="97"/>
      <c r="C87" s="98"/>
      <c r="D87" s="97"/>
      <c r="E87" s="97"/>
    </row>
    <row r="88" spans="1:5" ht="42.95" customHeight="1" x14ac:dyDescent="0.15">
      <c r="A88" s="97"/>
      <c r="B88" s="97"/>
      <c r="C88" s="98"/>
      <c r="D88" s="97"/>
      <c r="E88" s="97"/>
    </row>
    <row r="89" spans="1:5" ht="42.95" customHeight="1" x14ac:dyDescent="0.15">
      <c r="A89" s="97"/>
      <c r="B89" s="97"/>
      <c r="C89" s="98"/>
      <c r="D89" s="97"/>
      <c r="E89" s="97"/>
    </row>
    <row r="90" spans="1:5" ht="42.95" customHeight="1" x14ac:dyDescent="0.15">
      <c r="A90" s="97"/>
      <c r="B90" s="97"/>
      <c r="C90" s="98"/>
      <c r="D90" s="97"/>
      <c r="E90" s="97"/>
    </row>
    <row r="91" spans="1:5" ht="42.95" customHeight="1" x14ac:dyDescent="0.15">
      <c r="A91" s="97"/>
      <c r="B91" s="97"/>
      <c r="C91" s="98"/>
      <c r="D91" s="97"/>
      <c r="E91" s="97"/>
    </row>
    <row r="92" spans="1:5" ht="14.25" x14ac:dyDescent="0.15">
      <c r="A92" s="97"/>
      <c r="B92" s="97"/>
      <c r="C92" s="98"/>
      <c r="D92" s="97"/>
      <c r="E92" s="97"/>
    </row>
    <row r="93" spans="1:5" ht="14.25" x14ac:dyDescent="0.15">
      <c r="A93" s="97"/>
      <c r="B93" s="97"/>
      <c r="C93" s="98"/>
      <c r="D93" s="97"/>
      <c r="E93" s="97"/>
    </row>
    <row r="94" spans="1:5" ht="42.95" customHeight="1" x14ac:dyDescent="0.15">
      <c r="A94" s="97"/>
      <c r="B94" s="97"/>
      <c r="C94" s="98"/>
      <c r="D94" s="97"/>
      <c r="E94" s="97"/>
    </row>
    <row r="95" spans="1:5" ht="42.95" customHeight="1" x14ac:dyDescent="0.15">
      <c r="A95" s="97"/>
      <c r="B95" s="97"/>
      <c r="C95" s="98"/>
      <c r="D95" s="97"/>
      <c r="E95" s="97"/>
    </row>
    <row r="96" spans="1:5" ht="42.95" customHeight="1" x14ac:dyDescent="0.15">
      <c r="A96" s="97"/>
      <c r="B96" s="97"/>
      <c r="C96" s="98"/>
      <c r="D96" s="97"/>
      <c r="E96" s="97"/>
    </row>
    <row r="97" spans="1:5" ht="42.95" customHeight="1" x14ac:dyDescent="0.15">
      <c r="A97" s="97"/>
      <c r="B97" s="97"/>
      <c r="C97" s="98"/>
      <c r="D97" s="97"/>
      <c r="E97" s="97"/>
    </row>
    <row r="98" spans="1:5" ht="42.95" customHeight="1" x14ac:dyDescent="0.15">
      <c r="A98" s="97"/>
      <c r="B98" s="97"/>
      <c r="C98" s="98"/>
      <c r="D98" s="97"/>
      <c r="E98" s="97"/>
    </row>
    <row r="99" spans="1:5" ht="42.95" customHeight="1" x14ac:dyDescent="0.15">
      <c r="A99" s="97"/>
      <c r="B99" s="97"/>
      <c r="C99" s="98"/>
      <c r="D99" s="97"/>
      <c r="E99" s="97"/>
    </row>
    <row r="100" spans="1:5" ht="42.95" customHeight="1" x14ac:dyDescent="0.15">
      <c r="A100" s="97"/>
      <c r="B100" s="97"/>
      <c r="C100" s="98"/>
      <c r="D100" s="97"/>
      <c r="E100" s="97"/>
    </row>
    <row r="101" spans="1:5" ht="42.95" customHeight="1" x14ac:dyDescent="0.15">
      <c r="A101" s="97"/>
      <c r="B101" s="97"/>
      <c r="C101" s="98"/>
      <c r="D101" s="97"/>
      <c r="E101" s="97"/>
    </row>
    <row r="102" spans="1:5" ht="42.95" customHeight="1" x14ac:dyDescent="0.15">
      <c r="A102" s="97"/>
      <c r="B102" s="97"/>
      <c r="C102" s="98"/>
      <c r="D102" s="97"/>
      <c r="E102" s="97"/>
    </row>
    <row r="103" spans="1:5" ht="42.95" customHeight="1" x14ac:dyDescent="0.15">
      <c r="A103" s="97"/>
      <c r="B103" s="97"/>
      <c r="C103" s="98"/>
      <c r="D103" s="97"/>
      <c r="E103" s="97"/>
    </row>
    <row r="104" spans="1:5" ht="42.95" customHeight="1" x14ac:dyDescent="0.15">
      <c r="A104" s="97"/>
      <c r="B104" s="97"/>
      <c r="C104" s="98"/>
      <c r="D104" s="97"/>
      <c r="E104" s="97"/>
    </row>
    <row r="105" spans="1:5" ht="42.95" customHeight="1" x14ac:dyDescent="0.15">
      <c r="A105" s="97"/>
      <c r="B105" s="97"/>
      <c r="C105" s="98"/>
      <c r="D105" s="97"/>
      <c r="E105" s="97"/>
    </row>
    <row r="106" spans="1:5" ht="42.95" customHeight="1" x14ac:dyDescent="0.15">
      <c r="A106" s="97"/>
      <c r="B106" s="97"/>
      <c r="C106" s="98"/>
      <c r="D106" s="97"/>
      <c r="E106" s="97"/>
    </row>
    <row r="107" spans="1:5" ht="42.95" customHeight="1" x14ac:dyDescent="0.15">
      <c r="A107" s="97"/>
      <c r="B107" s="97"/>
      <c r="C107" s="98"/>
      <c r="D107" s="97"/>
      <c r="E107" s="97"/>
    </row>
    <row r="108" spans="1:5" ht="42.95" customHeight="1" x14ac:dyDescent="0.15">
      <c r="A108" s="97"/>
      <c r="B108" s="97"/>
      <c r="C108" s="98"/>
      <c r="D108" s="97"/>
      <c r="E108" s="97"/>
    </row>
    <row r="109" spans="1:5" ht="42.95" customHeight="1" x14ac:dyDescent="0.15">
      <c r="A109" s="97"/>
      <c r="B109" s="97"/>
      <c r="C109" s="98"/>
      <c r="D109" s="97"/>
      <c r="E109" s="97"/>
    </row>
    <row r="110" spans="1:5" ht="42.95" customHeight="1" x14ac:dyDescent="0.15">
      <c r="A110" s="97"/>
      <c r="B110" s="97"/>
      <c r="C110" s="98"/>
      <c r="D110" s="97"/>
      <c r="E110" s="97"/>
    </row>
    <row r="111" spans="1:5" ht="42.95" customHeight="1" x14ac:dyDescent="0.15">
      <c r="A111" s="97"/>
      <c r="B111" s="97"/>
      <c r="C111" s="98"/>
      <c r="D111" s="97"/>
      <c r="E111" s="97"/>
    </row>
    <row r="112" spans="1:5" ht="42.95" customHeight="1" x14ac:dyDescent="0.15">
      <c r="A112" s="97"/>
      <c r="B112" s="97"/>
      <c r="C112" s="98"/>
      <c r="D112" s="97"/>
      <c r="E112" s="97"/>
    </row>
    <row r="113" spans="1:5" ht="42.95" customHeight="1" x14ac:dyDescent="0.15">
      <c r="A113" s="97"/>
      <c r="B113" s="97"/>
      <c r="C113" s="98"/>
      <c r="D113" s="97"/>
      <c r="E113" s="97"/>
    </row>
    <row r="114" spans="1:5" ht="42.95" customHeight="1" x14ac:dyDescent="0.15">
      <c r="A114" s="97"/>
      <c r="B114" s="97"/>
      <c r="C114" s="98"/>
      <c r="D114" s="97"/>
      <c r="E114" s="97"/>
    </row>
    <row r="115" spans="1:5" ht="42.95" customHeight="1" x14ac:dyDescent="0.15">
      <c r="A115" s="97"/>
      <c r="B115" s="97"/>
      <c r="C115" s="98"/>
      <c r="D115" s="97"/>
      <c r="E115" s="97"/>
    </row>
    <row r="116" spans="1:5" ht="42.95" customHeight="1" x14ac:dyDescent="0.15">
      <c r="A116" s="97"/>
      <c r="B116" s="97"/>
      <c r="C116" s="98"/>
      <c r="D116" s="97"/>
      <c r="E116" s="97"/>
    </row>
    <row r="117" spans="1:5" ht="42.95" customHeight="1" x14ac:dyDescent="0.15">
      <c r="A117" s="97"/>
      <c r="B117" s="97"/>
      <c r="C117" s="98"/>
      <c r="D117" s="97"/>
      <c r="E117" s="97"/>
    </row>
    <row r="118" spans="1:5" ht="42.95" customHeight="1" x14ac:dyDescent="0.15">
      <c r="A118" s="97"/>
      <c r="B118" s="97"/>
      <c r="C118" s="98"/>
      <c r="D118" s="97"/>
      <c r="E118" s="97"/>
    </row>
    <row r="119" spans="1:5" ht="42.95" customHeight="1" x14ac:dyDescent="0.15">
      <c r="A119" s="97"/>
      <c r="B119" s="97"/>
      <c r="C119" s="98"/>
      <c r="D119" s="97"/>
      <c r="E119" s="97"/>
    </row>
    <row r="120" spans="1:5" ht="42.95" customHeight="1" x14ac:dyDescent="0.15">
      <c r="A120" s="97"/>
      <c r="B120" s="97"/>
      <c r="C120" s="98"/>
      <c r="D120" s="97"/>
      <c r="E120" s="97"/>
    </row>
    <row r="121" spans="1:5" ht="42.95" customHeight="1" x14ac:dyDescent="0.15">
      <c r="A121" s="97"/>
      <c r="B121" s="97"/>
      <c r="C121" s="98"/>
      <c r="D121" s="97"/>
      <c r="E121" s="97"/>
    </row>
    <row r="122" spans="1:5" ht="42.95" customHeight="1" x14ac:dyDescent="0.15">
      <c r="A122" s="97"/>
      <c r="B122" s="97"/>
      <c r="C122" s="98"/>
      <c r="D122" s="97"/>
      <c r="E122" s="97"/>
    </row>
    <row r="123" spans="1:5" ht="42.95" customHeight="1" x14ac:dyDescent="0.15">
      <c r="A123" s="97"/>
      <c r="B123" s="97"/>
      <c r="C123" s="98"/>
      <c r="D123" s="97"/>
      <c r="E123" s="97"/>
    </row>
    <row r="124" spans="1:5" ht="42.95" customHeight="1" x14ac:dyDescent="0.15">
      <c r="A124" s="97"/>
      <c r="B124" s="97"/>
      <c r="C124" s="98"/>
      <c r="D124" s="97"/>
      <c r="E124" s="97"/>
    </row>
    <row r="125" spans="1:5" ht="42.95" customHeight="1" x14ac:dyDescent="0.15">
      <c r="A125" s="97"/>
      <c r="B125" s="97"/>
      <c r="C125" s="98"/>
      <c r="D125" s="97"/>
      <c r="E125" s="97"/>
    </row>
    <row r="126" spans="1:5" ht="42.95" customHeight="1" x14ac:dyDescent="0.15">
      <c r="A126" s="97"/>
      <c r="B126" s="97"/>
      <c r="C126" s="98"/>
      <c r="D126" s="97"/>
      <c r="E126" s="97"/>
    </row>
    <row r="127" spans="1:5" ht="42.95" customHeight="1" x14ac:dyDescent="0.15">
      <c r="A127" s="97"/>
      <c r="B127" s="97"/>
      <c r="C127" s="98"/>
      <c r="D127" s="97"/>
      <c r="E127" s="97"/>
    </row>
    <row r="128" spans="1:5" ht="42.95" customHeight="1" x14ac:dyDescent="0.15">
      <c r="A128" s="97"/>
      <c r="B128" s="97"/>
      <c r="C128" s="98"/>
      <c r="D128" s="97"/>
      <c r="E128" s="97"/>
    </row>
    <row r="129" spans="1:5" ht="42.95" customHeight="1" x14ac:dyDescent="0.15">
      <c r="A129" s="97"/>
      <c r="B129" s="97"/>
      <c r="C129" s="98"/>
      <c r="D129" s="97"/>
      <c r="E129" s="97"/>
    </row>
    <row r="130" spans="1:5" ht="42.95" customHeight="1" x14ac:dyDescent="0.15">
      <c r="A130" s="97"/>
      <c r="B130" s="97"/>
      <c r="C130" s="98"/>
      <c r="D130" s="97"/>
      <c r="E130" s="97"/>
    </row>
    <row r="131" spans="1:5" ht="42.95" customHeight="1" x14ac:dyDescent="0.15">
      <c r="A131" s="97"/>
      <c r="B131" s="97"/>
      <c r="C131" s="98"/>
      <c r="D131" s="97"/>
      <c r="E131" s="97"/>
    </row>
    <row r="132" spans="1:5" ht="42.95" customHeight="1" x14ac:dyDescent="0.15">
      <c r="A132" s="97"/>
      <c r="B132" s="97"/>
      <c r="C132" s="98"/>
      <c r="D132" s="97"/>
      <c r="E132" s="97"/>
    </row>
    <row r="133" spans="1:5" ht="42.95" customHeight="1" x14ac:dyDescent="0.15">
      <c r="A133" s="97"/>
      <c r="B133" s="97"/>
      <c r="C133" s="98"/>
      <c r="D133" s="97"/>
      <c r="E133" s="97"/>
    </row>
    <row r="134" spans="1:5" ht="42.95" customHeight="1" x14ac:dyDescent="0.15">
      <c r="A134" s="97"/>
      <c r="B134" s="97"/>
      <c r="C134" s="98"/>
      <c r="D134" s="97"/>
      <c r="E134" s="97"/>
    </row>
    <row r="135" spans="1:5" ht="42.95" customHeight="1" x14ac:dyDescent="0.15">
      <c r="A135" s="97"/>
      <c r="B135" s="97"/>
      <c r="C135" s="98"/>
      <c r="D135" s="97"/>
      <c r="E135" s="97"/>
    </row>
    <row r="136" spans="1:5" ht="42.95" customHeight="1" x14ac:dyDescent="0.15">
      <c r="A136" s="97"/>
      <c r="B136" s="97"/>
      <c r="C136" s="98"/>
      <c r="D136" s="97"/>
      <c r="E136" s="97"/>
    </row>
    <row r="137" spans="1:5" ht="42.95" customHeight="1" x14ac:dyDescent="0.15">
      <c r="A137" s="97"/>
      <c r="B137" s="97"/>
      <c r="C137" s="98"/>
      <c r="D137" s="97"/>
      <c r="E137" s="97"/>
    </row>
    <row r="138" spans="1:5" ht="42.95" customHeight="1" x14ac:dyDescent="0.15">
      <c r="A138" s="97"/>
      <c r="B138" s="97"/>
      <c r="C138" s="98"/>
      <c r="D138" s="97"/>
      <c r="E138" s="97"/>
    </row>
    <row r="139" spans="1:5" ht="42.95" customHeight="1" x14ac:dyDescent="0.15">
      <c r="A139" s="97"/>
      <c r="B139" s="97"/>
      <c r="C139" s="98"/>
      <c r="D139" s="97"/>
      <c r="E139" s="97"/>
    </row>
    <row r="140" spans="1:5" ht="42.95" customHeight="1" x14ac:dyDescent="0.15">
      <c r="A140" s="97"/>
      <c r="B140" s="97"/>
      <c r="C140" s="98"/>
      <c r="D140" s="97"/>
      <c r="E140" s="97"/>
    </row>
    <row r="141" spans="1:5" ht="42.95" customHeight="1" x14ac:dyDescent="0.15">
      <c r="A141" s="97"/>
      <c r="B141" s="97"/>
      <c r="C141" s="98"/>
      <c r="D141" s="97"/>
      <c r="E141" s="97"/>
    </row>
    <row r="142" spans="1:5" ht="42.95" customHeight="1" x14ac:dyDescent="0.15">
      <c r="A142" s="97"/>
      <c r="B142" s="97"/>
      <c r="C142" s="98"/>
      <c r="D142" s="97"/>
      <c r="E142" s="97"/>
    </row>
    <row r="143" spans="1:5" ht="42.95" customHeight="1" x14ac:dyDescent="0.15">
      <c r="A143" s="97"/>
      <c r="B143" s="97"/>
      <c r="C143" s="98"/>
      <c r="D143" s="97"/>
      <c r="E143" s="97"/>
    </row>
    <row r="144" spans="1:5" ht="42.95" customHeight="1" x14ac:dyDescent="0.15">
      <c r="A144" s="97"/>
      <c r="B144" s="97"/>
      <c r="C144" s="98"/>
      <c r="D144" s="97"/>
      <c r="E144" s="97"/>
    </row>
    <row r="145" spans="1:5" ht="42.95" customHeight="1" x14ac:dyDescent="0.15">
      <c r="A145" s="97"/>
      <c r="B145" s="97"/>
      <c r="C145" s="98"/>
      <c r="D145" s="97"/>
      <c r="E145" s="97"/>
    </row>
    <row r="146" spans="1:5" ht="42.95" customHeight="1" x14ac:dyDescent="0.15">
      <c r="A146" s="97"/>
      <c r="B146" s="97"/>
      <c r="C146" s="98"/>
      <c r="D146" s="97"/>
      <c r="E146" s="97"/>
    </row>
    <row r="147" spans="1:5" ht="42.95" customHeight="1" x14ac:dyDescent="0.15">
      <c r="A147" s="97"/>
      <c r="B147" s="97"/>
      <c r="C147" s="98"/>
      <c r="D147" s="97"/>
      <c r="E147" s="97"/>
    </row>
    <row r="148" spans="1:5" ht="42.95" customHeight="1" x14ac:dyDescent="0.15">
      <c r="A148" s="97"/>
      <c r="B148" s="97"/>
      <c r="C148" s="98"/>
      <c r="D148" s="97"/>
      <c r="E148" s="97"/>
    </row>
    <row r="149" spans="1:5" ht="42.95" customHeight="1" x14ac:dyDescent="0.15">
      <c r="A149" s="97"/>
      <c r="B149" s="97"/>
      <c r="C149" s="98"/>
      <c r="D149" s="97"/>
      <c r="E149" s="97"/>
    </row>
    <row r="150" spans="1:5" ht="42.95" customHeight="1" x14ac:dyDescent="0.15">
      <c r="A150" s="97"/>
      <c r="B150" s="97"/>
      <c r="C150" s="98"/>
      <c r="D150" s="97"/>
      <c r="E150" s="97"/>
    </row>
    <row r="151" spans="1:5" ht="42.95" customHeight="1" x14ac:dyDescent="0.15">
      <c r="A151" s="97"/>
      <c r="B151" s="97"/>
      <c r="C151" s="98"/>
      <c r="D151" s="97"/>
      <c r="E151" s="97"/>
    </row>
    <row r="152" spans="1:5" ht="42.95" customHeight="1" x14ac:dyDescent="0.15">
      <c r="A152" s="97"/>
      <c r="B152" s="97"/>
      <c r="C152" s="98"/>
      <c r="D152" s="97"/>
      <c r="E152" s="97"/>
    </row>
    <row r="153" spans="1:5" ht="42.95" customHeight="1" x14ac:dyDescent="0.15">
      <c r="A153" s="97"/>
      <c r="B153" s="97"/>
      <c r="C153" s="98"/>
      <c r="D153" s="97"/>
      <c r="E153" s="97"/>
    </row>
    <row r="154" spans="1:5" ht="42.95" customHeight="1" x14ac:dyDescent="0.15">
      <c r="A154" s="97"/>
      <c r="B154" s="97"/>
      <c r="C154" s="98"/>
      <c r="D154" s="97"/>
      <c r="E154" s="97"/>
    </row>
    <row r="155" spans="1:5" ht="42.95" customHeight="1" x14ac:dyDescent="0.15">
      <c r="A155" s="97"/>
      <c r="B155" s="97"/>
      <c r="C155" s="98"/>
      <c r="D155" s="97"/>
      <c r="E155" s="97"/>
    </row>
    <row r="156" spans="1:5" ht="42.95" customHeight="1" x14ac:dyDescent="0.15">
      <c r="A156" s="97"/>
      <c r="B156" s="97"/>
      <c r="C156" s="98"/>
      <c r="D156" s="97"/>
      <c r="E156" s="97"/>
    </row>
    <row r="157" spans="1:5" ht="42.95" customHeight="1" x14ac:dyDescent="0.15">
      <c r="A157" s="97"/>
      <c r="B157" s="97"/>
      <c r="C157" s="98"/>
      <c r="D157" s="97"/>
      <c r="E157" s="97"/>
    </row>
    <row r="158" spans="1:5" ht="42.95" customHeight="1" x14ac:dyDescent="0.15">
      <c r="A158" s="97"/>
      <c r="B158" s="97"/>
      <c r="C158" s="98"/>
      <c r="D158" s="97"/>
      <c r="E158" s="97"/>
    </row>
    <row r="159" spans="1:5" ht="42.95" customHeight="1" x14ac:dyDescent="0.15">
      <c r="A159" s="97"/>
      <c r="B159" s="97"/>
      <c r="C159" s="98"/>
      <c r="D159" s="97"/>
      <c r="E159" s="97"/>
    </row>
    <row r="160" spans="1:5" ht="42.95" customHeight="1" x14ac:dyDescent="0.15">
      <c r="A160" s="97"/>
      <c r="B160" s="97"/>
      <c r="C160" s="98"/>
      <c r="D160" s="97"/>
      <c r="E160" s="97"/>
    </row>
    <row r="161" spans="1:5" ht="42.95" customHeight="1" x14ac:dyDescent="0.15">
      <c r="A161" s="97"/>
      <c r="B161" s="97"/>
      <c r="C161" s="98"/>
      <c r="D161" s="97"/>
      <c r="E161" s="97"/>
    </row>
    <row r="162" spans="1:5" ht="42.95" customHeight="1" x14ac:dyDescent="0.15">
      <c r="A162" s="97"/>
      <c r="B162" s="97"/>
      <c r="C162" s="98"/>
      <c r="D162" s="97"/>
      <c r="E162" s="97"/>
    </row>
    <row r="163" spans="1:5" ht="42.95" customHeight="1" x14ac:dyDescent="0.15">
      <c r="A163" s="97"/>
      <c r="B163" s="97"/>
      <c r="C163" s="98"/>
      <c r="D163" s="97"/>
      <c r="E163" s="97"/>
    </row>
    <row r="164" spans="1:5" ht="42.95" customHeight="1" x14ac:dyDescent="0.15">
      <c r="A164" s="97"/>
      <c r="B164" s="97"/>
      <c r="C164" s="98"/>
      <c r="D164" s="97"/>
      <c r="E164" s="97"/>
    </row>
    <row r="165" spans="1:5" ht="42.95" customHeight="1" x14ac:dyDescent="0.15">
      <c r="A165" s="97"/>
      <c r="B165" s="97"/>
      <c r="C165" s="98"/>
      <c r="D165" s="97"/>
      <c r="E165" s="97"/>
    </row>
    <row r="166" spans="1:5" ht="42.95" customHeight="1" x14ac:dyDescent="0.15">
      <c r="A166" s="97"/>
      <c r="B166" s="97"/>
      <c r="C166" s="98"/>
      <c r="D166" s="97"/>
      <c r="E166" s="97"/>
    </row>
    <row r="167" spans="1:5" ht="42.95" customHeight="1" x14ac:dyDescent="0.15">
      <c r="A167" s="97"/>
      <c r="B167" s="97"/>
      <c r="C167" s="98"/>
      <c r="D167" s="97"/>
      <c r="E167" s="97"/>
    </row>
    <row r="168" spans="1:5" ht="42.95" customHeight="1" x14ac:dyDescent="0.15">
      <c r="A168" s="97"/>
      <c r="B168" s="97"/>
      <c r="C168" s="98"/>
      <c r="D168" s="97"/>
      <c r="E168" s="97"/>
    </row>
    <row r="169" spans="1:5" ht="42.95" customHeight="1" x14ac:dyDescent="0.15">
      <c r="A169" s="97"/>
      <c r="B169" s="97"/>
      <c r="C169" s="98"/>
      <c r="D169" s="97"/>
      <c r="E169" s="97"/>
    </row>
    <row r="170" spans="1:5" ht="42.95" customHeight="1" x14ac:dyDescent="0.15">
      <c r="A170" s="97"/>
      <c r="B170" s="97"/>
      <c r="C170" s="98"/>
      <c r="D170" s="97"/>
      <c r="E170" s="97"/>
    </row>
    <row r="171" spans="1:5" ht="42.95" customHeight="1" x14ac:dyDescent="0.15">
      <c r="A171" s="97"/>
      <c r="B171" s="97"/>
      <c r="C171" s="98"/>
      <c r="D171" s="97"/>
      <c r="E171" s="97"/>
    </row>
    <row r="172" spans="1:5" ht="42.95" customHeight="1" x14ac:dyDescent="0.15">
      <c r="A172" s="97"/>
      <c r="B172" s="97"/>
      <c r="C172" s="98"/>
      <c r="D172" s="97"/>
      <c r="E172" s="97"/>
    </row>
    <row r="173" spans="1:5" ht="42.95" customHeight="1" x14ac:dyDescent="0.15">
      <c r="A173" s="97"/>
      <c r="B173" s="97"/>
      <c r="C173" s="98"/>
      <c r="D173" s="97"/>
      <c r="E173" s="97"/>
    </row>
    <row r="174" spans="1:5" ht="42.95" customHeight="1" x14ac:dyDescent="0.15">
      <c r="A174" s="97"/>
      <c r="B174" s="97"/>
      <c r="C174" s="98"/>
      <c r="D174" s="97"/>
      <c r="E174" s="97"/>
    </row>
    <row r="175" spans="1:5" ht="42.95" customHeight="1" x14ac:dyDescent="0.15">
      <c r="A175" s="97"/>
      <c r="B175" s="97"/>
      <c r="C175" s="98"/>
      <c r="D175" s="97"/>
      <c r="E175" s="97"/>
    </row>
    <row r="176" spans="1:5" ht="42.95" customHeight="1" x14ac:dyDescent="0.15">
      <c r="A176" s="97"/>
      <c r="B176" s="97"/>
      <c r="C176" s="98"/>
      <c r="D176" s="97"/>
      <c r="E176" s="97"/>
    </row>
    <row r="177" spans="1:5" ht="42.95" customHeight="1" x14ac:dyDescent="0.15">
      <c r="A177" s="97"/>
      <c r="B177" s="97"/>
      <c r="C177" s="98"/>
      <c r="D177" s="97"/>
      <c r="E177" s="97"/>
    </row>
    <row r="178" spans="1:5" ht="42.95" customHeight="1" x14ac:dyDescent="0.15">
      <c r="A178" s="97"/>
      <c r="B178" s="97"/>
      <c r="C178" s="98"/>
      <c r="D178" s="97"/>
      <c r="E178" s="97"/>
    </row>
    <row r="179" spans="1:5" ht="42.95" customHeight="1" x14ac:dyDescent="0.15">
      <c r="A179" s="97"/>
      <c r="B179" s="97"/>
      <c r="C179" s="98"/>
      <c r="D179" s="97"/>
      <c r="E179" s="97"/>
    </row>
    <row r="180" spans="1:5" ht="42.95" customHeight="1" x14ac:dyDescent="0.15">
      <c r="A180" s="97"/>
      <c r="B180" s="97"/>
      <c r="C180" s="98"/>
      <c r="D180" s="97"/>
      <c r="E180" s="97"/>
    </row>
    <row r="181" spans="1:5" ht="42.95" customHeight="1" x14ac:dyDescent="0.15">
      <c r="A181" s="97"/>
      <c r="B181" s="97"/>
      <c r="C181" s="98"/>
      <c r="D181" s="97"/>
      <c r="E181" s="97"/>
    </row>
    <row r="182" spans="1:5" ht="42.95" customHeight="1" x14ac:dyDescent="0.15">
      <c r="A182" s="97"/>
      <c r="B182" s="97"/>
      <c r="C182" s="98"/>
      <c r="D182" s="97"/>
      <c r="E182" s="97"/>
    </row>
    <row r="183" spans="1:5" ht="42.95" customHeight="1" x14ac:dyDescent="0.15">
      <c r="A183" s="97"/>
      <c r="B183" s="97"/>
      <c r="C183" s="98"/>
      <c r="D183" s="97"/>
      <c r="E183" s="97"/>
    </row>
    <row r="184" spans="1:5" ht="42.95" customHeight="1" x14ac:dyDescent="0.15">
      <c r="A184" s="97"/>
      <c r="B184" s="97"/>
      <c r="C184" s="98"/>
      <c r="D184" s="97"/>
      <c r="E184" s="97"/>
    </row>
    <row r="185" spans="1:5" ht="42.95" customHeight="1" x14ac:dyDescent="0.15">
      <c r="A185" s="97"/>
      <c r="B185" s="97"/>
      <c r="C185" s="98"/>
      <c r="D185" s="97"/>
      <c r="E185" s="97"/>
    </row>
    <row r="186" spans="1:5" ht="42.95" customHeight="1" x14ac:dyDescent="0.15">
      <c r="A186" s="97"/>
      <c r="B186" s="97"/>
      <c r="C186" s="98"/>
      <c r="D186" s="97"/>
      <c r="E186" s="97"/>
    </row>
    <row r="187" spans="1:5" ht="42.95" customHeight="1" x14ac:dyDescent="0.15">
      <c r="A187" s="97"/>
      <c r="B187" s="97"/>
      <c r="C187" s="98"/>
      <c r="D187" s="97"/>
      <c r="E187" s="97"/>
    </row>
    <row r="188" spans="1:5" ht="42.95" customHeight="1" x14ac:dyDescent="0.15">
      <c r="A188" s="97"/>
      <c r="B188" s="97"/>
      <c r="C188" s="98"/>
      <c r="D188" s="97"/>
      <c r="E188" s="97"/>
    </row>
    <row r="189" spans="1:5" ht="42.95" customHeight="1" x14ac:dyDescent="0.15">
      <c r="A189" s="97"/>
      <c r="B189" s="97"/>
      <c r="C189" s="98"/>
      <c r="D189" s="97"/>
      <c r="E189" s="97"/>
    </row>
    <row r="190" spans="1:5" ht="42.95" customHeight="1" x14ac:dyDescent="0.15">
      <c r="A190" s="97"/>
      <c r="B190" s="97"/>
      <c r="C190" s="98"/>
      <c r="D190" s="99"/>
      <c r="E190" s="97"/>
    </row>
    <row r="191" spans="1:5" ht="42.95" customHeight="1" x14ac:dyDescent="0.15">
      <c r="A191" s="97"/>
      <c r="B191" s="97"/>
      <c r="C191" s="98"/>
      <c r="D191" s="97"/>
      <c r="E191" s="97"/>
    </row>
    <row r="192" spans="1:5" ht="42.95" customHeight="1" x14ac:dyDescent="0.15">
      <c r="A192" s="97"/>
      <c r="B192" s="97"/>
      <c r="C192" s="98"/>
      <c r="D192" s="97"/>
      <c r="E192" s="97"/>
    </row>
    <row r="193" spans="1:5" ht="42.95" customHeight="1" x14ac:dyDescent="0.15">
      <c r="A193" s="97"/>
      <c r="B193" s="97"/>
      <c r="C193" s="98"/>
      <c r="D193" s="97"/>
      <c r="E193" s="97"/>
    </row>
    <row r="194" spans="1:5" ht="42.95" customHeight="1" x14ac:dyDescent="0.15">
      <c r="A194" s="97"/>
      <c r="B194" s="97"/>
      <c r="C194" s="98"/>
      <c r="D194" s="97"/>
      <c r="E194" s="97"/>
    </row>
    <row r="195" spans="1:5" ht="42.95" customHeight="1" x14ac:dyDescent="0.15">
      <c r="A195" s="97"/>
      <c r="B195" s="97"/>
      <c r="C195" s="98"/>
      <c r="D195" s="97"/>
      <c r="E195" s="97"/>
    </row>
    <row r="196" spans="1:5" ht="42.95" customHeight="1" x14ac:dyDescent="0.15">
      <c r="A196" s="97"/>
      <c r="B196" s="97"/>
      <c r="C196" s="98"/>
      <c r="D196" s="97"/>
      <c r="E196" s="97"/>
    </row>
    <row r="197" spans="1:5" ht="42.95" customHeight="1" x14ac:dyDescent="0.15">
      <c r="A197" s="97"/>
      <c r="B197" s="97"/>
      <c r="C197" s="98"/>
      <c r="D197" s="97"/>
      <c r="E197" s="97"/>
    </row>
    <row r="198" spans="1:5" ht="42.95" customHeight="1" x14ac:dyDescent="0.15">
      <c r="A198" s="97"/>
      <c r="B198" s="97"/>
      <c r="C198" s="98"/>
      <c r="D198" s="97"/>
      <c r="E198" s="97"/>
    </row>
    <row r="199" spans="1:5" ht="42.95" customHeight="1" x14ac:dyDescent="0.15">
      <c r="A199" s="97"/>
      <c r="B199" s="97"/>
      <c r="C199" s="98"/>
      <c r="D199" s="97"/>
      <c r="E199" s="97"/>
    </row>
    <row r="200" spans="1:5" ht="42.95" customHeight="1" x14ac:dyDescent="0.15">
      <c r="A200" s="97"/>
      <c r="B200" s="97"/>
      <c r="C200" s="98"/>
      <c r="D200" s="97"/>
      <c r="E200" s="97"/>
    </row>
    <row r="201" spans="1:5" ht="42.95" customHeight="1" x14ac:dyDescent="0.15">
      <c r="A201" s="97"/>
      <c r="B201" s="97"/>
      <c r="C201" s="98"/>
      <c r="D201" s="97"/>
      <c r="E201" s="97"/>
    </row>
    <row r="202" spans="1:5" ht="42.95" customHeight="1" x14ac:dyDescent="0.15">
      <c r="A202" s="97"/>
      <c r="B202" s="97"/>
      <c r="C202" s="98"/>
      <c r="D202" s="97"/>
      <c r="E202" s="97"/>
    </row>
    <row r="203" spans="1:5" ht="42.95" customHeight="1" x14ac:dyDescent="0.15">
      <c r="A203" s="97"/>
      <c r="B203" s="97"/>
      <c r="C203" s="98"/>
      <c r="D203" s="97"/>
      <c r="E203" s="97"/>
    </row>
    <row r="204" spans="1:5" ht="42.95" customHeight="1" x14ac:dyDescent="0.15">
      <c r="A204" s="97"/>
      <c r="B204" s="97"/>
      <c r="C204" s="98"/>
      <c r="D204" s="97"/>
      <c r="E204" s="97"/>
    </row>
    <row r="205" spans="1:5" ht="42.95" customHeight="1" x14ac:dyDescent="0.15">
      <c r="A205" s="97"/>
      <c r="B205" s="97"/>
      <c r="C205" s="98"/>
      <c r="D205" s="97"/>
      <c r="E205" s="97"/>
    </row>
    <row r="206" spans="1:5" ht="42.95" customHeight="1" x14ac:dyDescent="0.15">
      <c r="A206" s="97"/>
      <c r="B206" s="97"/>
      <c r="C206" s="98"/>
      <c r="D206" s="97"/>
      <c r="E206" s="97"/>
    </row>
    <row r="207" spans="1:5" ht="42.95" customHeight="1" x14ac:dyDescent="0.15">
      <c r="A207" s="97"/>
      <c r="B207" s="97"/>
      <c r="C207" s="98"/>
      <c r="D207" s="97"/>
      <c r="E207" s="97"/>
    </row>
    <row r="208" spans="1:5" ht="14.25" x14ac:dyDescent="0.15">
      <c r="A208" s="97"/>
      <c r="B208" s="97"/>
      <c r="C208" s="98"/>
      <c r="D208" s="97"/>
      <c r="E208" s="97"/>
    </row>
    <row r="209" spans="1:5" ht="14.25" x14ac:dyDescent="0.15">
      <c r="A209" s="97"/>
      <c r="B209" s="97"/>
      <c r="C209" s="98"/>
      <c r="D209" s="97"/>
      <c r="E209" s="97"/>
    </row>
    <row r="210" spans="1:5" ht="14.25" x14ac:dyDescent="0.15">
      <c r="A210" s="97"/>
      <c r="B210" s="97"/>
      <c r="C210" s="98"/>
      <c r="D210" s="97"/>
      <c r="E210" s="97"/>
    </row>
    <row r="211" spans="1:5" ht="14.25" x14ac:dyDescent="0.15">
      <c r="A211" s="97"/>
      <c r="B211" s="97"/>
      <c r="C211" s="98"/>
      <c r="D211" s="97"/>
      <c r="E211" s="97"/>
    </row>
    <row r="212" spans="1:5" ht="14.25" x14ac:dyDescent="0.15">
      <c r="A212" s="97"/>
      <c r="B212" s="97"/>
      <c r="C212" s="98"/>
      <c r="D212" s="97"/>
      <c r="E212" s="97"/>
    </row>
    <row r="213" spans="1:5" ht="14.25" x14ac:dyDescent="0.15">
      <c r="A213" s="97"/>
      <c r="B213" s="97"/>
      <c r="C213" s="98"/>
      <c r="D213" s="97"/>
      <c r="E213" s="97"/>
    </row>
    <row r="214" spans="1:5" ht="14.25" x14ac:dyDescent="0.15">
      <c r="A214" s="97"/>
      <c r="B214" s="97"/>
      <c r="C214" s="98"/>
      <c r="D214" s="97"/>
      <c r="E214" s="97"/>
    </row>
    <row r="215" spans="1:5" ht="14.25" x14ac:dyDescent="0.15">
      <c r="A215" s="97"/>
      <c r="B215" s="97"/>
      <c r="C215" s="98"/>
      <c r="D215" s="97"/>
      <c r="E215" s="97"/>
    </row>
    <row r="216" spans="1:5" ht="14.25" x14ac:dyDescent="0.15">
      <c r="A216" s="97"/>
      <c r="B216" s="97"/>
      <c r="C216" s="98"/>
      <c r="D216" s="97"/>
      <c r="E216" s="97"/>
    </row>
    <row r="217" spans="1:5" ht="14.25" x14ac:dyDescent="0.15">
      <c r="A217" s="97"/>
      <c r="B217" s="97"/>
      <c r="C217" s="98"/>
      <c r="D217" s="97"/>
      <c r="E217" s="97"/>
    </row>
    <row r="218" spans="1:5" ht="14.25" x14ac:dyDescent="0.15">
      <c r="A218" s="97"/>
      <c r="B218" s="97"/>
      <c r="C218" s="98"/>
      <c r="D218" s="97"/>
      <c r="E218" s="97"/>
    </row>
    <row r="219" spans="1:5" ht="14.25" x14ac:dyDescent="0.15">
      <c r="A219" s="97"/>
      <c r="B219" s="97"/>
      <c r="C219" s="98"/>
      <c r="D219" s="97"/>
      <c r="E219" s="97"/>
    </row>
    <row r="220" spans="1:5" ht="14.25" x14ac:dyDescent="0.15">
      <c r="A220" s="97"/>
      <c r="B220" s="97"/>
      <c r="C220" s="98"/>
      <c r="D220" s="97"/>
      <c r="E220" s="97"/>
    </row>
    <row r="221" spans="1:5" ht="14.25" x14ac:dyDescent="0.15">
      <c r="A221" s="97"/>
      <c r="B221" s="97"/>
      <c r="C221" s="98"/>
      <c r="D221" s="97"/>
      <c r="E221" s="97"/>
    </row>
    <row r="222" spans="1:5" ht="14.25" x14ac:dyDescent="0.15">
      <c r="A222" s="97"/>
      <c r="B222" s="97"/>
      <c r="C222" s="98"/>
      <c r="D222" s="97"/>
      <c r="E222" s="97"/>
    </row>
    <row r="223" spans="1:5" ht="14.25" x14ac:dyDescent="0.15">
      <c r="A223" s="97"/>
      <c r="B223" s="97"/>
      <c r="C223" s="98"/>
      <c r="D223" s="97"/>
      <c r="E223" s="97"/>
    </row>
    <row r="224" spans="1:5" ht="14.25" x14ac:dyDescent="0.15">
      <c r="A224" s="97"/>
      <c r="B224" s="97"/>
      <c r="C224" s="98"/>
      <c r="D224" s="97"/>
      <c r="E224" s="97"/>
    </row>
    <row r="225" spans="1:5" ht="14.25" x14ac:dyDescent="0.15">
      <c r="A225" s="97"/>
      <c r="B225" s="97"/>
      <c r="C225" s="98"/>
      <c r="D225" s="97"/>
      <c r="E225" s="97"/>
    </row>
    <row r="226" spans="1:5" ht="14.25" x14ac:dyDescent="0.15">
      <c r="A226" s="97"/>
      <c r="B226" s="97"/>
      <c r="C226" s="98"/>
      <c r="D226" s="97"/>
      <c r="E226" s="9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606-89C4-442C-9241-DAD98BC1972A}">
  <dimension ref="A1:G716"/>
  <sheetViews>
    <sheetView zoomScale="130" zoomScaleNormal="130" workbookViewId="0">
      <pane ySplit="1" topLeftCell="A689" activePane="bottomLeft" state="frozen"/>
      <selection pane="bottomLeft" activeCell="G713" sqref="G713"/>
    </sheetView>
  </sheetViews>
  <sheetFormatPr defaultColWidth="8.875" defaultRowHeight="16.5" x14ac:dyDescent="0.15"/>
  <cols>
    <col min="1" max="1" width="8.25" style="448" customWidth="1"/>
    <col min="2" max="2" width="9.125" style="437" bestFit="1" customWidth="1"/>
    <col min="3" max="3" width="8.875" style="448"/>
    <col min="4" max="4" width="4.5" style="448" customWidth="1"/>
    <col min="5" max="5" width="41.5" style="437" bestFit="1" customWidth="1"/>
    <col min="6" max="6" width="37.375" style="437" customWidth="1"/>
    <col min="7" max="7" width="15" style="437" bestFit="1" customWidth="1"/>
    <col min="8" max="16384" width="8.875" style="437"/>
  </cols>
  <sheetData>
    <row r="1" spans="1:7" ht="26.25" customHeight="1" x14ac:dyDescent="0.15">
      <c r="A1" s="452" t="s">
        <v>2671</v>
      </c>
      <c r="B1" s="450" t="s">
        <v>2670</v>
      </c>
      <c r="C1" s="451" t="s">
        <v>103</v>
      </c>
      <c r="D1" s="451" t="s">
        <v>104</v>
      </c>
      <c r="E1" s="450" t="s">
        <v>2669</v>
      </c>
      <c r="F1" s="449" t="s">
        <v>2668</v>
      </c>
    </row>
    <row r="2" spans="1:7" s="444" customFormat="1" ht="15.95" customHeight="1" x14ac:dyDescent="0.15">
      <c r="A2" s="438">
        <v>1</v>
      </c>
      <c r="B2" s="439" t="s">
        <v>1710</v>
      </c>
      <c r="C2" s="440">
        <v>260</v>
      </c>
      <c r="D2" s="438">
        <v>0</v>
      </c>
      <c r="E2" s="441" t="s">
        <v>116</v>
      </c>
      <c r="F2" s="442" t="s">
        <v>2667</v>
      </c>
      <c r="G2" s="443"/>
    </row>
    <row r="3" spans="1:7" s="444" customFormat="1" ht="15.95" customHeight="1" x14ac:dyDescent="0.15">
      <c r="A3" s="438">
        <v>2</v>
      </c>
      <c r="B3" s="439" t="s">
        <v>1710</v>
      </c>
      <c r="C3" s="440">
        <v>261</v>
      </c>
      <c r="D3" s="438">
        <v>0</v>
      </c>
      <c r="E3" s="441" t="s">
        <v>117</v>
      </c>
      <c r="F3" s="442" t="s">
        <v>2666</v>
      </c>
      <c r="G3" s="443"/>
    </row>
    <row r="4" spans="1:7" s="444" customFormat="1" ht="15.95" customHeight="1" x14ac:dyDescent="0.15">
      <c r="A4" s="438">
        <v>3</v>
      </c>
      <c r="B4" s="439" t="s">
        <v>1710</v>
      </c>
      <c r="C4" s="440">
        <v>262</v>
      </c>
      <c r="D4" s="438">
        <v>0</v>
      </c>
      <c r="E4" s="441" t="s">
        <v>118</v>
      </c>
      <c r="F4" s="442" t="s">
        <v>2665</v>
      </c>
      <c r="G4" s="443"/>
    </row>
    <row r="5" spans="1:7" s="444" customFormat="1" ht="15.95" customHeight="1" x14ac:dyDescent="0.15">
      <c r="A5" s="438">
        <v>4</v>
      </c>
      <c r="B5" s="439" t="s">
        <v>1710</v>
      </c>
      <c r="C5" s="440">
        <v>265</v>
      </c>
      <c r="D5" s="438">
        <v>0</v>
      </c>
      <c r="E5" s="441" t="s">
        <v>119</v>
      </c>
      <c r="F5" s="442" t="s">
        <v>2664</v>
      </c>
      <c r="G5" s="443"/>
    </row>
    <row r="6" spans="1:7" s="444" customFormat="1" ht="15.95" customHeight="1" x14ac:dyDescent="0.15">
      <c r="A6" s="438">
        <v>5</v>
      </c>
      <c r="B6" s="439" t="s">
        <v>1710</v>
      </c>
      <c r="C6" s="440">
        <v>273</v>
      </c>
      <c r="D6" s="438">
        <v>0</v>
      </c>
      <c r="E6" s="441" t="s">
        <v>120</v>
      </c>
      <c r="F6" s="442" t="s">
        <v>2663</v>
      </c>
      <c r="G6" s="443"/>
    </row>
    <row r="7" spans="1:7" s="444" customFormat="1" ht="15.95" customHeight="1" x14ac:dyDescent="0.15">
      <c r="A7" s="438">
        <v>6</v>
      </c>
      <c r="B7" s="439" t="s">
        <v>1710</v>
      </c>
      <c r="C7" s="440">
        <v>274</v>
      </c>
      <c r="D7" s="438">
        <v>0</v>
      </c>
      <c r="E7" s="441" t="s">
        <v>121</v>
      </c>
      <c r="F7" s="442" t="s">
        <v>2662</v>
      </c>
      <c r="G7" s="443"/>
    </row>
    <row r="8" spans="1:7" s="444" customFormat="1" ht="15.95" customHeight="1" x14ac:dyDescent="0.15">
      <c r="A8" s="438">
        <v>7</v>
      </c>
      <c r="B8" s="439" t="s">
        <v>1710</v>
      </c>
      <c r="C8" s="440">
        <v>412</v>
      </c>
      <c r="D8" s="438">
        <v>0</v>
      </c>
      <c r="E8" s="441" t="s">
        <v>122</v>
      </c>
      <c r="F8" s="442" t="s">
        <v>2661</v>
      </c>
      <c r="G8" s="443"/>
    </row>
    <row r="9" spans="1:7" s="444" customFormat="1" ht="15.95" customHeight="1" x14ac:dyDescent="0.15">
      <c r="A9" s="438">
        <v>8</v>
      </c>
      <c r="B9" s="439" t="s">
        <v>1710</v>
      </c>
      <c r="C9" s="440">
        <v>415</v>
      </c>
      <c r="D9" s="438">
        <v>0</v>
      </c>
      <c r="E9" s="441" t="s">
        <v>123</v>
      </c>
      <c r="F9" s="442" t="s">
        <v>2660</v>
      </c>
      <c r="G9" s="443"/>
    </row>
    <row r="10" spans="1:7" s="444" customFormat="1" ht="15.95" customHeight="1" x14ac:dyDescent="0.15">
      <c r="A10" s="438">
        <v>9</v>
      </c>
      <c r="B10" s="439" t="s">
        <v>1710</v>
      </c>
      <c r="C10" s="440">
        <v>420</v>
      </c>
      <c r="D10" s="438">
        <v>0</v>
      </c>
      <c r="E10" s="441" t="s">
        <v>124</v>
      </c>
      <c r="F10" s="442" t="s">
        <v>2659</v>
      </c>
      <c r="G10" s="443"/>
    </row>
    <row r="11" spans="1:7" s="444" customFormat="1" ht="15.95" customHeight="1" x14ac:dyDescent="0.15">
      <c r="A11" s="438">
        <v>10</v>
      </c>
      <c r="B11" s="439" t="s">
        <v>1710</v>
      </c>
      <c r="C11" s="440">
        <v>423</v>
      </c>
      <c r="D11" s="438">
        <v>0</v>
      </c>
      <c r="E11" s="441" t="s">
        <v>125</v>
      </c>
      <c r="F11" s="442" t="s">
        <v>2658</v>
      </c>
      <c r="G11" s="443"/>
    </row>
    <row r="12" spans="1:7" s="444" customFormat="1" ht="15.95" customHeight="1" x14ac:dyDescent="0.15">
      <c r="A12" s="438">
        <v>11</v>
      </c>
      <c r="B12" s="439" t="s">
        <v>1710</v>
      </c>
      <c r="C12" s="440">
        <v>424</v>
      </c>
      <c r="D12" s="438">
        <v>0</v>
      </c>
      <c r="E12" s="441" t="s">
        <v>126</v>
      </c>
      <c r="F12" s="442" t="s">
        <v>2657</v>
      </c>
      <c r="G12" s="443"/>
    </row>
    <row r="13" spans="1:7" s="444" customFormat="1" ht="15.95" customHeight="1" x14ac:dyDescent="0.15">
      <c r="A13" s="438">
        <v>12</v>
      </c>
      <c r="B13" s="439" t="s">
        <v>1710</v>
      </c>
      <c r="C13" s="440">
        <v>425</v>
      </c>
      <c r="D13" s="438">
        <v>0</v>
      </c>
      <c r="E13" s="441" t="s">
        <v>127</v>
      </c>
      <c r="F13" s="442" t="s">
        <v>2656</v>
      </c>
      <c r="G13" s="443"/>
    </row>
    <row r="14" spans="1:7" s="444" customFormat="1" ht="15.95" customHeight="1" x14ac:dyDescent="0.15">
      <c r="A14" s="438">
        <v>13</v>
      </c>
      <c r="B14" s="439" t="s">
        <v>1710</v>
      </c>
      <c r="C14" s="440">
        <v>517</v>
      </c>
      <c r="D14" s="438">
        <v>0</v>
      </c>
      <c r="E14" s="441" t="s">
        <v>128</v>
      </c>
      <c r="F14" s="442" t="s">
        <v>2655</v>
      </c>
      <c r="G14" s="443"/>
    </row>
    <row r="15" spans="1:7" s="444" customFormat="1" ht="15.95" customHeight="1" x14ac:dyDescent="0.15">
      <c r="A15" s="438">
        <v>14</v>
      </c>
      <c r="B15" s="439" t="s">
        <v>1710</v>
      </c>
      <c r="C15" s="440">
        <v>518</v>
      </c>
      <c r="D15" s="438">
        <v>0</v>
      </c>
      <c r="E15" s="441" t="s">
        <v>129</v>
      </c>
      <c r="F15" s="442" t="s">
        <v>2654</v>
      </c>
      <c r="G15" s="443"/>
    </row>
    <row r="16" spans="1:7" s="444" customFormat="1" ht="15.95" customHeight="1" x14ac:dyDescent="0.15">
      <c r="A16" s="438">
        <v>15</v>
      </c>
      <c r="B16" s="439" t="s">
        <v>1710</v>
      </c>
      <c r="C16" s="440">
        <v>521</v>
      </c>
      <c r="D16" s="438">
        <v>0</v>
      </c>
      <c r="E16" s="441" t="s">
        <v>130</v>
      </c>
      <c r="F16" s="442" t="s">
        <v>2653</v>
      </c>
      <c r="G16" s="443"/>
    </row>
    <row r="17" spans="1:7" s="444" customFormat="1" ht="15.95" customHeight="1" x14ac:dyDescent="0.15">
      <c r="A17" s="438">
        <v>16</v>
      </c>
      <c r="B17" s="439" t="s">
        <v>1710</v>
      </c>
      <c r="C17" s="440">
        <v>530</v>
      </c>
      <c r="D17" s="438">
        <v>0</v>
      </c>
      <c r="E17" s="441" t="s">
        <v>131</v>
      </c>
      <c r="F17" s="442" t="s">
        <v>2652</v>
      </c>
      <c r="G17" s="443"/>
    </row>
    <row r="18" spans="1:7" s="444" customFormat="1" ht="15.95" customHeight="1" x14ac:dyDescent="0.15">
      <c r="A18" s="438">
        <v>17</v>
      </c>
      <c r="B18" s="439" t="s">
        <v>1710</v>
      </c>
      <c r="C18" s="440">
        <v>567</v>
      </c>
      <c r="D18" s="438">
        <v>0</v>
      </c>
      <c r="E18" s="441" t="s">
        <v>132</v>
      </c>
      <c r="F18" s="442" t="s">
        <v>2651</v>
      </c>
      <c r="G18" s="443"/>
    </row>
    <row r="19" spans="1:7" s="444" customFormat="1" ht="15.95" customHeight="1" x14ac:dyDescent="0.15">
      <c r="A19" s="438">
        <v>18</v>
      </c>
      <c r="B19" s="439" t="s">
        <v>1710</v>
      </c>
      <c r="C19" s="440">
        <v>668</v>
      </c>
      <c r="D19" s="438">
        <v>0</v>
      </c>
      <c r="E19" s="441" t="s">
        <v>133</v>
      </c>
      <c r="F19" s="442" t="s">
        <v>2650</v>
      </c>
      <c r="G19" s="443"/>
    </row>
    <row r="20" spans="1:7" s="444" customFormat="1" ht="15.95" customHeight="1" x14ac:dyDescent="0.15">
      <c r="A20" s="438">
        <v>19</v>
      </c>
      <c r="B20" s="439" t="s">
        <v>1710</v>
      </c>
      <c r="C20" s="440">
        <v>671</v>
      </c>
      <c r="D20" s="438">
        <v>0</v>
      </c>
      <c r="E20" s="441" t="s">
        <v>134</v>
      </c>
      <c r="F20" s="442" t="s">
        <v>2649</v>
      </c>
      <c r="G20" s="443"/>
    </row>
    <row r="21" spans="1:7" s="444" customFormat="1" ht="15.95" customHeight="1" x14ac:dyDescent="0.15">
      <c r="A21" s="438">
        <v>20</v>
      </c>
      <c r="B21" s="439" t="s">
        <v>1710</v>
      </c>
      <c r="C21" s="440">
        <v>674</v>
      </c>
      <c r="D21" s="438">
        <v>0</v>
      </c>
      <c r="E21" s="441" t="s">
        <v>135</v>
      </c>
      <c r="F21" s="442" t="s">
        <v>2648</v>
      </c>
      <c r="G21" s="443"/>
    </row>
    <row r="22" spans="1:7" s="444" customFormat="1" ht="15.95" customHeight="1" x14ac:dyDescent="0.15">
      <c r="A22" s="438">
        <v>21</v>
      </c>
      <c r="B22" s="439" t="s">
        <v>1710</v>
      </c>
      <c r="C22" s="440">
        <v>675</v>
      </c>
      <c r="D22" s="438">
        <v>0</v>
      </c>
      <c r="E22" s="441" t="s">
        <v>136</v>
      </c>
      <c r="F22" s="442" t="s">
        <v>2647</v>
      </c>
      <c r="G22" s="443"/>
    </row>
    <row r="23" spans="1:7" s="444" customFormat="1" ht="15.95" customHeight="1" x14ac:dyDescent="0.15">
      <c r="A23" s="438">
        <v>22</v>
      </c>
      <c r="B23" s="439" t="s">
        <v>1710</v>
      </c>
      <c r="C23" s="440">
        <v>692</v>
      </c>
      <c r="D23" s="438">
        <v>0</v>
      </c>
      <c r="E23" s="441" t="s">
        <v>137</v>
      </c>
      <c r="F23" s="442" t="s">
        <v>2646</v>
      </c>
      <c r="G23" s="443"/>
    </row>
    <row r="24" spans="1:7" s="444" customFormat="1" ht="15.95" customHeight="1" x14ac:dyDescent="0.15">
      <c r="A24" s="438">
        <v>23</v>
      </c>
      <c r="B24" s="439" t="s">
        <v>1710</v>
      </c>
      <c r="C24" s="440">
        <v>693</v>
      </c>
      <c r="D24" s="438">
        <v>0</v>
      </c>
      <c r="E24" s="441" t="s">
        <v>138</v>
      </c>
      <c r="F24" s="442" t="s">
        <v>2645</v>
      </c>
      <c r="G24" s="443"/>
    </row>
    <row r="25" spans="1:7" s="444" customFormat="1" ht="15.95" customHeight="1" x14ac:dyDescent="0.15">
      <c r="A25" s="438">
        <v>24</v>
      </c>
      <c r="B25" s="439" t="s">
        <v>1710</v>
      </c>
      <c r="C25" s="440">
        <v>694</v>
      </c>
      <c r="D25" s="438">
        <v>0</v>
      </c>
      <c r="E25" s="441" t="s">
        <v>139</v>
      </c>
      <c r="F25" s="442" t="s">
        <v>2644</v>
      </c>
      <c r="G25" s="443"/>
    </row>
    <row r="26" spans="1:7" s="444" customFormat="1" ht="15.95" customHeight="1" x14ac:dyDescent="0.15">
      <c r="A26" s="438">
        <v>25</v>
      </c>
      <c r="B26" s="439" t="s">
        <v>1710</v>
      </c>
      <c r="C26" s="440">
        <v>695</v>
      </c>
      <c r="D26" s="438">
        <v>0</v>
      </c>
      <c r="E26" s="441" t="s">
        <v>140</v>
      </c>
      <c r="F26" s="442" t="s">
        <v>2643</v>
      </c>
      <c r="G26" s="443"/>
    </row>
    <row r="27" spans="1:7" s="444" customFormat="1" ht="15.95" customHeight="1" x14ac:dyDescent="0.15">
      <c r="A27" s="438">
        <v>26</v>
      </c>
      <c r="B27" s="439" t="s">
        <v>1710</v>
      </c>
      <c r="C27" s="440">
        <v>697</v>
      </c>
      <c r="D27" s="438">
        <v>0</v>
      </c>
      <c r="E27" s="441" t="s">
        <v>141</v>
      </c>
      <c r="F27" s="442" t="s">
        <v>2642</v>
      </c>
      <c r="G27" s="443"/>
    </row>
    <row r="28" spans="1:7" s="444" customFormat="1" ht="15.95" customHeight="1" x14ac:dyDescent="0.15">
      <c r="A28" s="438">
        <v>27</v>
      </c>
      <c r="B28" s="439" t="s">
        <v>1710</v>
      </c>
      <c r="C28" s="440">
        <v>698</v>
      </c>
      <c r="D28" s="438">
        <v>0</v>
      </c>
      <c r="E28" s="441" t="s">
        <v>142</v>
      </c>
      <c r="F28" s="442" t="s">
        <v>2641</v>
      </c>
      <c r="G28" s="443"/>
    </row>
    <row r="29" spans="1:7" s="444" customFormat="1" ht="15.95" customHeight="1" x14ac:dyDescent="0.15">
      <c r="A29" s="438">
        <v>28</v>
      </c>
      <c r="B29" s="439" t="s">
        <v>1710</v>
      </c>
      <c r="C29" s="440">
        <v>699</v>
      </c>
      <c r="D29" s="438">
        <v>0</v>
      </c>
      <c r="E29" s="441" t="s">
        <v>143</v>
      </c>
      <c r="F29" s="442" t="s">
        <v>2640</v>
      </c>
      <c r="G29" s="443"/>
    </row>
    <row r="30" spans="1:7" s="444" customFormat="1" ht="15.95" customHeight="1" x14ac:dyDescent="0.15">
      <c r="A30" s="438">
        <v>29</v>
      </c>
      <c r="B30" s="439" t="s">
        <v>1710</v>
      </c>
      <c r="C30" s="440">
        <v>700</v>
      </c>
      <c r="D30" s="438">
        <v>0</v>
      </c>
      <c r="E30" s="441" t="s">
        <v>144</v>
      </c>
      <c r="F30" s="442" t="s">
        <v>2639</v>
      </c>
      <c r="G30" s="443"/>
    </row>
    <row r="31" spans="1:7" s="444" customFormat="1" ht="15.95" customHeight="1" x14ac:dyDescent="0.15">
      <c r="A31" s="438">
        <v>30</v>
      </c>
      <c r="B31" s="439" t="s">
        <v>1710</v>
      </c>
      <c r="C31" s="440">
        <v>774</v>
      </c>
      <c r="D31" s="438">
        <v>0</v>
      </c>
      <c r="E31" s="441" t="s">
        <v>145</v>
      </c>
      <c r="F31" s="442" t="s">
        <v>2638</v>
      </c>
      <c r="G31" s="443"/>
    </row>
    <row r="32" spans="1:7" s="444" customFormat="1" ht="15.95" customHeight="1" x14ac:dyDescent="0.15">
      <c r="A32" s="438">
        <v>31</v>
      </c>
      <c r="B32" s="439" t="s">
        <v>1710</v>
      </c>
      <c r="C32" s="440">
        <v>927</v>
      </c>
      <c r="D32" s="438">
        <v>0</v>
      </c>
      <c r="E32" s="441" t="s">
        <v>146</v>
      </c>
      <c r="F32" s="442" t="s">
        <v>2637</v>
      </c>
      <c r="G32" s="443"/>
    </row>
    <row r="33" spans="1:7" s="444" customFormat="1" ht="15.95" customHeight="1" x14ac:dyDescent="0.15">
      <c r="A33" s="438">
        <v>32</v>
      </c>
      <c r="B33" s="439" t="s">
        <v>1710</v>
      </c>
      <c r="C33" s="440">
        <v>928</v>
      </c>
      <c r="D33" s="438">
        <v>0</v>
      </c>
      <c r="E33" s="441" t="s">
        <v>147</v>
      </c>
      <c r="F33" s="442" t="s">
        <v>2636</v>
      </c>
      <c r="G33" s="443"/>
    </row>
    <row r="34" spans="1:7" s="444" customFormat="1" ht="15.95" customHeight="1" x14ac:dyDescent="0.15">
      <c r="A34" s="438">
        <v>33</v>
      </c>
      <c r="B34" s="439" t="s">
        <v>1710</v>
      </c>
      <c r="C34" s="440">
        <v>929</v>
      </c>
      <c r="D34" s="438">
        <v>0</v>
      </c>
      <c r="E34" s="441" t="s">
        <v>148</v>
      </c>
      <c r="F34" s="442" t="s">
        <v>2635</v>
      </c>
      <c r="G34" s="443"/>
    </row>
    <row r="35" spans="1:7" s="444" customFormat="1" ht="15.95" customHeight="1" x14ac:dyDescent="0.15">
      <c r="A35" s="438">
        <v>34</v>
      </c>
      <c r="B35" s="439" t="s">
        <v>1710</v>
      </c>
      <c r="C35" s="440">
        <v>930</v>
      </c>
      <c r="D35" s="438">
        <v>0</v>
      </c>
      <c r="E35" s="441" t="s">
        <v>149</v>
      </c>
      <c r="F35" s="442" t="s">
        <v>2634</v>
      </c>
      <c r="G35" s="443"/>
    </row>
    <row r="36" spans="1:7" s="444" customFormat="1" ht="15.95" customHeight="1" x14ac:dyDescent="0.15">
      <c r="A36" s="438">
        <v>35</v>
      </c>
      <c r="B36" s="439" t="s">
        <v>1710</v>
      </c>
      <c r="C36" s="440">
        <v>933</v>
      </c>
      <c r="D36" s="438">
        <v>0</v>
      </c>
      <c r="E36" s="441" t="s">
        <v>150</v>
      </c>
      <c r="F36" s="442" t="s">
        <v>2633</v>
      </c>
      <c r="G36" s="443"/>
    </row>
    <row r="37" spans="1:7" s="444" customFormat="1" ht="15.95" customHeight="1" x14ac:dyDescent="0.15">
      <c r="A37" s="438">
        <v>36</v>
      </c>
      <c r="B37" s="439" t="s">
        <v>1710</v>
      </c>
      <c r="C37" s="440">
        <v>957</v>
      </c>
      <c r="D37" s="438">
        <v>0</v>
      </c>
      <c r="E37" s="441" t="s">
        <v>151</v>
      </c>
      <c r="F37" s="442" t="s">
        <v>2632</v>
      </c>
      <c r="G37" s="443"/>
    </row>
    <row r="38" spans="1:7" s="444" customFormat="1" ht="15.95" customHeight="1" x14ac:dyDescent="0.15">
      <c r="A38" s="438">
        <v>37</v>
      </c>
      <c r="B38" s="439" t="s">
        <v>1710</v>
      </c>
      <c r="C38" s="440">
        <v>958</v>
      </c>
      <c r="D38" s="438">
        <v>0</v>
      </c>
      <c r="E38" s="441" t="s">
        <v>152</v>
      </c>
      <c r="F38" s="442" t="s">
        <v>2631</v>
      </c>
      <c r="G38" s="443"/>
    </row>
    <row r="39" spans="1:7" s="444" customFormat="1" ht="15.95" customHeight="1" x14ac:dyDescent="0.15">
      <c r="A39" s="438">
        <v>38</v>
      </c>
      <c r="B39" s="439" t="s">
        <v>1710</v>
      </c>
      <c r="C39" s="440">
        <v>959</v>
      </c>
      <c r="D39" s="438">
        <v>0</v>
      </c>
      <c r="E39" s="441" t="s">
        <v>153</v>
      </c>
      <c r="F39" s="442" t="s">
        <v>2630</v>
      </c>
      <c r="G39" s="443"/>
    </row>
    <row r="40" spans="1:7" s="444" customFormat="1" ht="15.95" customHeight="1" x14ac:dyDescent="0.15">
      <c r="A40" s="438">
        <v>39</v>
      </c>
      <c r="B40" s="439" t="s">
        <v>1710</v>
      </c>
      <c r="C40" s="440">
        <v>960</v>
      </c>
      <c r="D40" s="438">
        <v>0</v>
      </c>
      <c r="E40" s="441" t="s">
        <v>154</v>
      </c>
      <c r="F40" s="442" t="s">
        <v>2629</v>
      </c>
      <c r="G40" s="443"/>
    </row>
    <row r="41" spans="1:7" s="444" customFormat="1" ht="15.95" customHeight="1" x14ac:dyDescent="0.15">
      <c r="A41" s="438">
        <v>40</v>
      </c>
      <c r="B41" s="439" t="s">
        <v>1710</v>
      </c>
      <c r="C41" s="440">
        <v>961</v>
      </c>
      <c r="D41" s="438">
        <v>0</v>
      </c>
      <c r="E41" s="441" t="s">
        <v>155</v>
      </c>
      <c r="F41" s="442" t="s">
        <v>2628</v>
      </c>
      <c r="G41" s="443"/>
    </row>
    <row r="42" spans="1:7" s="444" customFormat="1" ht="15.95" customHeight="1" x14ac:dyDescent="0.15">
      <c r="A42" s="438">
        <v>41</v>
      </c>
      <c r="B42" s="439" t="s">
        <v>1710</v>
      </c>
      <c r="C42" s="440">
        <v>962</v>
      </c>
      <c r="D42" s="438">
        <v>0</v>
      </c>
      <c r="E42" s="441" t="s">
        <v>156</v>
      </c>
      <c r="F42" s="442" t="s">
        <v>2627</v>
      </c>
      <c r="G42" s="443"/>
    </row>
    <row r="43" spans="1:7" s="444" customFormat="1" ht="15.95" customHeight="1" x14ac:dyDescent="0.15">
      <c r="A43" s="438">
        <v>42</v>
      </c>
      <c r="B43" s="439" t="s">
        <v>1710</v>
      </c>
      <c r="C43" s="440">
        <v>1038</v>
      </c>
      <c r="D43" s="438">
        <v>0</v>
      </c>
      <c r="E43" s="441" t="s">
        <v>157</v>
      </c>
      <c r="F43" s="442" t="s">
        <v>2626</v>
      </c>
      <c r="G43" s="443"/>
    </row>
    <row r="44" spans="1:7" s="444" customFormat="1" ht="15.95" customHeight="1" x14ac:dyDescent="0.15">
      <c r="A44" s="438">
        <v>43</v>
      </c>
      <c r="B44" s="439" t="s">
        <v>1710</v>
      </c>
      <c r="C44" s="440">
        <v>1041</v>
      </c>
      <c r="D44" s="438">
        <v>0</v>
      </c>
      <c r="E44" s="441" t="s">
        <v>158</v>
      </c>
      <c r="F44" s="442" t="s">
        <v>2625</v>
      </c>
      <c r="G44" s="443"/>
    </row>
    <row r="45" spans="1:7" s="444" customFormat="1" ht="15.95" customHeight="1" x14ac:dyDescent="0.15">
      <c r="A45" s="438">
        <v>44</v>
      </c>
      <c r="B45" s="439" t="s">
        <v>1710</v>
      </c>
      <c r="C45" s="440">
        <v>1042</v>
      </c>
      <c r="D45" s="438">
        <v>0</v>
      </c>
      <c r="E45" s="441" t="s">
        <v>159</v>
      </c>
      <c r="F45" s="442" t="s">
        <v>2624</v>
      </c>
      <c r="G45" s="443"/>
    </row>
    <row r="46" spans="1:7" s="444" customFormat="1" ht="15.95" customHeight="1" x14ac:dyDescent="0.15">
      <c r="A46" s="438">
        <v>45</v>
      </c>
      <c r="B46" s="439" t="s">
        <v>1710</v>
      </c>
      <c r="C46" s="440">
        <v>1294</v>
      </c>
      <c r="D46" s="438">
        <v>0</v>
      </c>
      <c r="E46" s="441" t="s">
        <v>160</v>
      </c>
      <c r="F46" s="442" t="s">
        <v>2623</v>
      </c>
      <c r="G46" s="443"/>
    </row>
    <row r="47" spans="1:7" s="444" customFormat="1" ht="15.95" customHeight="1" x14ac:dyDescent="0.15">
      <c r="A47" s="438">
        <v>46</v>
      </c>
      <c r="B47" s="439" t="s">
        <v>1710</v>
      </c>
      <c r="C47" s="440">
        <v>1297</v>
      </c>
      <c r="D47" s="438">
        <v>0</v>
      </c>
      <c r="E47" s="441" t="s">
        <v>161</v>
      </c>
      <c r="F47" s="442" t="s">
        <v>2622</v>
      </c>
      <c r="G47" s="443"/>
    </row>
    <row r="48" spans="1:7" s="444" customFormat="1" ht="15.95" customHeight="1" x14ac:dyDescent="0.15">
      <c r="A48" s="438">
        <v>47</v>
      </c>
      <c r="B48" s="439" t="s">
        <v>1710</v>
      </c>
      <c r="C48" s="440">
        <v>1298</v>
      </c>
      <c r="D48" s="438">
        <v>0</v>
      </c>
      <c r="E48" s="441" t="s">
        <v>162</v>
      </c>
      <c r="F48" s="442" t="s">
        <v>2621</v>
      </c>
      <c r="G48" s="443"/>
    </row>
    <row r="49" spans="1:7" s="444" customFormat="1" ht="15.95" customHeight="1" x14ac:dyDescent="0.15">
      <c r="A49" s="438">
        <v>48</v>
      </c>
      <c r="B49" s="439" t="s">
        <v>1710</v>
      </c>
      <c r="C49" s="440">
        <v>1537</v>
      </c>
      <c r="D49" s="438">
        <v>0</v>
      </c>
      <c r="E49" s="441" t="s">
        <v>163</v>
      </c>
      <c r="F49" s="442" t="s">
        <v>2620</v>
      </c>
      <c r="G49" s="443"/>
    </row>
    <row r="50" spans="1:7" s="444" customFormat="1" ht="15.95" customHeight="1" x14ac:dyDescent="0.15">
      <c r="A50" s="438">
        <v>49</v>
      </c>
      <c r="B50" s="439" t="s">
        <v>1710</v>
      </c>
      <c r="C50" s="440">
        <v>1626</v>
      </c>
      <c r="D50" s="438">
        <v>0</v>
      </c>
      <c r="E50" s="441" t="s">
        <v>164</v>
      </c>
      <c r="F50" s="442" t="s">
        <v>2619</v>
      </c>
      <c r="G50" s="443"/>
    </row>
    <row r="51" spans="1:7" s="444" customFormat="1" ht="15.95" customHeight="1" x14ac:dyDescent="0.15">
      <c r="A51" s="438">
        <v>50</v>
      </c>
      <c r="B51" s="439" t="s">
        <v>1710</v>
      </c>
      <c r="C51" s="440">
        <v>1627</v>
      </c>
      <c r="D51" s="438">
        <v>0</v>
      </c>
      <c r="E51" s="441" t="s">
        <v>165</v>
      </c>
      <c r="F51" s="442" t="s">
        <v>2618</v>
      </c>
      <c r="G51" s="443"/>
    </row>
    <row r="52" spans="1:7" s="444" customFormat="1" ht="15.95" customHeight="1" x14ac:dyDescent="0.15">
      <c r="A52" s="438">
        <v>51</v>
      </c>
      <c r="B52" s="439" t="s">
        <v>1710</v>
      </c>
      <c r="C52" s="440">
        <v>1628</v>
      </c>
      <c r="D52" s="438">
        <v>0</v>
      </c>
      <c r="E52" s="441" t="s">
        <v>166</v>
      </c>
      <c r="F52" s="442" t="s">
        <v>2617</v>
      </c>
      <c r="G52" s="443"/>
    </row>
    <row r="53" spans="1:7" s="444" customFormat="1" ht="15.95" customHeight="1" x14ac:dyDescent="0.15">
      <c r="A53" s="438">
        <v>52</v>
      </c>
      <c r="B53" s="439" t="s">
        <v>1710</v>
      </c>
      <c r="C53" s="440">
        <v>1630</v>
      </c>
      <c r="D53" s="438">
        <v>0</v>
      </c>
      <c r="E53" s="441" t="s">
        <v>167</v>
      </c>
      <c r="F53" s="442" t="s">
        <v>2616</v>
      </c>
      <c r="G53" s="443"/>
    </row>
    <row r="54" spans="1:7" s="444" customFormat="1" ht="15.95" customHeight="1" x14ac:dyDescent="0.15">
      <c r="A54" s="438">
        <v>53</v>
      </c>
      <c r="B54" s="439" t="s">
        <v>1710</v>
      </c>
      <c r="C54" s="440">
        <v>1631</v>
      </c>
      <c r="D54" s="438">
        <v>0</v>
      </c>
      <c r="E54" s="441" t="s">
        <v>168</v>
      </c>
      <c r="F54" s="442" t="s">
        <v>2615</v>
      </c>
      <c r="G54" s="443"/>
    </row>
    <row r="55" spans="1:7" s="444" customFormat="1" ht="15.95" customHeight="1" x14ac:dyDescent="0.15">
      <c r="A55" s="438">
        <v>54</v>
      </c>
      <c r="B55" s="439" t="s">
        <v>1710</v>
      </c>
      <c r="C55" s="440">
        <v>1634</v>
      </c>
      <c r="D55" s="438">
        <v>0</v>
      </c>
      <c r="E55" s="441" t="s">
        <v>169</v>
      </c>
      <c r="F55" s="442" t="s">
        <v>2614</v>
      </c>
      <c r="G55" s="443"/>
    </row>
    <row r="56" spans="1:7" s="444" customFormat="1" ht="15.95" customHeight="1" x14ac:dyDescent="0.15">
      <c r="A56" s="438">
        <v>55</v>
      </c>
      <c r="B56" s="439" t="s">
        <v>1710</v>
      </c>
      <c r="C56" s="440">
        <v>1636</v>
      </c>
      <c r="D56" s="438">
        <v>0</v>
      </c>
      <c r="E56" s="441" t="s">
        <v>170</v>
      </c>
      <c r="F56" s="442" t="s">
        <v>2613</v>
      </c>
      <c r="G56" s="443"/>
    </row>
    <row r="57" spans="1:7" s="444" customFormat="1" ht="15.95" customHeight="1" x14ac:dyDescent="0.15">
      <c r="A57" s="438">
        <v>56</v>
      </c>
      <c r="B57" s="439" t="s">
        <v>1710</v>
      </c>
      <c r="C57" s="440">
        <v>1637</v>
      </c>
      <c r="D57" s="438">
        <v>0</v>
      </c>
      <c r="E57" s="441" t="s">
        <v>171</v>
      </c>
      <c r="F57" s="442" t="s">
        <v>2612</v>
      </c>
      <c r="G57" s="443"/>
    </row>
    <row r="58" spans="1:7" s="444" customFormat="1" ht="15.95" customHeight="1" x14ac:dyDescent="0.15">
      <c r="A58" s="438">
        <v>57</v>
      </c>
      <c r="B58" s="439" t="s">
        <v>1710</v>
      </c>
      <c r="C58" s="440">
        <v>1638</v>
      </c>
      <c r="D58" s="438">
        <v>0</v>
      </c>
      <c r="E58" s="441" t="s">
        <v>172</v>
      </c>
      <c r="F58" s="442" t="s">
        <v>2611</v>
      </c>
      <c r="G58" s="443"/>
    </row>
    <row r="59" spans="1:7" s="444" customFormat="1" ht="15.95" customHeight="1" x14ac:dyDescent="0.15">
      <c r="A59" s="438">
        <v>58</v>
      </c>
      <c r="B59" s="439" t="s">
        <v>1710</v>
      </c>
      <c r="C59" s="440">
        <v>1639</v>
      </c>
      <c r="D59" s="438">
        <v>0</v>
      </c>
      <c r="E59" s="441" t="s">
        <v>173</v>
      </c>
      <c r="F59" s="442" t="s">
        <v>2610</v>
      </c>
      <c r="G59" s="443"/>
    </row>
    <row r="60" spans="1:7" s="444" customFormat="1" ht="15.95" customHeight="1" x14ac:dyDescent="0.15">
      <c r="A60" s="438">
        <v>59</v>
      </c>
      <c r="B60" s="439" t="s">
        <v>1710</v>
      </c>
      <c r="C60" s="440">
        <v>1645</v>
      </c>
      <c r="D60" s="438">
        <v>0</v>
      </c>
      <c r="E60" s="441" t="s">
        <v>174</v>
      </c>
      <c r="F60" s="442" t="s">
        <v>2609</v>
      </c>
      <c r="G60" s="443"/>
    </row>
    <row r="61" spans="1:7" s="444" customFormat="1" ht="15.95" customHeight="1" x14ac:dyDescent="0.15">
      <c r="A61" s="438">
        <v>60</v>
      </c>
      <c r="B61" s="439" t="s">
        <v>1710</v>
      </c>
      <c r="C61" s="440">
        <v>1646</v>
      </c>
      <c r="D61" s="438">
        <v>0</v>
      </c>
      <c r="E61" s="441" t="s">
        <v>175</v>
      </c>
      <c r="F61" s="442" t="s">
        <v>2608</v>
      </c>
      <c r="G61" s="443"/>
    </row>
    <row r="62" spans="1:7" s="444" customFormat="1" ht="15.95" customHeight="1" x14ac:dyDescent="0.15">
      <c r="A62" s="438">
        <v>61</v>
      </c>
      <c r="B62" s="439" t="s">
        <v>1710</v>
      </c>
      <c r="C62" s="440">
        <v>1647</v>
      </c>
      <c r="D62" s="438">
        <v>0</v>
      </c>
      <c r="E62" s="441" t="s">
        <v>176</v>
      </c>
      <c r="F62" s="442" t="s">
        <v>2607</v>
      </c>
      <c r="G62" s="443"/>
    </row>
    <row r="63" spans="1:7" s="444" customFormat="1" ht="15.95" customHeight="1" x14ac:dyDescent="0.15">
      <c r="A63" s="438">
        <v>62</v>
      </c>
      <c r="B63" s="439" t="s">
        <v>1710</v>
      </c>
      <c r="C63" s="440">
        <v>1656</v>
      </c>
      <c r="D63" s="438">
        <v>0</v>
      </c>
      <c r="E63" s="441" t="s">
        <v>177</v>
      </c>
      <c r="F63" s="442" t="s">
        <v>2606</v>
      </c>
      <c r="G63" s="443"/>
    </row>
    <row r="64" spans="1:7" s="444" customFormat="1" ht="15.95" customHeight="1" x14ac:dyDescent="0.15">
      <c r="A64" s="438">
        <v>63</v>
      </c>
      <c r="B64" s="439" t="s">
        <v>1710</v>
      </c>
      <c r="C64" s="440">
        <v>1657</v>
      </c>
      <c r="D64" s="438">
        <v>0</v>
      </c>
      <c r="E64" s="441" t="s">
        <v>178</v>
      </c>
      <c r="F64" s="442" t="s">
        <v>2605</v>
      </c>
      <c r="G64" s="443"/>
    </row>
    <row r="65" spans="1:7" s="444" customFormat="1" ht="15.95" customHeight="1" x14ac:dyDescent="0.15">
      <c r="A65" s="438">
        <v>64</v>
      </c>
      <c r="B65" s="439" t="s">
        <v>1710</v>
      </c>
      <c r="C65" s="440">
        <v>1658</v>
      </c>
      <c r="D65" s="438">
        <v>0</v>
      </c>
      <c r="E65" s="441" t="s">
        <v>179</v>
      </c>
      <c r="F65" s="442" t="s">
        <v>2604</v>
      </c>
      <c r="G65" s="443"/>
    </row>
    <row r="66" spans="1:7" s="444" customFormat="1" ht="15.95" customHeight="1" x14ac:dyDescent="0.15">
      <c r="A66" s="438">
        <v>65</v>
      </c>
      <c r="B66" s="439" t="s">
        <v>1710</v>
      </c>
      <c r="C66" s="440">
        <v>1660</v>
      </c>
      <c r="D66" s="438">
        <v>0</v>
      </c>
      <c r="E66" s="441" t="s">
        <v>180</v>
      </c>
      <c r="F66" s="442" t="s">
        <v>2603</v>
      </c>
      <c r="G66" s="443"/>
    </row>
    <row r="67" spans="1:7" s="444" customFormat="1" ht="15.95" customHeight="1" x14ac:dyDescent="0.15">
      <c r="A67" s="438">
        <v>66</v>
      </c>
      <c r="B67" s="439" t="s">
        <v>1710</v>
      </c>
      <c r="C67" s="440">
        <v>1661</v>
      </c>
      <c r="D67" s="438">
        <v>0</v>
      </c>
      <c r="E67" s="441" t="s">
        <v>181</v>
      </c>
      <c r="F67" s="442" t="s">
        <v>2602</v>
      </c>
      <c r="G67" s="443"/>
    </row>
    <row r="68" spans="1:7" s="444" customFormat="1" ht="15.95" customHeight="1" x14ac:dyDescent="0.15">
      <c r="A68" s="438">
        <v>67</v>
      </c>
      <c r="B68" s="439" t="s">
        <v>1710</v>
      </c>
      <c r="C68" s="440">
        <v>1664</v>
      </c>
      <c r="D68" s="438">
        <v>0</v>
      </c>
      <c r="E68" s="441" t="s">
        <v>182</v>
      </c>
      <c r="F68" s="442" t="s">
        <v>2601</v>
      </c>
      <c r="G68" s="443"/>
    </row>
    <row r="69" spans="1:7" s="444" customFormat="1" ht="15.95" customHeight="1" x14ac:dyDescent="0.15">
      <c r="A69" s="438">
        <v>68</v>
      </c>
      <c r="B69" s="439" t="s">
        <v>1710</v>
      </c>
      <c r="C69" s="440">
        <v>1666</v>
      </c>
      <c r="D69" s="438">
        <v>0</v>
      </c>
      <c r="E69" s="441" t="s">
        <v>2600</v>
      </c>
      <c r="F69" s="442" t="s">
        <v>2599</v>
      </c>
      <c r="G69" s="443"/>
    </row>
    <row r="70" spans="1:7" s="444" customFormat="1" ht="15.95" customHeight="1" x14ac:dyDescent="0.15">
      <c r="A70" s="438">
        <v>69</v>
      </c>
      <c r="B70" s="439" t="s">
        <v>1710</v>
      </c>
      <c r="C70" s="440">
        <v>1667</v>
      </c>
      <c r="D70" s="438">
        <v>0</v>
      </c>
      <c r="E70" s="441" t="s">
        <v>183</v>
      </c>
      <c r="F70" s="442" t="s">
        <v>2598</v>
      </c>
      <c r="G70" s="443"/>
    </row>
    <row r="71" spans="1:7" s="444" customFormat="1" ht="15.95" customHeight="1" x14ac:dyDescent="0.15">
      <c r="A71" s="438">
        <v>70</v>
      </c>
      <c r="B71" s="439" t="s">
        <v>1710</v>
      </c>
      <c r="C71" s="440">
        <v>1668</v>
      </c>
      <c r="D71" s="438">
        <v>0</v>
      </c>
      <c r="E71" s="441" t="s">
        <v>184</v>
      </c>
      <c r="F71" s="442" t="s">
        <v>2597</v>
      </c>
      <c r="G71" s="443"/>
    </row>
    <row r="72" spans="1:7" s="444" customFormat="1" ht="15.95" customHeight="1" x14ac:dyDescent="0.15">
      <c r="A72" s="438">
        <v>71</v>
      </c>
      <c r="B72" s="439" t="s">
        <v>1710</v>
      </c>
      <c r="C72" s="440">
        <v>1669</v>
      </c>
      <c r="D72" s="438">
        <v>0</v>
      </c>
      <c r="E72" s="441" t="s">
        <v>2596</v>
      </c>
      <c r="F72" s="442" t="s">
        <v>2595</v>
      </c>
      <c r="G72" s="443"/>
    </row>
    <row r="73" spans="1:7" s="444" customFormat="1" ht="15.95" customHeight="1" x14ac:dyDescent="0.15">
      <c r="A73" s="438">
        <v>72</v>
      </c>
      <c r="B73" s="439" t="s">
        <v>1710</v>
      </c>
      <c r="C73" s="440">
        <v>1675</v>
      </c>
      <c r="D73" s="438">
        <v>0</v>
      </c>
      <c r="E73" s="441" t="s">
        <v>185</v>
      </c>
      <c r="F73" s="442" t="s">
        <v>2594</v>
      </c>
      <c r="G73" s="443"/>
    </row>
    <row r="74" spans="1:7" s="444" customFormat="1" ht="15.95" customHeight="1" x14ac:dyDescent="0.15">
      <c r="A74" s="438">
        <v>73</v>
      </c>
      <c r="B74" s="439" t="s">
        <v>1710</v>
      </c>
      <c r="C74" s="440">
        <v>1676</v>
      </c>
      <c r="D74" s="438">
        <v>0</v>
      </c>
      <c r="E74" s="441" t="s">
        <v>186</v>
      </c>
      <c r="F74" s="442" t="s">
        <v>2593</v>
      </c>
      <c r="G74" s="443"/>
    </row>
    <row r="75" spans="1:7" s="444" customFormat="1" ht="15.95" customHeight="1" x14ac:dyDescent="0.15">
      <c r="A75" s="438">
        <v>74</v>
      </c>
      <c r="B75" s="439" t="s">
        <v>1710</v>
      </c>
      <c r="C75" s="440">
        <v>1678</v>
      </c>
      <c r="D75" s="438">
        <v>0</v>
      </c>
      <c r="E75" s="441" t="s">
        <v>2592</v>
      </c>
      <c r="F75" s="442" t="s">
        <v>2591</v>
      </c>
      <c r="G75" s="443"/>
    </row>
    <row r="76" spans="1:7" s="444" customFormat="1" ht="15.95" customHeight="1" x14ac:dyDescent="0.15">
      <c r="A76" s="438">
        <v>75</v>
      </c>
      <c r="B76" s="439" t="s">
        <v>1710</v>
      </c>
      <c r="C76" s="440">
        <v>1680</v>
      </c>
      <c r="D76" s="438">
        <v>0</v>
      </c>
      <c r="E76" s="441" t="s">
        <v>187</v>
      </c>
      <c r="F76" s="442" t="s">
        <v>2590</v>
      </c>
      <c r="G76" s="443"/>
    </row>
    <row r="77" spans="1:7" s="444" customFormat="1" ht="15.95" customHeight="1" x14ac:dyDescent="0.15">
      <c r="A77" s="438">
        <v>76</v>
      </c>
      <c r="B77" s="439" t="s">
        <v>1710</v>
      </c>
      <c r="C77" s="440">
        <v>1806</v>
      </c>
      <c r="D77" s="438">
        <v>0</v>
      </c>
      <c r="E77" s="441" t="s">
        <v>188</v>
      </c>
      <c r="F77" s="442" t="s">
        <v>2589</v>
      </c>
      <c r="G77" s="443"/>
    </row>
    <row r="78" spans="1:7" s="444" customFormat="1" ht="15.95" customHeight="1" x14ac:dyDescent="0.15">
      <c r="A78" s="438">
        <v>77</v>
      </c>
      <c r="B78" s="439" t="s">
        <v>1710</v>
      </c>
      <c r="C78" s="440">
        <v>1811</v>
      </c>
      <c r="D78" s="438">
        <v>0</v>
      </c>
      <c r="E78" s="441" t="s">
        <v>189</v>
      </c>
      <c r="F78" s="442" t="s">
        <v>2588</v>
      </c>
      <c r="G78" s="443"/>
    </row>
    <row r="79" spans="1:7" s="444" customFormat="1" ht="15.95" customHeight="1" x14ac:dyDescent="0.15">
      <c r="A79" s="438">
        <v>78</v>
      </c>
      <c r="B79" s="439" t="s">
        <v>1710</v>
      </c>
      <c r="C79" s="440">
        <v>1851</v>
      </c>
      <c r="D79" s="438">
        <v>0</v>
      </c>
      <c r="E79" s="441" t="s">
        <v>190</v>
      </c>
      <c r="F79" s="442" t="s">
        <v>2587</v>
      </c>
      <c r="G79" s="443"/>
    </row>
    <row r="80" spans="1:7" s="444" customFormat="1" ht="15.95" customHeight="1" x14ac:dyDescent="0.15">
      <c r="A80" s="438">
        <v>79</v>
      </c>
      <c r="B80" s="439" t="s">
        <v>1710</v>
      </c>
      <c r="C80" s="440">
        <v>2573</v>
      </c>
      <c r="D80" s="438">
        <v>0</v>
      </c>
      <c r="E80" s="441" t="s">
        <v>191</v>
      </c>
      <c r="F80" s="442" t="s">
        <v>2586</v>
      </c>
      <c r="G80" s="443"/>
    </row>
    <row r="81" spans="1:7" s="444" customFormat="1" ht="15.95" customHeight="1" x14ac:dyDescent="0.15">
      <c r="A81" s="438">
        <v>80</v>
      </c>
      <c r="B81" s="439" t="s">
        <v>1710</v>
      </c>
      <c r="C81" s="440">
        <v>3161</v>
      </c>
      <c r="D81" s="438">
        <v>0</v>
      </c>
      <c r="E81" s="441" t="s">
        <v>192</v>
      </c>
      <c r="F81" s="442" t="s">
        <v>2585</v>
      </c>
      <c r="G81" s="443"/>
    </row>
    <row r="82" spans="1:7" s="444" customFormat="1" ht="15.95" customHeight="1" x14ac:dyDescent="0.15">
      <c r="A82" s="438">
        <v>81</v>
      </c>
      <c r="B82" s="439" t="s">
        <v>1710</v>
      </c>
      <c r="C82" s="440">
        <v>3586</v>
      </c>
      <c r="D82" s="438">
        <v>0</v>
      </c>
      <c r="E82" s="441" t="s">
        <v>193</v>
      </c>
      <c r="F82" s="442" t="s">
        <v>2584</v>
      </c>
      <c r="G82" s="443"/>
    </row>
    <row r="83" spans="1:7" s="444" customFormat="1" ht="15.95" customHeight="1" x14ac:dyDescent="0.15">
      <c r="A83" s="438">
        <v>82</v>
      </c>
      <c r="B83" s="439" t="s">
        <v>1710</v>
      </c>
      <c r="C83" s="440">
        <v>3594</v>
      </c>
      <c r="D83" s="438">
        <v>0</v>
      </c>
      <c r="E83" s="441" t="s">
        <v>194</v>
      </c>
      <c r="F83" s="442" t="s">
        <v>2583</v>
      </c>
      <c r="G83" s="443"/>
    </row>
    <row r="84" spans="1:7" s="444" customFormat="1" ht="15.95" customHeight="1" x14ac:dyDescent="0.15">
      <c r="A84" s="438">
        <v>83</v>
      </c>
      <c r="B84" s="439" t="s">
        <v>1710</v>
      </c>
      <c r="C84" s="440">
        <v>3597</v>
      </c>
      <c r="D84" s="438">
        <v>0</v>
      </c>
      <c r="E84" s="441" t="s">
        <v>195</v>
      </c>
      <c r="F84" s="442" t="s">
        <v>2582</v>
      </c>
      <c r="G84" s="443"/>
    </row>
    <row r="85" spans="1:7" s="444" customFormat="1" ht="15.95" customHeight="1" x14ac:dyDescent="0.15">
      <c r="A85" s="438">
        <v>84</v>
      </c>
      <c r="B85" s="439" t="s">
        <v>1710</v>
      </c>
      <c r="C85" s="440">
        <v>3598</v>
      </c>
      <c r="D85" s="438">
        <v>0</v>
      </c>
      <c r="E85" s="441" t="s">
        <v>196</v>
      </c>
      <c r="F85" s="442" t="s">
        <v>2581</v>
      </c>
      <c r="G85" s="443"/>
    </row>
    <row r="86" spans="1:7" s="444" customFormat="1" ht="15.95" customHeight="1" x14ac:dyDescent="0.15">
      <c r="A86" s="438">
        <v>85</v>
      </c>
      <c r="B86" s="439" t="s">
        <v>1710</v>
      </c>
      <c r="C86" s="440">
        <v>3853</v>
      </c>
      <c r="D86" s="438">
        <v>0</v>
      </c>
      <c r="E86" s="441" t="s">
        <v>197</v>
      </c>
      <c r="F86" s="442" t="s">
        <v>2580</v>
      </c>
      <c r="G86" s="443"/>
    </row>
    <row r="87" spans="1:7" s="444" customFormat="1" ht="15.95" customHeight="1" x14ac:dyDescent="0.15">
      <c r="A87" s="438">
        <v>86</v>
      </c>
      <c r="B87" s="439" t="s">
        <v>1710</v>
      </c>
      <c r="C87" s="440">
        <v>4953</v>
      </c>
      <c r="D87" s="438">
        <v>0</v>
      </c>
      <c r="E87" s="441" t="s">
        <v>2579</v>
      </c>
      <c r="F87" s="442" t="s">
        <v>2578</v>
      </c>
      <c r="G87" s="443"/>
    </row>
    <row r="88" spans="1:7" s="444" customFormat="1" ht="15.95" customHeight="1" x14ac:dyDescent="0.15">
      <c r="A88" s="438">
        <v>87</v>
      </c>
      <c r="B88" s="439" t="s">
        <v>1710</v>
      </c>
      <c r="C88" s="440">
        <v>7968</v>
      </c>
      <c r="D88" s="438">
        <v>0</v>
      </c>
      <c r="E88" s="441" t="s">
        <v>198</v>
      </c>
      <c r="F88" s="442" t="s">
        <v>2577</v>
      </c>
      <c r="G88" s="443"/>
    </row>
    <row r="89" spans="1:7" s="444" customFormat="1" ht="15.95" customHeight="1" x14ac:dyDescent="0.15">
      <c r="A89" s="438">
        <v>88</v>
      </c>
      <c r="B89" s="439" t="s">
        <v>1710</v>
      </c>
      <c r="C89" s="440">
        <v>8224</v>
      </c>
      <c r="D89" s="438">
        <v>0</v>
      </c>
      <c r="E89" s="441" t="s">
        <v>199</v>
      </c>
      <c r="F89" s="442" t="s">
        <v>2576</v>
      </c>
      <c r="G89" s="443"/>
    </row>
    <row r="90" spans="1:7" s="444" customFormat="1" ht="15.95" customHeight="1" x14ac:dyDescent="0.15">
      <c r="A90" s="438">
        <v>89</v>
      </c>
      <c r="B90" s="439" t="s">
        <v>1710</v>
      </c>
      <c r="C90" s="440">
        <v>8480</v>
      </c>
      <c r="D90" s="438">
        <v>0</v>
      </c>
      <c r="E90" s="441" t="s">
        <v>200</v>
      </c>
      <c r="F90" s="442" t="s">
        <v>2575</v>
      </c>
      <c r="G90" s="443"/>
    </row>
    <row r="91" spans="1:7" s="444" customFormat="1" ht="15.95" customHeight="1" x14ac:dyDescent="0.15">
      <c r="A91" s="438">
        <v>90</v>
      </c>
      <c r="B91" s="439" t="s">
        <v>1710</v>
      </c>
      <c r="C91" s="440">
        <v>8736</v>
      </c>
      <c r="D91" s="438">
        <v>0</v>
      </c>
      <c r="E91" s="441" t="s">
        <v>201</v>
      </c>
      <c r="F91" s="442" t="s">
        <v>2574</v>
      </c>
      <c r="G91" s="443"/>
    </row>
    <row r="92" spans="1:7" s="444" customFormat="1" ht="15.95" customHeight="1" x14ac:dyDescent="0.15">
      <c r="A92" s="438">
        <v>91</v>
      </c>
      <c r="B92" s="439" t="s">
        <v>1710</v>
      </c>
      <c r="C92" s="440">
        <v>8992</v>
      </c>
      <c r="D92" s="438">
        <v>0</v>
      </c>
      <c r="E92" s="439" t="s">
        <v>2573</v>
      </c>
      <c r="F92" s="442" t="s">
        <v>2572</v>
      </c>
      <c r="G92" s="443"/>
    </row>
    <row r="93" spans="1:7" s="444" customFormat="1" ht="15.95" customHeight="1" x14ac:dyDescent="0.15">
      <c r="A93" s="438">
        <v>92</v>
      </c>
      <c r="B93" s="439" t="s">
        <v>1710</v>
      </c>
      <c r="C93" s="440">
        <v>9216</v>
      </c>
      <c r="D93" s="438">
        <v>0</v>
      </c>
      <c r="E93" s="439" t="s">
        <v>2571</v>
      </c>
      <c r="F93" s="442" t="s">
        <v>2570</v>
      </c>
      <c r="G93" s="443"/>
    </row>
    <row r="94" spans="1:7" s="444" customFormat="1" ht="15.95" customHeight="1" x14ac:dyDescent="0.15">
      <c r="A94" s="438">
        <v>93</v>
      </c>
      <c r="B94" s="439" t="s">
        <v>1710</v>
      </c>
      <c r="C94" s="440">
        <v>13056</v>
      </c>
      <c r="D94" s="438">
        <v>0</v>
      </c>
      <c r="E94" s="441" t="s">
        <v>202</v>
      </c>
      <c r="F94" s="442" t="s">
        <v>2569</v>
      </c>
      <c r="G94" s="443"/>
    </row>
    <row r="95" spans="1:7" s="444" customFormat="1" ht="15.95" customHeight="1" x14ac:dyDescent="0.15">
      <c r="A95" s="438">
        <v>94</v>
      </c>
      <c r="B95" s="439" t="s">
        <v>1710</v>
      </c>
      <c r="C95" s="440">
        <v>13312</v>
      </c>
      <c r="D95" s="438">
        <v>0</v>
      </c>
      <c r="E95" s="441" t="s">
        <v>203</v>
      </c>
      <c r="F95" s="442" t="s">
        <v>2568</v>
      </c>
      <c r="G95" s="443"/>
    </row>
    <row r="96" spans="1:7" s="444" customFormat="1" ht="15.95" customHeight="1" x14ac:dyDescent="0.15">
      <c r="A96" s="438">
        <v>95</v>
      </c>
      <c r="B96" s="439" t="s">
        <v>1710</v>
      </c>
      <c r="C96" s="440">
        <v>14614</v>
      </c>
      <c r="D96" s="438">
        <v>0</v>
      </c>
      <c r="E96" s="441" t="s">
        <v>204</v>
      </c>
      <c r="F96" s="442" t="s">
        <v>2567</v>
      </c>
      <c r="G96" s="443"/>
    </row>
    <row r="97" spans="1:7" s="444" customFormat="1" ht="15.95" customHeight="1" x14ac:dyDescent="0.15">
      <c r="A97" s="438">
        <v>96</v>
      </c>
      <c r="B97" s="439" t="s">
        <v>1710</v>
      </c>
      <c r="C97" s="440">
        <v>15386</v>
      </c>
      <c r="D97" s="438">
        <v>0</v>
      </c>
      <c r="E97" s="441" t="s">
        <v>205</v>
      </c>
      <c r="F97" s="442" t="s">
        <v>2566</v>
      </c>
      <c r="G97" s="443"/>
    </row>
    <row r="98" spans="1:7" s="444" customFormat="1" ht="15.95" customHeight="1" x14ac:dyDescent="0.15">
      <c r="A98" s="438">
        <v>97</v>
      </c>
      <c r="B98" s="439" t="s">
        <v>1710</v>
      </c>
      <c r="C98" s="440">
        <v>15395</v>
      </c>
      <c r="D98" s="438">
        <v>0</v>
      </c>
      <c r="E98" s="441" t="s">
        <v>206</v>
      </c>
      <c r="F98" s="442" t="s">
        <v>2565</v>
      </c>
      <c r="G98" s="443"/>
    </row>
    <row r="99" spans="1:7" s="444" customFormat="1" ht="15.95" customHeight="1" x14ac:dyDescent="0.15">
      <c r="A99" s="438">
        <v>98</v>
      </c>
      <c r="B99" s="439" t="s">
        <v>1710</v>
      </c>
      <c r="C99" s="440">
        <v>15410</v>
      </c>
      <c r="D99" s="438">
        <v>0</v>
      </c>
      <c r="E99" s="441" t="s">
        <v>207</v>
      </c>
      <c r="F99" s="442" t="s">
        <v>2564</v>
      </c>
      <c r="G99" s="443"/>
    </row>
    <row r="100" spans="1:7" s="444" customFormat="1" ht="15.95" customHeight="1" x14ac:dyDescent="0.15">
      <c r="A100" s="438">
        <v>99</v>
      </c>
      <c r="B100" s="439" t="s">
        <v>1710</v>
      </c>
      <c r="C100" s="440">
        <v>15638</v>
      </c>
      <c r="D100" s="438">
        <v>0</v>
      </c>
      <c r="E100" s="441" t="s">
        <v>208</v>
      </c>
      <c r="F100" s="442" t="s">
        <v>2563</v>
      </c>
      <c r="G100" s="443"/>
    </row>
    <row r="101" spans="1:7" s="444" customFormat="1" ht="15.95" customHeight="1" x14ac:dyDescent="0.15">
      <c r="A101" s="438">
        <v>100</v>
      </c>
      <c r="B101" s="439" t="s">
        <v>1710</v>
      </c>
      <c r="C101" s="440">
        <v>15639</v>
      </c>
      <c r="D101" s="438">
        <v>0</v>
      </c>
      <c r="E101" s="441" t="s">
        <v>209</v>
      </c>
      <c r="F101" s="442" t="s">
        <v>2562</v>
      </c>
      <c r="G101" s="443"/>
    </row>
    <row r="102" spans="1:7" s="444" customFormat="1" ht="15.95" customHeight="1" x14ac:dyDescent="0.15">
      <c r="A102" s="438">
        <v>101</v>
      </c>
      <c r="B102" s="439" t="s">
        <v>1710</v>
      </c>
      <c r="C102" s="440">
        <v>15894</v>
      </c>
      <c r="D102" s="438">
        <v>0</v>
      </c>
      <c r="E102" s="441" t="s">
        <v>210</v>
      </c>
      <c r="F102" s="442" t="s">
        <v>2561</v>
      </c>
      <c r="G102" s="443"/>
    </row>
    <row r="103" spans="1:7" s="444" customFormat="1" ht="15.95" customHeight="1" x14ac:dyDescent="0.15">
      <c r="A103" s="438">
        <v>102</v>
      </c>
      <c r="B103" s="439" t="s">
        <v>1710</v>
      </c>
      <c r="C103" s="440">
        <v>15895</v>
      </c>
      <c r="D103" s="438">
        <v>0</v>
      </c>
      <c r="E103" s="441" t="s">
        <v>211</v>
      </c>
      <c r="F103" s="442" t="s">
        <v>2560</v>
      </c>
      <c r="G103" s="443"/>
    </row>
    <row r="104" spans="1:7" s="444" customFormat="1" ht="15.95" customHeight="1" x14ac:dyDescent="0.15">
      <c r="A104" s="438">
        <v>103</v>
      </c>
      <c r="B104" s="439" t="s">
        <v>1710</v>
      </c>
      <c r="C104" s="440">
        <v>16660</v>
      </c>
      <c r="D104" s="438">
        <v>0</v>
      </c>
      <c r="E104" s="441" t="s">
        <v>212</v>
      </c>
      <c r="F104" s="442" t="s">
        <v>2559</v>
      </c>
      <c r="G104" s="443"/>
    </row>
    <row r="105" spans="1:7" s="444" customFormat="1" ht="15.95" customHeight="1" x14ac:dyDescent="0.15">
      <c r="A105" s="438">
        <v>104</v>
      </c>
      <c r="B105" s="439" t="s">
        <v>1710</v>
      </c>
      <c r="C105" s="440">
        <v>16661</v>
      </c>
      <c r="D105" s="438">
        <v>0</v>
      </c>
      <c r="E105" s="441" t="s">
        <v>213</v>
      </c>
      <c r="F105" s="442" t="s">
        <v>2558</v>
      </c>
      <c r="G105" s="443"/>
    </row>
    <row r="106" spans="1:7" s="444" customFormat="1" ht="15.95" customHeight="1" x14ac:dyDescent="0.15">
      <c r="A106" s="438">
        <v>105</v>
      </c>
      <c r="B106" s="439" t="s">
        <v>1710</v>
      </c>
      <c r="C106" s="440">
        <v>17153</v>
      </c>
      <c r="D106" s="438">
        <v>0</v>
      </c>
      <c r="E106" s="441" t="s">
        <v>214</v>
      </c>
      <c r="F106" s="442" t="s">
        <v>2557</v>
      </c>
      <c r="G106" s="443"/>
    </row>
    <row r="107" spans="1:7" s="444" customFormat="1" ht="15.95" customHeight="1" x14ac:dyDescent="0.15">
      <c r="A107" s="438">
        <v>106</v>
      </c>
      <c r="B107" s="439" t="s">
        <v>1710</v>
      </c>
      <c r="C107" s="440">
        <v>18432</v>
      </c>
      <c r="D107" s="438">
        <v>0</v>
      </c>
      <c r="E107" s="441" t="s">
        <v>215</v>
      </c>
      <c r="F107" s="442" t="s">
        <v>2556</v>
      </c>
      <c r="G107" s="443"/>
    </row>
    <row r="108" spans="1:7" s="444" customFormat="1" ht="15.95" customHeight="1" x14ac:dyDescent="0.15">
      <c r="A108" s="438">
        <v>107</v>
      </c>
      <c r="B108" s="439" t="s">
        <v>1710</v>
      </c>
      <c r="C108" s="440">
        <v>18588</v>
      </c>
      <c r="D108" s="438">
        <v>0</v>
      </c>
      <c r="E108" s="441" t="s">
        <v>216</v>
      </c>
      <c r="F108" s="442" t="s">
        <v>2555</v>
      </c>
      <c r="G108" s="443"/>
    </row>
    <row r="109" spans="1:7" s="444" customFormat="1" ht="15.95" customHeight="1" x14ac:dyDescent="0.15">
      <c r="A109" s="438">
        <v>108</v>
      </c>
      <c r="B109" s="439" t="s">
        <v>1710</v>
      </c>
      <c r="C109" s="440">
        <v>18589</v>
      </c>
      <c r="D109" s="438">
        <v>0</v>
      </c>
      <c r="E109" s="441" t="s">
        <v>217</v>
      </c>
      <c r="F109" s="442" t="s">
        <v>2554</v>
      </c>
      <c r="G109" s="443"/>
    </row>
    <row r="110" spans="1:7" s="444" customFormat="1" ht="15.95" customHeight="1" x14ac:dyDescent="0.15">
      <c r="A110" s="438">
        <v>109</v>
      </c>
      <c r="B110" s="439" t="s">
        <v>1710</v>
      </c>
      <c r="C110" s="440">
        <v>18592</v>
      </c>
      <c r="D110" s="438">
        <v>0</v>
      </c>
      <c r="E110" s="441" t="s">
        <v>218</v>
      </c>
      <c r="F110" s="442" t="s">
        <v>2553</v>
      </c>
      <c r="G110" s="443"/>
    </row>
    <row r="111" spans="1:7" s="444" customFormat="1" ht="15.95" customHeight="1" x14ac:dyDescent="0.15">
      <c r="A111" s="438">
        <v>110</v>
      </c>
      <c r="B111" s="439" t="s">
        <v>1710</v>
      </c>
      <c r="C111" s="440">
        <v>18689</v>
      </c>
      <c r="D111" s="438">
        <v>0</v>
      </c>
      <c r="E111" s="441" t="s">
        <v>219</v>
      </c>
      <c r="F111" s="442" t="s">
        <v>2552</v>
      </c>
      <c r="G111" s="443"/>
    </row>
    <row r="112" spans="1:7" s="444" customFormat="1" ht="15.95" customHeight="1" x14ac:dyDescent="0.15">
      <c r="A112" s="438">
        <v>111</v>
      </c>
      <c r="B112" s="439" t="s">
        <v>1710</v>
      </c>
      <c r="C112" s="440">
        <v>18738</v>
      </c>
      <c r="D112" s="438">
        <v>0</v>
      </c>
      <c r="E112" s="441" t="s">
        <v>220</v>
      </c>
      <c r="F112" s="442" t="s">
        <v>2551</v>
      </c>
      <c r="G112" s="443"/>
    </row>
    <row r="113" spans="1:7" s="444" customFormat="1" ht="15.95" customHeight="1" x14ac:dyDescent="0.15">
      <c r="A113" s="438">
        <v>112</v>
      </c>
      <c r="B113" s="439" t="s">
        <v>1710</v>
      </c>
      <c r="C113" s="440">
        <v>24576</v>
      </c>
      <c r="D113" s="438">
        <v>0</v>
      </c>
      <c r="E113" s="441" t="s">
        <v>221</v>
      </c>
      <c r="F113" s="442" t="s">
        <v>2550</v>
      </c>
      <c r="G113" s="443"/>
    </row>
    <row r="114" spans="1:7" s="444" customFormat="1" ht="15.95" customHeight="1" x14ac:dyDescent="0.15">
      <c r="A114" s="438">
        <v>113</v>
      </c>
      <c r="B114" s="439" t="s">
        <v>1710</v>
      </c>
      <c r="C114" s="440">
        <v>25088</v>
      </c>
      <c r="D114" s="438">
        <v>0</v>
      </c>
      <c r="E114" s="439" t="s">
        <v>2549</v>
      </c>
      <c r="F114" s="442" t="s">
        <v>2548</v>
      </c>
      <c r="G114" s="443"/>
    </row>
    <row r="115" spans="1:7" s="444" customFormat="1" ht="15.95" customHeight="1" x14ac:dyDescent="0.15">
      <c r="A115" s="438">
        <v>114</v>
      </c>
      <c r="B115" s="439" t="s">
        <v>1710</v>
      </c>
      <c r="C115" s="440">
        <v>25600</v>
      </c>
      <c r="D115" s="438">
        <v>0</v>
      </c>
      <c r="E115" s="441" t="s">
        <v>222</v>
      </c>
      <c r="F115" s="442" t="s">
        <v>2547</v>
      </c>
      <c r="G115" s="443"/>
    </row>
    <row r="116" spans="1:7" s="444" customFormat="1" ht="15.95" customHeight="1" x14ac:dyDescent="0.15">
      <c r="A116" s="438">
        <v>115</v>
      </c>
      <c r="B116" s="439" t="s">
        <v>1710</v>
      </c>
      <c r="C116" s="440">
        <v>25856</v>
      </c>
      <c r="D116" s="438">
        <v>0</v>
      </c>
      <c r="E116" s="441" t="s">
        <v>223</v>
      </c>
      <c r="F116" s="442" t="s">
        <v>2546</v>
      </c>
      <c r="G116" s="443"/>
    </row>
    <row r="117" spans="1:7" s="444" customFormat="1" ht="15.95" customHeight="1" x14ac:dyDescent="0.15">
      <c r="A117" s="438">
        <v>116</v>
      </c>
      <c r="B117" s="439" t="s">
        <v>1710</v>
      </c>
      <c r="C117" s="440">
        <v>26112</v>
      </c>
      <c r="D117" s="438">
        <v>0</v>
      </c>
      <c r="E117" s="441" t="s">
        <v>224</v>
      </c>
      <c r="F117" s="442" t="s">
        <v>2545</v>
      </c>
      <c r="G117" s="443"/>
    </row>
    <row r="118" spans="1:7" s="444" customFormat="1" ht="15.95" customHeight="1" x14ac:dyDescent="0.15">
      <c r="A118" s="438">
        <v>117</v>
      </c>
      <c r="B118" s="439" t="s">
        <v>1710</v>
      </c>
      <c r="C118" s="440">
        <v>26368</v>
      </c>
      <c r="D118" s="438">
        <v>0</v>
      </c>
      <c r="E118" s="441" t="s">
        <v>2544</v>
      </c>
      <c r="F118" s="442" t="s">
        <v>2543</v>
      </c>
      <c r="G118" s="443"/>
    </row>
    <row r="119" spans="1:7" s="444" customFormat="1" ht="15.95" customHeight="1" x14ac:dyDescent="0.15">
      <c r="A119" s="438">
        <v>118</v>
      </c>
      <c r="B119" s="439" t="s">
        <v>1710</v>
      </c>
      <c r="C119" s="440">
        <v>26624</v>
      </c>
      <c r="D119" s="438">
        <v>0</v>
      </c>
      <c r="E119" s="441" t="s">
        <v>225</v>
      </c>
      <c r="F119" s="442" t="s">
        <v>2542</v>
      </c>
      <c r="G119" s="443"/>
    </row>
    <row r="120" spans="1:7" s="444" customFormat="1" ht="15.95" customHeight="1" x14ac:dyDescent="0.15">
      <c r="A120" s="438">
        <v>119</v>
      </c>
      <c r="B120" s="439" t="s">
        <v>1710</v>
      </c>
      <c r="C120" s="440">
        <v>26880</v>
      </c>
      <c r="D120" s="438">
        <v>0</v>
      </c>
      <c r="E120" s="441" t="s">
        <v>226</v>
      </c>
      <c r="F120" s="442" t="s">
        <v>2541</v>
      </c>
      <c r="G120" s="443"/>
    </row>
    <row r="121" spans="1:7" s="444" customFormat="1" ht="15.95" customHeight="1" x14ac:dyDescent="0.15">
      <c r="A121" s="438">
        <v>120</v>
      </c>
      <c r="B121" s="439" t="s">
        <v>1710</v>
      </c>
      <c r="C121" s="440">
        <v>27136</v>
      </c>
      <c r="D121" s="438">
        <v>0</v>
      </c>
      <c r="E121" s="439" t="s">
        <v>2540</v>
      </c>
      <c r="F121" s="442" t="s">
        <v>2539</v>
      </c>
      <c r="G121" s="443"/>
    </row>
    <row r="122" spans="1:7" s="444" customFormat="1" ht="15.95" customHeight="1" x14ac:dyDescent="0.15">
      <c r="A122" s="438">
        <v>121</v>
      </c>
      <c r="B122" s="439" t="s">
        <v>1710</v>
      </c>
      <c r="C122" s="440">
        <v>27392</v>
      </c>
      <c r="D122" s="438">
        <v>0</v>
      </c>
      <c r="E122" s="439" t="s">
        <v>2538</v>
      </c>
      <c r="F122" s="442" t="s">
        <v>2537</v>
      </c>
      <c r="G122" s="443"/>
    </row>
    <row r="123" spans="1:7" s="444" customFormat="1" ht="15.95" customHeight="1" x14ac:dyDescent="0.15">
      <c r="A123" s="438">
        <v>122</v>
      </c>
      <c r="B123" s="439" t="s">
        <v>1710</v>
      </c>
      <c r="C123" s="440">
        <v>27648</v>
      </c>
      <c r="D123" s="438">
        <v>0</v>
      </c>
      <c r="E123" s="439" t="s">
        <v>2536</v>
      </c>
      <c r="F123" s="442" t="s">
        <v>2535</v>
      </c>
      <c r="G123" s="443"/>
    </row>
    <row r="124" spans="1:7" s="444" customFormat="1" ht="15.95" customHeight="1" x14ac:dyDescent="0.15">
      <c r="A124" s="438">
        <v>123</v>
      </c>
      <c r="B124" s="439" t="s">
        <v>1710</v>
      </c>
      <c r="C124" s="440">
        <v>27904</v>
      </c>
      <c r="D124" s="438">
        <v>0</v>
      </c>
      <c r="E124" s="439" t="s">
        <v>2534</v>
      </c>
      <c r="F124" s="442" t="s">
        <v>2533</v>
      </c>
      <c r="G124" s="443"/>
    </row>
    <row r="125" spans="1:7" s="444" customFormat="1" ht="15.95" customHeight="1" x14ac:dyDescent="0.15">
      <c r="A125" s="438">
        <v>124</v>
      </c>
      <c r="B125" s="439" t="s">
        <v>1710</v>
      </c>
      <c r="C125" s="440">
        <v>25645</v>
      </c>
      <c r="D125" s="438">
        <v>0</v>
      </c>
      <c r="E125" s="441" t="s">
        <v>227</v>
      </c>
      <c r="F125" s="442" t="s">
        <v>2532</v>
      </c>
      <c r="G125" s="443"/>
    </row>
    <row r="126" spans="1:7" s="444" customFormat="1" ht="15.95" customHeight="1" x14ac:dyDescent="0.15">
      <c r="A126" s="438">
        <v>125</v>
      </c>
      <c r="B126" s="439" t="s">
        <v>1710</v>
      </c>
      <c r="C126" s="440">
        <v>25901</v>
      </c>
      <c r="D126" s="438">
        <v>0</v>
      </c>
      <c r="E126" s="441" t="s">
        <v>228</v>
      </c>
      <c r="F126" s="442" t="s">
        <v>2531</v>
      </c>
      <c r="G126" s="443"/>
    </row>
    <row r="127" spans="1:7" s="444" customFormat="1" ht="15.95" customHeight="1" x14ac:dyDescent="0.15">
      <c r="A127" s="438">
        <v>126</v>
      </c>
      <c r="B127" s="439" t="s">
        <v>1710</v>
      </c>
      <c r="C127" s="440">
        <v>26157</v>
      </c>
      <c r="D127" s="438">
        <v>0</v>
      </c>
      <c r="E127" s="441" t="s">
        <v>229</v>
      </c>
      <c r="F127" s="442" t="s">
        <v>2530</v>
      </c>
      <c r="G127" s="443"/>
    </row>
    <row r="128" spans="1:7" s="444" customFormat="1" ht="15.95" customHeight="1" x14ac:dyDescent="0.15">
      <c r="A128" s="438">
        <v>127</v>
      </c>
      <c r="B128" s="439" t="s">
        <v>1710</v>
      </c>
      <c r="C128" s="440">
        <v>26413</v>
      </c>
      <c r="D128" s="438">
        <v>0</v>
      </c>
      <c r="E128" s="441" t="s">
        <v>230</v>
      </c>
      <c r="F128" s="442" t="s">
        <v>2529</v>
      </c>
      <c r="G128" s="443"/>
    </row>
    <row r="129" spans="1:7" s="444" customFormat="1" ht="15.95" customHeight="1" x14ac:dyDescent="0.15">
      <c r="A129" s="438">
        <v>128</v>
      </c>
      <c r="B129" s="439" t="s">
        <v>1710</v>
      </c>
      <c r="C129" s="440">
        <v>26669</v>
      </c>
      <c r="D129" s="438">
        <v>0</v>
      </c>
      <c r="E129" s="441" t="s">
        <v>231</v>
      </c>
      <c r="F129" s="442" t="s">
        <v>2528</v>
      </c>
      <c r="G129" s="443"/>
    </row>
    <row r="130" spans="1:7" s="444" customFormat="1" ht="15.95" customHeight="1" x14ac:dyDescent="0.15">
      <c r="A130" s="438">
        <v>129</v>
      </c>
      <c r="B130" s="439" t="s">
        <v>1710</v>
      </c>
      <c r="C130" s="440">
        <v>26925</v>
      </c>
      <c r="D130" s="438">
        <v>0</v>
      </c>
      <c r="E130" s="441" t="s">
        <v>232</v>
      </c>
      <c r="F130" s="442" t="s">
        <v>2527</v>
      </c>
      <c r="G130" s="443"/>
    </row>
    <row r="131" spans="1:7" s="444" customFormat="1" ht="15.95" customHeight="1" x14ac:dyDescent="0.15">
      <c r="A131" s="438">
        <v>130</v>
      </c>
      <c r="B131" s="439" t="s">
        <v>1710</v>
      </c>
      <c r="C131" s="440">
        <v>27181</v>
      </c>
      <c r="D131" s="438">
        <v>0</v>
      </c>
      <c r="E131" s="439" t="s">
        <v>2526</v>
      </c>
      <c r="F131" s="442" t="s">
        <v>2525</v>
      </c>
      <c r="G131" s="443"/>
    </row>
    <row r="132" spans="1:7" s="444" customFormat="1" ht="15.95" customHeight="1" x14ac:dyDescent="0.15">
      <c r="A132" s="438">
        <v>131</v>
      </c>
      <c r="B132" s="439" t="s">
        <v>1710</v>
      </c>
      <c r="C132" s="440">
        <v>27437</v>
      </c>
      <c r="D132" s="438">
        <v>0</v>
      </c>
      <c r="E132" s="439" t="s">
        <v>2524</v>
      </c>
      <c r="F132" s="442" t="s">
        <v>2523</v>
      </c>
      <c r="G132" s="443"/>
    </row>
    <row r="133" spans="1:7" s="444" customFormat="1" ht="15.95" customHeight="1" x14ac:dyDescent="0.15">
      <c r="A133" s="438">
        <v>132</v>
      </c>
      <c r="B133" s="439" t="s">
        <v>1710</v>
      </c>
      <c r="C133" s="440">
        <v>27693</v>
      </c>
      <c r="D133" s="438">
        <v>0</v>
      </c>
      <c r="E133" s="439" t="s">
        <v>2522</v>
      </c>
      <c r="F133" s="442" t="s">
        <v>2521</v>
      </c>
      <c r="G133" s="443"/>
    </row>
    <row r="134" spans="1:7" s="444" customFormat="1" ht="15.95" customHeight="1" x14ac:dyDescent="0.15">
      <c r="A134" s="438">
        <v>133</v>
      </c>
      <c r="B134" s="439" t="s">
        <v>1710</v>
      </c>
      <c r="C134" s="440">
        <v>27949</v>
      </c>
      <c r="D134" s="438">
        <v>0</v>
      </c>
      <c r="E134" s="439" t="s">
        <v>2520</v>
      </c>
      <c r="F134" s="442" t="s">
        <v>2519</v>
      </c>
      <c r="G134" s="443"/>
    </row>
    <row r="135" spans="1:7" s="444" customFormat="1" ht="15.95" customHeight="1" x14ac:dyDescent="0.15">
      <c r="A135" s="438">
        <v>134</v>
      </c>
      <c r="B135" s="439" t="s">
        <v>1710</v>
      </c>
      <c r="C135" s="440">
        <v>33283</v>
      </c>
      <c r="D135" s="438">
        <v>0</v>
      </c>
      <c r="E135" s="441" t="s">
        <v>233</v>
      </c>
      <c r="F135" s="442" t="s">
        <v>2518</v>
      </c>
      <c r="G135" s="443"/>
    </row>
    <row r="136" spans="1:7" s="444" customFormat="1" ht="15.95" customHeight="1" x14ac:dyDescent="0.15">
      <c r="A136" s="438">
        <v>135</v>
      </c>
      <c r="B136" s="439" t="s">
        <v>1710</v>
      </c>
      <c r="C136" s="440">
        <v>33539</v>
      </c>
      <c r="D136" s="438">
        <v>0</v>
      </c>
      <c r="E136" s="441" t="s">
        <v>234</v>
      </c>
      <c r="F136" s="442" t="s">
        <v>2517</v>
      </c>
      <c r="G136" s="443"/>
    </row>
    <row r="137" spans="1:7" s="444" customFormat="1" ht="15.95" customHeight="1" x14ac:dyDescent="0.15">
      <c r="A137" s="438">
        <v>136</v>
      </c>
      <c r="B137" s="439" t="s">
        <v>1710</v>
      </c>
      <c r="C137" s="440">
        <v>33795</v>
      </c>
      <c r="D137" s="438">
        <v>0</v>
      </c>
      <c r="E137" s="441" t="s">
        <v>235</v>
      </c>
      <c r="F137" s="442" t="s">
        <v>2516</v>
      </c>
      <c r="G137" s="443"/>
    </row>
    <row r="138" spans="1:7" s="444" customFormat="1" ht="15.95" customHeight="1" x14ac:dyDescent="0.15">
      <c r="A138" s="438">
        <v>137</v>
      </c>
      <c r="B138" s="439" t="s">
        <v>1710</v>
      </c>
      <c r="C138" s="440">
        <v>34051</v>
      </c>
      <c r="D138" s="438">
        <v>0</v>
      </c>
      <c r="E138" s="441" t="s">
        <v>236</v>
      </c>
      <c r="F138" s="442" t="s">
        <v>2515</v>
      </c>
      <c r="G138" s="443"/>
    </row>
    <row r="139" spans="1:7" s="444" customFormat="1" ht="15.95" customHeight="1" x14ac:dyDescent="0.15">
      <c r="A139" s="438">
        <v>138</v>
      </c>
      <c r="B139" s="439" t="s">
        <v>1710</v>
      </c>
      <c r="C139" s="440">
        <v>34307</v>
      </c>
      <c r="D139" s="438">
        <v>0</v>
      </c>
      <c r="E139" s="441" t="s">
        <v>237</v>
      </c>
      <c r="F139" s="442" t="s">
        <v>2514</v>
      </c>
      <c r="G139" s="443"/>
    </row>
    <row r="140" spans="1:7" s="444" customFormat="1" ht="15.95" customHeight="1" x14ac:dyDescent="0.15">
      <c r="A140" s="438">
        <v>139</v>
      </c>
      <c r="B140" s="439" t="s">
        <v>1710</v>
      </c>
      <c r="C140" s="440">
        <v>34563</v>
      </c>
      <c r="D140" s="438">
        <v>0</v>
      </c>
      <c r="E140" s="441" t="s">
        <v>238</v>
      </c>
      <c r="F140" s="442" t="s">
        <v>2513</v>
      </c>
      <c r="G140" s="443"/>
    </row>
    <row r="141" spans="1:7" s="444" customFormat="1" ht="15.95" customHeight="1" x14ac:dyDescent="0.15">
      <c r="A141" s="438">
        <v>140</v>
      </c>
      <c r="B141" s="439" t="s">
        <v>1710</v>
      </c>
      <c r="C141" s="440">
        <v>34819</v>
      </c>
      <c r="D141" s="438">
        <v>0</v>
      </c>
      <c r="E141" s="441" t="s">
        <v>2512</v>
      </c>
      <c r="F141" s="442" t="s">
        <v>2511</v>
      </c>
      <c r="G141" s="443"/>
    </row>
    <row r="142" spans="1:7" s="444" customFormat="1" ht="15.95" customHeight="1" x14ac:dyDescent="0.15">
      <c r="A142" s="438">
        <v>141</v>
      </c>
      <c r="B142" s="439" t="s">
        <v>1710</v>
      </c>
      <c r="C142" s="440">
        <v>35075</v>
      </c>
      <c r="D142" s="438">
        <v>0</v>
      </c>
      <c r="E142" s="439" t="s">
        <v>2510</v>
      </c>
      <c r="F142" s="442" t="s">
        <v>2509</v>
      </c>
      <c r="G142" s="443"/>
    </row>
    <row r="143" spans="1:7" s="444" customFormat="1" ht="15.95" customHeight="1" x14ac:dyDescent="0.15">
      <c r="A143" s="438">
        <v>142</v>
      </c>
      <c r="B143" s="439" t="s">
        <v>1710</v>
      </c>
      <c r="C143" s="440">
        <v>35331</v>
      </c>
      <c r="D143" s="438">
        <v>0</v>
      </c>
      <c r="E143" s="439" t="s">
        <v>2508</v>
      </c>
      <c r="F143" s="442" t="s">
        <v>2507</v>
      </c>
      <c r="G143" s="443"/>
    </row>
    <row r="144" spans="1:7" s="444" customFormat="1" ht="15.95" customHeight="1" x14ac:dyDescent="0.15">
      <c r="A144" s="438">
        <v>143</v>
      </c>
      <c r="B144" s="439" t="s">
        <v>1710</v>
      </c>
      <c r="C144" s="440">
        <v>35587</v>
      </c>
      <c r="D144" s="438">
        <v>0</v>
      </c>
      <c r="E144" s="439" t="s">
        <v>2506</v>
      </c>
      <c r="F144" s="442" t="s">
        <v>2505</v>
      </c>
      <c r="G144" s="443"/>
    </row>
    <row r="145" spans="1:7" s="444" customFormat="1" ht="15.95" customHeight="1" x14ac:dyDescent="0.15">
      <c r="A145" s="438">
        <v>144</v>
      </c>
      <c r="B145" s="439" t="s">
        <v>1710</v>
      </c>
      <c r="C145" s="440">
        <v>33287</v>
      </c>
      <c r="D145" s="438">
        <v>0</v>
      </c>
      <c r="E145" s="441" t="s">
        <v>239</v>
      </c>
      <c r="F145" s="442" t="s">
        <v>2504</v>
      </c>
      <c r="G145" s="443"/>
    </row>
    <row r="146" spans="1:7" s="444" customFormat="1" ht="15.95" customHeight="1" x14ac:dyDescent="0.15">
      <c r="A146" s="438">
        <v>145</v>
      </c>
      <c r="B146" s="439" t="s">
        <v>1710</v>
      </c>
      <c r="C146" s="440">
        <v>33543</v>
      </c>
      <c r="D146" s="438">
        <v>0</v>
      </c>
      <c r="E146" s="441" t="s">
        <v>240</v>
      </c>
      <c r="F146" s="442" t="s">
        <v>2503</v>
      </c>
      <c r="G146" s="443"/>
    </row>
    <row r="147" spans="1:7" s="444" customFormat="1" ht="15.95" customHeight="1" x14ac:dyDescent="0.15">
      <c r="A147" s="438">
        <v>146</v>
      </c>
      <c r="B147" s="439" t="s">
        <v>1710</v>
      </c>
      <c r="C147" s="440">
        <v>33799</v>
      </c>
      <c r="D147" s="438">
        <v>0</v>
      </c>
      <c r="E147" s="441" t="s">
        <v>241</v>
      </c>
      <c r="F147" s="442" t="s">
        <v>2502</v>
      </c>
      <c r="G147" s="443"/>
    </row>
    <row r="148" spans="1:7" s="444" customFormat="1" ht="15.95" customHeight="1" x14ac:dyDescent="0.15">
      <c r="A148" s="438">
        <v>147</v>
      </c>
      <c r="B148" s="439" t="s">
        <v>1710</v>
      </c>
      <c r="C148" s="440">
        <v>34055</v>
      </c>
      <c r="D148" s="438">
        <v>0</v>
      </c>
      <c r="E148" s="441" t="s">
        <v>242</v>
      </c>
      <c r="F148" s="442" t="s">
        <v>2501</v>
      </c>
      <c r="G148" s="443"/>
    </row>
    <row r="149" spans="1:7" s="444" customFormat="1" ht="15.95" customHeight="1" x14ac:dyDescent="0.15">
      <c r="A149" s="438">
        <v>148</v>
      </c>
      <c r="B149" s="439" t="s">
        <v>1710</v>
      </c>
      <c r="C149" s="440">
        <v>34311</v>
      </c>
      <c r="D149" s="438">
        <v>0</v>
      </c>
      <c r="E149" s="441" t="s">
        <v>243</v>
      </c>
      <c r="F149" s="442" t="s">
        <v>2500</v>
      </c>
      <c r="G149" s="443"/>
    </row>
    <row r="150" spans="1:7" s="444" customFormat="1" ht="15.95" customHeight="1" x14ac:dyDescent="0.15">
      <c r="A150" s="438">
        <v>149</v>
      </c>
      <c r="B150" s="439" t="s">
        <v>1710</v>
      </c>
      <c r="C150" s="440">
        <v>34567</v>
      </c>
      <c r="D150" s="438">
        <v>0</v>
      </c>
      <c r="E150" s="439" t="s">
        <v>244</v>
      </c>
      <c r="F150" s="442" t="s">
        <v>2499</v>
      </c>
      <c r="G150" s="443"/>
    </row>
    <row r="151" spans="1:7" s="444" customFormat="1" ht="15.95" customHeight="1" x14ac:dyDescent="0.15">
      <c r="A151" s="438">
        <v>150</v>
      </c>
      <c r="B151" s="439" t="s">
        <v>1710</v>
      </c>
      <c r="C151" s="440">
        <v>34823</v>
      </c>
      <c r="D151" s="438">
        <v>0</v>
      </c>
      <c r="E151" s="439" t="s">
        <v>2498</v>
      </c>
      <c r="F151" s="442" t="s">
        <v>2497</v>
      </c>
      <c r="G151" s="443"/>
    </row>
    <row r="152" spans="1:7" s="444" customFormat="1" ht="15.95" customHeight="1" x14ac:dyDescent="0.15">
      <c r="A152" s="438">
        <v>151</v>
      </c>
      <c r="B152" s="439" t="s">
        <v>1710</v>
      </c>
      <c r="C152" s="440">
        <v>35079</v>
      </c>
      <c r="D152" s="438">
        <v>0</v>
      </c>
      <c r="E152" s="439" t="s">
        <v>2496</v>
      </c>
      <c r="F152" s="442" t="s">
        <v>2495</v>
      </c>
      <c r="G152" s="443"/>
    </row>
    <row r="153" spans="1:7" s="444" customFormat="1" ht="15.95" customHeight="1" x14ac:dyDescent="0.15">
      <c r="A153" s="438">
        <v>152</v>
      </c>
      <c r="B153" s="439" t="s">
        <v>1710</v>
      </c>
      <c r="C153" s="440">
        <v>35335</v>
      </c>
      <c r="D153" s="438">
        <v>0</v>
      </c>
      <c r="E153" s="439" t="s">
        <v>2494</v>
      </c>
      <c r="F153" s="442" t="s">
        <v>2493</v>
      </c>
      <c r="G153" s="443"/>
    </row>
    <row r="154" spans="1:7" s="444" customFormat="1" ht="15.95" customHeight="1" x14ac:dyDescent="0.15">
      <c r="A154" s="438">
        <v>153</v>
      </c>
      <c r="B154" s="439" t="s">
        <v>1710</v>
      </c>
      <c r="C154" s="440">
        <v>35591</v>
      </c>
      <c r="D154" s="438">
        <v>0</v>
      </c>
      <c r="E154" s="439" t="s">
        <v>2492</v>
      </c>
      <c r="F154" s="442" t="s">
        <v>2491</v>
      </c>
      <c r="G154" s="443"/>
    </row>
    <row r="155" spans="1:7" s="444" customFormat="1" ht="15.95" customHeight="1" x14ac:dyDescent="0.15">
      <c r="A155" s="438">
        <v>154</v>
      </c>
      <c r="B155" s="439" t="s">
        <v>1710</v>
      </c>
      <c r="C155" s="440">
        <v>33289</v>
      </c>
      <c r="D155" s="438">
        <v>0</v>
      </c>
      <c r="E155" s="441" t="s">
        <v>245</v>
      </c>
      <c r="F155" s="442" t="s">
        <v>2490</v>
      </c>
      <c r="G155" s="443"/>
    </row>
    <row r="156" spans="1:7" s="444" customFormat="1" ht="15.95" customHeight="1" x14ac:dyDescent="0.15">
      <c r="A156" s="438">
        <v>155</v>
      </c>
      <c r="B156" s="439" t="s">
        <v>1710</v>
      </c>
      <c r="C156" s="440">
        <v>33545</v>
      </c>
      <c r="D156" s="438">
        <v>0</v>
      </c>
      <c r="E156" s="441" t="s">
        <v>246</v>
      </c>
      <c r="F156" s="442" t="s">
        <v>2489</v>
      </c>
      <c r="G156" s="443"/>
    </row>
    <row r="157" spans="1:7" s="444" customFormat="1" ht="15.95" customHeight="1" x14ac:dyDescent="0.15">
      <c r="A157" s="438">
        <v>156</v>
      </c>
      <c r="B157" s="439" t="s">
        <v>1710</v>
      </c>
      <c r="C157" s="440">
        <v>33801</v>
      </c>
      <c r="D157" s="438">
        <v>0</v>
      </c>
      <c r="E157" s="441" t="s">
        <v>247</v>
      </c>
      <c r="F157" s="442" t="s">
        <v>2488</v>
      </c>
      <c r="G157" s="443"/>
    </row>
    <row r="158" spans="1:7" s="444" customFormat="1" ht="15.95" customHeight="1" x14ac:dyDescent="0.15">
      <c r="A158" s="438">
        <v>157</v>
      </c>
      <c r="B158" s="439" t="s">
        <v>1710</v>
      </c>
      <c r="C158" s="440">
        <v>34057</v>
      </c>
      <c r="D158" s="438">
        <v>0</v>
      </c>
      <c r="E158" s="441" t="s">
        <v>248</v>
      </c>
      <c r="F158" s="442" t="s">
        <v>2487</v>
      </c>
      <c r="G158" s="443"/>
    </row>
    <row r="159" spans="1:7" s="444" customFormat="1" ht="15.95" customHeight="1" x14ac:dyDescent="0.15">
      <c r="A159" s="438">
        <v>158</v>
      </c>
      <c r="B159" s="439" t="s">
        <v>1710</v>
      </c>
      <c r="C159" s="440">
        <v>34313</v>
      </c>
      <c r="D159" s="438">
        <v>0</v>
      </c>
      <c r="E159" s="441" t="s">
        <v>249</v>
      </c>
      <c r="F159" s="442" t="s">
        <v>2486</v>
      </c>
      <c r="G159" s="443"/>
    </row>
    <row r="160" spans="1:7" s="444" customFormat="1" ht="15.95" customHeight="1" x14ac:dyDescent="0.15">
      <c r="A160" s="438">
        <v>159</v>
      </c>
      <c r="B160" s="439" t="s">
        <v>1710</v>
      </c>
      <c r="C160" s="440">
        <v>34569</v>
      </c>
      <c r="D160" s="438">
        <v>0</v>
      </c>
      <c r="E160" s="441" t="s">
        <v>250</v>
      </c>
      <c r="F160" s="442" t="s">
        <v>2485</v>
      </c>
      <c r="G160" s="443"/>
    </row>
    <row r="161" spans="1:7" s="444" customFormat="1" ht="15.95" customHeight="1" x14ac:dyDescent="0.15">
      <c r="A161" s="438">
        <v>160</v>
      </c>
      <c r="B161" s="439" t="s">
        <v>1710</v>
      </c>
      <c r="C161" s="440">
        <v>34825</v>
      </c>
      <c r="D161" s="438">
        <v>0</v>
      </c>
      <c r="E161" s="439" t="s">
        <v>2484</v>
      </c>
      <c r="F161" s="442" t="s">
        <v>2483</v>
      </c>
      <c r="G161" s="443"/>
    </row>
    <row r="162" spans="1:7" s="444" customFormat="1" ht="15.95" customHeight="1" x14ac:dyDescent="0.15">
      <c r="A162" s="438">
        <v>161</v>
      </c>
      <c r="B162" s="439" t="s">
        <v>1710</v>
      </c>
      <c r="C162" s="440">
        <v>35081</v>
      </c>
      <c r="D162" s="438">
        <v>0</v>
      </c>
      <c r="E162" s="439" t="s">
        <v>2482</v>
      </c>
      <c r="F162" s="442" t="s">
        <v>2481</v>
      </c>
      <c r="G162" s="443"/>
    </row>
    <row r="163" spans="1:7" s="444" customFormat="1" ht="15.95" customHeight="1" x14ac:dyDescent="0.15">
      <c r="A163" s="438">
        <v>162</v>
      </c>
      <c r="B163" s="439" t="s">
        <v>1710</v>
      </c>
      <c r="C163" s="440">
        <v>35337</v>
      </c>
      <c r="D163" s="438">
        <v>0</v>
      </c>
      <c r="E163" s="439" t="s">
        <v>2480</v>
      </c>
      <c r="F163" s="442" t="s">
        <v>2479</v>
      </c>
      <c r="G163" s="443"/>
    </row>
    <row r="164" spans="1:7" s="444" customFormat="1" ht="15.95" customHeight="1" x14ac:dyDescent="0.15">
      <c r="A164" s="438">
        <v>163</v>
      </c>
      <c r="B164" s="439" t="s">
        <v>1710</v>
      </c>
      <c r="C164" s="440">
        <v>35593</v>
      </c>
      <c r="D164" s="438">
        <v>0</v>
      </c>
      <c r="E164" s="439" t="s">
        <v>2478</v>
      </c>
      <c r="F164" s="442" t="s">
        <v>2477</v>
      </c>
      <c r="G164" s="443"/>
    </row>
    <row r="165" spans="1:7" s="444" customFormat="1" ht="15.95" customHeight="1" x14ac:dyDescent="0.15">
      <c r="A165" s="438">
        <v>164</v>
      </c>
      <c r="B165" s="439" t="s">
        <v>1710</v>
      </c>
      <c r="C165" s="440">
        <v>33325</v>
      </c>
      <c r="D165" s="438">
        <v>0</v>
      </c>
      <c r="E165" s="441" t="s">
        <v>251</v>
      </c>
      <c r="F165" s="442" t="s">
        <v>2476</v>
      </c>
      <c r="G165" s="443"/>
    </row>
    <row r="166" spans="1:7" s="444" customFormat="1" ht="15.95" customHeight="1" x14ac:dyDescent="0.15">
      <c r="A166" s="438">
        <v>165</v>
      </c>
      <c r="B166" s="439" t="s">
        <v>1710</v>
      </c>
      <c r="C166" s="440">
        <v>33581</v>
      </c>
      <c r="D166" s="438">
        <v>0</v>
      </c>
      <c r="E166" s="441" t="s">
        <v>252</v>
      </c>
      <c r="F166" s="442" t="s">
        <v>2475</v>
      </c>
      <c r="G166" s="443"/>
    </row>
    <row r="167" spans="1:7" s="444" customFormat="1" ht="15.95" customHeight="1" x14ac:dyDescent="0.15">
      <c r="A167" s="438">
        <v>166</v>
      </c>
      <c r="B167" s="439" t="s">
        <v>1710</v>
      </c>
      <c r="C167" s="440">
        <v>33837</v>
      </c>
      <c r="D167" s="438">
        <v>0</v>
      </c>
      <c r="E167" s="441" t="s">
        <v>253</v>
      </c>
      <c r="F167" s="442" t="s">
        <v>2474</v>
      </c>
      <c r="G167" s="443"/>
    </row>
    <row r="168" spans="1:7" s="444" customFormat="1" ht="15.95" customHeight="1" x14ac:dyDescent="0.15">
      <c r="A168" s="438">
        <v>167</v>
      </c>
      <c r="B168" s="439" t="s">
        <v>1710</v>
      </c>
      <c r="C168" s="440">
        <v>34093</v>
      </c>
      <c r="D168" s="438">
        <v>0</v>
      </c>
      <c r="E168" s="441" t="s">
        <v>254</v>
      </c>
      <c r="F168" s="442" t="s">
        <v>2473</v>
      </c>
      <c r="G168" s="443"/>
    </row>
    <row r="169" spans="1:7" s="444" customFormat="1" ht="15.95" customHeight="1" x14ac:dyDescent="0.15">
      <c r="A169" s="438">
        <v>168</v>
      </c>
      <c r="B169" s="439" t="s">
        <v>1710</v>
      </c>
      <c r="C169" s="440">
        <v>34349</v>
      </c>
      <c r="D169" s="438">
        <v>0</v>
      </c>
      <c r="E169" s="441" t="s">
        <v>255</v>
      </c>
      <c r="F169" s="442" t="s">
        <v>2472</v>
      </c>
      <c r="G169" s="443"/>
    </row>
    <row r="170" spans="1:7" s="444" customFormat="1" ht="15.95" customHeight="1" x14ac:dyDescent="0.15">
      <c r="A170" s="438">
        <v>169</v>
      </c>
      <c r="B170" s="439" t="s">
        <v>1710</v>
      </c>
      <c r="C170" s="440">
        <v>34605</v>
      </c>
      <c r="D170" s="438">
        <v>0</v>
      </c>
      <c r="E170" s="441" t="s">
        <v>256</v>
      </c>
      <c r="F170" s="442" t="s">
        <v>2471</v>
      </c>
      <c r="G170" s="443"/>
    </row>
    <row r="171" spans="1:7" s="444" customFormat="1" ht="15.95" customHeight="1" x14ac:dyDescent="0.15">
      <c r="A171" s="438">
        <v>170</v>
      </c>
      <c r="B171" s="439" t="s">
        <v>1710</v>
      </c>
      <c r="C171" s="440">
        <v>34861</v>
      </c>
      <c r="D171" s="438">
        <v>0</v>
      </c>
      <c r="E171" s="439" t="s">
        <v>2470</v>
      </c>
      <c r="F171" s="442" t="s">
        <v>2469</v>
      </c>
      <c r="G171" s="443"/>
    </row>
    <row r="172" spans="1:7" s="444" customFormat="1" ht="15.95" customHeight="1" x14ac:dyDescent="0.15">
      <c r="A172" s="438">
        <v>171</v>
      </c>
      <c r="B172" s="439" t="s">
        <v>1710</v>
      </c>
      <c r="C172" s="440">
        <v>35117</v>
      </c>
      <c r="D172" s="438">
        <v>0</v>
      </c>
      <c r="E172" s="439" t="s">
        <v>2468</v>
      </c>
      <c r="F172" s="442" t="s">
        <v>2467</v>
      </c>
      <c r="G172" s="443"/>
    </row>
    <row r="173" spans="1:7" s="444" customFormat="1" ht="15.95" customHeight="1" x14ac:dyDescent="0.15">
      <c r="A173" s="438">
        <v>172</v>
      </c>
      <c r="B173" s="439" t="s">
        <v>1710</v>
      </c>
      <c r="C173" s="440">
        <v>35373</v>
      </c>
      <c r="D173" s="438">
        <v>0</v>
      </c>
      <c r="E173" s="439" t="s">
        <v>2466</v>
      </c>
      <c r="F173" s="442" t="s">
        <v>2465</v>
      </c>
      <c r="G173" s="443"/>
    </row>
    <row r="174" spans="1:7" s="444" customFormat="1" ht="15.95" customHeight="1" x14ac:dyDescent="0.15">
      <c r="A174" s="438">
        <v>173</v>
      </c>
      <c r="B174" s="439" t="s">
        <v>1710</v>
      </c>
      <c r="C174" s="440">
        <v>35629</v>
      </c>
      <c r="D174" s="438">
        <v>0</v>
      </c>
      <c r="E174" s="439" t="s">
        <v>2464</v>
      </c>
      <c r="F174" s="442" t="s">
        <v>2463</v>
      </c>
      <c r="G174" s="443"/>
    </row>
    <row r="175" spans="1:7" s="444" customFormat="1" ht="15.95" customHeight="1" x14ac:dyDescent="0.15">
      <c r="A175" s="438">
        <v>174</v>
      </c>
      <c r="B175" s="439" t="s">
        <v>1710</v>
      </c>
      <c r="C175" s="440">
        <v>33430</v>
      </c>
      <c r="D175" s="438">
        <v>0</v>
      </c>
      <c r="E175" s="441" t="s">
        <v>257</v>
      </c>
      <c r="F175" s="442" t="s">
        <v>2462</v>
      </c>
      <c r="G175" s="443"/>
    </row>
    <row r="176" spans="1:7" s="444" customFormat="1" ht="15.95" customHeight="1" x14ac:dyDescent="0.15">
      <c r="A176" s="438">
        <v>175</v>
      </c>
      <c r="B176" s="439" t="s">
        <v>1710</v>
      </c>
      <c r="C176" s="440">
        <v>33686</v>
      </c>
      <c r="D176" s="438">
        <v>0</v>
      </c>
      <c r="E176" s="441" t="s">
        <v>258</v>
      </c>
      <c r="F176" s="442" t="s">
        <v>2461</v>
      </c>
      <c r="G176" s="443"/>
    </row>
    <row r="177" spans="1:7" s="444" customFormat="1" ht="15.95" customHeight="1" x14ac:dyDescent="0.15">
      <c r="A177" s="438">
        <v>176</v>
      </c>
      <c r="B177" s="439" t="s">
        <v>1710</v>
      </c>
      <c r="C177" s="440">
        <v>33942</v>
      </c>
      <c r="D177" s="438">
        <v>0</v>
      </c>
      <c r="E177" s="441" t="s">
        <v>259</v>
      </c>
      <c r="F177" s="442" t="s">
        <v>2460</v>
      </c>
      <c r="G177" s="443"/>
    </row>
    <row r="178" spans="1:7" s="444" customFormat="1" ht="15.95" customHeight="1" x14ac:dyDescent="0.15">
      <c r="A178" s="438">
        <v>177</v>
      </c>
      <c r="B178" s="439" t="s">
        <v>1710</v>
      </c>
      <c r="C178" s="440">
        <v>34198</v>
      </c>
      <c r="D178" s="438">
        <v>0</v>
      </c>
      <c r="E178" s="441" t="s">
        <v>260</v>
      </c>
      <c r="F178" s="442" t="s">
        <v>2459</v>
      </c>
      <c r="G178" s="443"/>
    </row>
    <row r="179" spans="1:7" s="444" customFormat="1" ht="15.95" customHeight="1" x14ac:dyDescent="0.15">
      <c r="A179" s="438">
        <v>178</v>
      </c>
      <c r="B179" s="439" t="s">
        <v>1710</v>
      </c>
      <c r="C179" s="440">
        <v>34454</v>
      </c>
      <c r="D179" s="438">
        <v>0</v>
      </c>
      <c r="E179" s="441" t="s">
        <v>261</v>
      </c>
      <c r="F179" s="442" t="s">
        <v>2458</v>
      </c>
      <c r="G179" s="443"/>
    </row>
    <row r="180" spans="1:7" s="444" customFormat="1" ht="15.95" customHeight="1" x14ac:dyDescent="0.15">
      <c r="A180" s="438">
        <v>179</v>
      </c>
      <c r="B180" s="439" t="s">
        <v>1710</v>
      </c>
      <c r="C180" s="440">
        <v>34710</v>
      </c>
      <c r="D180" s="438">
        <v>0</v>
      </c>
      <c r="E180" s="441" t="s">
        <v>262</v>
      </c>
      <c r="F180" s="442" t="s">
        <v>2457</v>
      </c>
      <c r="G180" s="443"/>
    </row>
    <row r="181" spans="1:7" s="444" customFormat="1" ht="15.95" customHeight="1" x14ac:dyDescent="0.15">
      <c r="A181" s="438">
        <v>180</v>
      </c>
      <c r="B181" s="439" t="s">
        <v>1710</v>
      </c>
      <c r="C181" s="440">
        <v>34966</v>
      </c>
      <c r="D181" s="438">
        <v>0</v>
      </c>
      <c r="E181" s="439" t="s">
        <v>2456</v>
      </c>
      <c r="F181" s="442" t="s">
        <v>2455</v>
      </c>
      <c r="G181" s="443"/>
    </row>
    <row r="182" spans="1:7" s="444" customFormat="1" ht="15.95" customHeight="1" x14ac:dyDescent="0.15">
      <c r="A182" s="438">
        <v>181</v>
      </c>
      <c r="B182" s="439" t="s">
        <v>1710</v>
      </c>
      <c r="C182" s="440">
        <v>35222</v>
      </c>
      <c r="D182" s="438">
        <v>0</v>
      </c>
      <c r="E182" s="439" t="s">
        <v>2454</v>
      </c>
      <c r="F182" s="442" t="s">
        <v>2453</v>
      </c>
      <c r="G182" s="443"/>
    </row>
    <row r="183" spans="1:7" s="444" customFormat="1" ht="15.95" customHeight="1" x14ac:dyDescent="0.15">
      <c r="A183" s="438">
        <v>182</v>
      </c>
      <c r="B183" s="439" t="s">
        <v>1710</v>
      </c>
      <c r="C183" s="440">
        <v>35478</v>
      </c>
      <c r="D183" s="438">
        <v>0</v>
      </c>
      <c r="E183" s="439" t="s">
        <v>2452</v>
      </c>
      <c r="F183" s="442" t="s">
        <v>2451</v>
      </c>
      <c r="G183" s="443"/>
    </row>
    <row r="184" spans="1:7" s="444" customFormat="1" ht="15.95" customHeight="1" x14ac:dyDescent="0.15">
      <c r="A184" s="438">
        <v>183</v>
      </c>
      <c r="B184" s="439" t="s">
        <v>1710</v>
      </c>
      <c r="C184" s="440">
        <v>35734</v>
      </c>
      <c r="D184" s="438">
        <v>0</v>
      </c>
      <c r="E184" s="439" t="s">
        <v>2450</v>
      </c>
      <c r="F184" s="442" t="s">
        <v>2449</v>
      </c>
      <c r="G184" s="443"/>
    </row>
    <row r="185" spans="1:7" s="444" customFormat="1" ht="15.95" customHeight="1" x14ac:dyDescent="0.15">
      <c r="A185" s="438">
        <v>184</v>
      </c>
      <c r="B185" s="439" t="s">
        <v>1710</v>
      </c>
      <c r="C185" s="440">
        <v>33431</v>
      </c>
      <c r="D185" s="438">
        <v>0</v>
      </c>
      <c r="E185" s="441" t="s">
        <v>263</v>
      </c>
      <c r="F185" s="442" t="s">
        <v>2448</v>
      </c>
      <c r="G185" s="443"/>
    </row>
    <row r="186" spans="1:7" s="444" customFormat="1" ht="15.95" customHeight="1" x14ac:dyDescent="0.15">
      <c r="A186" s="438">
        <v>185</v>
      </c>
      <c r="B186" s="439" t="s">
        <v>1710</v>
      </c>
      <c r="C186" s="440">
        <v>33687</v>
      </c>
      <c r="D186" s="438">
        <v>0</v>
      </c>
      <c r="E186" s="441" t="s">
        <v>264</v>
      </c>
      <c r="F186" s="442" t="s">
        <v>2447</v>
      </c>
      <c r="G186" s="443"/>
    </row>
    <row r="187" spans="1:7" s="444" customFormat="1" ht="15.95" customHeight="1" x14ac:dyDescent="0.15">
      <c r="A187" s="438">
        <v>186</v>
      </c>
      <c r="B187" s="439" t="s">
        <v>1710</v>
      </c>
      <c r="C187" s="440">
        <v>33943</v>
      </c>
      <c r="D187" s="438">
        <v>0</v>
      </c>
      <c r="E187" s="441" t="s">
        <v>265</v>
      </c>
      <c r="F187" s="442" t="s">
        <v>2446</v>
      </c>
      <c r="G187" s="443"/>
    </row>
    <row r="188" spans="1:7" s="444" customFormat="1" ht="15.95" customHeight="1" x14ac:dyDescent="0.15">
      <c r="A188" s="438">
        <v>187</v>
      </c>
      <c r="B188" s="439" t="s">
        <v>1710</v>
      </c>
      <c r="C188" s="440">
        <v>34199</v>
      </c>
      <c r="D188" s="438">
        <v>0</v>
      </c>
      <c r="E188" s="441" t="s">
        <v>266</v>
      </c>
      <c r="F188" s="442" t="s">
        <v>2445</v>
      </c>
      <c r="G188" s="443"/>
    </row>
    <row r="189" spans="1:7" s="444" customFormat="1" ht="15.95" customHeight="1" x14ac:dyDescent="0.15">
      <c r="A189" s="438">
        <v>188</v>
      </c>
      <c r="B189" s="439" t="s">
        <v>1710</v>
      </c>
      <c r="C189" s="440">
        <v>34455</v>
      </c>
      <c r="D189" s="438">
        <v>0</v>
      </c>
      <c r="E189" s="441" t="s">
        <v>267</v>
      </c>
      <c r="F189" s="442" t="s">
        <v>2444</v>
      </c>
      <c r="G189" s="443"/>
    </row>
    <row r="190" spans="1:7" s="444" customFormat="1" ht="15.95" customHeight="1" x14ac:dyDescent="0.15">
      <c r="A190" s="438">
        <v>189</v>
      </c>
      <c r="B190" s="439" t="s">
        <v>1710</v>
      </c>
      <c r="C190" s="440">
        <v>34711</v>
      </c>
      <c r="D190" s="438">
        <v>0</v>
      </c>
      <c r="E190" s="441" t="s">
        <v>268</v>
      </c>
      <c r="F190" s="442" t="s">
        <v>2443</v>
      </c>
      <c r="G190" s="443"/>
    </row>
    <row r="191" spans="1:7" s="444" customFormat="1" ht="15.95" customHeight="1" x14ac:dyDescent="0.15">
      <c r="A191" s="438">
        <v>190</v>
      </c>
      <c r="B191" s="439" t="s">
        <v>1710</v>
      </c>
      <c r="C191" s="440">
        <v>34967</v>
      </c>
      <c r="D191" s="438">
        <v>0</v>
      </c>
      <c r="E191" s="439" t="s">
        <v>2442</v>
      </c>
      <c r="F191" s="442" t="s">
        <v>2441</v>
      </c>
      <c r="G191" s="443"/>
    </row>
    <row r="192" spans="1:7" s="444" customFormat="1" ht="15.95" customHeight="1" x14ac:dyDescent="0.15">
      <c r="A192" s="438">
        <v>191</v>
      </c>
      <c r="B192" s="439" t="s">
        <v>1710</v>
      </c>
      <c r="C192" s="440">
        <v>35223</v>
      </c>
      <c r="D192" s="438">
        <v>0</v>
      </c>
      <c r="E192" s="439" t="s">
        <v>2440</v>
      </c>
      <c r="F192" s="442" t="s">
        <v>2439</v>
      </c>
      <c r="G192" s="443"/>
    </row>
    <row r="193" spans="1:7" s="444" customFormat="1" ht="15.95" customHeight="1" x14ac:dyDescent="0.15">
      <c r="A193" s="438">
        <v>192</v>
      </c>
      <c r="B193" s="439" t="s">
        <v>1710</v>
      </c>
      <c r="C193" s="440">
        <v>35479</v>
      </c>
      <c r="D193" s="438">
        <v>0</v>
      </c>
      <c r="E193" s="439" t="s">
        <v>2438</v>
      </c>
      <c r="F193" s="442" t="s">
        <v>2437</v>
      </c>
      <c r="G193" s="443"/>
    </row>
    <row r="194" spans="1:7" s="444" customFormat="1" ht="15.95" customHeight="1" x14ac:dyDescent="0.15">
      <c r="A194" s="438">
        <v>193</v>
      </c>
      <c r="B194" s="439" t="s">
        <v>1710</v>
      </c>
      <c r="C194" s="440">
        <v>35735</v>
      </c>
      <c r="D194" s="438">
        <v>0</v>
      </c>
      <c r="E194" s="439" t="s">
        <v>2436</v>
      </c>
      <c r="F194" s="442" t="s">
        <v>2435</v>
      </c>
      <c r="G194" s="443"/>
    </row>
    <row r="195" spans="1:7" s="444" customFormat="1" ht="15.95" customHeight="1" x14ac:dyDescent="0.15">
      <c r="A195" s="438">
        <v>194</v>
      </c>
      <c r="B195" s="439" t="s">
        <v>1710</v>
      </c>
      <c r="C195" s="440">
        <v>33436</v>
      </c>
      <c r="D195" s="438">
        <v>0</v>
      </c>
      <c r="E195" s="441" t="s">
        <v>269</v>
      </c>
      <c r="F195" s="442" t="s">
        <v>2434</v>
      </c>
      <c r="G195" s="443"/>
    </row>
    <row r="196" spans="1:7" s="444" customFormat="1" ht="15.95" customHeight="1" x14ac:dyDescent="0.15">
      <c r="A196" s="438">
        <v>195</v>
      </c>
      <c r="B196" s="439" t="s">
        <v>1710</v>
      </c>
      <c r="C196" s="440">
        <v>33692</v>
      </c>
      <c r="D196" s="438">
        <v>0</v>
      </c>
      <c r="E196" s="441" t="s">
        <v>270</v>
      </c>
      <c r="F196" s="442" t="s">
        <v>2433</v>
      </c>
      <c r="G196" s="443"/>
    </row>
    <row r="197" spans="1:7" s="444" customFormat="1" ht="15.95" customHeight="1" x14ac:dyDescent="0.15">
      <c r="A197" s="438">
        <v>196</v>
      </c>
      <c r="B197" s="439" t="s">
        <v>1710</v>
      </c>
      <c r="C197" s="440">
        <v>33948</v>
      </c>
      <c r="D197" s="438">
        <v>0</v>
      </c>
      <c r="E197" s="441" t="s">
        <v>271</v>
      </c>
      <c r="F197" s="442" t="s">
        <v>2432</v>
      </c>
      <c r="G197" s="443"/>
    </row>
    <row r="198" spans="1:7" s="444" customFormat="1" ht="15.95" customHeight="1" x14ac:dyDescent="0.15">
      <c r="A198" s="438">
        <v>197</v>
      </c>
      <c r="B198" s="439" t="s">
        <v>1710</v>
      </c>
      <c r="C198" s="440">
        <v>34204</v>
      </c>
      <c r="D198" s="438">
        <v>0</v>
      </c>
      <c r="E198" s="441" t="s">
        <v>272</v>
      </c>
      <c r="F198" s="442" t="s">
        <v>2431</v>
      </c>
      <c r="G198" s="443"/>
    </row>
    <row r="199" spans="1:7" s="444" customFormat="1" ht="15.95" customHeight="1" x14ac:dyDescent="0.15">
      <c r="A199" s="438">
        <v>198</v>
      </c>
      <c r="B199" s="439" t="s">
        <v>1710</v>
      </c>
      <c r="C199" s="440">
        <v>34460</v>
      </c>
      <c r="D199" s="438">
        <v>0</v>
      </c>
      <c r="E199" s="441" t="s">
        <v>273</v>
      </c>
      <c r="F199" s="442" t="s">
        <v>2430</v>
      </c>
      <c r="G199" s="443"/>
    </row>
    <row r="200" spans="1:7" s="444" customFormat="1" ht="15.95" customHeight="1" x14ac:dyDescent="0.15">
      <c r="A200" s="438">
        <v>199</v>
      </c>
      <c r="B200" s="439" t="s">
        <v>1710</v>
      </c>
      <c r="C200" s="440">
        <v>34716</v>
      </c>
      <c r="D200" s="438">
        <v>0</v>
      </c>
      <c r="E200" s="441" t="s">
        <v>274</v>
      </c>
      <c r="F200" s="442" t="s">
        <v>2429</v>
      </c>
      <c r="G200" s="443"/>
    </row>
    <row r="201" spans="1:7" s="444" customFormat="1" ht="15.95" customHeight="1" x14ac:dyDescent="0.15">
      <c r="A201" s="438">
        <v>200</v>
      </c>
      <c r="B201" s="439" t="s">
        <v>1710</v>
      </c>
      <c r="C201" s="440">
        <v>34972</v>
      </c>
      <c r="D201" s="438">
        <v>0</v>
      </c>
      <c r="E201" s="439" t="s">
        <v>2428</v>
      </c>
      <c r="F201" s="442" t="s">
        <v>2427</v>
      </c>
      <c r="G201" s="443"/>
    </row>
    <row r="202" spans="1:7" s="444" customFormat="1" ht="15.95" customHeight="1" x14ac:dyDescent="0.15">
      <c r="A202" s="438">
        <v>201</v>
      </c>
      <c r="B202" s="439" t="s">
        <v>1710</v>
      </c>
      <c r="C202" s="440">
        <v>35228</v>
      </c>
      <c r="D202" s="438">
        <v>0</v>
      </c>
      <c r="E202" s="439" t="s">
        <v>2426</v>
      </c>
      <c r="F202" s="442" t="s">
        <v>2425</v>
      </c>
      <c r="G202" s="443"/>
    </row>
    <row r="203" spans="1:7" s="444" customFormat="1" ht="15.95" customHeight="1" x14ac:dyDescent="0.15">
      <c r="A203" s="438">
        <v>202</v>
      </c>
      <c r="B203" s="439" t="s">
        <v>1710</v>
      </c>
      <c r="C203" s="440">
        <v>35484</v>
      </c>
      <c r="D203" s="438">
        <v>0</v>
      </c>
      <c r="E203" s="439" t="s">
        <v>2424</v>
      </c>
      <c r="F203" s="442" t="s">
        <v>2423</v>
      </c>
      <c r="G203" s="443"/>
    </row>
    <row r="204" spans="1:7" s="444" customFormat="1" ht="15.95" customHeight="1" x14ac:dyDescent="0.15">
      <c r="A204" s="438">
        <v>203</v>
      </c>
      <c r="B204" s="439" t="s">
        <v>1710</v>
      </c>
      <c r="C204" s="440">
        <v>35740</v>
      </c>
      <c r="D204" s="438">
        <v>0</v>
      </c>
      <c r="E204" s="439" t="s">
        <v>2422</v>
      </c>
      <c r="F204" s="442" t="s">
        <v>2421</v>
      </c>
      <c r="G204" s="443"/>
    </row>
    <row r="205" spans="1:7" s="444" customFormat="1" ht="15.95" customHeight="1" x14ac:dyDescent="0.15">
      <c r="A205" s="438">
        <v>204</v>
      </c>
      <c r="B205" s="439" t="s">
        <v>1710</v>
      </c>
      <c r="C205" s="440">
        <v>33437</v>
      </c>
      <c r="D205" s="438">
        <v>0</v>
      </c>
      <c r="E205" s="441" t="s">
        <v>275</v>
      </c>
      <c r="F205" s="442" t="s">
        <v>2420</v>
      </c>
      <c r="G205" s="443"/>
    </row>
    <row r="206" spans="1:7" s="444" customFormat="1" ht="15.95" customHeight="1" x14ac:dyDescent="0.15">
      <c r="A206" s="438">
        <v>205</v>
      </c>
      <c r="B206" s="439" t="s">
        <v>1710</v>
      </c>
      <c r="C206" s="440">
        <v>33693</v>
      </c>
      <c r="D206" s="438">
        <v>0</v>
      </c>
      <c r="E206" s="441" t="s">
        <v>276</v>
      </c>
      <c r="F206" s="442" t="s">
        <v>2419</v>
      </c>
      <c r="G206" s="443"/>
    </row>
    <row r="207" spans="1:7" s="444" customFormat="1" ht="15.95" customHeight="1" x14ac:dyDescent="0.15">
      <c r="A207" s="438">
        <v>206</v>
      </c>
      <c r="B207" s="439" t="s">
        <v>1710</v>
      </c>
      <c r="C207" s="440">
        <v>33949</v>
      </c>
      <c r="D207" s="438">
        <v>0</v>
      </c>
      <c r="E207" s="441" t="s">
        <v>277</v>
      </c>
      <c r="F207" s="442" t="s">
        <v>2418</v>
      </c>
      <c r="G207" s="443"/>
    </row>
    <row r="208" spans="1:7" s="444" customFormat="1" ht="15.95" customHeight="1" x14ac:dyDescent="0.15">
      <c r="A208" s="438">
        <v>207</v>
      </c>
      <c r="B208" s="439" t="s">
        <v>1710</v>
      </c>
      <c r="C208" s="440">
        <v>34205</v>
      </c>
      <c r="D208" s="438">
        <v>0</v>
      </c>
      <c r="E208" s="441" t="s">
        <v>278</v>
      </c>
      <c r="F208" s="442" t="s">
        <v>2417</v>
      </c>
      <c r="G208" s="443"/>
    </row>
    <row r="209" spans="1:7" s="444" customFormat="1" ht="15.95" customHeight="1" x14ac:dyDescent="0.15">
      <c r="A209" s="438">
        <v>208</v>
      </c>
      <c r="B209" s="439" t="s">
        <v>1710</v>
      </c>
      <c r="C209" s="440">
        <v>34461</v>
      </c>
      <c r="D209" s="438">
        <v>0</v>
      </c>
      <c r="E209" s="441" t="s">
        <v>279</v>
      </c>
      <c r="F209" s="442" t="s">
        <v>2416</v>
      </c>
      <c r="G209" s="443"/>
    </row>
    <row r="210" spans="1:7" s="444" customFormat="1" ht="15.95" customHeight="1" x14ac:dyDescent="0.15">
      <c r="A210" s="438">
        <v>209</v>
      </c>
      <c r="B210" s="439" t="s">
        <v>1710</v>
      </c>
      <c r="C210" s="440">
        <v>34717</v>
      </c>
      <c r="D210" s="438">
        <v>0</v>
      </c>
      <c r="E210" s="441" t="s">
        <v>280</v>
      </c>
      <c r="F210" s="442" t="s">
        <v>2415</v>
      </c>
      <c r="G210" s="443"/>
    </row>
    <row r="211" spans="1:7" s="444" customFormat="1" ht="15.95" customHeight="1" x14ac:dyDescent="0.15">
      <c r="A211" s="438">
        <v>210</v>
      </c>
      <c r="B211" s="439" t="s">
        <v>1710</v>
      </c>
      <c r="C211" s="440">
        <v>34973</v>
      </c>
      <c r="D211" s="438">
        <v>0</v>
      </c>
      <c r="E211" s="439" t="s">
        <v>2414</v>
      </c>
      <c r="F211" s="442" t="s">
        <v>2413</v>
      </c>
      <c r="G211" s="443"/>
    </row>
    <row r="212" spans="1:7" s="444" customFormat="1" ht="15.95" customHeight="1" x14ac:dyDescent="0.15">
      <c r="A212" s="438">
        <v>211</v>
      </c>
      <c r="B212" s="439" t="s">
        <v>1710</v>
      </c>
      <c r="C212" s="440">
        <v>35229</v>
      </c>
      <c r="D212" s="438">
        <v>0</v>
      </c>
      <c r="E212" s="439" t="s">
        <v>2412</v>
      </c>
      <c r="F212" s="442" t="s">
        <v>2411</v>
      </c>
      <c r="G212" s="443"/>
    </row>
    <row r="213" spans="1:7" s="444" customFormat="1" ht="15.95" customHeight="1" x14ac:dyDescent="0.15">
      <c r="A213" s="438">
        <v>212</v>
      </c>
      <c r="B213" s="439" t="s">
        <v>1710</v>
      </c>
      <c r="C213" s="440">
        <v>35485</v>
      </c>
      <c r="D213" s="438">
        <v>0</v>
      </c>
      <c r="E213" s="439" t="s">
        <v>2410</v>
      </c>
      <c r="F213" s="442" t="s">
        <v>2409</v>
      </c>
      <c r="G213" s="443"/>
    </row>
    <row r="214" spans="1:7" s="444" customFormat="1" ht="15.95" customHeight="1" x14ac:dyDescent="0.15">
      <c r="A214" s="438">
        <v>213</v>
      </c>
      <c r="B214" s="439" t="s">
        <v>1710</v>
      </c>
      <c r="C214" s="440">
        <v>35741</v>
      </c>
      <c r="D214" s="438">
        <v>0</v>
      </c>
      <c r="E214" s="439" t="s">
        <v>2408</v>
      </c>
      <c r="F214" s="442" t="s">
        <v>2407</v>
      </c>
      <c r="G214" s="443"/>
    </row>
    <row r="215" spans="1:7" s="444" customFormat="1" ht="15.95" customHeight="1" x14ac:dyDescent="0.15">
      <c r="A215" s="438">
        <v>214</v>
      </c>
      <c r="B215" s="439" t="s">
        <v>1710</v>
      </c>
      <c r="C215" s="440">
        <v>33440</v>
      </c>
      <c r="D215" s="438">
        <v>0</v>
      </c>
      <c r="E215" s="441" t="s">
        <v>281</v>
      </c>
      <c r="F215" s="442" t="s">
        <v>2406</v>
      </c>
      <c r="G215" s="443"/>
    </row>
    <row r="216" spans="1:7" s="444" customFormat="1" ht="15.95" customHeight="1" x14ac:dyDescent="0.15">
      <c r="A216" s="438">
        <v>215</v>
      </c>
      <c r="B216" s="439" t="s">
        <v>1710</v>
      </c>
      <c r="C216" s="440">
        <v>33696</v>
      </c>
      <c r="D216" s="438">
        <v>0</v>
      </c>
      <c r="E216" s="441" t="s">
        <v>282</v>
      </c>
      <c r="F216" s="442" t="s">
        <v>2405</v>
      </c>
      <c r="G216" s="443"/>
    </row>
    <row r="217" spans="1:7" s="444" customFormat="1" ht="15.95" customHeight="1" x14ac:dyDescent="0.15">
      <c r="A217" s="438">
        <v>216</v>
      </c>
      <c r="B217" s="439" t="s">
        <v>1710</v>
      </c>
      <c r="C217" s="440">
        <v>33952</v>
      </c>
      <c r="D217" s="438">
        <v>0</v>
      </c>
      <c r="E217" s="441" t="s">
        <v>283</v>
      </c>
      <c r="F217" s="442" t="s">
        <v>2404</v>
      </c>
      <c r="G217" s="443"/>
    </row>
    <row r="218" spans="1:7" s="444" customFormat="1" ht="15.95" customHeight="1" x14ac:dyDescent="0.15">
      <c r="A218" s="438">
        <v>217</v>
      </c>
      <c r="B218" s="439" t="s">
        <v>1710</v>
      </c>
      <c r="C218" s="440">
        <v>34208</v>
      </c>
      <c r="D218" s="438">
        <v>0</v>
      </c>
      <c r="E218" s="441" t="s">
        <v>284</v>
      </c>
      <c r="F218" s="442" t="s">
        <v>2403</v>
      </c>
      <c r="G218" s="443"/>
    </row>
    <row r="219" spans="1:7" s="444" customFormat="1" ht="15.95" customHeight="1" x14ac:dyDescent="0.15">
      <c r="A219" s="438">
        <v>218</v>
      </c>
      <c r="B219" s="439" t="s">
        <v>1710</v>
      </c>
      <c r="C219" s="440">
        <v>34464</v>
      </c>
      <c r="D219" s="438">
        <v>0</v>
      </c>
      <c r="E219" s="441" t="s">
        <v>285</v>
      </c>
      <c r="F219" s="442" t="s">
        <v>2402</v>
      </c>
      <c r="G219" s="443"/>
    </row>
    <row r="220" spans="1:7" s="444" customFormat="1" ht="15.95" customHeight="1" x14ac:dyDescent="0.15">
      <c r="A220" s="438">
        <v>219</v>
      </c>
      <c r="B220" s="439" t="s">
        <v>1710</v>
      </c>
      <c r="C220" s="440">
        <v>34720</v>
      </c>
      <c r="D220" s="438">
        <v>0</v>
      </c>
      <c r="E220" s="441" t="s">
        <v>286</v>
      </c>
      <c r="F220" s="442" t="s">
        <v>2401</v>
      </c>
      <c r="G220" s="443"/>
    </row>
    <row r="221" spans="1:7" s="444" customFormat="1" ht="15.95" customHeight="1" x14ac:dyDescent="0.15">
      <c r="A221" s="438">
        <v>220</v>
      </c>
      <c r="B221" s="439" t="s">
        <v>1710</v>
      </c>
      <c r="C221" s="440">
        <v>34976</v>
      </c>
      <c r="D221" s="438">
        <v>0</v>
      </c>
      <c r="E221" s="439" t="s">
        <v>2400</v>
      </c>
      <c r="F221" s="442" t="s">
        <v>2399</v>
      </c>
      <c r="G221" s="443"/>
    </row>
    <row r="222" spans="1:7" s="444" customFormat="1" ht="15.95" customHeight="1" x14ac:dyDescent="0.15">
      <c r="A222" s="438">
        <v>221</v>
      </c>
      <c r="B222" s="439" t="s">
        <v>1710</v>
      </c>
      <c r="C222" s="440">
        <v>35232</v>
      </c>
      <c r="D222" s="438">
        <v>0</v>
      </c>
      <c r="E222" s="439" t="s">
        <v>2398</v>
      </c>
      <c r="F222" s="442" t="s">
        <v>2397</v>
      </c>
      <c r="G222" s="443"/>
    </row>
    <row r="223" spans="1:7" s="444" customFormat="1" ht="15.95" customHeight="1" x14ac:dyDescent="0.15">
      <c r="A223" s="438">
        <v>222</v>
      </c>
      <c r="B223" s="439" t="s">
        <v>1710</v>
      </c>
      <c r="C223" s="440">
        <v>35488</v>
      </c>
      <c r="D223" s="438">
        <v>0</v>
      </c>
      <c r="E223" s="439" t="s">
        <v>2396</v>
      </c>
      <c r="F223" s="442" t="s">
        <v>2395</v>
      </c>
      <c r="G223" s="443"/>
    </row>
    <row r="224" spans="1:7" s="444" customFormat="1" ht="15.95" customHeight="1" x14ac:dyDescent="0.15">
      <c r="A224" s="438">
        <v>223</v>
      </c>
      <c r="B224" s="439" t="s">
        <v>1710</v>
      </c>
      <c r="C224" s="440">
        <v>35744</v>
      </c>
      <c r="D224" s="438">
        <v>0</v>
      </c>
      <c r="E224" s="439" t="s">
        <v>2394</v>
      </c>
      <c r="F224" s="442" t="s">
        <v>2393</v>
      </c>
      <c r="G224" s="443"/>
    </row>
    <row r="225" spans="1:7" s="444" customFormat="1" ht="15.95" customHeight="1" x14ac:dyDescent="0.15">
      <c r="A225" s="438">
        <v>224</v>
      </c>
      <c r="B225" s="439" t="s">
        <v>1710</v>
      </c>
      <c r="C225" s="440">
        <v>33442</v>
      </c>
      <c r="D225" s="438">
        <v>0</v>
      </c>
      <c r="E225" s="441" t="s">
        <v>287</v>
      </c>
      <c r="F225" s="442" t="s">
        <v>2392</v>
      </c>
      <c r="G225" s="443"/>
    </row>
    <row r="226" spans="1:7" s="444" customFormat="1" ht="15.95" customHeight="1" x14ac:dyDescent="0.15">
      <c r="A226" s="438">
        <v>225</v>
      </c>
      <c r="B226" s="439" t="s">
        <v>1710</v>
      </c>
      <c r="C226" s="440">
        <v>33698</v>
      </c>
      <c r="D226" s="438">
        <v>0</v>
      </c>
      <c r="E226" s="441" t="s">
        <v>288</v>
      </c>
      <c r="F226" s="442" t="s">
        <v>2391</v>
      </c>
      <c r="G226" s="443"/>
    </row>
    <row r="227" spans="1:7" s="444" customFormat="1" ht="15.95" customHeight="1" x14ac:dyDescent="0.15">
      <c r="A227" s="438">
        <v>226</v>
      </c>
      <c r="B227" s="439" t="s">
        <v>1710</v>
      </c>
      <c r="C227" s="440">
        <v>33954</v>
      </c>
      <c r="D227" s="438">
        <v>0</v>
      </c>
      <c r="E227" s="441" t="s">
        <v>289</v>
      </c>
      <c r="F227" s="442" t="s">
        <v>2390</v>
      </c>
      <c r="G227" s="443"/>
    </row>
    <row r="228" spans="1:7" s="444" customFormat="1" ht="15.95" customHeight="1" x14ac:dyDescent="0.15">
      <c r="A228" s="438">
        <v>227</v>
      </c>
      <c r="B228" s="439" t="s">
        <v>1710</v>
      </c>
      <c r="C228" s="440">
        <v>34210</v>
      </c>
      <c r="D228" s="438">
        <v>0</v>
      </c>
      <c r="E228" s="441" t="s">
        <v>290</v>
      </c>
      <c r="F228" s="442" t="s">
        <v>2389</v>
      </c>
      <c r="G228" s="443"/>
    </row>
    <row r="229" spans="1:7" s="444" customFormat="1" ht="15.95" customHeight="1" x14ac:dyDescent="0.15">
      <c r="A229" s="438">
        <v>228</v>
      </c>
      <c r="B229" s="439" t="s">
        <v>1710</v>
      </c>
      <c r="C229" s="440">
        <v>34466</v>
      </c>
      <c r="D229" s="438">
        <v>0</v>
      </c>
      <c r="E229" s="441" t="s">
        <v>291</v>
      </c>
      <c r="F229" s="442" t="s">
        <v>2388</v>
      </c>
      <c r="G229" s="443"/>
    </row>
    <row r="230" spans="1:7" s="444" customFormat="1" ht="15.95" customHeight="1" x14ac:dyDescent="0.15">
      <c r="A230" s="438">
        <v>229</v>
      </c>
      <c r="B230" s="439" t="s">
        <v>1710</v>
      </c>
      <c r="C230" s="440">
        <v>34722</v>
      </c>
      <c r="D230" s="438">
        <v>0</v>
      </c>
      <c r="E230" s="441" t="s">
        <v>292</v>
      </c>
      <c r="F230" s="442" t="s">
        <v>2387</v>
      </c>
      <c r="G230" s="443"/>
    </row>
    <row r="231" spans="1:7" s="444" customFormat="1" ht="15.95" customHeight="1" x14ac:dyDescent="0.15">
      <c r="A231" s="438">
        <v>230</v>
      </c>
      <c r="B231" s="439" t="s">
        <v>1710</v>
      </c>
      <c r="C231" s="440">
        <v>34978</v>
      </c>
      <c r="D231" s="438">
        <v>0</v>
      </c>
      <c r="E231" s="439" t="s">
        <v>2386</v>
      </c>
      <c r="F231" s="442" t="s">
        <v>2385</v>
      </c>
      <c r="G231" s="443"/>
    </row>
    <row r="232" spans="1:7" s="444" customFormat="1" ht="15.95" customHeight="1" x14ac:dyDescent="0.15">
      <c r="A232" s="438">
        <v>231</v>
      </c>
      <c r="B232" s="439" t="s">
        <v>1710</v>
      </c>
      <c r="C232" s="440">
        <v>35234</v>
      </c>
      <c r="D232" s="438">
        <v>0</v>
      </c>
      <c r="E232" s="439" t="s">
        <v>2384</v>
      </c>
      <c r="F232" s="442" t="s">
        <v>2383</v>
      </c>
      <c r="G232" s="443"/>
    </row>
    <row r="233" spans="1:7" s="444" customFormat="1" ht="15.95" customHeight="1" x14ac:dyDescent="0.15">
      <c r="A233" s="438">
        <v>232</v>
      </c>
      <c r="B233" s="439" t="s">
        <v>1710</v>
      </c>
      <c r="C233" s="440">
        <v>35490</v>
      </c>
      <c r="D233" s="438">
        <v>0</v>
      </c>
      <c r="E233" s="439" t="s">
        <v>2382</v>
      </c>
      <c r="F233" s="442" t="s">
        <v>2381</v>
      </c>
      <c r="G233" s="443"/>
    </row>
    <row r="234" spans="1:7" s="444" customFormat="1" ht="15.95" customHeight="1" x14ac:dyDescent="0.15">
      <c r="A234" s="438">
        <v>233</v>
      </c>
      <c r="B234" s="439" t="s">
        <v>1710</v>
      </c>
      <c r="C234" s="440">
        <v>35746</v>
      </c>
      <c r="D234" s="438">
        <v>0</v>
      </c>
      <c r="E234" s="439" t="s">
        <v>2380</v>
      </c>
      <c r="F234" s="442" t="s">
        <v>2379</v>
      </c>
      <c r="G234" s="443"/>
    </row>
    <row r="235" spans="1:7" s="444" customFormat="1" ht="15.95" customHeight="1" x14ac:dyDescent="0.15">
      <c r="A235" s="438">
        <v>234</v>
      </c>
      <c r="B235" s="439" t="s">
        <v>1710</v>
      </c>
      <c r="C235" s="440">
        <v>35873</v>
      </c>
      <c r="D235" s="438">
        <v>0</v>
      </c>
      <c r="E235" s="441" t="s">
        <v>293</v>
      </c>
      <c r="F235" s="442" t="s">
        <v>2378</v>
      </c>
      <c r="G235" s="443"/>
    </row>
    <row r="236" spans="1:7" s="444" customFormat="1" ht="15.95" customHeight="1" x14ac:dyDescent="0.15">
      <c r="A236" s="438">
        <v>235</v>
      </c>
      <c r="B236" s="439" t="s">
        <v>1710</v>
      </c>
      <c r="C236" s="440">
        <v>36129</v>
      </c>
      <c r="D236" s="438">
        <v>0</v>
      </c>
      <c r="E236" s="441" t="s">
        <v>294</v>
      </c>
      <c r="F236" s="442" t="s">
        <v>2377</v>
      </c>
      <c r="G236" s="443"/>
    </row>
    <row r="237" spans="1:7" s="444" customFormat="1" ht="15.95" customHeight="1" x14ac:dyDescent="0.15">
      <c r="A237" s="438">
        <v>236</v>
      </c>
      <c r="B237" s="439" t="s">
        <v>1710</v>
      </c>
      <c r="C237" s="440">
        <v>36385</v>
      </c>
      <c r="D237" s="438">
        <v>0</v>
      </c>
      <c r="E237" s="441" t="s">
        <v>295</v>
      </c>
      <c r="F237" s="442" t="s">
        <v>2376</v>
      </c>
      <c r="G237" s="443"/>
    </row>
    <row r="238" spans="1:7" s="444" customFormat="1" ht="15.95" customHeight="1" x14ac:dyDescent="0.15">
      <c r="A238" s="438">
        <v>237</v>
      </c>
      <c r="B238" s="439" t="s">
        <v>1710</v>
      </c>
      <c r="C238" s="440">
        <v>36641</v>
      </c>
      <c r="D238" s="438">
        <v>0</v>
      </c>
      <c r="E238" s="441" t="s">
        <v>296</v>
      </c>
      <c r="F238" s="442" t="s">
        <v>2375</v>
      </c>
      <c r="G238" s="443"/>
    </row>
    <row r="239" spans="1:7" s="444" customFormat="1" ht="15.95" customHeight="1" x14ac:dyDescent="0.15">
      <c r="A239" s="438">
        <v>238</v>
      </c>
      <c r="B239" s="439" t="s">
        <v>1710</v>
      </c>
      <c r="C239" s="440">
        <v>36897</v>
      </c>
      <c r="D239" s="438">
        <v>0</v>
      </c>
      <c r="E239" s="441" t="s">
        <v>297</v>
      </c>
      <c r="F239" s="442" t="s">
        <v>2374</v>
      </c>
      <c r="G239" s="443"/>
    </row>
    <row r="240" spans="1:7" s="444" customFormat="1" ht="15.95" customHeight="1" x14ac:dyDescent="0.15">
      <c r="A240" s="438">
        <v>239</v>
      </c>
      <c r="B240" s="439" t="s">
        <v>1710</v>
      </c>
      <c r="C240" s="440">
        <v>37153</v>
      </c>
      <c r="D240" s="438">
        <v>0</v>
      </c>
      <c r="E240" s="441" t="s">
        <v>298</v>
      </c>
      <c r="F240" s="442" t="s">
        <v>2373</v>
      </c>
      <c r="G240" s="443"/>
    </row>
    <row r="241" spans="1:7" s="444" customFormat="1" ht="15.95" customHeight="1" x14ac:dyDescent="0.15">
      <c r="A241" s="438">
        <v>240</v>
      </c>
      <c r="B241" s="439" t="s">
        <v>1710</v>
      </c>
      <c r="C241" s="440">
        <v>37409</v>
      </c>
      <c r="D241" s="438">
        <v>0</v>
      </c>
      <c r="E241" s="439" t="s">
        <v>2372</v>
      </c>
      <c r="F241" s="442" t="s">
        <v>2371</v>
      </c>
      <c r="G241" s="443"/>
    </row>
    <row r="242" spans="1:7" s="444" customFormat="1" ht="15.95" customHeight="1" x14ac:dyDescent="0.15">
      <c r="A242" s="438">
        <v>241</v>
      </c>
      <c r="B242" s="439" t="s">
        <v>1710</v>
      </c>
      <c r="C242" s="440">
        <v>37665</v>
      </c>
      <c r="D242" s="438">
        <v>0</v>
      </c>
      <c r="E242" s="439" t="s">
        <v>2370</v>
      </c>
      <c r="F242" s="442" t="s">
        <v>2369</v>
      </c>
      <c r="G242" s="443"/>
    </row>
    <row r="243" spans="1:7" s="444" customFormat="1" ht="15.95" customHeight="1" x14ac:dyDescent="0.15">
      <c r="A243" s="438">
        <v>242</v>
      </c>
      <c r="B243" s="439" t="s">
        <v>1710</v>
      </c>
      <c r="C243" s="440">
        <v>37921</v>
      </c>
      <c r="D243" s="438">
        <v>0</v>
      </c>
      <c r="E243" s="439" t="s">
        <v>2368</v>
      </c>
      <c r="F243" s="442" t="s">
        <v>2367</v>
      </c>
      <c r="G243" s="443"/>
    </row>
    <row r="244" spans="1:7" s="444" customFormat="1" ht="15.95" customHeight="1" x14ac:dyDescent="0.15">
      <c r="A244" s="438">
        <v>243</v>
      </c>
      <c r="B244" s="439" t="s">
        <v>1710</v>
      </c>
      <c r="C244" s="440">
        <v>38177</v>
      </c>
      <c r="D244" s="438">
        <v>0</v>
      </c>
      <c r="E244" s="439" t="s">
        <v>2366</v>
      </c>
      <c r="F244" s="442" t="s">
        <v>2365</v>
      </c>
      <c r="G244" s="443"/>
    </row>
    <row r="245" spans="1:7" s="444" customFormat="1" ht="15.95" customHeight="1" x14ac:dyDescent="0.15">
      <c r="A245" s="438">
        <v>244</v>
      </c>
      <c r="B245" s="439" t="s">
        <v>1710</v>
      </c>
      <c r="C245" s="440">
        <v>35874</v>
      </c>
      <c r="D245" s="438">
        <v>0</v>
      </c>
      <c r="E245" s="441" t="s">
        <v>299</v>
      </c>
      <c r="F245" s="442" t="s">
        <v>2364</v>
      </c>
      <c r="G245" s="443"/>
    </row>
    <row r="246" spans="1:7" s="444" customFormat="1" ht="15.95" customHeight="1" x14ac:dyDescent="0.15">
      <c r="A246" s="438">
        <v>245</v>
      </c>
      <c r="B246" s="439" t="s">
        <v>1710</v>
      </c>
      <c r="C246" s="440">
        <v>36130</v>
      </c>
      <c r="D246" s="438">
        <v>0</v>
      </c>
      <c r="E246" s="441" t="s">
        <v>300</v>
      </c>
      <c r="F246" s="442" t="s">
        <v>2363</v>
      </c>
      <c r="G246" s="443"/>
    </row>
    <row r="247" spans="1:7" s="444" customFormat="1" ht="15.95" customHeight="1" x14ac:dyDescent="0.15">
      <c r="A247" s="438">
        <v>246</v>
      </c>
      <c r="B247" s="439" t="s">
        <v>1710</v>
      </c>
      <c r="C247" s="440">
        <v>36386</v>
      </c>
      <c r="D247" s="438">
        <v>0</v>
      </c>
      <c r="E247" s="441" t="s">
        <v>301</v>
      </c>
      <c r="F247" s="442" t="s">
        <v>2362</v>
      </c>
      <c r="G247" s="443"/>
    </row>
    <row r="248" spans="1:7" s="444" customFormat="1" ht="15.95" customHeight="1" x14ac:dyDescent="0.15">
      <c r="A248" s="438">
        <v>247</v>
      </c>
      <c r="B248" s="439" t="s">
        <v>1710</v>
      </c>
      <c r="C248" s="440">
        <v>36642</v>
      </c>
      <c r="D248" s="438">
        <v>0</v>
      </c>
      <c r="E248" s="441" t="s">
        <v>302</v>
      </c>
      <c r="F248" s="442" t="s">
        <v>2361</v>
      </c>
      <c r="G248" s="443"/>
    </row>
    <row r="249" spans="1:7" s="444" customFormat="1" ht="15.95" customHeight="1" x14ac:dyDescent="0.15">
      <c r="A249" s="438">
        <v>248</v>
      </c>
      <c r="B249" s="439" t="s">
        <v>1710</v>
      </c>
      <c r="C249" s="440">
        <v>36898</v>
      </c>
      <c r="D249" s="438">
        <v>0</v>
      </c>
      <c r="E249" s="441" t="s">
        <v>303</v>
      </c>
      <c r="F249" s="442" t="s">
        <v>2360</v>
      </c>
      <c r="G249" s="443"/>
    </row>
    <row r="250" spans="1:7" s="444" customFormat="1" ht="15.95" customHeight="1" x14ac:dyDescent="0.15">
      <c r="A250" s="438">
        <v>249</v>
      </c>
      <c r="B250" s="439" t="s">
        <v>1710</v>
      </c>
      <c r="C250" s="440">
        <v>37154</v>
      </c>
      <c r="D250" s="438">
        <v>0</v>
      </c>
      <c r="E250" s="441" t="s">
        <v>304</v>
      </c>
      <c r="F250" s="442" t="s">
        <v>2359</v>
      </c>
      <c r="G250" s="443"/>
    </row>
    <row r="251" spans="1:7" s="444" customFormat="1" ht="15.95" customHeight="1" x14ac:dyDescent="0.15">
      <c r="A251" s="438">
        <v>250</v>
      </c>
      <c r="B251" s="439" t="s">
        <v>1710</v>
      </c>
      <c r="C251" s="440">
        <v>37410</v>
      </c>
      <c r="D251" s="438">
        <v>0</v>
      </c>
      <c r="E251" s="439" t="s">
        <v>2358</v>
      </c>
      <c r="F251" s="442" t="s">
        <v>2357</v>
      </c>
      <c r="G251" s="443"/>
    </row>
    <row r="252" spans="1:7" s="444" customFormat="1" ht="15.95" customHeight="1" x14ac:dyDescent="0.15">
      <c r="A252" s="438">
        <v>251</v>
      </c>
      <c r="B252" s="439" t="s">
        <v>1710</v>
      </c>
      <c r="C252" s="440">
        <v>37666</v>
      </c>
      <c r="D252" s="438">
        <v>0</v>
      </c>
      <c r="E252" s="439" t="s">
        <v>2356</v>
      </c>
      <c r="F252" s="442" t="s">
        <v>2355</v>
      </c>
      <c r="G252" s="443"/>
    </row>
    <row r="253" spans="1:7" s="444" customFormat="1" ht="15.95" customHeight="1" x14ac:dyDescent="0.15">
      <c r="A253" s="438">
        <v>252</v>
      </c>
      <c r="B253" s="439" t="s">
        <v>1710</v>
      </c>
      <c r="C253" s="440">
        <v>37922</v>
      </c>
      <c r="D253" s="438">
        <v>0</v>
      </c>
      <c r="E253" s="439" t="s">
        <v>2354</v>
      </c>
      <c r="F253" s="442" t="s">
        <v>2353</v>
      </c>
      <c r="G253" s="443"/>
    </row>
    <row r="254" spans="1:7" s="444" customFormat="1" ht="15.95" customHeight="1" x14ac:dyDescent="0.15">
      <c r="A254" s="438">
        <v>253</v>
      </c>
      <c r="B254" s="439" t="s">
        <v>1710</v>
      </c>
      <c r="C254" s="440">
        <v>38178</v>
      </c>
      <c r="D254" s="438">
        <v>0</v>
      </c>
      <c r="E254" s="439" t="s">
        <v>2352</v>
      </c>
      <c r="F254" s="442" t="s">
        <v>2351</v>
      </c>
      <c r="G254" s="443"/>
    </row>
    <row r="255" spans="1:7" s="444" customFormat="1" ht="15.95" customHeight="1" x14ac:dyDescent="0.15">
      <c r="A255" s="438">
        <v>254</v>
      </c>
      <c r="B255" s="439" t="s">
        <v>1710</v>
      </c>
      <c r="C255" s="440">
        <v>35875</v>
      </c>
      <c r="D255" s="438">
        <v>0</v>
      </c>
      <c r="E255" s="441" t="s">
        <v>305</v>
      </c>
      <c r="F255" s="442" t="s">
        <v>2350</v>
      </c>
      <c r="G255" s="443"/>
    </row>
    <row r="256" spans="1:7" s="444" customFormat="1" ht="15.95" customHeight="1" x14ac:dyDescent="0.15">
      <c r="A256" s="438">
        <v>255</v>
      </c>
      <c r="B256" s="439" t="s">
        <v>1710</v>
      </c>
      <c r="C256" s="440">
        <v>36131</v>
      </c>
      <c r="D256" s="438">
        <v>0</v>
      </c>
      <c r="E256" s="441" t="s">
        <v>306</v>
      </c>
      <c r="F256" s="442" t="s">
        <v>2349</v>
      </c>
      <c r="G256" s="443"/>
    </row>
    <row r="257" spans="1:7" s="444" customFormat="1" ht="15.95" customHeight="1" x14ac:dyDescent="0.15">
      <c r="A257" s="438">
        <v>256</v>
      </c>
      <c r="B257" s="439" t="s">
        <v>1710</v>
      </c>
      <c r="C257" s="440">
        <v>36387</v>
      </c>
      <c r="D257" s="438">
        <v>0</v>
      </c>
      <c r="E257" s="441" t="s">
        <v>307</v>
      </c>
      <c r="F257" s="442" t="s">
        <v>2348</v>
      </c>
      <c r="G257" s="443"/>
    </row>
    <row r="258" spans="1:7" s="444" customFormat="1" ht="15.95" customHeight="1" x14ac:dyDescent="0.15">
      <c r="A258" s="438">
        <v>257</v>
      </c>
      <c r="B258" s="439" t="s">
        <v>1710</v>
      </c>
      <c r="C258" s="440">
        <v>36643</v>
      </c>
      <c r="D258" s="438">
        <v>0</v>
      </c>
      <c r="E258" s="441" t="s">
        <v>308</v>
      </c>
      <c r="F258" s="442" t="s">
        <v>2347</v>
      </c>
      <c r="G258" s="443"/>
    </row>
    <row r="259" spans="1:7" s="444" customFormat="1" ht="15.95" customHeight="1" x14ac:dyDescent="0.15">
      <c r="A259" s="438">
        <v>258</v>
      </c>
      <c r="B259" s="439" t="s">
        <v>1710</v>
      </c>
      <c r="C259" s="440">
        <v>36899</v>
      </c>
      <c r="D259" s="438">
        <v>0</v>
      </c>
      <c r="E259" s="441" t="s">
        <v>309</v>
      </c>
      <c r="F259" s="442" t="s">
        <v>2346</v>
      </c>
      <c r="G259" s="443"/>
    </row>
    <row r="260" spans="1:7" s="444" customFormat="1" ht="15.95" customHeight="1" x14ac:dyDescent="0.15">
      <c r="A260" s="438">
        <v>259</v>
      </c>
      <c r="B260" s="439" t="s">
        <v>1710</v>
      </c>
      <c r="C260" s="440">
        <v>37155</v>
      </c>
      <c r="D260" s="438">
        <v>0</v>
      </c>
      <c r="E260" s="441" t="s">
        <v>310</v>
      </c>
      <c r="F260" s="442" t="s">
        <v>2345</v>
      </c>
      <c r="G260" s="443"/>
    </row>
    <row r="261" spans="1:7" s="444" customFormat="1" ht="15.95" customHeight="1" x14ac:dyDescent="0.15">
      <c r="A261" s="438">
        <v>260</v>
      </c>
      <c r="B261" s="439" t="s">
        <v>1710</v>
      </c>
      <c r="C261" s="440">
        <v>37411</v>
      </c>
      <c r="D261" s="438">
        <v>0</v>
      </c>
      <c r="E261" s="439" t="s">
        <v>2344</v>
      </c>
      <c r="F261" s="442" t="s">
        <v>2343</v>
      </c>
      <c r="G261" s="443"/>
    </row>
    <row r="262" spans="1:7" s="444" customFormat="1" ht="15.95" customHeight="1" x14ac:dyDescent="0.15">
      <c r="A262" s="438">
        <v>261</v>
      </c>
      <c r="B262" s="439" t="s">
        <v>1710</v>
      </c>
      <c r="C262" s="440">
        <v>37667</v>
      </c>
      <c r="D262" s="438">
        <v>0</v>
      </c>
      <c r="E262" s="439" t="s">
        <v>2342</v>
      </c>
      <c r="F262" s="442" t="s">
        <v>2341</v>
      </c>
      <c r="G262" s="443"/>
    </row>
    <row r="263" spans="1:7" s="444" customFormat="1" ht="15.95" customHeight="1" x14ac:dyDescent="0.15">
      <c r="A263" s="438">
        <v>262</v>
      </c>
      <c r="B263" s="439" t="s">
        <v>1710</v>
      </c>
      <c r="C263" s="440">
        <v>37923</v>
      </c>
      <c r="D263" s="438">
        <v>0</v>
      </c>
      <c r="E263" s="439" t="s">
        <v>2340</v>
      </c>
      <c r="F263" s="442" t="s">
        <v>2339</v>
      </c>
      <c r="G263" s="443"/>
    </row>
    <row r="264" spans="1:7" s="444" customFormat="1" ht="15.95" customHeight="1" x14ac:dyDescent="0.15">
      <c r="A264" s="438">
        <v>263</v>
      </c>
      <c r="B264" s="439" t="s">
        <v>1710</v>
      </c>
      <c r="C264" s="440">
        <v>38179</v>
      </c>
      <c r="D264" s="438">
        <v>0</v>
      </c>
      <c r="E264" s="439" t="s">
        <v>2338</v>
      </c>
      <c r="F264" s="442" t="s">
        <v>2337</v>
      </c>
      <c r="G264" s="443"/>
    </row>
    <row r="265" spans="1:7" s="444" customFormat="1" ht="15.95" customHeight="1" x14ac:dyDescent="0.15">
      <c r="A265" s="438">
        <v>264</v>
      </c>
      <c r="B265" s="439" t="s">
        <v>1710</v>
      </c>
      <c r="C265" s="440">
        <v>38410</v>
      </c>
      <c r="D265" s="438">
        <v>0</v>
      </c>
      <c r="E265" s="441" t="s">
        <v>311</v>
      </c>
      <c r="F265" s="442" t="s">
        <v>2336</v>
      </c>
      <c r="G265" s="443"/>
    </row>
    <row r="266" spans="1:7" s="444" customFormat="1" ht="15.95" customHeight="1" x14ac:dyDescent="0.15">
      <c r="A266" s="438">
        <v>265</v>
      </c>
      <c r="B266" s="439" t="s">
        <v>1710</v>
      </c>
      <c r="C266" s="440">
        <v>38666</v>
      </c>
      <c r="D266" s="438">
        <v>0</v>
      </c>
      <c r="E266" s="441" t="s">
        <v>312</v>
      </c>
      <c r="F266" s="442" t="s">
        <v>2335</v>
      </c>
      <c r="G266" s="443"/>
    </row>
    <row r="267" spans="1:7" s="444" customFormat="1" ht="15.95" customHeight="1" x14ac:dyDescent="0.15">
      <c r="A267" s="438">
        <v>266</v>
      </c>
      <c r="B267" s="439" t="s">
        <v>1710</v>
      </c>
      <c r="C267" s="440">
        <v>38922</v>
      </c>
      <c r="D267" s="438">
        <v>0</v>
      </c>
      <c r="E267" s="441" t="s">
        <v>313</v>
      </c>
      <c r="F267" s="442" t="s">
        <v>2334</v>
      </c>
      <c r="G267" s="443"/>
    </row>
    <row r="268" spans="1:7" s="444" customFormat="1" ht="15.95" customHeight="1" x14ac:dyDescent="0.15">
      <c r="A268" s="438">
        <v>267</v>
      </c>
      <c r="B268" s="439" t="s">
        <v>1710</v>
      </c>
      <c r="C268" s="440">
        <v>39178</v>
      </c>
      <c r="D268" s="438">
        <v>0</v>
      </c>
      <c r="E268" s="441" t="s">
        <v>314</v>
      </c>
      <c r="F268" s="442" t="s">
        <v>2333</v>
      </c>
      <c r="G268" s="443"/>
    </row>
    <row r="269" spans="1:7" s="444" customFormat="1" ht="15.95" customHeight="1" x14ac:dyDescent="0.15">
      <c r="A269" s="438">
        <v>268</v>
      </c>
      <c r="B269" s="439" t="s">
        <v>1710</v>
      </c>
      <c r="C269" s="440">
        <v>39434</v>
      </c>
      <c r="D269" s="438">
        <v>0</v>
      </c>
      <c r="E269" s="441" t="s">
        <v>315</v>
      </c>
      <c r="F269" s="442" t="s">
        <v>2332</v>
      </c>
      <c r="G269" s="443"/>
    </row>
    <row r="270" spans="1:7" s="444" customFormat="1" ht="15.95" customHeight="1" x14ac:dyDescent="0.15">
      <c r="A270" s="438">
        <v>269</v>
      </c>
      <c r="B270" s="439" t="s">
        <v>1710</v>
      </c>
      <c r="C270" s="440">
        <v>39690</v>
      </c>
      <c r="D270" s="438">
        <v>0</v>
      </c>
      <c r="E270" s="441" t="s">
        <v>316</v>
      </c>
      <c r="F270" s="442" t="s">
        <v>2331</v>
      </c>
      <c r="G270" s="443"/>
    </row>
    <row r="271" spans="1:7" s="444" customFormat="1" ht="15.95" customHeight="1" x14ac:dyDescent="0.15">
      <c r="A271" s="438">
        <v>270</v>
      </c>
      <c r="B271" s="439" t="s">
        <v>1710</v>
      </c>
      <c r="C271" s="440">
        <v>39946</v>
      </c>
      <c r="D271" s="438">
        <v>0</v>
      </c>
      <c r="E271" s="441" t="s">
        <v>2330</v>
      </c>
      <c r="F271" s="442" t="s">
        <v>2329</v>
      </c>
      <c r="G271" s="443"/>
    </row>
    <row r="272" spans="1:7" s="444" customFormat="1" ht="15.95" customHeight="1" x14ac:dyDescent="0.15">
      <c r="A272" s="438">
        <v>271</v>
      </c>
      <c r="B272" s="439" t="s">
        <v>1710</v>
      </c>
      <c r="C272" s="440">
        <v>40202</v>
      </c>
      <c r="D272" s="438">
        <v>0</v>
      </c>
      <c r="E272" s="439" t="s">
        <v>2328</v>
      </c>
      <c r="F272" s="442" t="s">
        <v>2327</v>
      </c>
      <c r="G272" s="443"/>
    </row>
    <row r="273" spans="1:7" s="444" customFormat="1" ht="15.95" customHeight="1" x14ac:dyDescent="0.15">
      <c r="A273" s="438">
        <v>272</v>
      </c>
      <c r="B273" s="439" t="s">
        <v>1710</v>
      </c>
      <c r="C273" s="440">
        <v>40458</v>
      </c>
      <c r="D273" s="438">
        <v>0</v>
      </c>
      <c r="E273" s="439" t="s">
        <v>2326</v>
      </c>
      <c r="F273" s="442" t="s">
        <v>2325</v>
      </c>
      <c r="G273" s="443"/>
    </row>
    <row r="274" spans="1:7" s="444" customFormat="1" ht="15.95" customHeight="1" x14ac:dyDescent="0.15">
      <c r="A274" s="438">
        <v>273</v>
      </c>
      <c r="B274" s="439" t="s">
        <v>1710</v>
      </c>
      <c r="C274" s="440">
        <v>40714</v>
      </c>
      <c r="D274" s="438">
        <v>0</v>
      </c>
      <c r="E274" s="439" t="s">
        <v>2324</v>
      </c>
      <c r="F274" s="442" t="s">
        <v>2323</v>
      </c>
      <c r="G274" s="443"/>
    </row>
    <row r="275" spans="1:7" s="444" customFormat="1" ht="15.95" customHeight="1" x14ac:dyDescent="0.15">
      <c r="A275" s="438">
        <v>274</v>
      </c>
      <c r="B275" s="439" t="s">
        <v>1710</v>
      </c>
      <c r="C275" s="440">
        <v>38411</v>
      </c>
      <c r="D275" s="438">
        <v>0</v>
      </c>
      <c r="E275" s="441" t="s">
        <v>317</v>
      </c>
      <c r="F275" s="442" t="s">
        <v>2322</v>
      </c>
      <c r="G275" s="443"/>
    </row>
    <row r="276" spans="1:7" s="444" customFormat="1" ht="15.95" customHeight="1" x14ac:dyDescent="0.15">
      <c r="A276" s="438">
        <v>275</v>
      </c>
      <c r="B276" s="439" t="s">
        <v>1710</v>
      </c>
      <c r="C276" s="440">
        <v>38667</v>
      </c>
      <c r="D276" s="438">
        <v>0</v>
      </c>
      <c r="E276" s="441" t="s">
        <v>318</v>
      </c>
      <c r="F276" s="442" t="s">
        <v>2321</v>
      </c>
      <c r="G276" s="443"/>
    </row>
    <row r="277" spans="1:7" s="444" customFormat="1" ht="15.95" customHeight="1" x14ac:dyDescent="0.15">
      <c r="A277" s="438">
        <v>276</v>
      </c>
      <c r="B277" s="439" t="s">
        <v>1710</v>
      </c>
      <c r="C277" s="440">
        <v>38923</v>
      </c>
      <c r="D277" s="438">
        <v>0</v>
      </c>
      <c r="E277" s="441" t="s">
        <v>319</v>
      </c>
      <c r="F277" s="442" t="s">
        <v>2320</v>
      </c>
      <c r="G277" s="443"/>
    </row>
    <row r="278" spans="1:7" s="444" customFormat="1" ht="15.95" customHeight="1" x14ac:dyDescent="0.15">
      <c r="A278" s="438">
        <v>277</v>
      </c>
      <c r="B278" s="439" t="s">
        <v>1710</v>
      </c>
      <c r="C278" s="440">
        <v>39179</v>
      </c>
      <c r="D278" s="438">
        <v>0</v>
      </c>
      <c r="E278" s="441" t="s">
        <v>320</v>
      </c>
      <c r="F278" s="442" t="s">
        <v>2319</v>
      </c>
      <c r="G278" s="443"/>
    </row>
    <row r="279" spans="1:7" s="444" customFormat="1" ht="15.95" customHeight="1" x14ac:dyDescent="0.15">
      <c r="A279" s="438">
        <v>278</v>
      </c>
      <c r="B279" s="439" t="s">
        <v>1710</v>
      </c>
      <c r="C279" s="440">
        <v>39435</v>
      </c>
      <c r="D279" s="438">
        <v>0</v>
      </c>
      <c r="E279" s="441" t="s">
        <v>321</v>
      </c>
      <c r="F279" s="442" t="s">
        <v>2318</v>
      </c>
      <c r="G279" s="443"/>
    </row>
    <row r="280" spans="1:7" s="444" customFormat="1" ht="15.95" customHeight="1" x14ac:dyDescent="0.15">
      <c r="A280" s="438">
        <v>279</v>
      </c>
      <c r="B280" s="439" t="s">
        <v>1710</v>
      </c>
      <c r="C280" s="440">
        <v>39691</v>
      </c>
      <c r="D280" s="438">
        <v>0</v>
      </c>
      <c r="E280" s="441" t="s">
        <v>322</v>
      </c>
      <c r="F280" s="442" t="s">
        <v>2317</v>
      </c>
      <c r="G280" s="443"/>
    </row>
    <row r="281" spans="1:7" s="444" customFormat="1" ht="15.95" customHeight="1" x14ac:dyDescent="0.15">
      <c r="A281" s="438">
        <v>280</v>
      </c>
      <c r="B281" s="439" t="s">
        <v>1710</v>
      </c>
      <c r="C281" s="440">
        <v>39947</v>
      </c>
      <c r="D281" s="438">
        <v>0</v>
      </c>
      <c r="E281" s="439" t="s">
        <v>2316</v>
      </c>
      <c r="F281" s="442" t="s">
        <v>2315</v>
      </c>
      <c r="G281" s="443"/>
    </row>
    <row r="282" spans="1:7" s="444" customFormat="1" ht="15.95" customHeight="1" x14ac:dyDescent="0.15">
      <c r="A282" s="438">
        <v>281</v>
      </c>
      <c r="B282" s="439" t="s">
        <v>1710</v>
      </c>
      <c r="C282" s="440">
        <v>40203</v>
      </c>
      <c r="D282" s="438">
        <v>0</v>
      </c>
      <c r="E282" s="439" t="s">
        <v>2314</v>
      </c>
      <c r="F282" s="442" t="s">
        <v>2313</v>
      </c>
      <c r="G282" s="443"/>
    </row>
    <row r="283" spans="1:7" s="444" customFormat="1" ht="15.95" customHeight="1" x14ac:dyDescent="0.15">
      <c r="A283" s="438">
        <v>282</v>
      </c>
      <c r="B283" s="439" t="s">
        <v>1710</v>
      </c>
      <c r="C283" s="440">
        <v>40459</v>
      </c>
      <c r="D283" s="438">
        <v>0</v>
      </c>
      <c r="E283" s="439" t="s">
        <v>2312</v>
      </c>
      <c r="F283" s="442" t="s">
        <v>2311</v>
      </c>
      <c r="G283" s="443"/>
    </row>
    <row r="284" spans="1:7" s="444" customFormat="1" ht="15.95" customHeight="1" x14ac:dyDescent="0.15">
      <c r="A284" s="438">
        <v>283</v>
      </c>
      <c r="B284" s="439" t="s">
        <v>1710</v>
      </c>
      <c r="C284" s="440">
        <v>40715</v>
      </c>
      <c r="D284" s="438">
        <v>0</v>
      </c>
      <c r="E284" s="439" t="s">
        <v>2310</v>
      </c>
      <c r="F284" s="442" t="s">
        <v>2309</v>
      </c>
      <c r="G284" s="443"/>
    </row>
    <row r="285" spans="1:7" s="444" customFormat="1" ht="15.95" customHeight="1" x14ac:dyDescent="0.15">
      <c r="A285" s="438">
        <v>284</v>
      </c>
      <c r="B285" s="439" t="s">
        <v>1710</v>
      </c>
      <c r="C285" s="440">
        <v>38413</v>
      </c>
      <c r="D285" s="438">
        <v>0</v>
      </c>
      <c r="E285" s="441" t="s">
        <v>323</v>
      </c>
      <c r="F285" s="442" t="s">
        <v>2308</v>
      </c>
      <c r="G285" s="443"/>
    </row>
    <row r="286" spans="1:7" s="444" customFormat="1" ht="15.95" customHeight="1" x14ac:dyDescent="0.15">
      <c r="A286" s="438">
        <v>285</v>
      </c>
      <c r="B286" s="439" t="s">
        <v>1710</v>
      </c>
      <c r="C286" s="440">
        <v>38669</v>
      </c>
      <c r="D286" s="438">
        <v>0</v>
      </c>
      <c r="E286" s="441" t="s">
        <v>324</v>
      </c>
      <c r="F286" s="442" t="s">
        <v>2307</v>
      </c>
      <c r="G286" s="443"/>
    </row>
    <row r="287" spans="1:7" s="444" customFormat="1" ht="15.95" customHeight="1" x14ac:dyDescent="0.15">
      <c r="A287" s="438">
        <v>286</v>
      </c>
      <c r="B287" s="439" t="s">
        <v>1710</v>
      </c>
      <c r="C287" s="440">
        <v>38925</v>
      </c>
      <c r="D287" s="438">
        <v>0</v>
      </c>
      <c r="E287" s="441" t="s">
        <v>325</v>
      </c>
      <c r="F287" s="442" t="s">
        <v>2306</v>
      </c>
      <c r="G287" s="443"/>
    </row>
    <row r="288" spans="1:7" s="444" customFormat="1" ht="15.95" customHeight="1" x14ac:dyDescent="0.15">
      <c r="A288" s="438">
        <v>287</v>
      </c>
      <c r="B288" s="439" t="s">
        <v>1710</v>
      </c>
      <c r="C288" s="440">
        <v>39181</v>
      </c>
      <c r="D288" s="438">
        <v>0</v>
      </c>
      <c r="E288" s="441" t="s">
        <v>326</v>
      </c>
      <c r="F288" s="442" t="s">
        <v>2305</v>
      </c>
      <c r="G288" s="443"/>
    </row>
    <row r="289" spans="1:7" s="444" customFormat="1" ht="15.95" customHeight="1" x14ac:dyDescent="0.15">
      <c r="A289" s="438">
        <v>288</v>
      </c>
      <c r="B289" s="439" t="s">
        <v>1710</v>
      </c>
      <c r="C289" s="440">
        <v>39437</v>
      </c>
      <c r="D289" s="438">
        <v>0</v>
      </c>
      <c r="E289" s="441" t="s">
        <v>327</v>
      </c>
      <c r="F289" s="442" t="s">
        <v>2304</v>
      </c>
      <c r="G289" s="443"/>
    </row>
    <row r="290" spans="1:7" s="444" customFormat="1" ht="15.95" customHeight="1" x14ac:dyDescent="0.15">
      <c r="A290" s="438">
        <v>289</v>
      </c>
      <c r="B290" s="439" t="s">
        <v>1710</v>
      </c>
      <c r="C290" s="440">
        <v>39693</v>
      </c>
      <c r="D290" s="438">
        <v>0</v>
      </c>
      <c r="E290" s="441" t="s">
        <v>328</v>
      </c>
      <c r="F290" s="442" t="s">
        <v>2303</v>
      </c>
      <c r="G290" s="443"/>
    </row>
    <row r="291" spans="1:7" s="444" customFormat="1" ht="15.95" customHeight="1" x14ac:dyDescent="0.15">
      <c r="A291" s="438">
        <v>290</v>
      </c>
      <c r="B291" s="439" t="s">
        <v>1710</v>
      </c>
      <c r="C291" s="440">
        <v>39949</v>
      </c>
      <c r="D291" s="438">
        <v>0</v>
      </c>
      <c r="E291" s="439" t="s">
        <v>2302</v>
      </c>
      <c r="F291" s="442" t="s">
        <v>2301</v>
      </c>
      <c r="G291" s="443"/>
    </row>
    <row r="292" spans="1:7" s="444" customFormat="1" ht="15.95" customHeight="1" x14ac:dyDescent="0.15">
      <c r="A292" s="438">
        <v>291</v>
      </c>
      <c r="B292" s="439" t="s">
        <v>1710</v>
      </c>
      <c r="C292" s="440">
        <v>40205</v>
      </c>
      <c r="D292" s="438">
        <v>0</v>
      </c>
      <c r="E292" s="439" t="s">
        <v>2300</v>
      </c>
      <c r="F292" s="442" t="s">
        <v>2299</v>
      </c>
      <c r="G292" s="443"/>
    </row>
    <row r="293" spans="1:7" s="444" customFormat="1" ht="15.95" customHeight="1" x14ac:dyDescent="0.15">
      <c r="A293" s="438">
        <v>292</v>
      </c>
      <c r="B293" s="439" t="s">
        <v>1710</v>
      </c>
      <c r="C293" s="440">
        <v>40461</v>
      </c>
      <c r="D293" s="438">
        <v>0</v>
      </c>
      <c r="E293" s="439" t="s">
        <v>2298</v>
      </c>
      <c r="F293" s="442" t="s">
        <v>2297</v>
      </c>
      <c r="G293" s="443"/>
    </row>
    <row r="294" spans="1:7" s="444" customFormat="1" ht="15.95" customHeight="1" x14ac:dyDescent="0.15">
      <c r="A294" s="438">
        <v>293</v>
      </c>
      <c r="B294" s="439" t="s">
        <v>1710</v>
      </c>
      <c r="C294" s="440">
        <v>40717</v>
      </c>
      <c r="D294" s="438">
        <v>0</v>
      </c>
      <c r="E294" s="439" t="s">
        <v>2296</v>
      </c>
      <c r="F294" s="442" t="s">
        <v>2295</v>
      </c>
      <c r="G294" s="443"/>
    </row>
    <row r="295" spans="1:7" s="444" customFormat="1" ht="15.95" customHeight="1" x14ac:dyDescent="0.15">
      <c r="A295" s="438">
        <v>294</v>
      </c>
      <c r="B295" s="439" t="s">
        <v>1710</v>
      </c>
      <c r="C295" s="440">
        <v>38414</v>
      </c>
      <c r="D295" s="438">
        <v>0</v>
      </c>
      <c r="E295" s="441" t="s">
        <v>329</v>
      </c>
      <c r="F295" s="442" t="s">
        <v>2294</v>
      </c>
      <c r="G295" s="443"/>
    </row>
    <row r="296" spans="1:7" s="444" customFormat="1" ht="15.95" customHeight="1" x14ac:dyDescent="0.15">
      <c r="A296" s="438">
        <v>295</v>
      </c>
      <c r="B296" s="439" t="s">
        <v>1710</v>
      </c>
      <c r="C296" s="440">
        <v>38670</v>
      </c>
      <c r="D296" s="438">
        <v>0</v>
      </c>
      <c r="E296" s="441" t="s">
        <v>330</v>
      </c>
      <c r="F296" s="442" t="s">
        <v>2293</v>
      </c>
      <c r="G296" s="443"/>
    </row>
    <row r="297" spans="1:7" s="444" customFormat="1" ht="15.95" customHeight="1" x14ac:dyDescent="0.15">
      <c r="A297" s="438">
        <v>296</v>
      </c>
      <c r="B297" s="439" t="s">
        <v>1710</v>
      </c>
      <c r="C297" s="440">
        <v>38926</v>
      </c>
      <c r="D297" s="438">
        <v>0</v>
      </c>
      <c r="E297" s="441" t="s">
        <v>331</v>
      </c>
      <c r="F297" s="442" t="s">
        <v>2292</v>
      </c>
      <c r="G297" s="443"/>
    </row>
    <row r="298" spans="1:7" s="444" customFormat="1" ht="15.95" customHeight="1" x14ac:dyDescent="0.15">
      <c r="A298" s="438">
        <v>297</v>
      </c>
      <c r="B298" s="439" t="s">
        <v>1710</v>
      </c>
      <c r="C298" s="440">
        <v>39182</v>
      </c>
      <c r="D298" s="438">
        <v>0</v>
      </c>
      <c r="E298" s="441" t="s">
        <v>332</v>
      </c>
      <c r="F298" s="442" t="s">
        <v>2291</v>
      </c>
      <c r="G298" s="443"/>
    </row>
    <row r="299" spans="1:7" s="444" customFormat="1" ht="15.95" customHeight="1" x14ac:dyDescent="0.15">
      <c r="A299" s="438">
        <v>298</v>
      </c>
      <c r="B299" s="439" t="s">
        <v>1710</v>
      </c>
      <c r="C299" s="440">
        <v>39438</v>
      </c>
      <c r="D299" s="438">
        <v>0</v>
      </c>
      <c r="E299" s="441" t="s">
        <v>333</v>
      </c>
      <c r="F299" s="442" t="s">
        <v>2290</v>
      </c>
      <c r="G299" s="443"/>
    </row>
    <row r="300" spans="1:7" s="444" customFormat="1" ht="15.95" customHeight="1" x14ac:dyDescent="0.15">
      <c r="A300" s="438">
        <v>299</v>
      </c>
      <c r="B300" s="439" t="s">
        <v>1710</v>
      </c>
      <c r="C300" s="440">
        <v>39694</v>
      </c>
      <c r="D300" s="438">
        <v>0</v>
      </c>
      <c r="E300" s="441" t="s">
        <v>334</v>
      </c>
      <c r="F300" s="442" t="s">
        <v>2289</v>
      </c>
      <c r="G300" s="443"/>
    </row>
    <row r="301" spans="1:7" s="444" customFormat="1" ht="15.95" customHeight="1" x14ac:dyDescent="0.15">
      <c r="A301" s="438">
        <v>300</v>
      </c>
      <c r="B301" s="439" t="s">
        <v>1710</v>
      </c>
      <c r="C301" s="440">
        <v>39950</v>
      </c>
      <c r="D301" s="438">
        <v>0</v>
      </c>
      <c r="E301" s="439" t="s">
        <v>2288</v>
      </c>
      <c r="F301" s="442" t="s">
        <v>2287</v>
      </c>
      <c r="G301" s="443"/>
    </row>
    <row r="302" spans="1:7" s="444" customFormat="1" ht="15.95" customHeight="1" x14ac:dyDescent="0.15">
      <c r="A302" s="438">
        <v>301</v>
      </c>
      <c r="B302" s="439" t="s">
        <v>1710</v>
      </c>
      <c r="C302" s="440">
        <v>40206</v>
      </c>
      <c r="D302" s="438">
        <v>0</v>
      </c>
      <c r="E302" s="439" t="s">
        <v>2286</v>
      </c>
      <c r="F302" s="442" t="s">
        <v>2285</v>
      </c>
      <c r="G302" s="443"/>
    </row>
    <row r="303" spans="1:7" s="444" customFormat="1" ht="15.95" customHeight="1" x14ac:dyDescent="0.15">
      <c r="A303" s="438">
        <v>302</v>
      </c>
      <c r="B303" s="439" t="s">
        <v>1710</v>
      </c>
      <c r="C303" s="440">
        <v>40462</v>
      </c>
      <c r="D303" s="438">
        <v>0</v>
      </c>
      <c r="E303" s="439" t="s">
        <v>2284</v>
      </c>
      <c r="F303" s="442" t="s">
        <v>2283</v>
      </c>
      <c r="G303" s="443"/>
    </row>
    <row r="304" spans="1:7" s="444" customFormat="1" ht="15.95" customHeight="1" x14ac:dyDescent="0.15">
      <c r="A304" s="438">
        <v>303</v>
      </c>
      <c r="B304" s="439" t="s">
        <v>1710</v>
      </c>
      <c r="C304" s="440">
        <v>40718</v>
      </c>
      <c r="D304" s="438">
        <v>0</v>
      </c>
      <c r="E304" s="439" t="s">
        <v>2282</v>
      </c>
      <c r="F304" s="442" t="s">
        <v>2281</v>
      </c>
      <c r="G304" s="443"/>
    </row>
    <row r="305" spans="1:7" s="444" customFormat="1" ht="15.95" customHeight="1" x14ac:dyDescent="0.15">
      <c r="A305" s="438">
        <v>304</v>
      </c>
      <c r="B305" s="439" t="s">
        <v>1710</v>
      </c>
      <c r="C305" s="440">
        <v>38570</v>
      </c>
      <c r="D305" s="438">
        <v>0</v>
      </c>
      <c r="E305" s="441" t="s">
        <v>335</v>
      </c>
      <c r="F305" s="442" t="s">
        <v>2280</v>
      </c>
      <c r="G305" s="443"/>
    </row>
    <row r="306" spans="1:7" s="444" customFormat="1" ht="15.95" customHeight="1" x14ac:dyDescent="0.15">
      <c r="A306" s="438">
        <v>305</v>
      </c>
      <c r="B306" s="439" t="s">
        <v>1710</v>
      </c>
      <c r="C306" s="440">
        <v>38571</v>
      </c>
      <c r="D306" s="438">
        <v>0</v>
      </c>
      <c r="E306" s="441" t="s">
        <v>336</v>
      </c>
      <c r="F306" s="442" t="s">
        <v>2279</v>
      </c>
      <c r="G306" s="443"/>
    </row>
    <row r="307" spans="1:7" s="444" customFormat="1" ht="15.95" customHeight="1" x14ac:dyDescent="0.15">
      <c r="A307" s="438">
        <v>306</v>
      </c>
      <c r="B307" s="439" t="s">
        <v>1710</v>
      </c>
      <c r="C307" s="440">
        <v>38572</v>
      </c>
      <c r="D307" s="438">
        <v>0</v>
      </c>
      <c r="E307" s="441" t="s">
        <v>337</v>
      </c>
      <c r="F307" s="442" t="s">
        <v>2278</v>
      </c>
      <c r="G307" s="443"/>
    </row>
    <row r="308" spans="1:7" s="444" customFormat="1" ht="15.95" customHeight="1" x14ac:dyDescent="0.15">
      <c r="A308" s="438">
        <v>307</v>
      </c>
      <c r="B308" s="439" t="s">
        <v>1710</v>
      </c>
      <c r="C308" s="440">
        <v>38573</v>
      </c>
      <c r="D308" s="438">
        <v>0</v>
      </c>
      <c r="E308" s="441" t="s">
        <v>338</v>
      </c>
      <c r="F308" s="442" t="s">
        <v>2277</v>
      </c>
      <c r="G308" s="443"/>
    </row>
    <row r="309" spans="1:7" s="444" customFormat="1" ht="15.95" customHeight="1" x14ac:dyDescent="0.15">
      <c r="A309" s="438">
        <v>308</v>
      </c>
      <c r="B309" s="439" t="s">
        <v>1710</v>
      </c>
      <c r="C309" s="440">
        <v>38574</v>
      </c>
      <c r="D309" s="438">
        <v>0</v>
      </c>
      <c r="E309" s="441" t="s">
        <v>339</v>
      </c>
      <c r="F309" s="442" t="s">
        <v>2276</v>
      </c>
      <c r="G309" s="443"/>
    </row>
    <row r="310" spans="1:7" s="444" customFormat="1" ht="15.95" customHeight="1" x14ac:dyDescent="0.15">
      <c r="A310" s="438">
        <v>309</v>
      </c>
      <c r="B310" s="439" t="s">
        <v>1710</v>
      </c>
      <c r="C310" s="440">
        <v>38575</v>
      </c>
      <c r="D310" s="438">
        <v>0</v>
      </c>
      <c r="E310" s="441" t="s">
        <v>340</v>
      </c>
      <c r="F310" s="442" t="s">
        <v>2275</v>
      </c>
      <c r="G310" s="443"/>
    </row>
    <row r="311" spans="1:7" s="444" customFormat="1" ht="15.95" customHeight="1" x14ac:dyDescent="0.15">
      <c r="A311" s="438">
        <v>310</v>
      </c>
      <c r="B311" s="439" t="s">
        <v>1710</v>
      </c>
      <c r="C311" s="440">
        <v>38576</v>
      </c>
      <c r="D311" s="438">
        <v>0</v>
      </c>
      <c r="E311" s="441" t="s">
        <v>341</v>
      </c>
      <c r="F311" s="442" t="s">
        <v>2274</v>
      </c>
      <c r="G311" s="443"/>
    </row>
    <row r="312" spans="1:7" s="444" customFormat="1" ht="15.95" customHeight="1" x14ac:dyDescent="0.15">
      <c r="A312" s="438">
        <v>311</v>
      </c>
      <c r="B312" s="439" t="s">
        <v>1710</v>
      </c>
      <c r="C312" s="440">
        <v>38577</v>
      </c>
      <c r="D312" s="438">
        <v>0</v>
      </c>
      <c r="E312" s="441" t="s">
        <v>342</v>
      </c>
      <c r="F312" s="442" t="s">
        <v>2273</v>
      </c>
      <c r="G312" s="443"/>
    </row>
    <row r="313" spans="1:7" s="444" customFormat="1" ht="15.95" customHeight="1" x14ac:dyDescent="0.15">
      <c r="A313" s="438">
        <v>312</v>
      </c>
      <c r="B313" s="439" t="s">
        <v>1710</v>
      </c>
      <c r="C313" s="440">
        <v>38826</v>
      </c>
      <c r="D313" s="438">
        <v>0</v>
      </c>
      <c r="E313" s="441" t="s">
        <v>343</v>
      </c>
      <c r="F313" s="442" t="s">
        <v>2272</v>
      </c>
      <c r="G313" s="443"/>
    </row>
    <row r="314" spans="1:7" s="444" customFormat="1" ht="15.95" customHeight="1" x14ac:dyDescent="0.15">
      <c r="A314" s="438">
        <v>313</v>
      </c>
      <c r="B314" s="439" t="s">
        <v>1710</v>
      </c>
      <c r="C314" s="440">
        <v>38827</v>
      </c>
      <c r="D314" s="438">
        <v>0</v>
      </c>
      <c r="E314" s="441" t="s">
        <v>344</v>
      </c>
      <c r="F314" s="442" t="s">
        <v>2271</v>
      </c>
      <c r="G314" s="443"/>
    </row>
    <row r="315" spans="1:7" s="444" customFormat="1" ht="15.95" customHeight="1" x14ac:dyDescent="0.15">
      <c r="A315" s="438">
        <v>314</v>
      </c>
      <c r="B315" s="439" t="s">
        <v>1710</v>
      </c>
      <c r="C315" s="440">
        <v>38828</v>
      </c>
      <c r="D315" s="438">
        <v>0</v>
      </c>
      <c r="E315" s="441" t="s">
        <v>345</v>
      </c>
      <c r="F315" s="442" t="s">
        <v>2270</v>
      </c>
      <c r="G315" s="443"/>
    </row>
    <row r="316" spans="1:7" s="444" customFormat="1" ht="15.95" customHeight="1" x14ac:dyDescent="0.15">
      <c r="A316" s="438">
        <v>315</v>
      </c>
      <c r="B316" s="439" t="s">
        <v>1710</v>
      </c>
      <c r="C316" s="440">
        <v>38829</v>
      </c>
      <c r="D316" s="438">
        <v>0</v>
      </c>
      <c r="E316" s="441" t="s">
        <v>346</v>
      </c>
      <c r="F316" s="442" t="s">
        <v>2269</v>
      </c>
      <c r="G316" s="443"/>
    </row>
    <row r="317" spans="1:7" s="444" customFormat="1" ht="15.95" customHeight="1" x14ac:dyDescent="0.15">
      <c r="A317" s="438">
        <v>316</v>
      </c>
      <c r="B317" s="439" t="s">
        <v>1710</v>
      </c>
      <c r="C317" s="440">
        <v>38830</v>
      </c>
      <c r="D317" s="438">
        <v>0</v>
      </c>
      <c r="E317" s="441" t="s">
        <v>347</v>
      </c>
      <c r="F317" s="442" t="s">
        <v>2268</v>
      </c>
      <c r="G317" s="443"/>
    </row>
    <row r="318" spans="1:7" s="444" customFormat="1" ht="15.95" customHeight="1" x14ac:dyDescent="0.15">
      <c r="A318" s="438">
        <v>317</v>
      </c>
      <c r="B318" s="439" t="s">
        <v>1710</v>
      </c>
      <c r="C318" s="440">
        <v>38831</v>
      </c>
      <c r="D318" s="438">
        <v>0</v>
      </c>
      <c r="E318" s="441" t="s">
        <v>348</v>
      </c>
      <c r="F318" s="442" t="s">
        <v>2267</v>
      </c>
      <c r="G318" s="443"/>
    </row>
    <row r="319" spans="1:7" s="444" customFormat="1" ht="15.95" customHeight="1" x14ac:dyDescent="0.15">
      <c r="A319" s="438">
        <v>318</v>
      </c>
      <c r="B319" s="439" t="s">
        <v>1710</v>
      </c>
      <c r="C319" s="440">
        <v>38832</v>
      </c>
      <c r="D319" s="438">
        <v>0</v>
      </c>
      <c r="E319" s="441" t="s">
        <v>349</v>
      </c>
      <c r="F319" s="442" t="s">
        <v>2266</v>
      </c>
      <c r="G319" s="443"/>
    </row>
    <row r="320" spans="1:7" s="444" customFormat="1" ht="15.95" customHeight="1" x14ac:dyDescent="0.15">
      <c r="A320" s="438">
        <v>319</v>
      </c>
      <c r="B320" s="439" t="s">
        <v>1710</v>
      </c>
      <c r="C320" s="440">
        <v>38833</v>
      </c>
      <c r="D320" s="438">
        <v>0</v>
      </c>
      <c r="E320" s="441" t="s">
        <v>350</v>
      </c>
      <c r="F320" s="442" t="s">
        <v>2265</v>
      </c>
      <c r="G320" s="443"/>
    </row>
    <row r="321" spans="1:7" s="444" customFormat="1" ht="15.95" customHeight="1" x14ac:dyDescent="0.15">
      <c r="A321" s="438">
        <v>320</v>
      </c>
      <c r="B321" s="439" t="s">
        <v>1710</v>
      </c>
      <c r="C321" s="440">
        <v>39082</v>
      </c>
      <c r="D321" s="438">
        <v>0</v>
      </c>
      <c r="E321" s="441" t="s">
        <v>351</v>
      </c>
      <c r="F321" s="442" t="s">
        <v>2264</v>
      </c>
      <c r="G321" s="443"/>
    </row>
    <row r="322" spans="1:7" s="444" customFormat="1" ht="15.95" customHeight="1" x14ac:dyDescent="0.15">
      <c r="A322" s="438">
        <v>321</v>
      </c>
      <c r="B322" s="439" t="s">
        <v>1710</v>
      </c>
      <c r="C322" s="440">
        <v>39083</v>
      </c>
      <c r="D322" s="438">
        <v>0</v>
      </c>
      <c r="E322" s="441" t="s">
        <v>352</v>
      </c>
      <c r="F322" s="442" t="s">
        <v>2263</v>
      </c>
      <c r="G322" s="443"/>
    </row>
    <row r="323" spans="1:7" s="444" customFormat="1" ht="15.95" customHeight="1" x14ac:dyDescent="0.15">
      <c r="A323" s="438">
        <v>322</v>
      </c>
      <c r="B323" s="439" t="s">
        <v>1710</v>
      </c>
      <c r="C323" s="440">
        <v>39084</v>
      </c>
      <c r="D323" s="438">
        <v>0</v>
      </c>
      <c r="E323" s="441" t="s">
        <v>353</v>
      </c>
      <c r="F323" s="442" t="s">
        <v>2262</v>
      </c>
      <c r="G323" s="443"/>
    </row>
    <row r="324" spans="1:7" s="444" customFormat="1" ht="15.95" customHeight="1" x14ac:dyDescent="0.15">
      <c r="A324" s="438">
        <v>323</v>
      </c>
      <c r="B324" s="439" t="s">
        <v>1710</v>
      </c>
      <c r="C324" s="440">
        <v>39085</v>
      </c>
      <c r="D324" s="438">
        <v>0</v>
      </c>
      <c r="E324" s="441" t="s">
        <v>354</v>
      </c>
      <c r="F324" s="442" t="s">
        <v>2261</v>
      </c>
      <c r="G324" s="443"/>
    </row>
    <row r="325" spans="1:7" s="444" customFormat="1" ht="15.95" customHeight="1" x14ac:dyDescent="0.15">
      <c r="A325" s="438">
        <v>324</v>
      </c>
      <c r="B325" s="439" t="s">
        <v>1710</v>
      </c>
      <c r="C325" s="440">
        <v>39086</v>
      </c>
      <c r="D325" s="438">
        <v>0</v>
      </c>
      <c r="E325" s="441" t="s">
        <v>355</v>
      </c>
      <c r="F325" s="442" t="s">
        <v>2260</v>
      </c>
      <c r="G325" s="443"/>
    </row>
    <row r="326" spans="1:7" s="444" customFormat="1" ht="15.95" customHeight="1" x14ac:dyDescent="0.15">
      <c r="A326" s="438">
        <v>325</v>
      </c>
      <c r="B326" s="439" t="s">
        <v>1710</v>
      </c>
      <c r="C326" s="440">
        <v>39087</v>
      </c>
      <c r="D326" s="438">
        <v>0</v>
      </c>
      <c r="E326" s="441" t="s">
        <v>356</v>
      </c>
      <c r="F326" s="442" t="s">
        <v>2259</v>
      </c>
      <c r="G326" s="443"/>
    </row>
    <row r="327" spans="1:7" s="444" customFormat="1" ht="15.95" customHeight="1" x14ac:dyDescent="0.15">
      <c r="A327" s="438">
        <v>326</v>
      </c>
      <c r="B327" s="439" t="s">
        <v>1710</v>
      </c>
      <c r="C327" s="440">
        <v>39088</v>
      </c>
      <c r="D327" s="438">
        <v>0</v>
      </c>
      <c r="E327" s="441" t="s">
        <v>357</v>
      </c>
      <c r="F327" s="442" t="s">
        <v>2258</v>
      </c>
      <c r="G327" s="443"/>
    </row>
    <row r="328" spans="1:7" s="444" customFormat="1" ht="15.95" customHeight="1" x14ac:dyDescent="0.15">
      <c r="A328" s="438">
        <v>327</v>
      </c>
      <c r="B328" s="439" t="s">
        <v>1710</v>
      </c>
      <c r="C328" s="440">
        <v>39089</v>
      </c>
      <c r="D328" s="438">
        <v>0</v>
      </c>
      <c r="E328" s="441" t="s">
        <v>358</v>
      </c>
      <c r="F328" s="442" t="s">
        <v>2257</v>
      </c>
      <c r="G328" s="443"/>
    </row>
    <row r="329" spans="1:7" s="444" customFormat="1" ht="15.95" customHeight="1" x14ac:dyDescent="0.15">
      <c r="A329" s="438">
        <v>328</v>
      </c>
      <c r="B329" s="439" t="s">
        <v>1710</v>
      </c>
      <c r="C329" s="440">
        <v>39338</v>
      </c>
      <c r="D329" s="438">
        <v>0</v>
      </c>
      <c r="E329" s="441" t="s">
        <v>359</v>
      </c>
      <c r="F329" s="442" t="s">
        <v>2256</v>
      </c>
      <c r="G329" s="443"/>
    </row>
    <row r="330" spans="1:7" s="444" customFormat="1" ht="15.95" customHeight="1" x14ac:dyDescent="0.15">
      <c r="A330" s="438">
        <v>329</v>
      </c>
      <c r="B330" s="439" t="s">
        <v>1710</v>
      </c>
      <c r="C330" s="440">
        <v>39339</v>
      </c>
      <c r="D330" s="438">
        <v>0</v>
      </c>
      <c r="E330" s="441" t="s">
        <v>360</v>
      </c>
      <c r="F330" s="442" t="s">
        <v>2255</v>
      </c>
      <c r="G330" s="443"/>
    </row>
    <row r="331" spans="1:7" s="444" customFormat="1" ht="15.95" customHeight="1" x14ac:dyDescent="0.15">
      <c r="A331" s="438">
        <v>330</v>
      </c>
      <c r="B331" s="439" t="s">
        <v>1710</v>
      </c>
      <c r="C331" s="440">
        <v>39340</v>
      </c>
      <c r="D331" s="438">
        <v>0</v>
      </c>
      <c r="E331" s="441" t="s">
        <v>361</v>
      </c>
      <c r="F331" s="442" t="s">
        <v>2254</v>
      </c>
      <c r="G331" s="443"/>
    </row>
    <row r="332" spans="1:7" s="444" customFormat="1" ht="15.95" customHeight="1" x14ac:dyDescent="0.15">
      <c r="A332" s="438">
        <v>331</v>
      </c>
      <c r="B332" s="439" t="s">
        <v>1710</v>
      </c>
      <c r="C332" s="440">
        <v>39341</v>
      </c>
      <c r="D332" s="438">
        <v>0</v>
      </c>
      <c r="E332" s="441" t="s">
        <v>362</v>
      </c>
      <c r="F332" s="442" t="s">
        <v>2253</v>
      </c>
      <c r="G332" s="443"/>
    </row>
    <row r="333" spans="1:7" s="444" customFormat="1" ht="15.95" customHeight="1" x14ac:dyDescent="0.15">
      <c r="A333" s="438">
        <v>332</v>
      </c>
      <c r="B333" s="439" t="s">
        <v>1710</v>
      </c>
      <c r="C333" s="440">
        <v>39342</v>
      </c>
      <c r="D333" s="438">
        <v>0</v>
      </c>
      <c r="E333" s="441" t="s">
        <v>363</v>
      </c>
      <c r="F333" s="442" t="s">
        <v>2252</v>
      </c>
      <c r="G333" s="443"/>
    </row>
    <row r="334" spans="1:7" s="444" customFormat="1" ht="15.95" customHeight="1" x14ac:dyDescent="0.15">
      <c r="A334" s="438">
        <v>333</v>
      </c>
      <c r="B334" s="439" t="s">
        <v>1710</v>
      </c>
      <c r="C334" s="440">
        <v>39343</v>
      </c>
      <c r="D334" s="438">
        <v>0</v>
      </c>
      <c r="E334" s="441" t="s">
        <v>364</v>
      </c>
      <c r="F334" s="442" t="s">
        <v>2251</v>
      </c>
      <c r="G334" s="443"/>
    </row>
    <row r="335" spans="1:7" s="444" customFormat="1" ht="15.95" customHeight="1" x14ac:dyDescent="0.15">
      <c r="A335" s="438">
        <v>334</v>
      </c>
      <c r="B335" s="439" t="s">
        <v>1710</v>
      </c>
      <c r="C335" s="440">
        <v>39344</v>
      </c>
      <c r="D335" s="438">
        <v>0</v>
      </c>
      <c r="E335" s="441" t="s">
        <v>365</v>
      </c>
      <c r="F335" s="442" t="s">
        <v>2250</v>
      </c>
      <c r="G335" s="443"/>
    </row>
    <row r="336" spans="1:7" s="444" customFormat="1" ht="15.95" customHeight="1" x14ac:dyDescent="0.15">
      <c r="A336" s="438">
        <v>335</v>
      </c>
      <c r="B336" s="439" t="s">
        <v>1710</v>
      </c>
      <c r="C336" s="440">
        <v>39345</v>
      </c>
      <c r="D336" s="438">
        <v>0</v>
      </c>
      <c r="E336" s="441" t="s">
        <v>366</v>
      </c>
      <c r="F336" s="442" t="s">
        <v>2249</v>
      </c>
      <c r="G336" s="443"/>
    </row>
    <row r="337" spans="1:7" s="444" customFormat="1" ht="15.95" customHeight="1" x14ac:dyDescent="0.15">
      <c r="A337" s="438">
        <v>336</v>
      </c>
      <c r="B337" s="439" t="s">
        <v>1710</v>
      </c>
      <c r="C337" s="440">
        <v>39594</v>
      </c>
      <c r="D337" s="438">
        <v>0</v>
      </c>
      <c r="E337" s="441" t="s">
        <v>367</v>
      </c>
      <c r="F337" s="442" t="s">
        <v>2248</v>
      </c>
      <c r="G337" s="443"/>
    </row>
    <row r="338" spans="1:7" s="444" customFormat="1" ht="15.95" customHeight="1" x14ac:dyDescent="0.15">
      <c r="A338" s="438">
        <v>337</v>
      </c>
      <c r="B338" s="439" t="s">
        <v>1710</v>
      </c>
      <c r="C338" s="440">
        <v>39595</v>
      </c>
      <c r="D338" s="438">
        <v>0</v>
      </c>
      <c r="E338" s="441" t="s">
        <v>368</v>
      </c>
      <c r="F338" s="442" t="s">
        <v>2247</v>
      </c>
      <c r="G338" s="443"/>
    </row>
    <row r="339" spans="1:7" s="444" customFormat="1" ht="15.95" customHeight="1" x14ac:dyDescent="0.15">
      <c r="A339" s="438">
        <v>338</v>
      </c>
      <c r="B339" s="439" t="s">
        <v>1710</v>
      </c>
      <c r="C339" s="440">
        <v>39596</v>
      </c>
      <c r="D339" s="438">
        <v>0</v>
      </c>
      <c r="E339" s="441" t="s">
        <v>369</v>
      </c>
      <c r="F339" s="442" t="s">
        <v>2246</v>
      </c>
      <c r="G339" s="443"/>
    </row>
    <row r="340" spans="1:7" s="444" customFormat="1" ht="15.95" customHeight="1" x14ac:dyDescent="0.15">
      <c r="A340" s="438">
        <v>339</v>
      </c>
      <c r="B340" s="439" t="s">
        <v>1710</v>
      </c>
      <c r="C340" s="440">
        <v>39597</v>
      </c>
      <c r="D340" s="438">
        <v>0</v>
      </c>
      <c r="E340" s="441" t="s">
        <v>370</v>
      </c>
      <c r="F340" s="442" t="s">
        <v>2245</v>
      </c>
      <c r="G340" s="443"/>
    </row>
    <row r="341" spans="1:7" s="444" customFormat="1" ht="15.95" customHeight="1" x14ac:dyDescent="0.15">
      <c r="A341" s="438">
        <v>340</v>
      </c>
      <c r="B341" s="439" t="s">
        <v>1710</v>
      </c>
      <c r="C341" s="440">
        <v>39598</v>
      </c>
      <c r="D341" s="438">
        <v>0</v>
      </c>
      <c r="E341" s="441" t="s">
        <v>371</v>
      </c>
      <c r="F341" s="442" t="s">
        <v>2244</v>
      </c>
      <c r="G341" s="443"/>
    </row>
    <row r="342" spans="1:7" s="444" customFormat="1" ht="15.95" customHeight="1" x14ac:dyDescent="0.15">
      <c r="A342" s="438">
        <v>341</v>
      </c>
      <c r="B342" s="439" t="s">
        <v>1710</v>
      </c>
      <c r="C342" s="440">
        <v>39599</v>
      </c>
      <c r="D342" s="438">
        <v>0</v>
      </c>
      <c r="E342" s="441" t="s">
        <v>372</v>
      </c>
      <c r="F342" s="442" t="s">
        <v>2243</v>
      </c>
      <c r="G342" s="443"/>
    </row>
    <row r="343" spans="1:7" s="444" customFormat="1" ht="15.95" customHeight="1" x14ac:dyDescent="0.15">
      <c r="A343" s="438">
        <v>342</v>
      </c>
      <c r="B343" s="439" t="s">
        <v>1710</v>
      </c>
      <c r="C343" s="440">
        <v>39600</v>
      </c>
      <c r="D343" s="438">
        <v>0</v>
      </c>
      <c r="E343" s="441" t="s">
        <v>373</v>
      </c>
      <c r="F343" s="442" t="s">
        <v>2242</v>
      </c>
      <c r="G343" s="443"/>
    </row>
    <row r="344" spans="1:7" s="444" customFormat="1" ht="15.95" customHeight="1" x14ac:dyDescent="0.15">
      <c r="A344" s="438">
        <v>343</v>
      </c>
      <c r="B344" s="439" t="s">
        <v>1710</v>
      </c>
      <c r="C344" s="440">
        <v>39601</v>
      </c>
      <c r="D344" s="438">
        <v>0</v>
      </c>
      <c r="E344" s="441" t="s">
        <v>374</v>
      </c>
      <c r="F344" s="442" t="s">
        <v>2241</v>
      </c>
      <c r="G344" s="443"/>
    </row>
    <row r="345" spans="1:7" s="444" customFormat="1" ht="15.95" customHeight="1" x14ac:dyDescent="0.15">
      <c r="A345" s="438">
        <v>344</v>
      </c>
      <c r="B345" s="439" t="s">
        <v>1710</v>
      </c>
      <c r="C345" s="440">
        <v>39850</v>
      </c>
      <c r="D345" s="438">
        <v>0</v>
      </c>
      <c r="E345" s="441" t="s">
        <v>375</v>
      </c>
      <c r="F345" s="442" t="s">
        <v>2240</v>
      </c>
      <c r="G345" s="443"/>
    </row>
    <row r="346" spans="1:7" s="444" customFormat="1" ht="15.95" customHeight="1" x14ac:dyDescent="0.15">
      <c r="A346" s="438">
        <v>345</v>
      </c>
      <c r="B346" s="439" t="s">
        <v>1710</v>
      </c>
      <c r="C346" s="440">
        <v>39851</v>
      </c>
      <c r="D346" s="438">
        <v>0</v>
      </c>
      <c r="E346" s="441" t="s">
        <v>376</v>
      </c>
      <c r="F346" s="442" t="s">
        <v>2239</v>
      </c>
      <c r="G346" s="443"/>
    </row>
    <row r="347" spans="1:7" s="444" customFormat="1" ht="15.95" customHeight="1" x14ac:dyDescent="0.15">
      <c r="A347" s="438">
        <v>346</v>
      </c>
      <c r="B347" s="439" t="s">
        <v>1710</v>
      </c>
      <c r="C347" s="440">
        <v>39852</v>
      </c>
      <c r="D347" s="438">
        <v>0</v>
      </c>
      <c r="E347" s="441" t="s">
        <v>377</v>
      </c>
      <c r="F347" s="442" t="s">
        <v>2238</v>
      </c>
      <c r="G347" s="443"/>
    </row>
    <row r="348" spans="1:7" s="444" customFormat="1" ht="15.95" customHeight="1" x14ac:dyDescent="0.15">
      <c r="A348" s="438">
        <v>347</v>
      </c>
      <c r="B348" s="439" t="s">
        <v>1710</v>
      </c>
      <c r="C348" s="440">
        <v>39853</v>
      </c>
      <c r="D348" s="438">
        <v>0</v>
      </c>
      <c r="E348" s="441" t="s">
        <v>378</v>
      </c>
      <c r="F348" s="442" t="s">
        <v>2237</v>
      </c>
      <c r="G348" s="443"/>
    </row>
    <row r="349" spans="1:7" s="444" customFormat="1" ht="15.95" customHeight="1" x14ac:dyDescent="0.15">
      <c r="A349" s="438">
        <v>348</v>
      </c>
      <c r="B349" s="439" t="s">
        <v>1710</v>
      </c>
      <c r="C349" s="440">
        <v>39854</v>
      </c>
      <c r="D349" s="438">
        <v>0</v>
      </c>
      <c r="E349" s="441" t="s">
        <v>379</v>
      </c>
      <c r="F349" s="442" t="s">
        <v>2236</v>
      </c>
      <c r="G349" s="443"/>
    </row>
    <row r="350" spans="1:7" s="444" customFormat="1" ht="15.95" customHeight="1" x14ac:dyDescent="0.15">
      <c r="A350" s="438">
        <v>349</v>
      </c>
      <c r="B350" s="439" t="s">
        <v>1710</v>
      </c>
      <c r="C350" s="440">
        <v>39855</v>
      </c>
      <c r="D350" s="438">
        <v>0</v>
      </c>
      <c r="E350" s="441" t="s">
        <v>380</v>
      </c>
      <c r="F350" s="442" t="s">
        <v>2235</v>
      </c>
      <c r="G350" s="443"/>
    </row>
    <row r="351" spans="1:7" s="444" customFormat="1" ht="15.95" customHeight="1" x14ac:dyDescent="0.15">
      <c r="A351" s="438">
        <v>350</v>
      </c>
      <c r="B351" s="439" t="s">
        <v>1710</v>
      </c>
      <c r="C351" s="440">
        <v>39856</v>
      </c>
      <c r="D351" s="438">
        <v>0</v>
      </c>
      <c r="E351" s="441" t="s">
        <v>381</v>
      </c>
      <c r="F351" s="442" t="s">
        <v>2234</v>
      </c>
      <c r="G351" s="443"/>
    </row>
    <row r="352" spans="1:7" s="444" customFormat="1" ht="15.95" customHeight="1" x14ac:dyDescent="0.15">
      <c r="A352" s="438">
        <v>351</v>
      </c>
      <c r="B352" s="439" t="s">
        <v>1710</v>
      </c>
      <c r="C352" s="440">
        <v>39857</v>
      </c>
      <c r="D352" s="438">
        <v>0</v>
      </c>
      <c r="E352" s="441" t="s">
        <v>382</v>
      </c>
      <c r="F352" s="442" t="s">
        <v>2233</v>
      </c>
      <c r="G352" s="443"/>
    </row>
    <row r="353" spans="1:7" s="444" customFormat="1" ht="15.95" customHeight="1" x14ac:dyDescent="0.15">
      <c r="A353" s="438">
        <v>352</v>
      </c>
      <c r="B353" s="439" t="s">
        <v>1710</v>
      </c>
      <c r="C353" s="440">
        <v>40106</v>
      </c>
      <c r="D353" s="438">
        <v>0</v>
      </c>
      <c r="E353" s="439" t="s">
        <v>2232</v>
      </c>
      <c r="F353" s="442" t="s">
        <v>2231</v>
      </c>
      <c r="G353" s="443"/>
    </row>
    <row r="354" spans="1:7" s="444" customFormat="1" ht="15.95" customHeight="1" x14ac:dyDescent="0.15">
      <c r="A354" s="438">
        <v>353</v>
      </c>
      <c r="B354" s="439" t="s">
        <v>1710</v>
      </c>
      <c r="C354" s="440">
        <v>40107</v>
      </c>
      <c r="D354" s="438">
        <v>0</v>
      </c>
      <c r="E354" s="439" t="s">
        <v>2230</v>
      </c>
      <c r="F354" s="442" t="s">
        <v>2229</v>
      </c>
      <c r="G354" s="443"/>
    </row>
    <row r="355" spans="1:7" s="444" customFormat="1" ht="15.95" customHeight="1" x14ac:dyDescent="0.15">
      <c r="A355" s="438">
        <v>354</v>
      </c>
      <c r="B355" s="439" t="s">
        <v>1710</v>
      </c>
      <c r="C355" s="440">
        <v>40108</v>
      </c>
      <c r="D355" s="438">
        <v>0</v>
      </c>
      <c r="E355" s="439" t="s">
        <v>2228</v>
      </c>
      <c r="F355" s="442" t="s">
        <v>2227</v>
      </c>
      <c r="G355" s="443"/>
    </row>
    <row r="356" spans="1:7" s="444" customFormat="1" ht="15.95" customHeight="1" x14ac:dyDescent="0.15">
      <c r="A356" s="438">
        <v>355</v>
      </c>
      <c r="B356" s="439" t="s">
        <v>1710</v>
      </c>
      <c r="C356" s="440">
        <v>40109</v>
      </c>
      <c r="D356" s="438">
        <v>0</v>
      </c>
      <c r="E356" s="439" t="s">
        <v>2226</v>
      </c>
      <c r="F356" s="442" t="s">
        <v>2225</v>
      </c>
      <c r="G356" s="443"/>
    </row>
    <row r="357" spans="1:7" s="444" customFormat="1" ht="15.95" customHeight="1" x14ac:dyDescent="0.15">
      <c r="A357" s="438">
        <v>356</v>
      </c>
      <c r="B357" s="439" t="s">
        <v>1710</v>
      </c>
      <c r="C357" s="440">
        <v>40110</v>
      </c>
      <c r="D357" s="438">
        <v>0</v>
      </c>
      <c r="E357" s="439" t="s">
        <v>2224</v>
      </c>
      <c r="F357" s="442" t="s">
        <v>2223</v>
      </c>
      <c r="G357" s="443"/>
    </row>
    <row r="358" spans="1:7" s="444" customFormat="1" ht="15.95" customHeight="1" x14ac:dyDescent="0.15">
      <c r="A358" s="438">
        <v>357</v>
      </c>
      <c r="B358" s="439" t="s">
        <v>1710</v>
      </c>
      <c r="C358" s="440">
        <v>40111</v>
      </c>
      <c r="D358" s="438">
        <v>0</v>
      </c>
      <c r="E358" s="439" t="s">
        <v>2222</v>
      </c>
      <c r="F358" s="442" t="s">
        <v>2221</v>
      </c>
      <c r="G358" s="443"/>
    </row>
    <row r="359" spans="1:7" s="444" customFormat="1" ht="15.95" customHeight="1" x14ac:dyDescent="0.15">
      <c r="A359" s="438">
        <v>358</v>
      </c>
      <c r="B359" s="439" t="s">
        <v>1710</v>
      </c>
      <c r="C359" s="440">
        <v>40112</v>
      </c>
      <c r="D359" s="438">
        <v>0</v>
      </c>
      <c r="E359" s="439" t="s">
        <v>2220</v>
      </c>
      <c r="F359" s="442" t="s">
        <v>2219</v>
      </c>
      <c r="G359" s="443"/>
    </row>
    <row r="360" spans="1:7" s="444" customFormat="1" ht="15.95" customHeight="1" x14ac:dyDescent="0.15">
      <c r="A360" s="438">
        <v>359</v>
      </c>
      <c r="B360" s="439" t="s">
        <v>1710</v>
      </c>
      <c r="C360" s="440">
        <v>40113</v>
      </c>
      <c r="D360" s="438">
        <v>0</v>
      </c>
      <c r="E360" s="439" t="s">
        <v>2218</v>
      </c>
      <c r="F360" s="442" t="s">
        <v>2217</v>
      </c>
      <c r="G360" s="443"/>
    </row>
    <row r="361" spans="1:7" s="444" customFormat="1" ht="15.95" customHeight="1" x14ac:dyDescent="0.15">
      <c r="A361" s="438">
        <v>360</v>
      </c>
      <c r="B361" s="439" t="s">
        <v>1710</v>
      </c>
      <c r="C361" s="440">
        <v>40362</v>
      </c>
      <c r="D361" s="438">
        <v>0</v>
      </c>
      <c r="E361" s="439" t="s">
        <v>2216</v>
      </c>
      <c r="F361" s="442" t="s">
        <v>2215</v>
      </c>
      <c r="G361" s="443"/>
    </row>
    <row r="362" spans="1:7" s="444" customFormat="1" ht="15.95" customHeight="1" x14ac:dyDescent="0.15">
      <c r="A362" s="438">
        <v>361</v>
      </c>
      <c r="B362" s="439" t="s">
        <v>1710</v>
      </c>
      <c r="C362" s="440">
        <v>40363</v>
      </c>
      <c r="D362" s="438">
        <v>0</v>
      </c>
      <c r="E362" s="439" t="s">
        <v>2214</v>
      </c>
      <c r="F362" s="442" t="s">
        <v>2213</v>
      </c>
      <c r="G362" s="443"/>
    </row>
    <row r="363" spans="1:7" s="444" customFormat="1" ht="15.95" customHeight="1" x14ac:dyDescent="0.15">
      <c r="A363" s="438">
        <v>362</v>
      </c>
      <c r="B363" s="439" t="s">
        <v>1710</v>
      </c>
      <c r="C363" s="440">
        <v>40364</v>
      </c>
      <c r="D363" s="438">
        <v>0</v>
      </c>
      <c r="E363" s="439" t="s">
        <v>2212</v>
      </c>
      <c r="F363" s="442" t="s">
        <v>2211</v>
      </c>
      <c r="G363" s="443"/>
    </row>
    <row r="364" spans="1:7" s="444" customFormat="1" ht="15.95" customHeight="1" x14ac:dyDescent="0.15">
      <c r="A364" s="438">
        <v>363</v>
      </c>
      <c r="B364" s="439" t="s">
        <v>1710</v>
      </c>
      <c r="C364" s="440">
        <v>40365</v>
      </c>
      <c r="D364" s="438">
        <v>0</v>
      </c>
      <c r="E364" s="439" t="s">
        <v>2210</v>
      </c>
      <c r="F364" s="442" t="s">
        <v>2209</v>
      </c>
      <c r="G364" s="443"/>
    </row>
    <row r="365" spans="1:7" s="444" customFormat="1" ht="15.95" customHeight="1" x14ac:dyDescent="0.15">
      <c r="A365" s="438">
        <v>364</v>
      </c>
      <c r="B365" s="439" t="s">
        <v>1710</v>
      </c>
      <c r="C365" s="440">
        <v>40366</v>
      </c>
      <c r="D365" s="438">
        <v>0</v>
      </c>
      <c r="E365" s="439" t="s">
        <v>2208</v>
      </c>
      <c r="F365" s="442" t="s">
        <v>2207</v>
      </c>
      <c r="G365" s="443"/>
    </row>
    <row r="366" spans="1:7" s="444" customFormat="1" ht="15.95" customHeight="1" x14ac:dyDescent="0.15">
      <c r="A366" s="438">
        <v>365</v>
      </c>
      <c r="B366" s="439" t="s">
        <v>1710</v>
      </c>
      <c r="C366" s="440">
        <v>40367</v>
      </c>
      <c r="D366" s="438">
        <v>0</v>
      </c>
      <c r="E366" s="439" t="s">
        <v>2206</v>
      </c>
      <c r="F366" s="442" t="s">
        <v>2205</v>
      </c>
      <c r="G366" s="443"/>
    </row>
    <row r="367" spans="1:7" s="444" customFormat="1" ht="15.95" customHeight="1" x14ac:dyDescent="0.15">
      <c r="A367" s="438">
        <v>366</v>
      </c>
      <c r="B367" s="439" t="s">
        <v>1710</v>
      </c>
      <c r="C367" s="440">
        <v>40368</v>
      </c>
      <c r="D367" s="438">
        <v>0</v>
      </c>
      <c r="E367" s="439" t="s">
        <v>2204</v>
      </c>
      <c r="F367" s="442" t="s">
        <v>2203</v>
      </c>
      <c r="G367" s="443"/>
    </row>
    <row r="368" spans="1:7" s="444" customFormat="1" ht="15.95" customHeight="1" x14ac:dyDescent="0.15">
      <c r="A368" s="438">
        <v>367</v>
      </c>
      <c r="B368" s="439" t="s">
        <v>1710</v>
      </c>
      <c r="C368" s="440">
        <v>40369</v>
      </c>
      <c r="D368" s="438">
        <v>0</v>
      </c>
      <c r="E368" s="439" t="s">
        <v>2202</v>
      </c>
      <c r="F368" s="442" t="s">
        <v>2201</v>
      </c>
      <c r="G368" s="443"/>
    </row>
    <row r="369" spans="1:7" s="444" customFormat="1" ht="15.95" customHeight="1" x14ac:dyDescent="0.15">
      <c r="A369" s="438">
        <v>368</v>
      </c>
      <c r="B369" s="439" t="s">
        <v>1710</v>
      </c>
      <c r="C369" s="440">
        <v>40618</v>
      </c>
      <c r="D369" s="438">
        <v>0</v>
      </c>
      <c r="E369" s="439" t="s">
        <v>2200</v>
      </c>
      <c r="F369" s="442" t="s">
        <v>2199</v>
      </c>
      <c r="G369" s="443"/>
    </row>
    <row r="370" spans="1:7" s="444" customFormat="1" ht="15.95" customHeight="1" x14ac:dyDescent="0.15">
      <c r="A370" s="438">
        <v>369</v>
      </c>
      <c r="B370" s="439" t="s">
        <v>1710</v>
      </c>
      <c r="C370" s="440">
        <v>40619</v>
      </c>
      <c r="D370" s="438">
        <v>0</v>
      </c>
      <c r="E370" s="439" t="s">
        <v>2198</v>
      </c>
      <c r="F370" s="442" t="s">
        <v>2197</v>
      </c>
      <c r="G370" s="443"/>
    </row>
    <row r="371" spans="1:7" s="444" customFormat="1" ht="15.95" customHeight="1" x14ac:dyDescent="0.15">
      <c r="A371" s="438">
        <v>370</v>
      </c>
      <c r="B371" s="439" t="s">
        <v>1710</v>
      </c>
      <c r="C371" s="440">
        <v>40620</v>
      </c>
      <c r="D371" s="438">
        <v>0</v>
      </c>
      <c r="E371" s="439" t="s">
        <v>2196</v>
      </c>
      <c r="F371" s="442" t="s">
        <v>2195</v>
      </c>
      <c r="G371" s="443"/>
    </row>
    <row r="372" spans="1:7" s="444" customFormat="1" ht="15.95" customHeight="1" x14ac:dyDescent="0.15">
      <c r="A372" s="438">
        <v>371</v>
      </c>
      <c r="B372" s="439" t="s">
        <v>1710</v>
      </c>
      <c r="C372" s="440">
        <v>40621</v>
      </c>
      <c r="D372" s="438">
        <v>0</v>
      </c>
      <c r="E372" s="439" t="s">
        <v>2194</v>
      </c>
      <c r="F372" s="442" t="s">
        <v>2193</v>
      </c>
      <c r="G372" s="443"/>
    </row>
    <row r="373" spans="1:7" s="444" customFormat="1" ht="15.95" customHeight="1" x14ac:dyDescent="0.15">
      <c r="A373" s="438">
        <v>372</v>
      </c>
      <c r="B373" s="439" t="s">
        <v>1710</v>
      </c>
      <c r="C373" s="440">
        <v>40622</v>
      </c>
      <c r="D373" s="438">
        <v>0</v>
      </c>
      <c r="E373" s="439" t="s">
        <v>2192</v>
      </c>
      <c r="F373" s="442" t="s">
        <v>2191</v>
      </c>
      <c r="G373" s="443"/>
    </row>
    <row r="374" spans="1:7" s="444" customFormat="1" ht="15.95" customHeight="1" x14ac:dyDescent="0.15">
      <c r="A374" s="438">
        <v>373</v>
      </c>
      <c r="B374" s="439" t="s">
        <v>1710</v>
      </c>
      <c r="C374" s="440">
        <v>40623</v>
      </c>
      <c r="D374" s="438">
        <v>0</v>
      </c>
      <c r="E374" s="439" t="s">
        <v>2190</v>
      </c>
      <c r="F374" s="442" t="s">
        <v>2189</v>
      </c>
      <c r="G374" s="443"/>
    </row>
    <row r="375" spans="1:7" s="444" customFormat="1" ht="15.95" customHeight="1" x14ac:dyDescent="0.15">
      <c r="A375" s="438">
        <v>374</v>
      </c>
      <c r="B375" s="439" t="s">
        <v>1710</v>
      </c>
      <c r="C375" s="440">
        <v>40624</v>
      </c>
      <c r="D375" s="438">
        <v>0</v>
      </c>
      <c r="E375" s="439" t="s">
        <v>2188</v>
      </c>
      <c r="F375" s="442" t="s">
        <v>2187</v>
      </c>
      <c r="G375" s="443"/>
    </row>
    <row r="376" spans="1:7" s="444" customFormat="1" ht="15.95" customHeight="1" x14ac:dyDescent="0.15">
      <c r="A376" s="438">
        <v>375</v>
      </c>
      <c r="B376" s="439" t="s">
        <v>1710</v>
      </c>
      <c r="C376" s="440">
        <v>40625</v>
      </c>
      <c r="D376" s="438">
        <v>0</v>
      </c>
      <c r="E376" s="439" t="s">
        <v>2186</v>
      </c>
      <c r="F376" s="442" t="s">
        <v>2185</v>
      </c>
      <c r="G376" s="443"/>
    </row>
    <row r="377" spans="1:7" s="444" customFormat="1" ht="15.95" customHeight="1" x14ac:dyDescent="0.15">
      <c r="A377" s="438">
        <v>376</v>
      </c>
      <c r="B377" s="439" t="s">
        <v>1710</v>
      </c>
      <c r="C377" s="440">
        <v>40874</v>
      </c>
      <c r="D377" s="438">
        <v>0</v>
      </c>
      <c r="E377" s="439" t="s">
        <v>2184</v>
      </c>
      <c r="F377" s="442" t="s">
        <v>2183</v>
      </c>
      <c r="G377" s="443"/>
    </row>
    <row r="378" spans="1:7" s="444" customFormat="1" ht="15.95" customHeight="1" x14ac:dyDescent="0.15">
      <c r="A378" s="438">
        <v>377</v>
      </c>
      <c r="B378" s="439" t="s">
        <v>1710</v>
      </c>
      <c r="C378" s="440">
        <v>40875</v>
      </c>
      <c r="D378" s="438">
        <v>0</v>
      </c>
      <c r="E378" s="439" t="s">
        <v>2182</v>
      </c>
      <c r="F378" s="442" t="s">
        <v>2181</v>
      </c>
      <c r="G378" s="443"/>
    </row>
    <row r="379" spans="1:7" s="444" customFormat="1" ht="15.95" customHeight="1" x14ac:dyDescent="0.15">
      <c r="A379" s="438">
        <v>378</v>
      </c>
      <c r="B379" s="439" t="s">
        <v>1710</v>
      </c>
      <c r="C379" s="440">
        <v>40876</v>
      </c>
      <c r="D379" s="438">
        <v>0</v>
      </c>
      <c r="E379" s="439" t="s">
        <v>2180</v>
      </c>
      <c r="F379" s="442" t="s">
        <v>2179</v>
      </c>
      <c r="G379" s="443"/>
    </row>
    <row r="380" spans="1:7" s="444" customFormat="1" ht="15.95" customHeight="1" x14ac:dyDescent="0.15">
      <c r="A380" s="438">
        <v>379</v>
      </c>
      <c r="B380" s="439" t="s">
        <v>1710</v>
      </c>
      <c r="C380" s="440">
        <v>40877</v>
      </c>
      <c r="D380" s="438">
        <v>0</v>
      </c>
      <c r="E380" s="439" t="s">
        <v>2178</v>
      </c>
      <c r="F380" s="442" t="s">
        <v>2177</v>
      </c>
      <c r="G380" s="443"/>
    </row>
    <row r="381" spans="1:7" s="444" customFormat="1" ht="15.95" customHeight="1" x14ac:dyDescent="0.15">
      <c r="A381" s="438">
        <v>380</v>
      </c>
      <c r="B381" s="439" t="s">
        <v>1710</v>
      </c>
      <c r="C381" s="440">
        <v>40878</v>
      </c>
      <c r="D381" s="438">
        <v>0</v>
      </c>
      <c r="E381" s="439" t="s">
        <v>2176</v>
      </c>
      <c r="F381" s="442" t="s">
        <v>2175</v>
      </c>
      <c r="G381" s="443"/>
    </row>
    <row r="382" spans="1:7" s="444" customFormat="1" ht="15.95" customHeight="1" x14ac:dyDescent="0.15">
      <c r="A382" s="438">
        <v>381</v>
      </c>
      <c r="B382" s="439" t="s">
        <v>1710</v>
      </c>
      <c r="C382" s="440">
        <v>40879</v>
      </c>
      <c r="D382" s="438">
        <v>0</v>
      </c>
      <c r="E382" s="439" t="s">
        <v>2174</v>
      </c>
      <c r="F382" s="442" t="s">
        <v>2173</v>
      </c>
      <c r="G382" s="443"/>
    </row>
    <row r="383" spans="1:7" s="444" customFormat="1" ht="15.95" customHeight="1" x14ac:dyDescent="0.15">
      <c r="A383" s="438">
        <v>382</v>
      </c>
      <c r="B383" s="439" t="s">
        <v>1710</v>
      </c>
      <c r="C383" s="440">
        <v>40880</v>
      </c>
      <c r="D383" s="438">
        <v>0</v>
      </c>
      <c r="E383" s="439" t="s">
        <v>2172</v>
      </c>
      <c r="F383" s="442" t="s">
        <v>2171</v>
      </c>
      <c r="G383" s="443"/>
    </row>
    <row r="384" spans="1:7" s="444" customFormat="1" ht="15.95" customHeight="1" x14ac:dyDescent="0.15">
      <c r="A384" s="438">
        <v>383</v>
      </c>
      <c r="B384" s="439" t="s">
        <v>1710</v>
      </c>
      <c r="C384" s="440">
        <v>40881</v>
      </c>
      <c r="D384" s="438">
        <v>0</v>
      </c>
      <c r="E384" s="439" t="s">
        <v>2170</v>
      </c>
      <c r="F384" s="442" t="s">
        <v>2169</v>
      </c>
      <c r="G384" s="443"/>
    </row>
    <row r="385" spans="1:7" s="444" customFormat="1" ht="15.95" customHeight="1" x14ac:dyDescent="0.15">
      <c r="A385" s="438">
        <v>384</v>
      </c>
      <c r="B385" s="439" t="s">
        <v>1710</v>
      </c>
      <c r="C385" s="440">
        <v>40982</v>
      </c>
      <c r="D385" s="438">
        <v>0</v>
      </c>
      <c r="E385" s="441" t="s">
        <v>383</v>
      </c>
      <c r="F385" s="442" t="s">
        <v>2168</v>
      </c>
      <c r="G385" s="443"/>
    </row>
    <row r="386" spans="1:7" s="444" customFormat="1" ht="15.95" customHeight="1" x14ac:dyDescent="0.15">
      <c r="A386" s="438">
        <v>385</v>
      </c>
      <c r="B386" s="439" t="s">
        <v>1710</v>
      </c>
      <c r="C386" s="440">
        <v>41238</v>
      </c>
      <c r="D386" s="438">
        <v>0</v>
      </c>
      <c r="E386" s="441" t="s">
        <v>384</v>
      </c>
      <c r="F386" s="442" t="s">
        <v>2167</v>
      </c>
      <c r="G386" s="443"/>
    </row>
    <row r="387" spans="1:7" s="444" customFormat="1" ht="15.95" customHeight="1" x14ac:dyDescent="0.15">
      <c r="A387" s="438">
        <v>386</v>
      </c>
      <c r="B387" s="439" t="s">
        <v>1710</v>
      </c>
      <c r="C387" s="440">
        <v>41494</v>
      </c>
      <c r="D387" s="438">
        <v>0</v>
      </c>
      <c r="E387" s="441" t="s">
        <v>385</v>
      </c>
      <c r="F387" s="442" t="s">
        <v>2166</v>
      </c>
      <c r="G387" s="443"/>
    </row>
    <row r="388" spans="1:7" s="444" customFormat="1" ht="15.95" customHeight="1" x14ac:dyDescent="0.15">
      <c r="A388" s="438">
        <v>387</v>
      </c>
      <c r="B388" s="439" t="s">
        <v>1710</v>
      </c>
      <c r="C388" s="440">
        <v>41750</v>
      </c>
      <c r="D388" s="438">
        <v>0</v>
      </c>
      <c r="E388" s="441" t="s">
        <v>386</v>
      </c>
      <c r="F388" s="442" t="s">
        <v>2165</v>
      </c>
      <c r="G388" s="443"/>
    </row>
    <row r="389" spans="1:7" s="444" customFormat="1" ht="15.95" customHeight="1" x14ac:dyDescent="0.15">
      <c r="A389" s="438">
        <v>388</v>
      </c>
      <c r="B389" s="439" t="s">
        <v>1710</v>
      </c>
      <c r="C389" s="440">
        <v>42006</v>
      </c>
      <c r="D389" s="438">
        <v>0</v>
      </c>
      <c r="E389" s="441" t="s">
        <v>387</v>
      </c>
      <c r="F389" s="442" t="s">
        <v>2164</v>
      </c>
      <c r="G389" s="443"/>
    </row>
    <row r="390" spans="1:7" s="444" customFormat="1" ht="15.95" customHeight="1" x14ac:dyDescent="0.15">
      <c r="A390" s="438">
        <v>389</v>
      </c>
      <c r="B390" s="439" t="s">
        <v>1710</v>
      </c>
      <c r="C390" s="440">
        <v>42262</v>
      </c>
      <c r="D390" s="438">
        <v>0</v>
      </c>
      <c r="E390" s="441" t="s">
        <v>388</v>
      </c>
      <c r="F390" s="442" t="s">
        <v>2163</v>
      </c>
      <c r="G390" s="443"/>
    </row>
    <row r="391" spans="1:7" s="444" customFormat="1" ht="15.95" customHeight="1" x14ac:dyDescent="0.15">
      <c r="A391" s="438">
        <v>390</v>
      </c>
      <c r="B391" s="439" t="s">
        <v>1710</v>
      </c>
      <c r="C391" s="440">
        <v>42518</v>
      </c>
      <c r="D391" s="438">
        <v>0</v>
      </c>
      <c r="E391" s="439" t="s">
        <v>2162</v>
      </c>
      <c r="F391" s="442" t="s">
        <v>2161</v>
      </c>
      <c r="G391" s="443"/>
    </row>
    <row r="392" spans="1:7" s="444" customFormat="1" ht="15.95" customHeight="1" x14ac:dyDescent="0.15">
      <c r="A392" s="438">
        <v>391</v>
      </c>
      <c r="B392" s="439" t="s">
        <v>1710</v>
      </c>
      <c r="C392" s="440">
        <v>42774</v>
      </c>
      <c r="D392" s="438">
        <v>0</v>
      </c>
      <c r="E392" s="439" t="s">
        <v>2160</v>
      </c>
      <c r="F392" s="442" t="s">
        <v>2159</v>
      </c>
      <c r="G392" s="443"/>
    </row>
    <row r="393" spans="1:7" s="444" customFormat="1" ht="15.95" customHeight="1" x14ac:dyDescent="0.15">
      <c r="A393" s="438">
        <v>392</v>
      </c>
      <c r="B393" s="439" t="s">
        <v>1710</v>
      </c>
      <c r="C393" s="440">
        <v>43030</v>
      </c>
      <c r="D393" s="438">
        <v>0</v>
      </c>
      <c r="E393" s="439" t="s">
        <v>2158</v>
      </c>
      <c r="F393" s="442" t="s">
        <v>2157</v>
      </c>
      <c r="G393" s="443"/>
    </row>
    <row r="394" spans="1:7" s="444" customFormat="1" ht="15.95" customHeight="1" x14ac:dyDescent="0.15">
      <c r="A394" s="438">
        <v>393</v>
      </c>
      <c r="B394" s="439" t="s">
        <v>1710</v>
      </c>
      <c r="C394" s="440">
        <v>43286</v>
      </c>
      <c r="D394" s="438">
        <v>0</v>
      </c>
      <c r="E394" s="439" t="s">
        <v>2156</v>
      </c>
      <c r="F394" s="442" t="s">
        <v>2155</v>
      </c>
      <c r="G394" s="443"/>
    </row>
    <row r="395" spans="1:7" s="444" customFormat="1" ht="15.95" customHeight="1" x14ac:dyDescent="0.15">
      <c r="A395" s="438">
        <v>394</v>
      </c>
      <c r="B395" s="439" t="s">
        <v>1710</v>
      </c>
      <c r="C395" s="440">
        <v>40990</v>
      </c>
      <c r="D395" s="438">
        <v>0</v>
      </c>
      <c r="E395" s="439" t="s">
        <v>389</v>
      </c>
      <c r="F395" s="442" t="s">
        <v>2154</v>
      </c>
      <c r="G395" s="443"/>
    </row>
    <row r="396" spans="1:7" s="444" customFormat="1" ht="15.95" customHeight="1" x14ac:dyDescent="0.15">
      <c r="A396" s="438">
        <v>395</v>
      </c>
      <c r="B396" s="439" t="s">
        <v>1710</v>
      </c>
      <c r="C396" s="440">
        <v>41246</v>
      </c>
      <c r="D396" s="438">
        <v>0</v>
      </c>
      <c r="E396" s="441" t="s">
        <v>390</v>
      </c>
      <c r="F396" s="442" t="s">
        <v>2153</v>
      </c>
      <c r="G396" s="443"/>
    </row>
    <row r="397" spans="1:7" s="444" customFormat="1" ht="15.95" customHeight="1" x14ac:dyDescent="0.15">
      <c r="A397" s="438">
        <v>396</v>
      </c>
      <c r="B397" s="439" t="s">
        <v>1710</v>
      </c>
      <c r="C397" s="440">
        <v>41502</v>
      </c>
      <c r="D397" s="438">
        <v>0</v>
      </c>
      <c r="E397" s="441" t="s">
        <v>391</v>
      </c>
      <c r="F397" s="442" t="s">
        <v>2152</v>
      </c>
      <c r="G397" s="443"/>
    </row>
    <row r="398" spans="1:7" s="444" customFormat="1" ht="15.95" customHeight="1" x14ac:dyDescent="0.15">
      <c r="A398" s="438">
        <v>397</v>
      </c>
      <c r="B398" s="439" t="s">
        <v>1710</v>
      </c>
      <c r="C398" s="440">
        <v>41758</v>
      </c>
      <c r="D398" s="438">
        <v>0</v>
      </c>
      <c r="E398" s="441" t="s">
        <v>392</v>
      </c>
      <c r="F398" s="442" t="s">
        <v>2151</v>
      </c>
      <c r="G398" s="443"/>
    </row>
    <row r="399" spans="1:7" s="444" customFormat="1" ht="15.95" customHeight="1" x14ac:dyDescent="0.15">
      <c r="A399" s="438">
        <v>398</v>
      </c>
      <c r="B399" s="439" t="s">
        <v>1710</v>
      </c>
      <c r="C399" s="440">
        <v>42014</v>
      </c>
      <c r="D399" s="438">
        <v>0</v>
      </c>
      <c r="E399" s="439" t="s">
        <v>393</v>
      </c>
      <c r="F399" s="442" t="s">
        <v>2150</v>
      </c>
      <c r="G399" s="443"/>
    </row>
    <row r="400" spans="1:7" s="444" customFormat="1" ht="15.95" customHeight="1" x14ac:dyDescent="0.15">
      <c r="A400" s="438">
        <v>399</v>
      </c>
      <c r="B400" s="439" t="s">
        <v>1710</v>
      </c>
      <c r="C400" s="440">
        <v>42270</v>
      </c>
      <c r="D400" s="438">
        <v>0</v>
      </c>
      <c r="E400" s="441" t="s">
        <v>394</v>
      </c>
      <c r="F400" s="442" t="s">
        <v>2149</v>
      </c>
      <c r="G400" s="443"/>
    </row>
    <row r="401" spans="1:7" s="444" customFormat="1" ht="15.95" customHeight="1" x14ac:dyDescent="0.15">
      <c r="A401" s="438">
        <v>400</v>
      </c>
      <c r="B401" s="439" t="s">
        <v>1710</v>
      </c>
      <c r="C401" s="440">
        <v>42526</v>
      </c>
      <c r="D401" s="438">
        <v>0</v>
      </c>
      <c r="E401" s="439" t="s">
        <v>2148</v>
      </c>
      <c r="F401" s="442" t="s">
        <v>2147</v>
      </c>
      <c r="G401" s="443"/>
    </row>
    <row r="402" spans="1:7" s="444" customFormat="1" ht="15.95" customHeight="1" x14ac:dyDescent="0.15">
      <c r="A402" s="438">
        <v>401</v>
      </c>
      <c r="B402" s="439" t="s">
        <v>1710</v>
      </c>
      <c r="C402" s="440">
        <v>42782</v>
      </c>
      <c r="D402" s="438">
        <v>0</v>
      </c>
      <c r="E402" s="439" t="s">
        <v>2146</v>
      </c>
      <c r="F402" s="442" t="s">
        <v>2145</v>
      </c>
      <c r="G402" s="443"/>
    </row>
    <row r="403" spans="1:7" s="444" customFormat="1" ht="15.95" customHeight="1" x14ac:dyDescent="0.15">
      <c r="A403" s="438">
        <v>402</v>
      </c>
      <c r="B403" s="439" t="s">
        <v>1710</v>
      </c>
      <c r="C403" s="440">
        <v>43038</v>
      </c>
      <c r="D403" s="438">
        <v>0</v>
      </c>
      <c r="E403" s="439" t="s">
        <v>2144</v>
      </c>
      <c r="F403" s="442" t="s">
        <v>2143</v>
      </c>
      <c r="G403" s="443"/>
    </row>
    <row r="404" spans="1:7" s="444" customFormat="1" ht="15.95" customHeight="1" x14ac:dyDescent="0.15">
      <c r="A404" s="438">
        <v>403</v>
      </c>
      <c r="B404" s="439" t="s">
        <v>1710</v>
      </c>
      <c r="C404" s="440">
        <v>43294</v>
      </c>
      <c r="D404" s="438">
        <v>0</v>
      </c>
      <c r="E404" s="439" t="s">
        <v>2142</v>
      </c>
      <c r="F404" s="442" t="s">
        <v>2141</v>
      </c>
      <c r="G404" s="443"/>
    </row>
    <row r="405" spans="1:7" s="444" customFormat="1" ht="15.95" customHeight="1" x14ac:dyDescent="0.15">
      <c r="A405" s="438">
        <v>404</v>
      </c>
      <c r="B405" s="439" t="s">
        <v>1710</v>
      </c>
      <c r="C405" s="440">
        <v>40992</v>
      </c>
      <c r="D405" s="438">
        <v>0</v>
      </c>
      <c r="E405" s="441" t="s">
        <v>395</v>
      </c>
      <c r="F405" s="442" t="s">
        <v>2140</v>
      </c>
      <c r="G405" s="443"/>
    </row>
    <row r="406" spans="1:7" s="444" customFormat="1" ht="15.95" customHeight="1" x14ac:dyDescent="0.15">
      <c r="A406" s="438">
        <v>405</v>
      </c>
      <c r="B406" s="439" t="s">
        <v>1710</v>
      </c>
      <c r="C406" s="440">
        <v>41248</v>
      </c>
      <c r="D406" s="438">
        <v>0</v>
      </c>
      <c r="E406" s="441" t="s">
        <v>396</v>
      </c>
      <c r="F406" s="442" t="s">
        <v>2139</v>
      </c>
      <c r="G406" s="443"/>
    </row>
    <row r="407" spans="1:7" s="444" customFormat="1" ht="15.95" customHeight="1" x14ac:dyDescent="0.15">
      <c r="A407" s="438">
        <v>406</v>
      </c>
      <c r="B407" s="439" t="s">
        <v>1710</v>
      </c>
      <c r="C407" s="440">
        <v>41504</v>
      </c>
      <c r="D407" s="438">
        <v>0</v>
      </c>
      <c r="E407" s="441" t="s">
        <v>397</v>
      </c>
      <c r="F407" s="442" t="s">
        <v>2138</v>
      </c>
      <c r="G407" s="443"/>
    </row>
    <row r="408" spans="1:7" s="444" customFormat="1" ht="15.95" customHeight="1" x14ac:dyDescent="0.15">
      <c r="A408" s="438">
        <v>407</v>
      </c>
      <c r="B408" s="439" t="s">
        <v>1710</v>
      </c>
      <c r="C408" s="440">
        <v>41760</v>
      </c>
      <c r="D408" s="438">
        <v>0</v>
      </c>
      <c r="E408" s="441" t="s">
        <v>398</v>
      </c>
      <c r="F408" s="442" t="s">
        <v>2137</v>
      </c>
      <c r="G408" s="443"/>
    </row>
    <row r="409" spans="1:7" s="444" customFormat="1" ht="15.95" customHeight="1" x14ac:dyDescent="0.15">
      <c r="A409" s="438">
        <v>408</v>
      </c>
      <c r="B409" s="439" t="s">
        <v>1710</v>
      </c>
      <c r="C409" s="440">
        <v>42016</v>
      </c>
      <c r="D409" s="438">
        <v>0</v>
      </c>
      <c r="E409" s="441" t="s">
        <v>399</v>
      </c>
      <c r="F409" s="442" t="s">
        <v>2136</v>
      </c>
      <c r="G409" s="443"/>
    </row>
    <row r="410" spans="1:7" s="444" customFormat="1" ht="15.95" customHeight="1" x14ac:dyDescent="0.15">
      <c r="A410" s="438">
        <v>409</v>
      </c>
      <c r="B410" s="439" t="s">
        <v>1710</v>
      </c>
      <c r="C410" s="440">
        <v>42272</v>
      </c>
      <c r="D410" s="438">
        <v>0</v>
      </c>
      <c r="E410" s="441" t="s">
        <v>400</v>
      </c>
      <c r="F410" s="442" t="s">
        <v>2135</v>
      </c>
      <c r="G410" s="443"/>
    </row>
    <row r="411" spans="1:7" s="444" customFormat="1" ht="15.95" customHeight="1" x14ac:dyDescent="0.15">
      <c r="A411" s="438">
        <v>410</v>
      </c>
      <c r="B411" s="439" t="s">
        <v>1710</v>
      </c>
      <c r="C411" s="440">
        <v>42528</v>
      </c>
      <c r="D411" s="438">
        <v>0</v>
      </c>
      <c r="E411" s="439" t="s">
        <v>2134</v>
      </c>
      <c r="F411" s="442" t="s">
        <v>2133</v>
      </c>
      <c r="G411" s="443"/>
    </row>
    <row r="412" spans="1:7" s="444" customFormat="1" ht="15.95" customHeight="1" x14ac:dyDescent="0.15">
      <c r="A412" s="438">
        <v>411</v>
      </c>
      <c r="B412" s="439" t="s">
        <v>1710</v>
      </c>
      <c r="C412" s="440">
        <v>42784</v>
      </c>
      <c r="D412" s="438">
        <v>0</v>
      </c>
      <c r="E412" s="439" t="s">
        <v>2132</v>
      </c>
      <c r="F412" s="442" t="s">
        <v>2131</v>
      </c>
      <c r="G412" s="443"/>
    </row>
    <row r="413" spans="1:7" s="444" customFormat="1" ht="15.95" customHeight="1" x14ac:dyDescent="0.15">
      <c r="A413" s="438">
        <v>412</v>
      </c>
      <c r="B413" s="439" t="s">
        <v>1710</v>
      </c>
      <c r="C413" s="440">
        <v>43040</v>
      </c>
      <c r="D413" s="438">
        <v>0</v>
      </c>
      <c r="E413" s="439" t="s">
        <v>2130</v>
      </c>
      <c r="F413" s="442" t="s">
        <v>2129</v>
      </c>
      <c r="G413" s="443"/>
    </row>
    <row r="414" spans="1:7" s="444" customFormat="1" ht="15.95" customHeight="1" x14ac:dyDescent="0.15">
      <c r="A414" s="438">
        <v>413</v>
      </c>
      <c r="B414" s="439" t="s">
        <v>1710</v>
      </c>
      <c r="C414" s="440">
        <v>43296</v>
      </c>
      <c r="D414" s="438">
        <v>0</v>
      </c>
      <c r="E414" s="439" t="s">
        <v>2128</v>
      </c>
      <c r="F414" s="442" t="s">
        <v>2127</v>
      </c>
      <c r="G414" s="443"/>
    </row>
    <row r="415" spans="1:7" s="444" customFormat="1" ht="15.95" customHeight="1" x14ac:dyDescent="0.15">
      <c r="A415" s="438">
        <v>414</v>
      </c>
      <c r="B415" s="439" t="s">
        <v>1710</v>
      </c>
      <c r="C415" s="440">
        <v>40993</v>
      </c>
      <c r="D415" s="438">
        <v>0</v>
      </c>
      <c r="E415" s="441" t="s">
        <v>401</v>
      </c>
      <c r="F415" s="442" t="s">
        <v>2126</v>
      </c>
      <c r="G415" s="443"/>
    </row>
    <row r="416" spans="1:7" s="444" customFormat="1" ht="15.95" customHeight="1" x14ac:dyDescent="0.15">
      <c r="A416" s="438">
        <v>415</v>
      </c>
      <c r="B416" s="439" t="s">
        <v>1710</v>
      </c>
      <c r="C416" s="440">
        <v>41249</v>
      </c>
      <c r="D416" s="438">
        <v>0</v>
      </c>
      <c r="E416" s="441" t="s">
        <v>402</v>
      </c>
      <c r="F416" s="442" t="s">
        <v>2125</v>
      </c>
      <c r="G416" s="443"/>
    </row>
    <row r="417" spans="1:7" s="444" customFormat="1" ht="15.95" customHeight="1" x14ac:dyDescent="0.15">
      <c r="A417" s="438">
        <v>416</v>
      </c>
      <c r="B417" s="439" t="s">
        <v>1710</v>
      </c>
      <c r="C417" s="440">
        <v>41505</v>
      </c>
      <c r="D417" s="438">
        <v>0</v>
      </c>
      <c r="E417" s="441" t="s">
        <v>403</v>
      </c>
      <c r="F417" s="442" t="s">
        <v>2124</v>
      </c>
      <c r="G417" s="443"/>
    </row>
    <row r="418" spans="1:7" s="444" customFormat="1" ht="15.95" customHeight="1" x14ac:dyDescent="0.15">
      <c r="A418" s="438">
        <v>417</v>
      </c>
      <c r="B418" s="439" t="s">
        <v>1710</v>
      </c>
      <c r="C418" s="440">
        <v>41761</v>
      </c>
      <c r="D418" s="438">
        <v>0</v>
      </c>
      <c r="E418" s="441" t="s">
        <v>404</v>
      </c>
      <c r="F418" s="442" t="s">
        <v>2123</v>
      </c>
      <c r="G418" s="443"/>
    </row>
    <row r="419" spans="1:7" s="444" customFormat="1" ht="15.95" customHeight="1" x14ac:dyDescent="0.15">
      <c r="A419" s="438">
        <v>418</v>
      </c>
      <c r="B419" s="439" t="s">
        <v>1710</v>
      </c>
      <c r="C419" s="440">
        <v>42017</v>
      </c>
      <c r="D419" s="438">
        <v>0</v>
      </c>
      <c r="E419" s="441" t="s">
        <v>405</v>
      </c>
      <c r="F419" s="442" t="s">
        <v>2122</v>
      </c>
      <c r="G419" s="443"/>
    </row>
    <row r="420" spans="1:7" s="444" customFormat="1" ht="15.95" customHeight="1" x14ac:dyDescent="0.15">
      <c r="A420" s="438">
        <v>419</v>
      </c>
      <c r="B420" s="439" t="s">
        <v>1710</v>
      </c>
      <c r="C420" s="440">
        <v>42273</v>
      </c>
      <c r="D420" s="438">
        <v>0</v>
      </c>
      <c r="E420" s="441" t="s">
        <v>406</v>
      </c>
      <c r="F420" s="442" t="s">
        <v>2121</v>
      </c>
      <c r="G420" s="443"/>
    </row>
    <row r="421" spans="1:7" s="444" customFormat="1" ht="15.95" customHeight="1" x14ac:dyDescent="0.15">
      <c r="A421" s="438">
        <v>420</v>
      </c>
      <c r="B421" s="439" t="s">
        <v>1710</v>
      </c>
      <c r="C421" s="440">
        <v>42529</v>
      </c>
      <c r="D421" s="438">
        <v>0</v>
      </c>
      <c r="E421" s="439" t="s">
        <v>2120</v>
      </c>
      <c r="F421" s="442" t="s">
        <v>2119</v>
      </c>
      <c r="G421" s="443"/>
    </row>
    <row r="422" spans="1:7" s="444" customFormat="1" ht="15.95" customHeight="1" x14ac:dyDescent="0.15">
      <c r="A422" s="438">
        <v>421</v>
      </c>
      <c r="B422" s="439" t="s">
        <v>1710</v>
      </c>
      <c r="C422" s="440">
        <v>42785</v>
      </c>
      <c r="D422" s="438">
        <v>0</v>
      </c>
      <c r="E422" s="439" t="s">
        <v>2118</v>
      </c>
      <c r="F422" s="442" t="s">
        <v>2117</v>
      </c>
      <c r="G422" s="443"/>
    </row>
    <row r="423" spans="1:7" s="444" customFormat="1" ht="15.95" customHeight="1" x14ac:dyDescent="0.15">
      <c r="A423" s="438">
        <v>422</v>
      </c>
      <c r="B423" s="439" t="s">
        <v>1710</v>
      </c>
      <c r="C423" s="440">
        <v>43041</v>
      </c>
      <c r="D423" s="438">
        <v>0</v>
      </c>
      <c r="E423" s="439" t="s">
        <v>2116</v>
      </c>
      <c r="F423" s="442" t="s">
        <v>2115</v>
      </c>
      <c r="G423" s="443"/>
    </row>
    <row r="424" spans="1:7" s="444" customFormat="1" ht="15.95" customHeight="1" x14ac:dyDescent="0.15">
      <c r="A424" s="438">
        <v>423</v>
      </c>
      <c r="B424" s="439" t="s">
        <v>1710</v>
      </c>
      <c r="C424" s="440">
        <v>43297</v>
      </c>
      <c r="D424" s="438">
        <v>0</v>
      </c>
      <c r="E424" s="439" t="s">
        <v>2114</v>
      </c>
      <c r="F424" s="442" t="s">
        <v>2113</v>
      </c>
      <c r="G424" s="443"/>
    </row>
    <row r="425" spans="1:7" s="444" customFormat="1" ht="15.95" customHeight="1" x14ac:dyDescent="0.15">
      <c r="A425" s="438">
        <v>424</v>
      </c>
      <c r="B425" s="439" t="s">
        <v>1710</v>
      </c>
      <c r="C425" s="440">
        <v>41003</v>
      </c>
      <c r="D425" s="438">
        <v>0</v>
      </c>
      <c r="E425" s="441" t="s">
        <v>407</v>
      </c>
      <c r="F425" s="442" t="s">
        <v>2112</v>
      </c>
      <c r="G425" s="443"/>
    </row>
    <row r="426" spans="1:7" s="444" customFormat="1" ht="15.95" customHeight="1" x14ac:dyDescent="0.15">
      <c r="A426" s="438">
        <v>425</v>
      </c>
      <c r="B426" s="439" t="s">
        <v>1710</v>
      </c>
      <c r="C426" s="440">
        <v>41259</v>
      </c>
      <c r="D426" s="438">
        <v>0</v>
      </c>
      <c r="E426" s="441" t="s">
        <v>408</v>
      </c>
      <c r="F426" s="442" t="s">
        <v>2111</v>
      </c>
      <c r="G426" s="443"/>
    </row>
    <row r="427" spans="1:7" s="444" customFormat="1" ht="15.95" customHeight="1" x14ac:dyDescent="0.15">
      <c r="A427" s="438">
        <v>426</v>
      </c>
      <c r="B427" s="439" t="s">
        <v>1710</v>
      </c>
      <c r="C427" s="440">
        <v>41515</v>
      </c>
      <c r="D427" s="438">
        <v>0</v>
      </c>
      <c r="E427" s="441" t="s">
        <v>409</v>
      </c>
      <c r="F427" s="442" t="s">
        <v>2110</v>
      </c>
      <c r="G427" s="443"/>
    </row>
    <row r="428" spans="1:7" s="444" customFormat="1" ht="15.95" customHeight="1" x14ac:dyDescent="0.15">
      <c r="A428" s="438">
        <v>427</v>
      </c>
      <c r="B428" s="439" t="s">
        <v>1710</v>
      </c>
      <c r="C428" s="440">
        <v>41771</v>
      </c>
      <c r="D428" s="438">
        <v>0</v>
      </c>
      <c r="E428" s="441" t="s">
        <v>410</v>
      </c>
      <c r="F428" s="442" t="s">
        <v>2109</v>
      </c>
      <c r="G428" s="443"/>
    </row>
    <row r="429" spans="1:7" s="444" customFormat="1" ht="15.95" customHeight="1" x14ac:dyDescent="0.15">
      <c r="A429" s="438">
        <v>428</v>
      </c>
      <c r="B429" s="439" t="s">
        <v>1710</v>
      </c>
      <c r="C429" s="440">
        <v>42027</v>
      </c>
      <c r="D429" s="438">
        <v>0</v>
      </c>
      <c r="E429" s="441" t="s">
        <v>411</v>
      </c>
      <c r="F429" s="442" t="s">
        <v>2108</v>
      </c>
      <c r="G429" s="443"/>
    </row>
    <row r="430" spans="1:7" s="444" customFormat="1" ht="15.95" customHeight="1" x14ac:dyDescent="0.15">
      <c r="A430" s="438">
        <v>429</v>
      </c>
      <c r="B430" s="439" t="s">
        <v>1710</v>
      </c>
      <c r="C430" s="440">
        <v>42283</v>
      </c>
      <c r="D430" s="438">
        <v>0</v>
      </c>
      <c r="E430" s="441" t="s">
        <v>412</v>
      </c>
      <c r="F430" s="442" t="s">
        <v>2107</v>
      </c>
      <c r="G430" s="443"/>
    </row>
    <row r="431" spans="1:7" s="444" customFormat="1" ht="15.95" customHeight="1" x14ac:dyDescent="0.15">
      <c r="A431" s="438">
        <v>430</v>
      </c>
      <c r="B431" s="439" t="s">
        <v>1710</v>
      </c>
      <c r="C431" s="440">
        <v>42539</v>
      </c>
      <c r="D431" s="438">
        <v>0</v>
      </c>
      <c r="E431" s="439" t="s">
        <v>2106</v>
      </c>
      <c r="F431" s="442" t="s">
        <v>2105</v>
      </c>
      <c r="G431" s="443"/>
    </row>
    <row r="432" spans="1:7" s="444" customFormat="1" ht="15.95" customHeight="1" x14ac:dyDescent="0.15">
      <c r="A432" s="438">
        <v>431</v>
      </c>
      <c r="B432" s="439" t="s">
        <v>1710</v>
      </c>
      <c r="C432" s="440">
        <v>42795</v>
      </c>
      <c r="D432" s="438">
        <v>0</v>
      </c>
      <c r="E432" s="439" t="s">
        <v>2104</v>
      </c>
      <c r="F432" s="442" t="s">
        <v>2103</v>
      </c>
      <c r="G432" s="443"/>
    </row>
    <row r="433" spans="1:7" s="444" customFormat="1" ht="15.95" customHeight="1" x14ac:dyDescent="0.15">
      <c r="A433" s="438">
        <v>432</v>
      </c>
      <c r="B433" s="439" t="s">
        <v>1710</v>
      </c>
      <c r="C433" s="440">
        <v>43051</v>
      </c>
      <c r="D433" s="438">
        <v>0</v>
      </c>
      <c r="E433" s="439" t="s">
        <v>2102</v>
      </c>
      <c r="F433" s="442" t="s">
        <v>2101</v>
      </c>
      <c r="G433" s="443"/>
    </row>
    <row r="434" spans="1:7" s="444" customFormat="1" ht="15.95" customHeight="1" x14ac:dyDescent="0.15">
      <c r="A434" s="438">
        <v>433</v>
      </c>
      <c r="B434" s="439" t="s">
        <v>1710</v>
      </c>
      <c r="C434" s="440">
        <v>43307</v>
      </c>
      <c r="D434" s="438">
        <v>0</v>
      </c>
      <c r="E434" s="439" t="s">
        <v>2100</v>
      </c>
      <c r="F434" s="442" t="s">
        <v>2099</v>
      </c>
      <c r="G434" s="443"/>
    </row>
    <row r="435" spans="1:7" s="444" customFormat="1" ht="15.95" customHeight="1" x14ac:dyDescent="0.15">
      <c r="A435" s="438">
        <v>434</v>
      </c>
      <c r="B435" s="439" t="s">
        <v>1710</v>
      </c>
      <c r="C435" s="440">
        <v>41004</v>
      </c>
      <c r="D435" s="438">
        <v>0</v>
      </c>
      <c r="E435" s="441" t="s">
        <v>413</v>
      </c>
      <c r="F435" s="442" t="s">
        <v>2098</v>
      </c>
      <c r="G435" s="443"/>
    </row>
    <row r="436" spans="1:7" s="444" customFormat="1" ht="15.95" customHeight="1" x14ac:dyDescent="0.15">
      <c r="A436" s="438">
        <v>435</v>
      </c>
      <c r="B436" s="439" t="s">
        <v>1710</v>
      </c>
      <c r="C436" s="440">
        <v>41260</v>
      </c>
      <c r="D436" s="438">
        <v>0</v>
      </c>
      <c r="E436" s="441" t="s">
        <v>414</v>
      </c>
      <c r="F436" s="442" t="s">
        <v>2097</v>
      </c>
      <c r="G436" s="443"/>
    </row>
    <row r="437" spans="1:7" s="444" customFormat="1" ht="15.95" customHeight="1" x14ac:dyDescent="0.15">
      <c r="A437" s="438">
        <v>436</v>
      </c>
      <c r="B437" s="439" t="s">
        <v>1710</v>
      </c>
      <c r="C437" s="440">
        <v>41516</v>
      </c>
      <c r="D437" s="438">
        <v>0</v>
      </c>
      <c r="E437" s="441" t="s">
        <v>415</v>
      </c>
      <c r="F437" s="442" t="s">
        <v>2096</v>
      </c>
      <c r="G437" s="443"/>
    </row>
    <row r="438" spans="1:7" s="444" customFormat="1" ht="15.95" customHeight="1" x14ac:dyDescent="0.15">
      <c r="A438" s="438">
        <v>437</v>
      </c>
      <c r="B438" s="439" t="s">
        <v>1710</v>
      </c>
      <c r="C438" s="440">
        <v>41772</v>
      </c>
      <c r="D438" s="438">
        <v>0</v>
      </c>
      <c r="E438" s="441" t="s">
        <v>416</v>
      </c>
      <c r="F438" s="442" t="s">
        <v>2095</v>
      </c>
      <c r="G438" s="443"/>
    </row>
    <row r="439" spans="1:7" s="444" customFormat="1" ht="15.95" customHeight="1" x14ac:dyDescent="0.15">
      <c r="A439" s="438">
        <v>438</v>
      </c>
      <c r="B439" s="439" t="s">
        <v>1710</v>
      </c>
      <c r="C439" s="440">
        <v>42028</v>
      </c>
      <c r="D439" s="438">
        <v>0</v>
      </c>
      <c r="E439" s="441" t="s">
        <v>417</v>
      </c>
      <c r="F439" s="442" t="s">
        <v>2094</v>
      </c>
      <c r="G439" s="443"/>
    </row>
    <row r="440" spans="1:7" s="444" customFormat="1" ht="15.95" customHeight="1" x14ac:dyDescent="0.15">
      <c r="A440" s="438">
        <v>439</v>
      </c>
      <c r="B440" s="439" t="s">
        <v>1710</v>
      </c>
      <c r="C440" s="440">
        <v>42284</v>
      </c>
      <c r="D440" s="438">
        <v>0</v>
      </c>
      <c r="E440" s="441" t="s">
        <v>418</v>
      </c>
      <c r="F440" s="442" t="s">
        <v>2093</v>
      </c>
      <c r="G440" s="443"/>
    </row>
    <row r="441" spans="1:7" s="444" customFormat="1" ht="15.95" customHeight="1" x14ac:dyDescent="0.15">
      <c r="A441" s="438">
        <v>440</v>
      </c>
      <c r="B441" s="439" t="s">
        <v>1710</v>
      </c>
      <c r="C441" s="440">
        <v>42540</v>
      </c>
      <c r="D441" s="438">
        <v>0</v>
      </c>
      <c r="E441" s="439" t="s">
        <v>2092</v>
      </c>
      <c r="F441" s="442" t="s">
        <v>2091</v>
      </c>
      <c r="G441" s="443"/>
    </row>
    <row r="442" spans="1:7" s="444" customFormat="1" ht="15.95" customHeight="1" x14ac:dyDescent="0.15">
      <c r="A442" s="438">
        <v>441</v>
      </c>
      <c r="B442" s="439" t="s">
        <v>1710</v>
      </c>
      <c r="C442" s="440">
        <v>42796</v>
      </c>
      <c r="D442" s="438">
        <v>0</v>
      </c>
      <c r="E442" s="439" t="s">
        <v>2090</v>
      </c>
      <c r="F442" s="442" t="s">
        <v>2089</v>
      </c>
      <c r="G442" s="443"/>
    </row>
    <row r="443" spans="1:7" s="444" customFormat="1" ht="15.95" customHeight="1" x14ac:dyDescent="0.15">
      <c r="A443" s="438">
        <v>442</v>
      </c>
      <c r="B443" s="439" t="s">
        <v>1710</v>
      </c>
      <c r="C443" s="440">
        <v>43052</v>
      </c>
      <c r="D443" s="438">
        <v>0</v>
      </c>
      <c r="E443" s="439" t="s">
        <v>2088</v>
      </c>
      <c r="F443" s="442" t="s">
        <v>2087</v>
      </c>
      <c r="G443" s="443"/>
    </row>
    <row r="444" spans="1:7" s="444" customFormat="1" ht="15.95" customHeight="1" x14ac:dyDescent="0.15">
      <c r="A444" s="438">
        <v>443</v>
      </c>
      <c r="B444" s="439" t="s">
        <v>1710</v>
      </c>
      <c r="C444" s="440">
        <v>43308</v>
      </c>
      <c r="D444" s="438">
        <v>0</v>
      </c>
      <c r="E444" s="439" t="s">
        <v>2086</v>
      </c>
      <c r="F444" s="442" t="s">
        <v>2085</v>
      </c>
      <c r="G444" s="443"/>
    </row>
    <row r="445" spans="1:7" s="444" customFormat="1" ht="15.95" customHeight="1" x14ac:dyDescent="0.15">
      <c r="A445" s="438">
        <v>444</v>
      </c>
      <c r="B445" s="439" t="s">
        <v>1710</v>
      </c>
      <c r="C445" s="440">
        <v>43542</v>
      </c>
      <c r="D445" s="438">
        <v>0</v>
      </c>
      <c r="E445" s="441" t="s">
        <v>419</v>
      </c>
      <c r="F445" s="442" t="s">
        <v>2084</v>
      </c>
      <c r="G445" s="443"/>
    </row>
    <row r="446" spans="1:7" s="444" customFormat="1" ht="15.95" customHeight="1" x14ac:dyDescent="0.15">
      <c r="A446" s="438">
        <v>445</v>
      </c>
      <c r="B446" s="439" t="s">
        <v>1710</v>
      </c>
      <c r="C446" s="440">
        <v>43798</v>
      </c>
      <c r="D446" s="438">
        <v>0</v>
      </c>
      <c r="E446" s="441" t="s">
        <v>420</v>
      </c>
      <c r="F446" s="442" t="s">
        <v>2083</v>
      </c>
      <c r="G446" s="443"/>
    </row>
    <row r="447" spans="1:7" s="444" customFormat="1" ht="15.95" customHeight="1" x14ac:dyDescent="0.15">
      <c r="A447" s="438">
        <v>446</v>
      </c>
      <c r="B447" s="439" t="s">
        <v>1710</v>
      </c>
      <c r="C447" s="440">
        <v>44054</v>
      </c>
      <c r="D447" s="438">
        <v>0</v>
      </c>
      <c r="E447" s="441" t="s">
        <v>421</v>
      </c>
      <c r="F447" s="442" t="s">
        <v>2082</v>
      </c>
      <c r="G447" s="443"/>
    </row>
    <row r="448" spans="1:7" s="444" customFormat="1" ht="15.95" customHeight="1" x14ac:dyDescent="0.15">
      <c r="A448" s="438">
        <v>447</v>
      </c>
      <c r="B448" s="439" t="s">
        <v>1710</v>
      </c>
      <c r="C448" s="440">
        <v>44310</v>
      </c>
      <c r="D448" s="438">
        <v>0</v>
      </c>
      <c r="E448" s="441" t="s">
        <v>422</v>
      </c>
      <c r="F448" s="442" t="s">
        <v>2081</v>
      </c>
      <c r="G448" s="443"/>
    </row>
    <row r="449" spans="1:7" s="444" customFormat="1" ht="15.95" customHeight="1" x14ac:dyDescent="0.15">
      <c r="A449" s="438">
        <v>448</v>
      </c>
      <c r="B449" s="439" t="s">
        <v>1710</v>
      </c>
      <c r="C449" s="440">
        <v>44566</v>
      </c>
      <c r="D449" s="438">
        <v>0</v>
      </c>
      <c r="E449" s="441" t="s">
        <v>423</v>
      </c>
      <c r="F449" s="442" t="s">
        <v>2080</v>
      </c>
      <c r="G449" s="443"/>
    </row>
    <row r="450" spans="1:7" s="444" customFormat="1" ht="15.95" customHeight="1" x14ac:dyDescent="0.15">
      <c r="A450" s="438">
        <v>449</v>
      </c>
      <c r="B450" s="439" t="s">
        <v>1710</v>
      </c>
      <c r="C450" s="440">
        <v>44822</v>
      </c>
      <c r="D450" s="438">
        <v>0</v>
      </c>
      <c r="E450" s="441" t="s">
        <v>424</v>
      </c>
      <c r="F450" s="442" t="s">
        <v>2079</v>
      </c>
      <c r="G450" s="443"/>
    </row>
    <row r="451" spans="1:7" s="444" customFormat="1" ht="15.95" customHeight="1" x14ac:dyDescent="0.15">
      <c r="A451" s="438">
        <v>450</v>
      </c>
      <c r="B451" s="439" t="s">
        <v>1710</v>
      </c>
      <c r="C451" s="440">
        <v>45078</v>
      </c>
      <c r="D451" s="438">
        <v>0</v>
      </c>
      <c r="E451" s="439" t="s">
        <v>2078</v>
      </c>
      <c r="F451" s="442" t="s">
        <v>2077</v>
      </c>
      <c r="G451" s="443"/>
    </row>
    <row r="452" spans="1:7" s="444" customFormat="1" ht="15.95" customHeight="1" x14ac:dyDescent="0.15">
      <c r="A452" s="438">
        <v>451</v>
      </c>
      <c r="B452" s="439" t="s">
        <v>1710</v>
      </c>
      <c r="C452" s="440">
        <v>45334</v>
      </c>
      <c r="D452" s="438">
        <v>0</v>
      </c>
      <c r="E452" s="439" t="s">
        <v>2076</v>
      </c>
      <c r="F452" s="442" t="s">
        <v>2075</v>
      </c>
      <c r="G452" s="443"/>
    </row>
    <row r="453" spans="1:7" s="444" customFormat="1" ht="15.95" customHeight="1" x14ac:dyDescent="0.15">
      <c r="A453" s="438">
        <v>452</v>
      </c>
      <c r="B453" s="439" t="s">
        <v>1710</v>
      </c>
      <c r="C453" s="440">
        <v>45590</v>
      </c>
      <c r="D453" s="438">
        <v>0</v>
      </c>
      <c r="E453" s="439" t="s">
        <v>2074</v>
      </c>
      <c r="F453" s="442" t="s">
        <v>2073</v>
      </c>
      <c r="G453" s="443"/>
    </row>
    <row r="454" spans="1:7" s="444" customFormat="1" ht="15.95" customHeight="1" x14ac:dyDescent="0.15">
      <c r="A454" s="438">
        <v>453</v>
      </c>
      <c r="B454" s="439" t="s">
        <v>1710</v>
      </c>
      <c r="C454" s="440">
        <v>45846</v>
      </c>
      <c r="D454" s="438">
        <v>0</v>
      </c>
      <c r="E454" s="439" t="s">
        <v>2072</v>
      </c>
      <c r="F454" s="442" t="s">
        <v>2071</v>
      </c>
      <c r="G454" s="443"/>
    </row>
    <row r="455" spans="1:7" s="444" customFormat="1" ht="15.95" customHeight="1" x14ac:dyDescent="0.15">
      <c r="A455" s="438">
        <v>454</v>
      </c>
      <c r="B455" s="439" t="s">
        <v>1710</v>
      </c>
      <c r="C455" s="440">
        <v>43550</v>
      </c>
      <c r="D455" s="438">
        <v>0</v>
      </c>
      <c r="E455" s="441" t="s">
        <v>425</v>
      </c>
      <c r="F455" s="442" t="s">
        <v>2070</v>
      </c>
      <c r="G455" s="443"/>
    </row>
    <row r="456" spans="1:7" s="444" customFormat="1" ht="15.95" customHeight="1" x14ac:dyDescent="0.15">
      <c r="A456" s="438">
        <v>455</v>
      </c>
      <c r="B456" s="439" t="s">
        <v>1710</v>
      </c>
      <c r="C456" s="440">
        <v>43806</v>
      </c>
      <c r="D456" s="438">
        <v>0</v>
      </c>
      <c r="E456" s="441" t="s">
        <v>426</v>
      </c>
      <c r="F456" s="442" t="s">
        <v>2069</v>
      </c>
      <c r="G456" s="443"/>
    </row>
    <row r="457" spans="1:7" s="444" customFormat="1" ht="15.95" customHeight="1" x14ac:dyDescent="0.15">
      <c r="A457" s="438">
        <v>456</v>
      </c>
      <c r="B457" s="439" t="s">
        <v>1710</v>
      </c>
      <c r="C457" s="440">
        <v>44062</v>
      </c>
      <c r="D457" s="438">
        <v>0</v>
      </c>
      <c r="E457" s="441" t="s">
        <v>427</v>
      </c>
      <c r="F457" s="442" t="s">
        <v>2068</v>
      </c>
      <c r="G457" s="443"/>
    </row>
    <row r="458" spans="1:7" s="444" customFormat="1" ht="15.95" customHeight="1" x14ac:dyDescent="0.15">
      <c r="A458" s="438">
        <v>457</v>
      </c>
      <c r="B458" s="439" t="s">
        <v>1710</v>
      </c>
      <c r="C458" s="440">
        <v>44318</v>
      </c>
      <c r="D458" s="438">
        <v>0</v>
      </c>
      <c r="E458" s="441" t="s">
        <v>428</v>
      </c>
      <c r="F458" s="442" t="s">
        <v>2067</v>
      </c>
      <c r="G458" s="443"/>
    </row>
    <row r="459" spans="1:7" s="444" customFormat="1" ht="15.95" customHeight="1" x14ac:dyDescent="0.15">
      <c r="A459" s="438">
        <v>458</v>
      </c>
      <c r="B459" s="439" t="s">
        <v>1710</v>
      </c>
      <c r="C459" s="440">
        <v>44574</v>
      </c>
      <c r="D459" s="438">
        <v>0</v>
      </c>
      <c r="E459" s="441" t="s">
        <v>429</v>
      </c>
      <c r="F459" s="442" t="s">
        <v>2066</v>
      </c>
      <c r="G459" s="443"/>
    </row>
    <row r="460" spans="1:7" s="444" customFormat="1" ht="15.95" customHeight="1" x14ac:dyDescent="0.15">
      <c r="A460" s="438">
        <v>459</v>
      </c>
      <c r="B460" s="439" t="s">
        <v>1710</v>
      </c>
      <c r="C460" s="440">
        <v>44830</v>
      </c>
      <c r="D460" s="438">
        <v>0</v>
      </c>
      <c r="E460" s="441" t="s">
        <v>430</v>
      </c>
      <c r="F460" s="442" t="s">
        <v>2065</v>
      </c>
      <c r="G460" s="443"/>
    </row>
    <row r="461" spans="1:7" s="444" customFormat="1" ht="15.95" customHeight="1" x14ac:dyDescent="0.15">
      <c r="A461" s="438">
        <v>460</v>
      </c>
      <c r="B461" s="439" t="s">
        <v>1710</v>
      </c>
      <c r="C461" s="440">
        <v>45086</v>
      </c>
      <c r="D461" s="438">
        <v>0</v>
      </c>
      <c r="E461" s="439" t="s">
        <v>2064</v>
      </c>
      <c r="F461" s="442" t="s">
        <v>2063</v>
      </c>
      <c r="G461" s="443"/>
    </row>
    <row r="462" spans="1:7" s="444" customFormat="1" ht="15.95" customHeight="1" x14ac:dyDescent="0.15">
      <c r="A462" s="438">
        <v>461</v>
      </c>
      <c r="B462" s="439" t="s">
        <v>1710</v>
      </c>
      <c r="C462" s="440">
        <v>45342</v>
      </c>
      <c r="D462" s="438">
        <v>0</v>
      </c>
      <c r="E462" s="439" t="s">
        <v>2062</v>
      </c>
      <c r="F462" s="442" t="s">
        <v>2061</v>
      </c>
      <c r="G462" s="443"/>
    </row>
    <row r="463" spans="1:7" s="444" customFormat="1" ht="15.95" customHeight="1" x14ac:dyDescent="0.15">
      <c r="A463" s="438">
        <v>462</v>
      </c>
      <c r="B463" s="439" t="s">
        <v>1710</v>
      </c>
      <c r="C463" s="440">
        <v>45598</v>
      </c>
      <c r="D463" s="438">
        <v>0</v>
      </c>
      <c r="E463" s="439" t="s">
        <v>2060</v>
      </c>
      <c r="F463" s="442" t="s">
        <v>2059</v>
      </c>
      <c r="G463" s="443"/>
    </row>
    <row r="464" spans="1:7" s="444" customFormat="1" ht="15.95" customHeight="1" x14ac:dyDescent="0.15">
      <c r="A464" s="438">
        <v>463</v>
      </c>
      <c r="B464" s="439" t="s">
        <v>1710</v>
      </c>
      <c r="C464" s="440">
        <v>45854</v>
      </c>
      <c r="D464" s="438">
        <v>0</v>
      </c>
      <c r="E464" s="439" t="s">
        <v>2058</v>
      </c>
      <c r="F464" s="442" t="s">
        <v>2057</v>
      </c>
      <c r="G464" s="443"/>
    </row>
    <row r="465" spans="1:7" s="444" customFormat="1" ht="15.95" customHeight="1" x14ac:dyDescent="0.15">
      <c r="A465" s="438">
        <v>464</v>
      </c>
      <c r="B465" s="439" t="s">
        <v>1710</v>
      </c>
      <c r="C465" s="440">
        <v>43552</v>
      </c>
      <c r="D465" s="438">
        <v>0</v>
      </c>
      <c r="E465" s="441" t="s">
        <v>431</v>
      </c>
      <c r="F465" s="442" t="s">
        <v>2056</v>
      </c>
      <c r="G465" s="443"/>
    </row>
    <row r="466" spans="1:7" s="444" customFormat="1" ht="15.95" customHeight="1" x14ac:dyDescent="0.15">
      <c r="A466" s="438">
        <v>465</v>
      </c>
      <c r="B466" s="439" t="s">
        <v>1710</v>
      </c>
      <c r="C466" s="440">
        <v>43808</v>
      </c>
      <c r="D466" s="438">
        <v>0</v>
      </c>
      <c r="E466" s="441" t="s">
        <v>432</v>
      </c>
      <c r="F466" s="442" t="s">
        <v>2055</v>
      </c>
      <c r="G466" s="443"/>
    </row>
    <row r="467" spans="1:7" s="444" customFormat="1" ht="15.95" customHeight="1" x14ac:dyDescent="0.15">
      <c r="A467" s="438">
        <v>466</v>
      </c>
      <c r="B467" s="439" t="s">
        <v>1710</v>
      </c>
      <c r="C467" s="440">
        <v>44064</v>
      </c>
      <c r="D467" s="438">
        <v>0</v>
      </c>
      <c r="E467" s="441" t="s">
        <v>433</v>
      </c>
      <c r="F467" s="442" t="s">
        <v>2054</v>
      </c>
      <c r="G467" s="443"/>
    </row>
    <row r="468" spans="1:7" s="444" customFormat="1" ht="15.95" customHeight="1" x14ac:dyDescent="0.15">
      <c r="A468" s="438">
        <v>467</v>
      </c>
      <c r="B468" s="439" t="s">
        <v>1710</v>
      </c>
      <c r="C468" s="440">
        <v>44320</v>
      </c>
      <c r="D468" s="438">
        <v>0</v>
      </c>
      <c r="E468" s="441" t="s">
        <v>434</v>
      </c>
      <c r="F468" s="442" t="s">
        <v>2053</v>
      </c>
      <c r="G468" s="443"/>
    </row>
    <row r="469" spans="1:7" s="444" customFormat="1" ht="15.95" customHeight="1" x14ac:dyDescent="0.15">
      <c r="A469" s="438">
        <v>468</v>
      </c>
      <c r="B469" s="439" t="s">
        <v>1710</v>
      </c>
      <c r="C469" s="440">
        <v>44576</v>
      </c>
      <c r="D469" s="438">
        <v>0</v>
      </c>
      <c r="E469" s="441" t="s">
        <v>435</v>
      </c>
      <c r="F469" s="442" t="s">
        <v>2052</v>
      </c>
      <c r="G469" s="443"/>
    </row>
    <row r="470" spans="1:7" s="444" customFormat="1" ht="15.95" customHeight="1" x14ac:dyDescent="0.15">
      <c r="A470" s="438">
        <v>469</v>
      </c>
      <c r="B470" s="439" t="s">
        <v>1710</v>
      </c>
      <c r="C470" s="440">
        <v>44832</v>
      </c>
      <c r="D470" s="438">
        <v>0</v>
      </c>
      <c r="E470" s="441" t="s">
        <v>436</v>
      </c>
      <c r="F470" s="442" t="s">
        <v>2051</v>
      </c>
      <c r="G470" s="443"/>
    </row>
    <row r="471" spans="1:7" s="444" customFormat="1" ht="15.95" customHeight="1" x14ac:dyDescent="0.15">
      <c r="A471" s="438">
        <v>470</v>
      </c>
      <c r="B471" s="439" t="s">
        <v>1710</v>
      </c>
      <c r="C471" s="440">
        <v>45088</v>
      </c>
      <c r="D471" s="438">
        <v>0</v>
      </c>
      <c r="E471" s="439" t="s">
        <v>2050</v>
      </c>
      <c r="F471" s="442" t="s">
        <v>2049</v>
      </c>
      <c r="G471" s="443"/>
    </row>
    <row r="472" spans="1:7" s="444" customFormat="1" ht="15.95" customHeight="1" x14ac:dyDescent="0.15">
      <c r="A472" s="438">
        <v>471</v>
      </c>
      <c r="B472" s="439" t="s">
        <v>1710</v>
      </c>
      <c r="C472" s="440">
        <v>45344</v>
      </c>
      <c r="D472" s="438">
        <v>0</v>
      </c>
      <c r="E472" s="439" t="s">
        <v>2048</v>
      </c>
      <c r="F472" s="442" t="s">
        <v>2047</v>
      </c>
      <c r="G472" s="443"/>
    </row>
    <row r="473" spans="1:7" s="444" customFormat="1" ht="15.95" customHeight="1" x14ac:dyDescent="0.15">
      <c r="A473" s="438">
        <v>472</v>
      </c>
      <c r="B473" s="439" t="s">
        <v>1710</v>
      </c>
      <c r="C473" s="440">
        <v>45600</v>
      </c>
      <c r="D473" s="438">
        <v>0</v>
      </c>
      <c r="E473" s="439" t="s">
        <v>2046</v>
      </c>
      <c r="F473" s="442" t="s">
        <v>2045</v>
      </c>
      <c r="G473" s="443"/>
    </row>
    <row r="474" spans="1:7" s="444" customFormat="1" ht="15.95" customHeight="1" x14ac:dyDescent="0.15">
      <c r="A474" s="438">
        <v>473</v>
      </c>
      <c r="B474" s="439" t="s">
        <v>1710</v>
      </c>
      <c r="C474" s="440">
        <v>45856</v>
      </c>
      <c r="D474" s="438">
        <v>0</v>
      </c>
      <c r="E474" s="439" t="s">
        <v>2044</v>
      </c>
      <c r="F474" s="442" t="s">
        <v>2043</v>
      </c>
      <c r="G474" s="443"/>
    </row>
    <row r="475" spans="1:7" s="444" customFormat="1" ht="15.95" customHeight="1" x14ac:dyDescent="0.15">
      <c r="A475" s="438">
        <v>474</v>
      </c>
      <c r="B475" s="439" t="s">
        <v>1710</v>
      </c>
      <c r="C475" s="440">
        <v>43553</v>
      </c>
      <c r="D475" s="438">
        <v>0</v>
      </c>
      <c r="E475" s="441" t="s">
        <v>437</v>
      </c>
      <c r="F475" s="442" t="s">
        <v>2042</v>
      </c>
      <c r="G475" s="443"/>
    </row>
    <row r="476" spans="1:7" s="444" customFormat="1" ht="15.95" customHeight="1" x14ac:dyDescent="0.15">
      <c r="A476" s="438">
        <v>475</v>
      </c>
      <c r="B476" s="439" t="s">
        <v>1710</v>
      </c>
      <c r="C476" s="440">
        <v>43809</v>
      </c>
      <c r="D476" s="438">
        <v>0</v>
      </c>
      <c r="E476" s="441" t="s">
        <v>438</v>
      </c>
      <c r="F476" s="442" t="s">
        <v>2041</v>
      </c>
      <c r="G476" s="443"/>
    </row>
    <row r="477" spans="1:7" s="444" customFormat="1" ht="15.95" customHeight="1" x14ac:dyDescent="0.15">
      <c r="A477" s="438">
        <v>476</v>
      </c>
      <c r="B477" s="439" t="s">
        <v>1710</v>
      </c>
      <c r="C477" s="440">
        <v>44065</v>
      </c>
      <c r="D477" s="438">
        <v>0</v>
      </c>
      <c r="E477" s="441" t="s">
        <v>439</v>
      </c>
      <c r="F477" s="442" t="s">
        <v>2040</v>
      </c>
      <c r="G477" s="443"/>
    </row>
    <row r="478" spans="1:7" s="444" customFormat="1" ht="15.95" customHeight="1" x14ac:dyDescent="0.15">
      <c r="A478" s="438">
        <v>477</v>
      </c>
      <c r="B478" s="439" t="s">
        <v>1710</v>
      </c>
      <c r="C478" s="440">
        <v>44321</v>
      </c>
      <c r="D478" s="438">
        <v>0</v>
      </c>
      <c r="E478" s="441" t="s">
        <v>440</v>
      </c>
      <c r="F478" s="442" t="s">
        <v>2039</v>
      </c>
      <c r="G478" s="443"/>
    </row>
    <row r="479" spans="1:7" s="444" customFormat="1" ht="15.95" customHeight="1" x14ac:dyDescent="0.15">
      <c r="A479" s="438">
        <v>478</v>
      </c>
      <c r="B479" s="439" t="s">
        <v>1710</v>
      </c>
      <c r="C479" s="440">
        <v>44577</v>
      </c>
      <c r="D479" s="438">
        <v>0</v>
      </c>
      <c r="E479" s="441" t="s">
        <v>441</v>
      </c>
      <c r="F479" s="442" t="s">
        <v>2038</v>
      </c>
      <c r="G479" s="443"/>
    </row>
    <row r="480" spans="1:7" s="444" customFormat="1" ht="15.95" customHeight="1" x14ac:dyDescent="0.15">
      <c r="A480" s="438">
        <v>479</v>
      </c>
      <c r="B480" s="439" t="s">
        <v>1710</v>
      </c>
      <c r="C480" s="440">
        <v>44833</v>
      </c>
      <c r="D480" s="438">
        <v>0</v>
      </c>
      <c r="E480" s="441" t="s">
        <v>442</v>
      </c>
      <c r="F480" s="442" t="s">
        <v>2037</v>
      </c>
      <c r="G480" s="443"/>
    </row>
    <row r="481" spans="1:7" s="444" customFormat="1" ht="15.95" customHeight="1" x14ac:dyDescent="0.15">
      <c r="A481" s="438">
        <v>480</v>
      </c>
      <c r="B481" s="439" t="s">
        <v>1710</v>
      </c>
      <c r="C481" s="440">
        <v>45089</v>
      </c>
      <c r="D481" s="438">
        <v>0</v>
      </c>
      <c r="E481" s="439" t="s">
        <v>2036</v>
      </c>
      <c r="F481" s="442" t="s">
        <v>2035</v>
      </c>
      <c r="G481" s="443"/>
    </row>
    <row r="482" spans="1:7" s="444" customFormat="1" ht="15.95" customHeight="1" x14ac:dyDescent="0.15">
      <c r="A482" s="438">
        <v>481</v>
      </c>
      <c r="B482" s="439" t="s">
        <v>1710</v>
      </c>
      <c r="C482" s="440">
        <v>45345</v>
      </c>
      <c r="D482" s="438">
        <v>0</v>
      </c>
      <c r="E482" s="439" t="s">
        <v>2034</v>
      </c>
      <c r="F482" s="442" t="s">
        <v>2033</v>
      </c>
      <c r="G482" s="443"/>
    </row>
    <row r="483" spans="1:7" s="444" customFormat="1" ht="15.95" customHeight="1" x14ac:dyDescent="0.15">
      <c r="A483" s="438">
        <v>482</v>
      </c>
      <c r="B483" s="439" t="s">
        <v>1710</v>
      </c>
      <c r="C483" s="440">
        <v>45601</v>
      </c>
      <c r="D483" s="438">
        <v>0</v>
      </c>
      <c r="E483" s="439" t="s">
        <v>2032</v>
      </c>
      <c r="F483" s="442" t="s">
        <v>2031</v>
      </c>
      <c r="G483" s="443"/>
    </row>
    <row r="484" spans="1:7" s="444" customFormat="1" ht="15.95" customHeight="1" x14ac:dyDescent="0.15">
      <c r="A484" s="438">
        <v>483</v>
      </c>
      <c r="B484" s="439" t="s">
        <v>1710</v>
      </c>
      <c r="C484" s="440">
        <v>45857</v>
      </c>
      <c r="D484" s="438">
        <v>0</v>
      </c>
      <c r="E484" s="439" t="s">
        <v>2030</v>
      </c>
      <c r="F484" s="442" t="s">
        <v>2029</v>
      </c>
      <c r="G484" s="443"/>
    </row>
    <row r="485" spans="1:7" s="444" customFormat="1" ht="15.95" customHeight="1" x14ac:dyDescent="0.15">
      <c r="A485" s="438">
        <v>484</v>
      </c>
      <c r="B485" s="439" t="s">
        <v>1710</v>
      </c>
      <c r="C485" s="440">
        <v>43563</v>
      </c>
      <c r="D485" s="438">
        <v>0</v>
      </c>
      <c r="E485" s="441" t="s">
        <v>443</v>
      </c>
      <c r="F485" s="442" t="s">
        <v>2028</v>
      </c>
      <c r="G485" s="443"/>
    </row>
    <row r="486" spans="1:7" s="444" customFormat="1" ht="15.95" customHeight="1" x14ac:dyDescent="0.15">
      <c r="A486" s="438">
        <v>485</v>
      </c>
      <c r="B486" s="439" t="s">
        <v>1710</v>
      </c>
      <c r="C486" s="440">
        <v>43819</v>
      </c>
      <c r="D486" s="438">
        <v>0</v>
      </c>
      <c r="E486" s="441" t="s">
        <v>444</v>
      </c>
      <c r="F486" s="442" t="s">
        <v>2027</v>
      </c>
      <c r="G486" s="443"/>
    </row>
    <row r="487" spans="1:7" s="444" customFormat="1" ht="15.95" customHeight="1" x14ac:dyDescent="0.15">
      <c r="A487" s="438">
        <v>486</v>
      </c>
      <c r="B487" s="439" t="s">
        <v>1710</v>
      </c>
      <c r="C487" s="440">
        <v>44075</v>
      </c>
      <c r="D487" s="438">
        <v>0</v>
      </c>
      <c r="E487" s="441" t="s">
        <v>445</v>
      </c>
      <c r="F487" s="442" t="s">
        <v>2026</v>
      </c>
      <c r="G487" s="443"/>
    </row>
    <row r="488" spans="1:7" s="444" customFormat="1" ht="15.95" customHeight="1" x14ac:dyDescent="0.15">
      <c r="A488" s="438">
        <v>487</v>
      </c>
      <c r="B488" s="439" t="s">
        <v>1710</v>
      </c>
      <c r="C488" s="440">
        <v>44331</v>
      </c>
      <c r="D488" s="438">
        <v>0</v>
      </c>
      <c r="E488" s="441" t="s">
        <v>446</v>
      </c>
      <c r="F488" s="442" t="s">
        <v>2025</v>
      </c>
      <c r="G488" s="443"/>
    </row>
    <row r="489" spans="1:7" s="444" customFormat="1" ht="15.95" customHeight="1" x14ac:dyDescent="0.15">
      <c r="A489" s="438">
        <v>488</v>
      </c>
      <c r="B489" s="439" t="s">
        <v>1710</v>
      </c>
      <c r="C489" s="440">
        <v>44587</v>
      </c>
      <c r="D489" s="438">
        <v>0</v>
      </c>
      <c r="E489" s="441" t="s">
        <v>447</v>
      </c>
      <c r="F489" s="442" t="s">
        <v>2024</v>
      </c>
      <c r="G489" s="443"/>
    </row>
    <row r="490" spans="1:7" s="444" customFormat="1" ht="15.95" customHeight="1" x14ac:dyDescent="0.15">
      <c r="A490" s="438">
        <v>489</v>
      </c>
      <c r="B490" s="439" t="s">
        <v>1710</v>
      </c>
      <c r="C490" s="440">
        <v>44843</v>
      </c>
      <c r="D490" s="438">
        <v>0</v>
      </c>
      <c r="E490" s="441" t="s">
        <v>448</v>
      </c>
      <c r="F490" s="442" t="s">
        <v>2023</v>
      </c>
      <c r="G490" s="443"/>
    </row>
    <row r="491" spans="1:7" s="444" customFormat="1" ht="15.95" customHeight="1" x14ac:dyDescent="0.15">
      <c r="A491" s="438">
        <v>490</v>
      </c>
      <c r="B491" s="439" t="s">
        <v>1710</v>
      </c>
      <c r="C491" s="440">
        <v>45099</v>
      </c>
      <c r="D491" s="438">
        <v>0</v>
      </c>
      <c r="E491" s="439" t="s">
        <v>2022</v>
      </c>
      <c r="F491" s="442" t="s">
        <v>2021</v>
      </c>
      <c r="G491" s="443"/>
    </row>
    <row r="492" spans="1:7" s="444" customFormat="1" ht="15.95" customHeight="1" x14ac:dyDescent="0.15">
      <c r="A492" s="438">
        <v>491</v>
      </c>
      <c r="B492" s="439" t="s">
        <v>1710</v>
      </c>
      <c r="C492" s="440">
        <v>45355</v>
      </c>
      <c r="D492" s="438">
        <v>0</v>
      </c>
      <c r="E492" s="439" t="s">
        <v>2020</v>
      </c>
      <c r="F492" s="442" t="s">
        <v>2019</v>
      </c>
      <c r="G492" s="443"/>
    </row>
    <row r="493" spans="1:7" s="444" customFormat="1" ht="15.95" customHeight="1" x14ac:dyDescent="0.15">
      <c r="A493" s="438">
        <v>492</v>
      </c>
      <c r="B493" s="439" t="s">
        <v>1710</v>
      </c>
      <c r="C493" s="440">
        <v>45611</v>
      </c>
      <c r="D493" s="438">
        <v>0</v>
      </c>
      <c r="E493" s="439" t="s">
        <v>2018</v>
      </c>
      <c r="F493" s="442" t="s">
        <v>2017</v>
      </c>
      <c r="G493" s="443"/>
    </row>
    <row r="494" spans="1:7" s="444" customFormat="1" ht="15.95" customHeight="1" x14ac:dyDescent="0.15">
      <c r="A494" s="438">
        <v>493</v>
      </c>
      <c r="B494" s="439" t="s">
        <v>1710</v>
      </c>
      <c r="C494" s="440">
        <v>45867</v>
      </c>
      <c r="D494" s="438">
        <v>0</v>
      </c>
      <c r="E494" s="439" t="s">
        <v>2016</v>
      </c>
      <c r="F494" s="442" t="s">
        <v>2015</v>
      </c>
      <c r="G494" s="443"/>
    </row>
    <row r="495" spans="1:7" s="444" customFormat="1" ht="15.95" customHeight="1" x14ac:dyDescent="0.15">
      <c r="A495" s="438">
        <v>494</v>
      </c>
      <c r="B495" s="439" t="s">
        <v>1710</v>
      </c>
      <c r="C495" s="440">
        <v>43564</v>
      </c>
      <c r="D495" s="438">
        <v>0</v>
      </c>
      <c r="E495" s="441" t="s">
        <v>449</v>
      </c>
      <c r="F495" s="442" t="s">
        <v>2014</v>
      </c>
      <c r="G495" s="443"/>
    </row>
    <row r="496" spans="1:7" s="444" customFormat="1" ht="15.95" customHeight="1" x14ac:dyDescent="0.15">
      <c r="A496" s="438">
        <v>495</v>
      </c>
      <c r="B496" s="439" t="s">
        <v>1710</v>
      </c>
      <c r="C496" s="440">
        <v>43820</v>
      </c>
      <c r="D496" s="438">
        <v>0</v>
      </c>
      <c r="E496" s="441" t="s">
        <v>450</v>
      </c>
      <c r="F496" s="442" t="s">
        <v>2013</v>
      </c>
      <c r="G496" s="443"/>
    </row>
    <row r="497" spans="1:7" s="444" customFormat="1" ht="15.95" customHeight="1" x14ac:dyDescent="0.15">
      <c r="A497" s="438">
        <v>496</v>
      </c>
      <c r="B497" s="439" t="s">
        <v>1710</v>
      </c>
      <c r="C497" s="440">
        <v>44076</v>
      </c>
      <c r="D497" s="438">
        <v>0</v>
      </c>
      <c r="E497" s="441" t="s">
        <v>451</v>
      </c>
      <c r="F497" s="442" t="s">
        <v>2012</v>
      </c>
      <c r="G497" s="443"/>
    </row>
    <row r="498" spans="1:7" s="444" customFormat="1" ht="15.95" customHeight="1" x14ac:dyDescent="0.15">
      <c r="A498" s="438">
        <v>497</v>
      </c>
      <c r="B498" s="439" t="s">
        <v>1710</v>
      </c>
      <c r="C498" s="440">
        <v>44332</v>
      </c>
      <c r="D498" s="438">
        <v>0</v>
      </c>
      <c r="E498" s="441" t="s">
        <v>452</v>
      </c>
      <c r="F498" s="442" t="s">
        <v>2011</v>
      </c>
      <c r="G498" s="443"/>
    </row>
    <row r="499" spans="1:7" s="444" customFormat="1" ht="15.95" customHeight="1" x14ac:dyDescent="0.15">
      <c r="A499" s="438">
        <v>498</v>
      </c>
      <c r="B499" s="439" t="s">
        <v>1710</v>
      </c>
      <c r="C499" s="440">
        <v>44588</v>
      </c>
      <c r="D499" s="438">
        <v>0</v>
      </c>
      <c r="E499" s="441" t="s">
        <v>453</v>
      </c>
      <c r="F499" s="442" t="s">
        <v>2010</v>
      </c>
      <c r="G499" s="443"/>
    </row>
    <row r="500" spans="1:7" s="444" customFormat="1" ht="15.95" customHeight="1" x14ac:dyDescent="0.15">
      <c r="A500" s="438">
        <v>499</v>
      </c>
      <c r="B500" s="439" t="s">
        <v>1710</v>
      </c>
      <c r="C500" s="440">
        <v>44844</v>
      </c>
      <c r="D500" s="438">
        <v>0</v>
      </c>
      <c r="E500" s="441" t="s">
        <v>454</v>
      </c>
      <c r="F500" s="442" t="s">
        <v>2009</v>
      </c>
      <c r="G500" s="443"/>
    </row>
    <row r="501" spans="1:7" s="444" customFormat="1" ht="15.95" customHeight="1" x14ac:dyDescent="0.15">
      <c r="A501" s="438">
        <v>500</v>
      </c>
      <c r="B501" s="439" t="s">
        <v>1710</v>
      </c>
      <c r="C501" s="440">
        <v>45100</v>
      </c>
      <c r="D501" s="438">
        <v>0</v>
      </c>
      <c r="E501" s="439" t="s">
        <v>2008</v>
      </c>
      <c r="F501" s="442" t="s">
        <v>2007</v>
      </c>
      <c r="G501" s="443"/>
    </row>
    <row r="502" spans="1:7" s="444" customFormat="1" ht="15.95" customHeight="1" x14ac:dyDescent="0.15">
      <c r="A502" s="438">
        <v>501</v>
      </c>
      <c r="B502" s="439" t="s">
        <v>1710</v>
      </c>
      <c r="C502" s="440">
        <v>45356</v>
      </c>
      <c r="D502" s="438">
        <v>0</v>
      </c>
      <c r="E502" s="439" t="s">
        <v>2006</v>
      </c>
      <c r="F502" s="442" t="s">
        <v>2005</v>
      </c>
      <c r="G502" s="443"/>
    </row>
    <row r="503" spans="1:7" s="444" customFormat="1" ht="15.95" customHeight="1" x14ac:dyDescent="0.15">
      <c r="A503" s="438">
        <v>502</v>
      </c>
      <c r="B503" s="439" t="s">
        <v>1710</v>
      </c>
      <c r="C503" s="440">
        <v>45612</v>
      </c>
      <c r="D503" s="438">
        <v>0</v>
      </c>
      <c r="E503" s="439" t="s">
        <v>2004</v>
      </c>
      <c r="F503" s="442" t="s">
        <v>2003</v>
      </c>
      <c r="G503" s="443"/>
    </row>
    <row r="504" spans="1:7" s="444" customFormat="1" ht="15.95" customHeight="1" x14ac:dyDescent="0.15">
      <c r="A504" s="438">
        <v>503</v>
      </c>
      <c r="B504" s="439" t="s">
        <v>1710</v>
      </c>
      <c r="C504" s="440">
        <v>45868</v>
      </c>
      <c r="D504" s="438">
        <v>0</v>
      </c>
      <c r="E504" s="439" t="s">
        <v>2002</v>
      </c>
      <c r="F504" s="442" t="s">
        <v>2001</v>
      </c>
      <c r="G504" s="443"/>
    </row>
    <row r="505" spans="1:7" s="444" customFormat="1" ht="15.95" customHeight="1" x14ac:dyDescent="0.15">
      <c r="A505" s="438">
        <v>504</v>
      </c>
      <c r="B505" s="439" t="s">
        <v>1710</v>
      </c>
      <c r="C505" s="440">
        <v>46102</v>
      </c>
      <c r="D505" s="438">
        <v>0</v>
      </c>
      <c r="E505" s="441" t="s">
        <v>455</v>
      </c>
      <c r="F505" s="442" t="s">
        <v>2000</v>
      </c>
      <c r="G505" s="443"/>
    </row>
    <row r="506" spans="1:7" s="444" customFormat="1" ht="15.95" customHeight="1" x14ac:dyDescent="0.15">
      <c r="A506" s="438">
        <v>505</v>
      </c>
      <c r="B506" s="439" t="s">
        <v>1710</v>
      </c>
      <c r="C506" s="440">
        <v>46358</v>
      </c>
      <c r="D506" s="438">
        <v>0</v>
      </c>
      <c r="E506" s="441" t="s">
        <v>456</v>
      </c>
      <c r="F506" s="442" t="s">
        <v>1999</v>
      </c>
      <c r="G506" s="443"/>
    </row>
    <row r="507" spans="1:7" s="444" customFormat="1" ht="15.95" customHeight="1" x14ac:dyDescent="0.15">
      <c r="A507" s="438">
        <v>506</v>
      </c>
      <c r="B507" s="439" t="s">
        <v>1710</v>
      </c>
      <c r="C507" s="440">
        <v>46614</v>
      </c>
      <c r="D507" s="438">
        <v>0</v>
      </c>
      <c r="E507" s="441" t="s">
        <v>457</v>
      </c>
      <c r="F507" s="442" t="s">
        <v>1998</v>
      </c>
      <c r="G507" s="443"/>
    </row>
    <row r="508" spans="1:7" s="444" customFormat="1" ht="15.95" customHeight="1" x14ac:dyDescent="0.15">
      <c r="A508" s="438">
        <v>507</v>
      </c>
      <c r="B508" s="439" t="s">
        <v>1710</v>
      </c>
      <c r="C508" s="440">
        <v>46870</v>
      </c>
      <c r="D508" s="438">
        <v>0</v>
      </c>
      <c r="E508" s="441" t="s">
        <v>458</v>
      </c>
      <c r="F508" s="442" t="s">
        <v>1997</v>
      </c>
      <c r="G508" s="443"/>
    </row>
    <row r="509" spans="1:7" s="444" customFormat="1" ht="15.95" customHeight="1" x14ac:dyDescent="0.15">
      <c r="A509" s="438">
        <v>508</v>
      </c>
      <c r="B509" s="439" t="s">
        <v>1710</v>
      </c>
      <c r="C509" s="440">
        <v>47126</v>
      </c>
      <c r="D509" s="438">
        <v>0</v>
      </c>
      <c r="E509" s="441" t="s">
        <v>459</v>
      </c>
      <c r="F509" s="442" t="s">
        <v>1996</v>
      </c>
      <c r="G509" s="443"/>
    </row>
    <row r="510" spans="1:7" s="444" customFormat="1" ht="15.95" customHeight="1" x14ac:dyDescent="0.15">
      <c r="A510" s="438">
        <v>509</v>
      </c>
      <c r="B510" s="439" t="s">
        <v>1710</v>
      </c>
      <c r="C510" s="440">
        <v>47382</v>
      </c>
      <c r="D510" s="438">
        <v>0</v>
      </c>
      <c r="E510" s="441" t="s">
        <v>460</v>
      </c>
      <c r="F510" s="442" t="s">
        <v>1995</v>
      </c>
      <c r="G510" s="443"/>
    </row>
    <row r="511" spans="1:7" s="444" customFormat="1" ht="15.95" customHeight="1" x14ac:dyDescent="0.15">
      <c r="A511" s="438">
        <v>510</v>
      </c>
      <c r="B511" s="439" t="s">
        <v>1710</v>
      </c>
      <c r="C511" s="440">
        <v>47638</v>
      </c>
      <c r="D511" s="438">
        <v>0</v>
      </c>
      <c r="E511" s="439" t="s">
        <v>1994</v>
      </c>
      <c r="F511" s="442" t="s">
        <v>1993</v>
      </c>
      <c r="G511" s="443"/>
    </row>
    <row r="512" spans="1:7" s="444" customFormat="1" ht="15.95" customHeight="1" x14ac:dyDescent="0.15">
      <c r="A512" s="438">
        <v>511</v>
      </c>
      <c r="B512" s="439" t="s">
        <v>1710</v>
      </c>
      <c r="C512" s="440">
        <v>47894</v>
      </c>
      <c r="D512" s="438">
        <v>0</v>
      </c>
      <c r="E512" s="439" t="s">
        <v>1992</v>
      </c>
      <c r="F512" s="442" t="s">
        <v>1991</v>
      </c>
      <c r="G512" s="443"/>
    </row>
    <row r="513" spans="1:7" s="444" customFormat="1" ht="15.95" customHeight="1" x14ac:dyDescent="0.15">
      <c r="A513" s="438">
        <v>512</v>
      </c>
      <c r="B513" s="439" t="s">
        <v>1710</v>
      </c>
      <c r="C513" s="440">
        <v>48150</v>
      </c>
      <c r="D513" s="438">
        <v>0</v>
      </c>
      <c r="E513" s="439" t="s">
        <v>1990</v>
      </c>
      <c r="F513" s="442" t="s">
        <v>1989</v>
      </c>
      <c r="G513" s="443"/>
    </row>
    <row r="514" spans="1:7" s="444" customFormat="1" ht="15.95" customHeight="1" x14ac:dyDescent="0.15">
      <c r="A514" s="438">
        <v>513</v>
      </c>
      <c r="B514" s="439" t="s">
        <v>1710</v>
      </c>
      <c r="C514" s="440">
        <v>48406</v>
      </c>
      <c r="D514" s="438">
        <v>0</v>
      </c>
      <c r="E514" s="439" t="s">
        <v>1988</v>
      </c>
      <c r="F514" s="442" t="s">
        <v>1987</v>
      </c>
      <c r="G514" s="443"/>
    </row>
    <row r="515" spans="1:7" s="444" customFormat="1" ht="15.95" customHeight="1" x14ac:dyDescent="0.15">
      <c r="A515" s="438">
        <v>514</v>
      </c>
      <c r="B515" s="439" t="s">
        <v>1710</v>
      </c>
      <c r="C515" s="440">
        <v>46110</v>
      </c>
      <c r="D515" s="438">
        <v>0</v>
      </c>
      <c r="E515" s="441" t="s">
        <v>461</v>
      </c>
      <c r="F515" s="442" t="s">
        <v>1986</v>
      </c>
      <c r="G515" s="443"/>
    </row>
    <row r="516" spans="1:7" s="444" customFormat="1" ht="15.95" customHeight="1" x14ac:dyDescent="0.15">
      <c r="A516" s="438">
        <v>515</v>
      </c>
      <c r="B516" s="439" t="s">
        <v>1710</v>
      </c>
      <c r="C516" s="440">
        <v>46366</v>
      </c>
      <c r="D516" s="438">
        <v>0</v>
      </c>
      <c r="E516" s="441" t="s">
        <v>462</v>
      </c>
      <c r="F516" s="442" t="s">
        <v>1985</v>
      </c>
      <c r="G516" s="443"/>
    </row>
    <row r="517" spans="1:7" s="444" customFormat="1" ht="15.95" customHeight="1" x14ac:dyDescent="0.15">
      <c r="A517" s="438">
        <v>516</v>
      </c>
      <c r="B517" s="439" t="s">
        <v>1710</v>
      </c>
      <c r="C517" s="440">
        <v>46622</v>
      </c>
      <c r="D517" s="438">
        <v>0</v>
      </c>
      <c r="E517" s="441" t="s">
        <v>463</v>
      </c>
      <c r="F517" s="442" t="s">
        <v>1984</v>
      </c>
      <c r="G517" s="443"/>
    </row>
    <row r="518" spans="1:7" s="444" customFormat="1" ht="15.95" customHeight="1" x14ac:dyDescent="0.15">
      <c r="A518" s="438">
        <v>517</v>
      </c>
      <c r="B518" s="439" t="s">
        <v>1710</v>
      </c>
      <c r="C518" s="440">
        <v>46878</v>
      </c>
      <c r="D518" s="438">
        <v>0</v>
      </c>
      <c r="E518" s="441" t="s">
        <v>464</v>
      </c>
      <c r="F518" s="442" t="s">
        <v>1983</v>
      </c>
      <c r="G518" s="443"/>
    </row>
    <row r="519" spans="1:7" s="444" customFormat="1" ht="15.95" customHeight="1" x14ac:dyDescent="0.15">
      <c r="A519" s="438">
        <v>518</v>
      </c>
      <c r="B519" s="439" t="s">
        <v>1710</v>
      </c>
      <c r="C519" s="440">
        <v>47134</v>
      </c>
      <c r="D519" s="438">
        <v>0</v>
      </c>
      <c r="E519" s="441" t="s">
        <v>465</v>
      </c>
      <c r="F519" s="442" t="s">
        <v>1982</v>
      </c>
      <c r="G519" s="443"/>
    </row>
    <row r="520" spans="1:7" s="444" customFormat="1" ht="15.95" customHeight="1" x14ac:dyDescent="0.15">
      <c r="A520" s="438">
        <v>519</v>
      </c>
      <c r="B520" s="439" t="s">
        <v>1710</v>
      </c>
      <c r="C520" s="440">
        <v>47390</v>
      </c>
      <c r="D520" s="438">
        <v>0</v>
      </c>
      <c r="E520" s="441" t="s">
        <v>466</v>
      </c>
      <c r="F520" s="442" t="s">
        <v>1981</v>
      </c>
      <c r="G520" s="443"/>
    </row>
    <row r="521" spans="1:7" s="444" customFormat="1" ht="15.95" customHeight="1" x14ac:dyDescent="0.15">
      <c r="A521" s="438">
        <v>520</v>
      </c>
      <c r="B521" s="439" t="s">
        <v>1710</v>
      </c>
      <c r="C521" s="440">
        <v>47646</v>
      </c>
      <c r="D521" s="438">
        <v>0</v>
      </c>
      <c r="E521" s="439" t="s">
        <v>1980</v>
      </c>
      <c r="F521" s="442" t="s">
        <v>1979</v>
      </c>
      <c r="G521" s="443"/>
    </row>
    <row r="522" spans="1:7" s="444" customFormat="1" ht="15.95" customHeight="1" x14ac:dyDescent="0.15">
      <c r="A522" s="438">
        <v>521</v>
      </c>
      <c r="B522" s="439" t="s">
        <v>1710</v>
      </c>
      <c r="C522" s="440">
        <v>47902</v>
      </c>
      <c r="D522" s="438">
        <v>0</v>
      </c>
      <c r="E522" s="439" t="s">
        <v>1978</v>
      </c>
      <c r="F522" s="442" t="s">
        <v>1977</v>
      </c>
      <c r="G522" s="443"/>
    </row>
    <row r="523" spans="1:7" s="444" customFormat="1" ht="15.95" customHeight="1" x14ac:dyDescent="0.15">
      <c r="A523" s="438">
        <v>522</v>
      </c>
      <c r="B523" s="439" t="s">
        <v>1710</v>
      </c>
      <c r="C523" s="440">
        <v>48158</v>
      </c>
      <c r="D523" s="438">
        <v>0</v>
      </c>
      <c r="E523" s="439" t="s">
        <v>1976</v>
      </c>
      <c r="F523" s="442" t="s">
        <v>1975</v>
      </c>
      <c r="G523" s="443"/>
    </row>
    <row r="524" spans="1:7" s="444" customFormat="1" ht="15.95" customHeight="1" x14ac:dyDescent="0.15">
      <c r="A524" s="438">
        <v>523</v>
      </c>
      <c r="B524" s="439" t="s">
        <v>1710</v>
      </c>
      <c r="C524" s="440">
        <v>48414</v>
      </c>
      <c r="D524" s="438">
        <v>0</v>
      </c>
      <c r="E524" s="439" t="s">
        <v>1974</v>
      </c>
      <c r="F524" s="442" t="s">
        <v>1973</v>
      </c>
      <c r="G524" s="443"/>
    </row>
    <row r="525" spans="1:7" s="444" customFormat="1" ht="15.95" customHeight="1" x14ac:dyDescent="0.15">
      <c r="A525" s="438">
        <v>524</v>
      </c>
      <c r="B525" s="439" t="s">
        <v>1710</v>
      </c>
      <c r="C525" s="440">
        <v>46112</v>
      </c>
      <c r="D525" s="438">
        <v>0</v>
      </c>
      <c r="E525" s="441" t="s">
        <v>467</v>
      </c>
      <c r="F525" s="442" t="s">
        <v>1972</v>
      </c>
      <c r="G525" s="443"/>
    </row>
    <row r="526" spans="1:7" s="444" customFormat="1" ht="15.95" customHeight="1" x14ac:dyDescent="0.15">
      <c r="A526" s="438">
        <v>525</v>
      </c>
      <c r="B526" s="439" t="s">
        <v>1710</v>
      </c>
      <c r="C526" s="440">
        <v>46368</v>
      </c>
      <c r="D526" s="438">
        <v>0</v>
      </c>
      <c r="E526" s="441" t="s">
        <v>468</v>
      </c>
      <c r="F526" s="442" t="s">
        <v>1971</v>
      </c>
      <c r="G526" s="443"/>
    </row>
    <row r="527" spans="1:7" s="444" customFormat="1" ht="15.95" customHeight="1" x14ac:dyDescent="0.15">
      <c r="A527" s="438">
        <v>526</v>
      </c>
      <c r="B527" s="439" t="s">
        <v>1710</v>
      </c>
      <c r="C527" s="440">
        <v>46624</v>
      </c>
      <c r="D527" s="438">
        <v>0</v>
      </c>
      <c r="E527" s="441" t="s">
        <v>469</v>
      </c>
      <c r="F527" s="442" t="s">
        <v>1970</v>
      </c>
      <c r="G527" s="443"/>
    </row>
    <row r="528" spans="1:7" s="444" customFormat="1" ht="15.95" customHeight="1" x14ac:dyDescent="0.15">
      <c r="A528" s="438">
        <v>527</v>
      </c>
      <c r="B528" s="439" t="s">
        <v>1710</v>
      </c>
      <c r="C528" s="440">
        <v>46880</v>
      </c>
      <c r="D528" s="438">
        <v>0</v>
      </c>
      <c r="E528" s="441" t="s">
        <v>470</v>
      </c>
      <c r="F528" s="442" t="s">
        <v>1969</v>
      </c>
      <c r="G528" s="443"/>
    </row>
    <row r="529" spans="1:7" s="444" customFormat="1" ht="15.95" customHeight="1" x14ac:dyDescent="0.15">
      <c r="A529" s="438">
        <v>528</v>
      </c>
      <c r="B529" s="439" t="s">
        <v>1710</v>
      </c>
      <c r="C529" s="440">
        <v>47136</v>
      </c>
      <c r="D529" s="438">
        <v>0</v>
      </c>
      <c r="E529" s="441" t="s">
        <v>471</v>
      </c>
      <c r="F529" s="442" t="s">
        <v>1968</v>
      </c>
      <c r="G529" s="443"/>
    </row>
    <row r="530" spans="1:7" s="444" customFormat="1" ht="15.95" customHeight="1" x14ac:dyDescent="0.15">
      <c r="A530" s="438">
        <v>529</v>
      </c>
      <c r="B530" s="439" t="s">
        <v>1710</v>
      </c>
      <c r="C530" s="440">
        <v>47392</v>
      </c>
      <c r="D530" s="438">
        <v>0</v>
      </c>
      <c r="E530" s="441" t="s">
        <v>472</v>
      </c>
      <c r="F530" s="442" t="s">
        <v>1967</v>
      </c>
      <c r="G530" s="443"/>
    </row>
    <row r="531" spans="1:7" s="444" customFormat="1" ht="15.95" customHeight="1" x14ac:dyDescent="0.15">
      <c r="A531" s="438">
        <v>530</v>
      </c>
      <c r="B531" s="439" t="s">
        <v>1710</v>
      </c>
      <c r="C531" s="440">
        <v>47648</v>
      </c>
      <c r="D531" s="438">
        <v>0</v>
      </c>
      <c r="E531" s="439" t="s">
        <v>1966</v>
      </c>
      <c r="F531" s="442" t="s">
        <v>1965</v>
      </c>
      <c r="G531" s="443"/>
    </row>
    <row r="532" spans="1:7" s="444" customFormat="1" ht="15.95" customHeight="1" x14ac:dyDescent="0.15">
      <c r="A532" s="438">
        <v>531</v>
      </c>
      <c r="B532" s="439" t="s">
        <v>1710</v>
      </c>
      <c r="C532" s="440">
        <v>47904</v>
      </c>
      <c r="D532" s="438">
        <v>0</v>
      </c>
      <c r="E532" s="439" t="s">
        <v>1964</v>
      </c>
      <c r="F532" s="442" t="s">
        <v>1963</v>
      </c>
      <c r="G532" s="443"/>
    </row>
    <row r="533" spans="1:7" s="444" customFormat="1" ht="15.95" customHeight="1" x14ac:dyDescent="0.15">
      <c r="A533" s="438">
        <v>532</v>
      </c>
      <c r="B533" s="439" t="s">
        <v>1710</v>
      </c>
      <c r="C533" s="440">
        <v>48160</v>
      </c>
      <c r="D533" s="438">
        <v>0</v>
      </c>
      <c r="E533" s="439" t="s">
        <v>1962</v>
      </c>
      <c r="F533" s="442" t="s">
        <v>1961</v>
      </c>
      <c r="G533" s="443"/>
    </row>
    <row r="534" spans="1:7" s="444" customFormat="1" ht="15.95" customHeight="1" x14ac:dyDescent="0.15">
      <c r="A534" s="438">
        <v>533</v>
      </c>
      <c r="B534" s="439" t="s">
        <v>1710</v>
      </c>
      <c r="C534" s="440">
        <v>48416</v>
      </c>
      <c r="D534" s="438">
        <v>0</v>
      </c>
      <c r="E534" s="439" t="s">
        <v>1960</v>
      </c>
      <c r="F534" s="442" t="s">
        <v>1959</v>
      </c>
      <c r="G534" s="443"/>
    </row>
    <row r="535" spans="1:7" s="444" customFormat="1" ht="15.95" customHeight="1" x14ac:dyDescent="0.15">
      <c r="A535" s="438">
        <v>534</v>
      </c>
      <c r="B535" s="439" t="s">
        <v>1710</v>
      </c>
      <c r="C535" s="440">
        <v>46113</v>
      </c>
      <c r="D535" s="438">
        <v>0</v>
      </c>
      <c r="E535" s="441" t="s">
        <v>473</v>
      </c>
      <c r="F535" s="442" t="s">
        <v>1958</v>
      </c>
      <c r="G535" s="443"/>
    </row>
    <row r="536" spans="1:7" s="444" customFormat="1" ht="15.95" customHeight="1" x14ac:dyDescent="0.15">
      <c r="A536" s="438">
        <v>535</v>
      </c>
      <c r="B536" s="439" t="s">
        <v>1710</v>
      </c>
      <c r="C536" s="440">
        <v>46369</v>
      </c>
      <c r="D536" s="438">
        <v>0</v>
      </c>
      <c r="E536" s="441" t="s">
        <v>474</v>
      </c>
      <c r="F536" s="442" t="s">
        <v>1957</v>
      </c>
      <c r="G536" s="443"/>
    </row>
    <row r="537" spans="1:7" s="444" customFormat="1" ht="15.95" customHeight="1" x14ac:dyDescent="0.15">
      <c r="A537" s="438">
        <v>536</v>
      </c>
      <c r="B537" s="439" t="s">
        <v>1710</v>
      </c>
      <c r="C537" s="440">
        <v>46625</v>
      </c>
      <c r="D537" s="438">
        <v>0</v>
      </c>
      <c r="E537" s="441" t="s">
        <v>475</v>
      </c>
      <c r="F537" s="442" t="s">
        <v>1956</v>
      </c>
      <c r="G537" s="443"/>
    </row>
    <row r="538" spans="1:7" s="444" customFormat="1" ht="15.95" customHeight="1" x14ac:dyDescent="0.15">
      <c r="A538" s="438">
        <v>537</v>
      </c>
      <c r="B538" s="439" t="s">
        <v>1710</v>
      </c>
      <c r="C538" s="440">
        <v>46881</v>
      </c>
      <c r="D538" s="438">
        <v>0</v>
      </c>
      <c r="E538" s="441" t="s">
        <v>476</v>
      </c>
      <c r="F538" s="442" t="s">
        <v>1955</v>
      </c>
      <c r="G538" s="443"/>
    </row>
    <row r="539" spans="1:7" s="444" customFormat="1" ht="15.95" customHeight="1" x14ac:dyDescent="0.15">
      <c r="A539" s="438">
        <v>538</v>
      </c>
      <c r="B539" s="439" t="s">
        <v>1710</v>
      </c>
      <c r="C539" s="440">
        <v>47137</v>
      </c>
      <c r="D539" s="438">
        <v>0</v>
      </c>
      <c r="E539" s="441" t="s">
        <v>477</v>
      </c>
      <c r="F539" s="442" t="s">
        <v>1954</v>
      </c>
      <c r="G539" s="443"/>
    </row>
    <row r="540" spans="1:7" s="444" customFormat="1" ht="15.95" customHeight="1" x14ac:dyDescent="0.15">
      <c r="A540" s="438">
        <v>539</v>
      </c>
      <c r="B540" s="439" t="s">
        <v>1710</v>
      </c>
      <c r="C540" s="440">
        <v>47393</v>
      </c>
      <c r="D540" s="438">
        <v>0</v>
      </c>
      <c r="E540" s="441" t="s">
        <v>478</v>
      </c>
      <c r="F540" s="442" t="s">
        <v>1953</v>
      </c>
      <c r="G540" s="443"/>
    </row>
    <row r="541" spans="1:7" s="444" customFormat="1" ht="15.95" customHeight="1" x14ac:dyDescent="0.15">
      <c r="A541" s="438">
        <v>540</v>
      </c>
      <c r="B541" s="439" t="s">
        <v>1710</v>
      </c>
      <c r="C541" s="440">
        <v>47649</v>
      </c>
      <c r="D541" s="438">
        <v>0</v>
      </c>
      <c r="E541" s="441" t="s">
        <v>1952</v>
      </c>
      <c r="F541" s="442" t="s">
        <v>1951</v>
      </c>
      <c r="G541" s="443"/>
    </row>
    <row r="542" spans="1:7" s="444" customFormat="1" ht="15.95" customHeight="1" x14ac:dyDescent="0.15">
      <c r="A542" s="438">
        <v>541</v>
      </c>
      <c r="B542" s="439" t="s">
        <v>1710</v>
      </c>
      <c r="C542" s="440">
        <v>47905</v>
      </c>
      <c r="D542" s="438">
        <v>0</v>
      </c>
      <c r="E542" s="441" t="s">
        <v>1950</v>
      </c>
      <c r="F542" s="442" t="s">
        <v>1949</v>
      </c>
      <c r="G542" s="443"/>
    </row>
    <row r="543" spans="1:7" s="444" customFormat="1" ht="15.95" customHeight="1" x14ac:dyDescent="0.15">
      <c r="A543" s="438">
        <v>542</v>
      </c>
      <c r="B543" s="439" t="s">
        <v>1710</v>
      </c>
      <c r="C543" s="440">
        <v>48161</v>
      </c>
      <c r="D543" s="438">
        <v>0</v>
      </c>
      <c r="E543" s="441" t="s">
        <v>1948</v>
      </c>
      <c r="F543" s="442" t="s">
        <v>1947</v>
      </c>
      <c r="G543" s="443"/>
    </row>
    <row r="544" spans="1:7" s="444" customFormat="1" ht="15.95" customHeight="1" x14ac:dyDescent="0.15">
      <c r="A544" s="438">
        <v>543</v>
      </c>
      <c r="B544" s="439" t="s">
        <v>1710</v>
      </c>
      <c r="C544" s="440">
        <v>48417</v>
      </c>
      <c r="D544" s="438">
        <v>0</v>
      </c>
      <c r="E544" s="441" t="s">
        <v>1946</v>
      </c>
      <c r="F544" s="442" t="s">
        <v>1945</v>
      </c>
      <c r="G544" s="443"/>
    </row>
    <row r="545" spans="1:7" s="444" customFormat="1" ht="15.95" customHeight="1" x14ac:dyDescent="0.15">
      <c r="A545" s="438">
        <v>544</v>
      </c>
      <c r="B545" s="439" t="s">
        <v>1710</v>
      </c>
      <c r="C545" s="440">
        <v>46123</v>
      </c>
      <c r="D545" s="438">
        <v>0</v>
      </c>
      <c r="E545" s="441" t="s">
        <v>479</v>
      </c>
      <c r="F545" s="442" t="s">
        <v>1944</v>
      </c>
      <c r="G545" s="443"/>
    </row>
    <row r="546" spans="1:7" s="444" customFormat="1" ht="15.95" customHeight="1" x14ac:dyDescent="0.15">
      <c r="A546" s="438">
        <v>545</v>
      </c>
      <c r="B546" s="439" t="s">
        <v>1710</v>
      </c>
      <c r="C546" s="440">
        <v>46379</v>
      </c>
      <c r="D546" s="438">
        <v>0</v>
      </c>
      <c r="E546" s="441" t="s">
        <v>480</v>
      </c>
      <c r="F546" s="442" t="s">
        <v>1943</v>
      </c>
      <c r="G546" s="443"/>
    </row>
    <row r="547" spans="1:7" s="444" customFormat="1" ht="15.95" customHeight="1" x14ac:dyDescent="0.15">
      <c r="A547" s="438">
        <v>546</v>
      </c>
      <c r="B547" s="439" t="s">
        <v>1710</v>
      </c>
      <c r="C547" s="440">
        <v>46635</v>
      </c>
      <c r="D547" s="438">
        <v>0</v>
      </c>
      <c r="E547" s="441" t="s">
        <v>481</v>
      </c>
      <c r="F547" s="442" t="s">
        <v>1942</v>
      </c>
      <c r="G547" s="443"/>
    </row>
    <row r="548" spans="1:7" s="444" customFormat="1" ht="15.95" customHeight="1" x14ac:dyDescent="0.15">
      <c r="A548" s="438">
        <v>547</v>
      </c>
      <c r="B548" s="439" t="s">
        <v>1710</v>
      </c>
      <c r="C548" s="440">
        <v>46891</v>
      </c>
      <c r="D548" s="438">
        <v>0</v>
      </c>
      <c r="E548" s="441" t="s">
        <v>482</v>
      </c>
      <c r="F548" s="442" t="s">
        <v>1941</v>
      </c>
      <c r="G548" s="443"/>
    </row>
    <row r="549" spans="1:7" s="444" customFormat="1" ht="15.95" customHeight="1" x14ac:dyDescent="0.15">
      <c r="A549" s="438">
        <v>548</v>
      </c>
      <c r="B549" s="439" t="s">
        <v>1710</v>
      </c>
      <c r="C549" s="440">
        <v>47147</v>
      </c>
      <c r="D549" s="438">
        <v>0</v>
      </c>
      <c r="E549" s="441" t="s">
        <v>483</v>
      </c>
      <c r="F549" s="442" t="s">
        <v>1940</v>
      </c>
      <c r="G549" s="443"/>
    </row>
    <row r="550" spans="1:7" s="444" customFormat="1" ht="15.95" customHeight="1" x14ac:dyDescent="0.15">
      <c r="A550" s="438">
        <v>549</v>
      </c>
      <c r="B550" s="439" t="s">
        <v>1710</v>
      </c>
      <c r="C550" s="440">
        <v>47403</v>
      </c>
      <c r="D550" s="438">
        <v>0</v>
      </c>
      <c r="E550" s="441" t="s">
        <v>484</v>
      </c>
      <c r="F550" s="442" t="s">
        <v>1939</v>
      </c>
      <c r="G550" s="443"/>
    </row>
    <row r="551" spans="1:7" s="444" customFormat="1" ht="15.95" customHeight="1" x14ac:dyDescent="0.15">
      <c r="A551" s="438">
        <v>550</v>
      </c>
      <c r="B551" s="439" t="s">
        <v>1710</v>
      </c>
      <c r="C551" s="440">
        <v>47659</v>
      </c>
      <c r="D551" s="438">
        <v>0</v>
      </c>
      <c r="E551" s="441" t="s">
        <v>1938</v>
      </c>
      <c r="F551" s="442" t="s">
        <v>1937</v>
      </c>
      <c r="G551" s="443"/>
    </row>
    <row r="552" spans="1:7" s="444" customFormat="1" ht="15.95" customHeight="1" x14ac:dyDescent="0.15">
      <c r="A552" s="438">
        <v>551</v>
      </c>
      <c r="B552" s="439" t="s">
        <v>1710</v>
      </c>
      <c r="C552" s="440">
        <v>47915</v>
      </c>
      <c r="D552" s="438">
        <v>0</v>
      </c>
      <c r="E552" s="441" t="s">
        <v>1936</v>
      </c>
      <c r="F552" s="442" t="s">
        <v>1935</v>
      </c>
      <c r="G552" s="443"/>
    </row>
    <row r="553" spans="1:7" s="444" customFormat="1" ht="15.95" customHeight="1" x14ac:dyDescent="0.15">
      <c r="A553" s="438">
        <v>552</v>
      </c>
      <c r="B553" s="439" t="s">
        <v>1710</v>
      </c>
      <c r="C553" s="440">
        <v>48171</v>
      </c>
      <c r="D553" s="438">
        <v>0</v>
      </c>
      <c r="E553" s="441" t="s">
        <v>1934</v>
      </c>
      <c r="F553" s="442" t="s">
        <v>1933</v>
      </c>
      <c r="G553" s="443"/>
    </row>
    <row r="554" spans="1:7" s="444" customFormat="1" ht="15.95" customHeight="1" x14ac:dyDescent="0.15">
      <c r="A554" s="438">
        <v>553</v>
      </c>
      <c r="B554" s="439" t="s">
        <v>1710</v>
      </c>
      <c r="C554" s="440">
        <v>48427</v>
      </c>
      <c r="D554" s="438">
        <v>0</v>
      </c>
      <c r="E554" s="441" t="s">
        <v>1932</v>
      </c>
      <c r="F554" s="442" t="s">
        <v>1931</v>
      </c>
      <c r="G554" s="443"/>
    </row>
    <row r="555" spans="1:7" s="444" customFormat="1" ht="15.95" customHeight="1" x14ac:dyDescent="0.15">
      <c r="A555" s="438">
        <v>554</v>
      </c>
      <c r="B555" s="439" t="s">
        <v>1710</v>
      </c>
      <c r="C555" s="440">
        <v>48662</v>
      </c>
      <c r="D555" s="438">
        <v>0</v>
      </c>
      <c r="E555" s="441" t="s">
        <v>485</v>
      </c>
      <c r="F555" s="442" t="s">
        <v>1930</v>
      </c>
      <c r="G555" s="443"/>
    </row>
    <row r="556" spans="1:7" s="444" customFormat="1" ht="15.95" customHeight="1" x14ac:dyDescent="0.15">
      <c r="A556" s="438">
        <v>555</v>
      </c>
      <c r="B556" s="439" t="s">
        <v>1710</v>
      </c>
      <c r="C556" s="440">
        <v>48918</v>
      </c>
      <c r="D556" s="438">
        <v>0</v>
      </c>
      <c r="E556" s="441" t="s">
        <v>486</v>
      </c>
      <c r="F556" s="442" t="s">
        <v>1929</v>
      </c>
      <c r="G556" s="443"/>
    </row>
    <row r="557" spans="1:7" s="444" customFormat="1" ht="15.95" customHeight="1" x14ac:dyDescent="0.15">
      <c r="A557" s="438">
        <v>556</v>
      </c>
      <c r="B557" s="439" t="s">
        <v>1710</v>
      </c>
      <c r="C557" s="440">
        <v>49174</v>
      </c>
      <c r="D557" s="438">
        <v>0</v>
      </c>
      <c r="E557" s="441" t="s">
        <v>487</v>
      </c>
      <c r="F557" s="442" t="s">
        <v>1928</v>
      </c>
      <c r="G557" s="443"/>
    </row>
    <row r="558" spans="1:7" s="444" customFormat="1" ht="15.95" customHeight="1" x14ac:dyDescent="0.15">
      <c r="A558" s="438">
        <v>557</v>
      </c>
      <c r="B558" s="439" t="s">
        <v>1710</v>
      </c>
      <c r="C558" s="440">
        <v>49430</v>
      </c>
      <c r="D558" s="438">
        <v>0</v>
      </c>
      <c r="E558" s="441" t="s">
        <v>488</v>
      </c>
      <c r="F558" s="442" t="s">
        <v>1927</v>
      </c>
      <c r="G558" s="443"/>
    </row>
    <row r="559" spans="1:7" s="444" customFormat="1" ht="15.95" customHeight="1" x14ac:dyDescent="0.15">
      <c r="A559" s="438">
        <v>558</v>
      </c>
      <c r="B559" s="439" t="s">
        <v>1710</v>
      </c>
      <c r="C559" s="440">
        <v>49686</v>
      </c>
      <c r="D559" s="438">
        <v>0</v>
      </c>
      <c r="E559" s="441" t="s">
        <v>489</v>
      </c>
      <c r="F559" s="442" t="s">
        <v>1926</v>
      </c>
      <c r="G559" s="443"/>
    </row>
    <row r="560" spans="1:7" s="444" customFormat="1" ht="15.95" customHeight="1" x14ac:dyDescent="0.15">
      <c r="A560" s="438">
        <v>559</v>
      </c>
      <c r="B560" s="439" t="s">
        <v>1710</v>
      </c>
      <c r="C560" s="440">
        <v>49942</v>
      </c>
      <c r="D560" s="438">
        <v>0</v>
      </c>
      <c r="E560" s="441" t="s">
        <v>490</v>
      </c>
      <c r="F560" s="442" t="s">
        <v>1925</v>
      </c>
      <c r="G560" s="443"/>
    </row>
    <row r="561" spans="1:7" s="444" customFormat="1" ht="15.95" customHeight="1" x14ac:dyDescent="0.15">
      <c r="A561" s="438">
        <v>560</v>
      </c>
      <c r="B561" s="439" t="s">
        <v>1710</v>
      </c>
      <c r="C561" s="440">
        <v>50198</v>
      </c>
      <c r="D561" s="438">
        <v>0</v>
      </c>
      <c r="E561" s="441" t="s">
        <v>1924</v>
      </c>
      <c r="F561" s="442" t="s">
        <v>1923</v>
      </c>
      <c r="G561" s="443"/>
    </row>
    <row r="562" spans="1:7" s="444" customFormat="1" ht="15.95" customHeight="1" x14ac:dyDescent="0.15">
      <c r="A562" s="438">
        <v>561</v>
      </c>
      <c r="B562" s="439" t="s">
        <v>1710</v>
      </c>
      <c r="C562" s="440">
        <v>50454</v>
      </c>
      <c r="D562" s="438">
        <v>0</v>
      </c>
      <c r="E562" s="441" t="s">
        <v>1922</v>
      </c>
      <c r="F562" s="442" t="s">
        <v>1921</v>
      </c>
      <c r="G562" s="443"/>
    </row>
    <row r="563" spans="1:7" s="444" customFormat="1" ht="15.95" customHeight="1" x14ac:dyDescent="0.15">
      <c r="A563" s="438">
        <v>562</v>
      </c>
      <c r="B563" s="439" t="s">
        <v>1710</v>
      </c>
      <c r="C563" s="440">
        <v>50710</v>
      </c>
      <c r="D563" s="438">
        <v>0</v>
      </c>
      <c r="E563" s="441" t="s">
        <v>1920</v>
      </c>
      <c r="F563" s="442" t="s">
        <v>1919</v>
      </c>
      <c r="G563" s="443"/>
    </row>
    <row r="564" spans="1:7" s="444" customFormat="1" ht="15.95" customHeight="1" x14ac:dyDescent="0.15">
      <c r="A564" s="438">
        <v>563</v>
      </c>
      <c r="B564" s="439" t="s">
        <v>1710</v>
      </c>
      <c r="C564" s="440">
        <v>50966</v>
      </c>
      <c r="D564" s="438">
        <v>0</v>
      </c>
      <c r="E564" s="441" t="s">
        <v>1918</v>
      </c>
      <c r="F564" s="442" t="s">
        <v>1917</v>
      </c>
      <c r="G564" s="443"/>
    </row>
    <row r="565" spans="1:7" s="444" customFormat="1" ht="15.95" customHeight="1" x14ac:dyDescent="0.15">
      <c r="A565" s="438">
        <v>564</v>
      </c>
      <c r="B565" s="439" t="s">
        <v>1710</v>
      </c>
      <c r="C565" s="440">
        <v>48663</v>
      </c>
      <c r="D565" s="438">
        <v>0</v>
      </c>
      <c r="E565" s="441" t="s">
        <v>491</v>
      </c>
      <c r="F565" s="442" t="s">
        <v>1916</v>
      </c>
      <c r="G565" s="443"/>
    </row>
    <row r="566" spans="1:7" s="444" customFormat="1" ht="15.95" customHeight="1" x14ac:dyDescent="0.15">
      <c r="A566" s="438">
        <v>565</v>
      </c>
      <c r="B566" s="439" t="s">
        <v>1710</v>
      </c>
      <c r="C566" s="440">
        <v>48919</v>
      </c>
      <c r="D566" s="438">
        <v>0</v>
      </c>
      <c r="E566" s="441" t="s">
        <v>492</v>
      </c>
      <c r="F566" s="442" t="s">
        <v>1915</v>
      </c>
      <c r="G566" s="443"/>
    </row>
    <row r="567" spans="1:7" s="444" customFormat="1" ht="15.95" customHeight="1" x14ac:dyDescent="0.15">
      <c r="A567" s="438">
        <v>566</v>
      </c>
      <c r="B567" s="439" t="s">
        <v>1710</v>
      </c>
      <c r="C567" s="440">
        <v>49175</v>
      </c>
      <c r="D567" s="438">
        <v>0</v>
      </c>
      <c r="E567" s="441" t="s">
        <v>493</v>
      </c>
      <c r="F567" s="442" t="s">
        <v>1914</v>
      </c>
      <c r="G567" s="443"/>
    </row>
    <row r="568" spans="1:7" s="444" customFormat="1" ht="15.95" customHeight="1" x14ac:dyDescent="0.15">
      <c r="A568" s="438">
        <v>567</v>
      </c>
      <c r="B568" s="439" t="s">
        <v>1710</v>
      </c>
      <c r="C568" s="440">
        <v>49431</v>
      </c>
      <c r="D568" s="438">
        <v>0</v>
      </c>
      <c r="E568" s="441" t="s">
        <v>494</v>
      </c>
      <c r="F568" s="442" t="s">
        <v>1913</v>
      </c>
      <c r="G568" s="443"/>
    </row>
    <row r="569" spans="1:7" s="444" customFormat="1" ht="15.95" customHeight="1" x14ac:dyDescent="0.15">
      <c r="A569" s="438">
        <v>568</v>
      </c>
      <c r="B569" s="439" t="s">
        <v>1710</v>
      </c>
      <c r="C569" s="440">
        <v>49687</v>
      </c>
      <c r="D569" s="438">
        <v>0</v>
      </c>
      <c r="E569" s="441" t="s">
        <v>495</v>
      </c>
      <c r="F569" s="442" t="s">
        <v>1912</v>
      </c>
      <c r="G569" s="443"/>
    </row>
    <row r="570" spans="1:7" s="444" customFormat="1" ht="15.95" customHeight="1" x14ac:dyDescent="0.15">
      <c r="A570" s="438">
        <v>569</v>
      </c>
      <c r="B570" s="439" t="s">
        <v>1710</v>
      </c>
      <c r="C570" s="440">
        <v>49943</v>
      </c>
      <c r="D570" s="438">
        <v>0</v>
      </c>
      <c r="E570" s="441" t="s">
        <v>496</v>
      </c>
      <c r="F570" s="442" t="s">
        <v>1911</v>
      </c>
      <c r="G570" s="443"/>
    </row>
    <row r="571" spans="1:7" s="444" customFormat="1" ht="15.95" customHeight="1" x14ac:dyDescent="0.15">
      <c r="A571" s="438">
        <v>570</v>
      </c>
      <c r="B571" s="439" t="s">
        <v>1710</v>
      </c>
      <c r="C571" s="440">
        <v>50199</v>
      </c>
      <c r="D571" s="438">
        <v>0</v>
      </c>
      <c r="E571" s="441" t="s">
        <v>1910</v>
      </c>
      <c r="F571" s="442" t="s">
        <v>1909</v>
      </c>
      <c r="G571" s="443"/>
    </row>
    <row r="572" spans="1:7" s="444" customFormat="1" ht="15.95" customHeight="1" x14ac:dyDescent="0.15">
      <c r="A572" s="438">
        <v>571</v>
      </c>
      <c r="B572" s="439" t="s">
        <v>1710</v>
      </c>
      <c r="C572" s="440">
        <v>50455</v>
      </c>
      <c r="D572" s="438">
        <v>0</v>
      </c>
      <c r="E572" s="441" t="s">
        <v>1908</v>
      </c>
      <c r="F572" s="442" t="s">
        <v>1907</v>
      </c>
      <c r="G572" s="443"/>
    </row>
    <row r="573" spans="1:7" s="444" customFormat="1" ht="15.95" customHeight="1" x14ac:dyDescent="0.15">
      <c r="A573" s="438">
        <v>572</v>
      </c>
      <c r="B573" s="439" t="s">
        <v>1710</v>
      </c>
      <c r="C573" s="440">
        <v>50711</v>
      </c>
      <c r="D573" s="438">
        <v>0</v>
      </c>
      <c r="E573" s="441" t="s">
        <v>1906</v>
      </c>
      <c r="F573" s="442" t="s">
        <v>1905</v>
      </c>
      <c r="G573" s="443"/>
    </row>
    <row r="574" spans="1:7" s="444" customFormat="1" ht="15.95" customHeight="1" x14ac:dyDescent="0.15">
      <c r="A574" s="438">
        <v>573</v>
      </c>
      <c r="B574" s="439" t="s">
        <v>1710</v>
      </c>
      <c r="C574" s="440">
        <v>50967</v>
      </c>
      <c r="D574" s="438">
        <v>0</v>
      </c>
      <c r="E574" s="441" t="s">
        <v>1904</v>
      </c>
      <c r="F574" s="442" t="s">
        <v>1903</v>
      </c>
      <c r="G574" s="443"/>
    </row>
    <row r="575" spans="1:7" s="444" customFormat="1" ht="15.95" customHeight="1" x14ac:dyDescent="0.15">
      <c r="A575" s="438">
        <v>574</v>
      </c>
      <c r="B575" s="439" t="s">
        <v>1710</v>
      </c>
      <c r="C575" s="440">
        <v>48667</v>
      </c>
      <c r="D575" s="438">
        <v>0</v>
      </c>
      <c r="E575" s="441" t="s">
        <v>497</v>
      </c>
      <c r="F575" s="442" t="s">
        <v>1902</v>
      </c>
      <c r="G575" s="443"/>
    </row>
    <row r="576" spans="1:7" s="444" customFormat="1" ht="15.95" customHeight="1" x14ac:dyDescent="0.15">
      <c r="A576" s="438">
        <v>575</v>
      </c>
      <c r="B576" s="439" t="s">
        <v>1710</v>
      </c>
      <c r="C576" s="440">
        <v>48923</v>
      </c>
      <c r="D576" s="438">
        <v>0</v>
      </c>
      <c r="E576" s="441" t="s">
        <v>498</v>
      </c>
      <c r="F576" s="442" t="s">
        <v>1901</v>
      </c>
      <c r="G576" s="443"/>
    </row>
    <row r="577" spans="1:7" s="444" customFormat="1" ht="15.95" customHeight="1" x14ac:dyDescent="0.15">
      <c r="A577" s="438">
        <v>576</v>
      </c>
      <c r="B577" s="439" t="s">
        <v>1710</v>
      </c>
      <c r="C577" s="440">
        <v>49179</v>
      </c>
      <c r="D577" s="438">
        <v>0</v>
      </c>
      <c r="E577" s="441" t="s">
        <v>499</v>
      </c>
      <c r="F577" s="442" t="s">
        <v>1900</v>
      </c>
      <c r="G577" s="443"/>
    </row>
    <row r="578" spans="1:7" s="444" customFormat="1" ht="15.95" customHeight="1" x14ac:dyDescent="0.15">
      <c r="A578" s="438">
        <v>577</v>
      </c>
      <c r="B578" s="439" t="s">
        <v>1710</v>
      </c>
      <c r="C578" s="440">
        <v>49435</v>
      </c>
      <c r="D578" s="438">
        <v>0</v>
      </c>
      <c r="E578" s="441" t="s">
        <v>500</v>
      </c>
      <c r="F578" s="442" t="s">
        <v>1899</v>
      </c>
      <c r="G578" s="443"/>
    </row>
    <row r="579" spans="1:7" s="444" customFormat="1" ht="15.95" customHeight="1" x14ac:dyDescent="0.15">
      <c r="A579" s="438">
        <v>578</v>
      </c>
      <c r="B579" s="439" t="s">
        <v>1710</v>
      </c>
      <c r="C579" s="440">
        <v>49691</v>
      </c>
      <c r="D579" s="438">
        <v>0</v>
      </c>
      <c r="E579" s="441" t="s">
        <v>501</v>
      </c>
      <c r="F579" s="442" t="s">
        <v>1898</v>
      </c>
      <c r="G579" s="443"/>
    </row>
    <row r="580" spans="1:7" s="444" customFormat="1" ht="15.95" customHeight="1" x14ac:dyDescent="0.15">
      <c r="A580" s="438">
        <v>579</v>
      </c>
      <c r="B580" s="439" t="s">
        <v>1710</v>
      </c>
      <c r="C580" s="440">
        <v>49947</v>
      </c>
      <c r="D580" s="438">
        <v>0</v>
      </c>
      <c r="E580" s="441" t="s">
        <v>502</v>
      </c>
      <c r="F580" s="442" t="s">
        <v>1897</v>
      </c>
      <c r="G580" s="443"/>
    </row>
    <row r="581" spans="1:7" s="444" customFormat="1" ht="15.95" customHeight="1" x14ac:dyDescent="0.15">
      <c r="A581" s="438">
        <v>580</v>
      </c>
      <c r="B581" s="439" t="s">
        <v>1710</v>
      </c>
      <c r="C581" s="440">
        <v>50203</v>
      </c>
      <c r="D581" s="438">
        <v>0</v>
      </c>
      <c r="E581" s="441" t="s">
        <v>1896</v>
      </c>
      <c r="F581" s="442" t="s">
        <v>1895</v>
      </c>
      <c r="G581" s="443"/>
    </row>
    <row r="582" spans="1:7" s="444" customFormat="1" ht="15.95" customHeight="1" x14ac:dyDescent="0.15">
      <c r="A582" s="438">
        <v>581</v>
      </c>
      <c r="B582" s="439" t="s">
        <v>1710</v>
      </c>
      <c r="C582" s="440">
        <v>50459</v>
      </c>
      <c r="D582" s="438">
        <v>0</v>
      </c>
      <c r="E582" s="441" t="s">
        <v>1894</v>
      </c>
      <c r="F582" s="442" t="s">
        <v>1893</v>
      </c>
      <c r="G582" s="443"/>
    </row>
    <row r="583" spans="1:7" s="444" customFormat="1" ht="15.95" customHeight="1" x14ac:dyDescent="0.15">
      <c r="A583" s="438">
        <v>582</v>
      </c>
      <c r="B583" s="439" t="s">
        <v>1710</v>
      </c>
      <c r="C583" s="440">
        <v>50715</v>
      </c>
      <c r="D583" s="438">
        <v>0</v>
      </c>
      <c r="E583" s="441" t="s">
        <v>1892</v>
      </c>
      <c r="F583" s="442" t="s">
        <v>1891</v>
      </c>
      <c r="G583" s="443"/>
    </row>
    <row r="584" spans="1:7" s="444" customFormat="1" ht="15.95" customHeight="1" x14ac:dyDescent="0.15">
      <c r="A584" s="438">
        <v>583</v>
      </c>
      <c r="B584" s="439" t="s">
        <v>1710</v>
      </c>
      <c r="C584" s="440">
        <v>50971</v>
      </c>
      <c r="D584" s="438">
        <v>0</v>
      </c>
      <c r="E584" s="441" t="s">
        <v>1890</v>
      </c>
      <c r="F584" s="442" t="s">
        <v>1889</v>
      </c>
      <c r="G584" s="443"/>
    </row>
    <row r="585" spans="1:7" s="444" customFormat="1" ht="15.95" customHeight="1" x14ac:dyDescent="0.15">
      <c r="A585" s="438">
        <v>584</v>
      </c>
      <c r="B585" s="439" t="s">
        <v>1710</v>
      </c>
      <c r="C585" s="440">
        <v>48668</v>
      </c>
      <c r="D585" s="438">
        <v>0</v>
      </c>
      <c r="E585" s="441" t="s">
        <v>503</v>
      </c>
      <c r="F585" s="442" t="s">
        <v>1888</v>
      </c>
      <c r="G585" s="443"/>
    </row>
    <row r="586" spans="1:7" s="444" customFormat="1" ht="15.95" customHeight="1" x14ac:dyDescent="0.15">
      <c r="A586" s="438">
        <v>585</v>
      </c>
      <c r="B586" s="439" t="s">
        <v>1710</v>
      </c>
      <c r="C586" s="440">
        <v>48924</v>
      </c>
      <c r="D586" s="438">
        <v>0</v>
      </c>
      <c r="E586" s="441" t="s">
        <v>504</v>
      </c>
      <c r="F586" s="442" t="s">
        <v>1887</v>
      </c>
      <c r="G586" s="443"/>
    </row>
    <row r="587" spans="1:7" s="444" customFormat="1" ht="15.95" customHeight="1" x14ac:dyDescent="0.15">
      <c r="A587" s="438">
        <v>586</v>
      </c>
      <c r="B587" s="439" t="s">
        <v>1710</v>
      </c>
      <c r="C587" s="440">
        <v>49180</v>
      </c>
      <c r="D587" s="438">
        <v>0</v>
      </c>
      <c r="E587" s="441" t="s">
        <v>505</v>
      </c>
      <c r="F587" s="442" t="s">
        <v>1886</v>
      </c>
      <c r="G587" s="443"/>
    </row>
    <row r="588" spans="1:7" s="444" customFormat="1" ht="15.95" customHeight="1" x14ac:dyDescent="0.15">
      <c r="A588" s="438">
        <v>587</v>
      </c>
      <c r="B588" s="439" t="s">
        <v>1710</v>
      </c>
      <c r="C588" s="440">
        <v>49436</v>
      </c>
      <c r="D588" s="438">
        <v>0</v>
      </c>
      <c r="E588" s="441" t="s">
        <v>506</v>
      </c>
      <c r="F588" s="442" t="s">
        <v>1885</v>
      </c>
      <c r="G588" s="443"/>
    </row>
    <row r="589" spans="1:7" s="444" customFormat="1" ht="15.95" customHeight="1" x14ac:dyDescent="0.15">
      <c r="A589" s="438">
        <v>588</v>
      </c>
      <c r="B589" s="439" t="s">
        <v>1710</v>
      </c>
      <c r="C589" s="440">
        <v>49692</v>
      </c>
      <c r="D589" s="438">
        <v>0</v>
      </c>
      <c r="E589" s="441" t="s">
        <v>507</v>
      </c>
      <c r="F589" s="442" t="s">
        <v>1884</v>
      </c>
      <c r="G589" s="443"/>
    </row>
    <row r="590" spans="1:7" s="444" customFormat="1" ht="15.95" customHeight="1" x14ac:dyDescent="0.15">
      <c r="A590" s="438">
        <v>589</v>
      </c>
      <c r="B590" s="439" t="s">
        <v>1710</v>
      </c>
      <c r="C590" s="440">
        <v>49948</v>
      </c>
      <c r="D590" s="438">
        <v>0</v>
      </c>
      <c r="E590" s="441" t="s">
        <v>508</v>
      </c>
      <c r="F590" s="442" t="s">
        <v>1883</v>
      </c>
      <c r="G590" s="443"/>
    </row>
    <row r="591" spans="1:7" s="444" customFormat="1" ht="15.95" customHeight="1" x14ac:dyDescent="0.15">
      <c r="A591" s="438">
        <v>590</v>
      </c>
      <c r="B591" s="439" t="s">
        <v>1710</v>
      </c>
      <c r="C591" s="440">
        <v>50204</v>
      </c>
      <c r="D591" s="438">
        <v>0</v>
      </c>
      <c r="E591" s="441" t="s">
        <v>1882</v>
      </c>
      <c r="F591" s="442" t="s">
        <v>1881</v>
      </c>
      <c r="G591" s="443"/>
    </row>
    <row r="592" spans="1:7" s="444" customFormat="1" ht="15.95" customHeight="1" x14ac:dyDescent="0.15">
      <c r="A592" s="438">
        <v>591</v>
      </c>
      <c r="B592" s="439" t="s">
        <v>1710</v>
      </c>
      <c r="C592" s="440">
        <v>50460</v>
      </c>
      <c r="D592" s="438">
        <v>0</v>
      </c>
      <c r="E592" s="441" t="s">
        <v>1880</v>
      </c>
      <c r="F592" s="442" t="s">
        <v>1879</v>
      </c>
      <c r="G592" s="443"/>
    </row>
    <row r="593" spans="1:7" s="444" customFormat="1" ht="15.95" customHeight="1" x14ac:dyDescent="0.15">
      <c r="A593" s="438">
        <v>592</v>
      </c>
      <c r="B593" s="439" t="s">
        <v>1710</v>
      </c>
      <c r="C593" s="440">
        <v>50716</v>
      </c>
      <c r="D593" s="438">
        <v>0</v>
      </c>
      <c r="E593" s="441" t="s">
        <v>1878</v>
      </c>
      <c r="F593" s="442" t="s">
        <v>1877</v>
      </c>
      <c r="G593" s="443"/>
    </row>
    <row r="594" spans="1:7" s="444" customFormat="1" ht="15.95" customHeight="1" x14ac:dyDescent="0.15">
      <c r="A594" s="438">
        <v>593</v>
      </c>
      <c r="B594" s="439" t="s">
        <v>1710</v>
      </c>
      <c r="C594" s="440">
        <v>50972</v>
      </c>
      <c r="D594" s="438">
        <v>0</v>
      </c>
      <c r="E594" s="441" t="s">
        <v>1876</v>
      </c>
      <c r="F594" s="442" t="s">
        <v>1875</v>
      </c>
      <c r="G594" s="443"/>
    </row>
    <row r="595" spans="1:7" s="444" customFormat="1" ht="15.95" customHeight="1" x14ac:dyDescent="0.15">
      <c r="A595" s="438">
        <v>594</v>
      </c>
      <c r="B595" s="439" t="s">
        <v>1710</v>
      </c>
      <c r="C595" s="440">
        <v>51260</v>
      </c>
      <c r="D595" s="438">
        <v>0</v>
      </c>
      <c r="E595" s="441" t="s">
        <v>509</v>
      </c>
      <c r="F595" s="442" t="s">
        <v>1874</v>
      </c>
      <c r="G595" s="443"/>
    </row>
    <row r="596" spans="1:7" s="444" customFormat="1" ht="15.95" customHeight="1" x14ac:dyDescent="0.15">
      <c r="A596" s="438">
        <v>595</v>
      </c>
      <c r="B596" s="439" t="s">
        <v>1710</v>
      </c>
      <c r="C596" s="440">
        <v>51516</v>
      </c>
      <c r="D596" s="438">
        <v>0</v>
      </c>
      <c r="E596" s="441" t="s">
        <v>510</v>
      </c>
      <c r="F596" s="442" t="s">
        <v>1873</v>
      </c>
      <c r="G596" s="443"/>
    </row>
    <row r="597" spans="1:7" s="444" customFormat="1" ht="15.95" customHeight="1" x14ac:dyDescent="0.15">
      <c r="A597" s="438">
        <v>596</v>
      </c>
      <c r="B597" s="439" t="s">
        <v>1710</v>
      </c>
      <c r="C597" s="440">
        <v>51772</v>
      </c>
      <c r="D597" s="438">
        <v>0</v>
      </c>
      <c r="E597" s="441" t="s">
        <v>511</v>
      </c>
      <c r="F597" s="442" t="s">
        <v>1872</v>
      </c>
      <c r="G597" s="443"/>
    </row>
    <row r="598" spans="1:7" s="444" customFormat="1" ht="15.95" customHeight="1" x14ac:dyDescent="0.15">
      <c r="A598" s="438">
        <v>597</v>
      </c>
      <c r="B598" s="439" t="s">
        <v>1710</v>
      </c>
      <c r="C598" s="440">
        <v>52028</v>
      </c>
      <c r="D598" s="438">
        <v>0</v>
      </c>
      <c r="E598" s="441" t="s">
        <v>512</v>
      </c>
      <c r="F598" s="442" t="s">
        <v>1871</v>
      </c>
      <c r="G598" s="443"/>
    </row>
    <row r="599" spans="1:7" s="444" customFormat="1" ht="15.95" customHeight="1" x14ac:dyDescent="0.15">
      <c r="A599" s="438">
        <v>598</v>
      </c>
      <c r="B599" s="439" t="s">
        <v>1710</v>
      </c>
      <c r="C599" s="440">
        <v>52284</v>
      </c>
      <c r="D599" s="438">
        <v>0</v>
      </c>
      <c r="E599" s="441" t="s">
        <v>513</v>
      </c>
      <c r="F599" s="442" t="s">
        <v>1870</v>
      </c>
      <c r="G599" s="443"/>
    </row>
    <row r="600" spans="1:7" s="444" customFormat="1" ht="15.95" customHeight="1" x14ac:dyDescent="0.15">
      <c r="A600" s="438">
        <v>599</v>
      </c>
      <c r="B600" s="439" t="s">
        <v>1710</v>
      </c>
      <c r="C600" s="440">
        <v>52540</v>
      </c>
      <c r="D600" s="438">
        <v>0</v>
      </c>
      <c r="E600" s="441" t="s">
        <v>514</v>
      </c>
      <c r="F600" s="442" t="s">
        <v>1869</v>
      </c>
      <c r="G600" s="443"/>
    </row>
    <row r="601" spans="1:7" s="444" customFormat="1" ht="15.95" customHeight="1" x14ac:dyDescent="0.15">
      <c r="A601" s="438">
        <v>600</v>
      </c>
      <c r="B601" s="439" t="s">
        <v>1710</v>
      </c>
      <c r="C601" s="440">
        <v>52796</v>
      </c>
      <c r="D601" s="438">
        <v>0</v>
      </c>
      <c r="E601" s="441" t="s">
        <v>1868</v>
      </c>
      <c r="F601" s="442" t="s">
        <v>1867</v>
      </c>
      <c r="G601" s="443"/>
    </row>
    <row r="602" spans="1:7" s="444" customFormat="1" ht="15.95" customHeight="1" x14ac:dyDescent="0.15">
      <c r="A602" s="438">
        <v>601</v>
      </c>
      <c r="B602" s="439" t="s">
        <v>1710</v>
      </c>
      <c r="C602" s="440">
        <v>53052</v>
      </c>
      <c r="D602" s="438">
        <v>0</v>
      </c>
      <c r="E602" s="441" t="s">
        <v>1866</v>
      </c>
      <c r="F602" s="442" t="s">
        <v>1865</v>
      </c>
      <c r="G602" s="443"/>
    </row>
    <row r="603" spans="1:7" s="444" customFormat="1" ht="15.95" customHeight="1" x14ac:dyDescent="0.15">
      <c r="A603" s="438">
        <v>602</v>
      </c>
      <c r="B603" s="439" t="s">
        <v>1710</v>
      </c>
      <c r="C603" s="440">
        <v>53308</v>
      </c>
      <c r="D603" s="438">
        <v>0</v>
      </c>
      <c r="E603" s="441" t="s">
        <v>1864</v>
      </c>
      <c r="F603" s="442" t="s">
        <v>1863</v>
      </c>
      <c r="G603" s="443"/>
    </row>
    <row r="604" spans="1:7" s="444" customFormat="1" ht="15.95" customHeight="1" x14ac:dyDescent="0.15">
      <c r="A604" s="438">
        <v>603</v>
      </c>
      <c r="B604" s="439" t="s">
        <v>1710</v>
      </c>
      <c r="C604" s="440">
        <v>53564</v>
      </c>
      <c r="D604" s="438">
        <v>0</v>
      </c>
      <c r="E604" s="441" t="s">
        <v>1862</v>
      </c>
      <c r="F604" s="442" t="s">
        <v>1861</v>
      </c>
      <c r="G604" s="443"/>
    </row>
    <row r="605" spans="1:7" s="444" customFormat="1" ht="15.95" customHeight="1" x14ac:dyDescent="0.15">
      <c r="A605" s="438">
        <v>604</v>
      </c>
      <c r="B605" s="439" t="s">
        <v>1710</v>
      </c>
      <c r="C605" s="440">
        <v>51261</v>
      </c>
      <c r="D605" s="438">
        <v>0</v>
      </c>
      <c r="E605" s="441" t="s">
        <v>515</v>
      </c>
      <c r="F605" s="442" t="s">
        <v>1860</v>
      </c>
      <c r="G605" s="443"/>
    </row>
    <row r="606" spans="1:7" s="444" customFormat="1" ht="15.95" customHeight="1" x14ac:dyDescent="0.15">
      <c r="A606" s="438">
        <v>605</v>
      </c>
      <c r="B606" s="439" t="s">
        <v>1710</v>
      </c>
      <c r="C606" s="440">
        <v>51517</v>
      </c>
      <c r="D606" s="438">
        <v>0</v>
      </c>
      <c r="E606" s="441" t="s">
        <v>516</v>
      </c>
      <c r="F606" s="442" t="s">
        <v>1859</v>
      </c>
      <c r="G606" s="443"/>
    </row>
    <row r="607" spans="1:7" s="444" customFormat="1" ht="15.95" customHeight="1" x14ac:dyDescent="0.15">
      <c r="A607" s="438">
        <v>606</v>
      </c>
      <c r="B607" s="439" t="s">
        <v>1710</v>
      </c>
      <c r="C607" s="440">
        <v>51773</v>
      </c>
      <c r="D607" s="438">
        <v>0</v>
      </c>
      <c r="E607" s="441" t="s">
        <v>517</v>
      </c>
      <c r="F607" s="442" t="s">
        <v>1858</v>
      </c>
      <c r="G607" s="443"/>
    </row>
    <row r="608" spans="1:7" s="444" customFormat="1" ht="15.95" customHeight="1" x14ac:dyDescent="0.15">
      <c r="A608" s="438">
        <v>607</v>
      </c>
      <c r="B608" s="439" t="s">
        <v>1710</v>
      </c>
      <c r="C608" s="440">
        <v>52029</v>
      </c>
      <c r="D608" s="438">
        <v>0</v>
      </c>
      <c r="E608" s="441" t="s">
        <v>518</v>
      </c>
      <c r="F608" s="442" t="s">
        <v>1857</v>
      </c>
      <c r="G608" s="443"/>
    </row>
    <row r="609" spans="1:7" s="444" customFormat="1" ht="15.95" customHeight="1" x14ac:dyDescent="0.15">
      <c r="A609" s="438">
        <v>608</v>
      </c>
      <c r="B609" s="439" t="s">
        <v>1710</v>
      </c>
      <c r="C609" s="440">
        <v>52285</v>
      </c>
      <c r="D609" s="438">
        <v>0</v>
      </c>
      <c r="E609" s="441" t="s">
        <v>519</v>
      </c>
      <c r="F609" s="442" t="s">
        <v>1856</v>
      </c>
      <c r="G609" s="443"/>
    </row>
    <row r="610" spans="1:7" s="444" customFormat="1" ht="15.95" customHeight="1" x14ac:dyDescent="0.15">
      <c r="A610" s="438">
        <v>609</v>
      </c>
      <c r="B610" s="439" t="s">
        <v>1710</v>
      </c>
      <c r="C610" s="440">
        <v>52541</v>
      </c>
      <c r="D610" s="438">
        <v>0</v>
      </c>
      <c r="E610" s="441" t="s">
        <v>520</v>
      </c>
      <c r="F610" s="442" t="s">
        <v>1855</v>
      </c>
      <c r="G610" s="443"/>
    </row>
    <row r="611" spans="1:7" s="444" customFormat="1" ht="15.95" customHeight="1" x14ac:dyDescent="0.15">
      <c r="A611" s="438">
        <v>610</v>
      </c>
      <c r="B611" s="439" t="s">
        <v>1710</v>
      </c>
      <c r="C611" s="440">
        <v>52797</v>
      </c>
      <c r="D611" s="438">
        <v>0</v>
      </c>
      <c r="E611" s="441" t="s">
        <v>1854</v>
      </c>
      <c r="F611" s="442" t="s">
        <v>1853</v>
      </c>
      <c r="G611" s="443"/>
    </row>
    <row r="612" spans="1:7" s="444" customFormat="1" ht="15.95" customHeight="1" x14ac:dyDescent="0.15">
      <c r="A612" s="438">
        <v>611</v>
      </c>
      <c r="B612" s="439" t="s">
        <v>1710</v>
      </c>
      <c r="C612" s="440">
        <v>53053</v>
      </c>
      <c r="D612" s="438">
        <v>0</v>
      </c>
      <c r="E612" s="441" t="s">
        <v>1852</v>
      </c>
      <c r="F612" s="442" t="s">
        <v>1851</v>
      </c>
      <c r="G612" s="443"/>
    </row>
    <row r="613" spans="1:7" s="444" customFormat="1" ht="15.95" customHeight="1" x14ac:dyDescent="0.15">
      <c r="A613" s="438">
        <v>612</v>
      </c>
      <c r="B613" s="439" t="s">
        <v>1710</v>
      </c>
      <c r="C613" s="440">
        <v>53309</v>
      </c>
      <c r="D613" s="438">
        <v>0</v>
      </c>
      <c r="E613" s="441" t="s">
        <v>1850</v>
      </c>
      <c r="F613" s="442" t="s">
        <v>1849</v>
      </c>
      <c r="G613" s="443"/>
    </row>
    <row r="614" spans="1:7" s="444" customFormat="1" ht="15.95" customHeight="1" x14ac:dyDescent="0.15">
      <c r="A614" s="438">
        <v>613</v>
      </c>
      <c r="B614" s="439" t="s">
        <v>1710</v>
      </c>
      <c r="C614" s="440">
        <v>53565</v>
      </c>
      <c r="D614" s="438">
        <v>0</v>
      </c>
      <c r="E614" s="441" t="s">
        <v>1848</v>
      </c>
      <c r="F614" s="442" t="s">
        <v>1847</v>
      </c>
      <c r="G614" s="443"/>
    </row>
    <row r="615" spans="1:7" s="444" customFormat="1" ht="15.95" customHeight="1" x14ac:dyDescent="0.15">
      <c r="A615" s="438">
        <v>614</v>
      </c>
      <c r="B615" s="439" t="s">
        <v>1710</v>
      </c>
      <c r="C615" s="440">
        <v>51262</v>
      </c>
      <c r="D615" s="438">
        <v>0</v>
      </c>
      <c r="E615" s="441" t="s">
        <v>521</v>
      </c>
      <c r="F615" s="442" t="s">
        <v>1846</v>
      </c>
      <c r="G615" s="443"/>
    </row>
    <row r="616" spans="1:7" s="444" customFormat="1" ht="15.95" customHeight="1" x14ac:dyDescent="0.15">
      <c r="A616" s="438">
        <v>615</v>
      </c>
      <c r="B616" s="439" t="s">
        <v>1710</v>
      </c>
      <c r="C616" s="440">
        <v>51518</v>
      </c>
      <c r="D616" s="438">
        <v>0</v>
      </c>
      <c r="E616" s="441" t="s">
        <v>522</v>
      </c>
      <c r="F616" s="442" t="s">
        <v>1845</v>
      </c>
      <c r="G616" s="443"/>
    </row>
    <row r="617" spans="1:7" s="444" customFormat="1" ht="15.95" customHeight="1" x14ac:dyDescent="0.15">
      <c r="A617" s="438">
        <v>616</v>
      </c>
      <c r="B617" s="439" t="s">
        <v>1710</v>
      </c>
      <c r="C617" s="440">
        <v>51774</v>
      </c>
      <c r="D617" s="438">
        <v>0</v>
      </c>
      <c r="E617" s="441" t="s">
        <v>523</v>
      </c>
      <c r="F617" s="442" t="s">
        <v>1844</v>
      </c>
      <c r="G617" s="443"/>
    </row>
    <row r="618" spans="1:7" s="444" customFormat="1" ht="15.95" customHeight="1" x14ac:dyDescent="0.15">
      <c r="A618" s="438">
        <v>617</v>
      </c>
      <c r="B618" s="439" t="s">
        <v>1710</v>
      </c>
      <c r="C618" s="440">
        <v>52030</v>
      </c>
      <c r="D618" s="438">
        <v>0</v>
      </c>
      <c r="E618" s="441" t="s">
        <v>524</v>
      </c>
      <c r="F618" s="442" t="s">
        <v>1843</v>
      </c>
      <c r="G618" s="443"/>
    </row>
    <row r="619" spans="1:7" s="444" customFormat="1" ht="15.95" customHeight="1" x14ac:dyDescent="0.15">
      <c r="A619" s="438">
        <v>618</v>
      </c>
      <c r="B619" s="439" t="s">
        <v>1710</v>
      </c>
      <c r="C619" s="440">
        <v>52286</v>
      </c>
      <c r="D619" s="438">
        <v>0</v>
      </c>
      <c r="E619" s="441" t="s">
        <v>525</v>
      </c>
      <c r="F619" s="442" t="s">
        <v>1842</v>
      </c>
      <c r="G619" s="443"/>
    </row>
    <row r="620" spans="1:7" s="444" customFormat="1" ht="15.95" customHeight="1" x14ac:dyDescent="0.15">
      <c r="A620" s="438">
        <v>619</v>
      </c>
      <c r="B620" s="439" t="s">
        <v>1710</v>
      </c>
      <c r="C620" s="440">
        <v>52542</v>
      </c>
      <c r="D620" s="438">
        <v>0</v>
      </c>
      <c r="E620" s="441" t="s">
        <v>526</v>
      </c>
      <c r="F620" s="442" t="s">
        <v>1841</v>
      </c>
      <c r="G620" s="443"/>
    </row>
    <row r="621" spans="1:7" s="444" customFormat="1" ht="15.95" customHeight="1" x14ac:dyDescent="0.15">
      <c r="A621" s="438">
        <v>620</v>
      </c>
      <c r="B621" s="439" t="s">
        <v>1710</v>
      </c>
      <c r="C621" s="440">
        <v>52798</v>
      </c>
      <c r="D621" s="438">
        <v>0</v>
      </c>
      <c r="E621" s="441" t="s">
        <v>1840</v>
      </c>
      <c r="F621" s="442" t="s">
        <v>1839</v>
      </c>
      <c r="G621" s="443"/>
    </row>
    <row r="622" spans="1:7" s="444" customFormat="1" ht="15.95" customHeight="1" x14ac:dyDescent="0.15">
      <c r="A622" s="438">
        <v>621</v>
      </c>
      <c r="B622" s="439" t="s">
        <v>1710</v>
      </c>
      <c r="C622" s="440">
        <v>53054</v>
      </c>
      <c r="D622" s="438">
        <v>0</v>
      </c>
      <c r="E622" s="441" t="s">
        <v>1838</v>
      </c>
      <c r="F622" s="442" t="s">
        <v>1837</v>
      </c>
      <c r="G622" s="443"/>
    </row>
    <row r="623" spans="1:7" s="444" customFormat="1" ht="15.95" customHeight="1" x14ac:dyDescent="0.15">
      <c r="A623" s="438">
        <v>622</v>
      </c>
      <c r="B623" s="439" t="s">
        <v>1710</v>
      </c>
      <c r="C623" s="440">
        <v>53310</v>
      </c>
      <c r="D623" s="438">
        <v>0</v>
      </c>
      <c r="E623" s="441" t="s">
        <v>1836</v>
      </c>
      <c r="F623" s="442" t="s">
        <v>1835</v>
      </c>
      <c r="G623" s="443"/>
    </row>
    <row r="624" spans="1:7" s="444" customFormat="1" ht="15.95" customHeight="1" x14ac:dyDescent="0.15">
      <c r="A624" s="438">
        <v>623</v>
      </c>
      <c r="B624" s="439" t="s">
        <v>1710</v>
      </c>
      <c r="C624" s="440">
        <v>53566</v>
      </c>
      <c r="D624" s="438">
        <v>0</v>
      </c>
      <c r="E624" s="441" t="s">
        <v>1834</v>
      </c>
      <c r="F624" s="442" t="s">
        <v>1833</v>
      </c>
      <c r="G624" s="443"/>
    </row>
    <row r="625" spans="1:7" s="444" customFormat="1" ht="15.95" customHeight="1" x14ac:dyDescent="0.15">
      <c r="A625" s="438">
        <v>624</v>
      </c>
      <c r="B625" s="439" t="s">
        <v>1710</v>
      </c>
      <c r="C625" s="440">
        <v>51263</v>
      </c>
      <c r="D625" s="438">
        <v>0</v>
      </c>
      <c r="E625" s="441" t="s">
        <v>527</v>
      </c>
      <c r="F625" s="442" t="s">
        <v>1832</v>
      </c>
      <c r="G625" s="443"/>
    </row>
    <row r="626" spans="1:7" s="444" customFormat="1" ht="15.95" customHeight="1" x14ac:dyDescent="0.15">
      <c r="A626" s="438">
        <v>625</v>
      </c>
      <c r="B626" s="439" t="s">
        <v>1710</v>
      </c>
      <c r="C626" s="440">
        <v>51519</v>
      </c>
      <c r="D626" s="438">
        <v>0</v>
      </c>
      <c r="E626" s="441" t="s">
        <v>528</v>
      </c>
      <c r="F626" s="442" t="s">
        <v>1831</v>
      </c>
      <c r="G626" s="443"/>
    </row>
    <row r="627" spans="1:7" s="444" customFormat="1" ht="15.95" customHeight="1" x14ac:dyDescent="0.15">
      <c r="A627" s="438">
        <v>626</v>
      </c>
      <c r="B627" s="439" t="s">
        <v>1710</v>
      </c>
      <c r="C627" s="440">
        <v>51775</v>
      </c>
      <c r="D627" s="438">
        <v>0</v>
      </c>
      <c r="E627" s="441" t="s">
        <v>529</v>
      </c>
      <c r="F627" s="442" t="s">
        <v>1830</v>
      </c>
      <c r="G627" s="443"/>
    </row>
    <row r="628" spans="1:7" s="444" customFormat="1" ht="15.95" customHeight="1" x14ac:dyDescent="0.15">
      <c r="A628" s="438">
        <v>627</v>
      </c>
      <c r="B628" s="439" t="s">
        <v>1710</v>
      </c>
      <c r="C628" s="440">
        <v>52031</v>
      </c>
      <c r="D628" s="438">
        <v>0</v>
      </c>
      <c r="E628" s="441" t="s">
        <v>530</v>
      </c>
      <c r="F628" s="442" t="s">
        <v>1829</v>
      </c>
      <c r="G628" s="443"/>
    </row>
    <row r="629" spans="1:7" s="444" customFormat="1" ht="15.95" customHeight="1" x14ac:dyDescent="0.15">
      <c r="A629" s="438">
        <v>628</v>
      </c>
      <c r="B629" s="439" t="s">
        <v>1710</v>
      </c>
      <c r="C629" s="440">
        <v>52287</v>
      </c>
      <c r="D629" s="438">
        <v>0</v>
      </c>
      <c r="E629" s="441" t="s">
        <v>531</v>
      </c>
      <c r="F629" s="442" t="s">
        <v>1828</v>
      </c>
      <c r="G629" s="443"/>
    </row>
    <row r="630" spans="1:7" s="444" customFormat="1" ht="15.95" customHeight="1" x14ac:dyDescent="0.15">
      <c r="A630" s="438">
        <v>629</v>
      </c>
      <c r="B630" s="439" t="s">
        <v>1710</v>
      </c>
      <c r="C630" s="440">
        <v>52543</v>
      </c>
      <c r="D630" s="438">
        <v>0</v>
      </c>
      <c r="E630" s="441" t="s">
        <v>532</v>
      </c>
      <c r="F630" s="442" t="s">
        <v>1827</v>
      </c>
      <c r="G630" s="443"/>
    </row>
    <row r="631" spans="1:7" s="444" customFormat="1" ht="15.95" customHeight="1" x14ac:dyDescent="0.15">
      <c r="A631" s="438">
        <v>630</v>
      </c>
      <c r="B631" s="439" t="s">
        <v>1710</v>
      </c>
      <c r="C631" s="440">
        <v>52799</v>
      </c>
      <c r="D631" s="438">
        <v>0</v>
      </c>
      <c r="E631" s="441" t="s">
        <v>1826</v>
      </c>
      <c r="F631" s="442" t="s">
        <v>1825</v>
      </c>
      <c r="G631" s="443"/>
    </row>
    <row r="632" spans="1:7" s="444" customFormat="1" ht="15.95" customHeight="1" x14ac:dyDescent="0.15">
      <c r="A632" s="438">
        <v>631</v>
      </c>
      <c r="B632" s="439" t="s">
        <v>1710</v>
      </c>
      <c r="C632" s="440">
        <v>53055</v>
      </c>
      <c r="D632" s="438">
        <v>0</v>
      </c>
      <c r="E632" s="441" t="s">
        <v>1824</v>
      </c>
      <c r="F632" s="442" t="s">
        <v>1823</v>
      </c>
      <c r="G632" s="443"/>
    </row>
    <row r="633" spans="1:7" s="444" customFormat="1" ht="15.95" customHeight="1" x14ac:dyDescent="0.15">
      <c r="A633" s="438">
        <v>632</v>
      </c>
      <c r="B633" s="439" t="s">
        <v>1710</v>
      </c>
      <c r="C633" s="440">
        <v>53311</v>
      </c>
      <c r="D633" s="438">
        <v>0</v>
      </c>
      <c r="E633" s="441" t="s">
        <v>1822</v>
      </c>
      <c r="F633" s="442" t="s">
        <v>1821</v>
      </c>
      <c r="G633" s="443"/>
    </row>
    <row r="634" spans="1:7" s="444" customFormat="1" ht="15.95" customHeight="1" x14ac:dyDescent="0.15">
      <c r="A634" s="438">
        <v>633</v>
      </c>
      <c r="B634" s="439" t="s">
        <v>1710</v>
      </c>
      <c r="C634" s="440">
        <v>53567</v>
      </c>
      <c r="D634" s="438">
        <v>0</v>
      </c>
      <c r="E634" s="441" t="s">
        <v>1820</v>
      </c>
      <c r="F634" s="442" t="s">
        <v>1819</v>
      </c>
      <c r="G634" s="443"/>
    </row>
    <row r="635" spans="1:7" s="444" customFormat="1" ht="15.95" customHeight="1" x14ac:dyDescent="0.15">
      <c r="A635" s="438">
        <v>634</v>
      </c>
      <c r="B635" s="439" t="s">
        <v>1710</v>
      </c>
      <c r="C635" s="440">
        <v>51266</v>
      </c>
      <c r="D635" s="438">
        <v>0</v>
      </c>
      <c r="E635" s="441" t="s">
        <v>533</v>
      </c>
      <c r="F635" s="442" t="s">
        <v>1818</v>
      </c>
      <c r="G635" s="443"/>
    </row>
    <row r="636" spans="1:7" s="444" customFormat="1" ht="15.95" customHeight="1" x14ac:dyDescent="0.15">
      <c r="A636" s="438">
        <v>635</v>
      </c>
      <c r="B636" s="439" t="s">
        <v>1710</v>
      </c>
      <c r="C636" s="440">
        <v>51522</v>
      </c>
      <c r="D636" s="438">
        <v>0</v>
      </c>
      <c r="E636" s="441" t="s">
        <v>534</v>
      </c>
      <c r="F636" s="442" t="s">
        <v>1817</v>
      </c>
      <c r="G636" s="443"/>
    </row>
    <row r="637" spans="1:7" s="444" customFormat="1" ht="15.95" customHeight="1" x14ac:dyDescent="0.15">
      <c r="A637" s="438">
        <v>636</v>
      </c>
      <c r="B637" s="439" t="s">
        <v>1710</v>
      </c>
      <c r="C637" s="440">
        <v>51778</v>
      </c>
      <c r="D637" s="438">
        <v>0</v>
      </c>
      <c r="E637" s="441" t="s">
        <v>535</v>
      </c>
      <c r="F637" s="442" t="s">
        <v>1816</v>
      </c>
      <c r="G637" s="443"/>
    </row>
    <row r="638" spans="1:7" s="444" customFormat="1" ht="15.95" customHeight="1" x14ac:dyDescent="0.15">
      <c r="A638" s="438">
        <v>637</v>
      </c>
      <c r="B638" s="439" t="s">
        <v>1710</v>
      </c>
      <c r="C638" s="440">
        <v>52034</v>
      </c>
      <c r="D638" s="438">
        <v>0</v>
      </c>
      <c r="E638" s="441" t="s">
        <v>536</v>
      </c>
      <c r="F638" s="442" t="s">
        <v>1815</v>
      </c>
      <c r="G638" s="443"/>
    </row>
    <row r="639" spans="1:7" s="444" customFormat="1" ht="15.95" customHeight="1" x14ac:dyDescent="0.15">
      <c r="A639" s="438">
        <v>638</v>
      </c>
      <c r="B639" s="439" t="s">
        <v>1710</v>
      </c>
      <c r="C639" s="440">
        <v>52290</v>
      </c>
      <c r="D639" s="438">
        <v>0</v>
      </c>
      <c r="E639" s="441" t="s">
        <v>537</v>
      </c>
      <c r="F639" s="442" t="s">
        <v>1814</v>
      </c>
      <c r="G639" s="443"/>
    </row>
    <row r="640" spans="1:7" s="444" customFormat="1" ht="15.95" customHeight="1" x14ac:dyDescent="0.15">
      <c r="A640" s="438">
        <v>639</v>
      </c>
      <c r="B640" s="439" t="s">
        <v>1710</v>
      </c>
      <c r="C640" s="440">
        <v>52546</v>
      </c>
      <c r="D640" s="438">
        <v>0</v>
      </c>
      <c r="E640" s="441" t="s">
        <v>538</v>
      </c>
      <c r="F640" s="442" t="s">
        <v>1813</v>
      </c>
      <c r="G640" s="443"/>
    </row>
    <row r="641" spans="1:7" s="444" customFormat="1" ht="15.95" customHeight="1" x14ac:dyDescent="0.15">
      <c r="A641" s="438">
        <v>640</v>
      </c>
      <c r="B641" s="439" t="s">
        <v>1710</v>
      </c>
      <c r="C641" s="440">
        <v>52802</v>
      </c>
      <c r="D641" s="438">
        <v>0</v>
      </c>
      <c r="E641" s="441" t="s">
        <v>1812</v>
      </c>
      <c r="F641" s="442" t="s">
        <v>1811</v>
      </c>
      <c r="G641" s="443"/>
    </row>
    <row r="642" spans="1:7" s="444" customFormat="1" ht="15.95" customHeight="1" x14ac:dyDescent="0.15">
      <c r="A642" s="438">
        <v>641</v>
      </c>
      <c r="B642" s="439" t="s">
        <v>1710</v>
      </c>
      <c r="C642" s="440">
        <v>53058</v>
      </c>
      <c r="D642" s="438">
        <v>0</v>
      </c>
      <c r="E642" s="441" t="s">
        <v>1810</v>
      </c>
      <c r="F642" s="442" t="s">
        <v>1809</v>
      </c>
      <c r="G642" s="443"/>
    </row>
    <row r="643" spans="1:7" s="444" customFormat="1" ht="15.95" customHeight="1" x14ac:dyDescent="0.15">
      <c r="A643" s="438">
        <v>642</v>
      </c>
      <c r="B643" s="439" t="s">
        <v>1710</v>
      </c>
      <c r="C643" s="440">
        <v>53314</v>
      </c>
      <c r="D643" s="438">
        <v>0</v>
      </c>
      <c r="E643" s="441" t="s">
        <v>1808</v>
      </c>
      <c r="F643" s="442" t="s">
        <v>1807</v>
      </c>
      <c r="G643" s="443"/>
    </row>
    <row r="644" spans="1:7" s="444" customFormat="1" ht="15.95" customHeight="1" x14ac:dyDescent="0.15">
      <c r="A644" s="438">
        <v>643</v>
      </c>
      <c r="B644" s="439" t="s">
        <v>1710</v>
      </c>
      <c r="C644" s="440">
        <v>53570</v>
      </c>
      <c r="D644" s="438">
        <v>0</v>
      </c>
      <c r="E644" s="441" t="s">
        <v>1806</v>
      </c>
      <c r="F644" s="442" t="s">
        <v>1805</v>
      </c>
      <c r="G644" s="443"/>
    </row>
    <row r="645" spans="1:7" s="444" customFormat="1" ht="15.95" customHeight="1" x14ac:dyDescent="0.15">
      <c r="A645" s="438">
        <v>644</v>
      </c>
      <c r="B645" s="439" t="s">
        <v>1710</v>
      </c>
      <c r="C645" s="440">
        <v>51267</v>
      </c>
      <c r="D645" s="438">
        <v>0</v>
      </c>
      <c r="E645" s="441" t="s">
        <v>539</v>
      </c>
      <c r="F645" s="442" t="s">
        <v>1804</v>
      </c>
      <c r="G645" s="443"/>
    </row>
    <row r="646" spans="1:7" s="444" customFormat="1" ht="15.95" customHeight="1" x14ac:dyDescent="0.15">
      <c r="A646" s="438">
        <v>645</v>
      </c>
      <c r="B646" s="439" t="s">
        <v>1710</v>
      </c>
      <c r="C646" s="440">
        <v>51523</v>
      </c>
      <c r="D646" s="438">
        <v>0</v>
      </c>
      <c r="E646" s="441" t="s">
        <v>540</v>
      </c>
      <c r="F646" s="442" t="s">
        <v>1803</v>
      </c>
      <c r="G646" s="443"/>
    </row>
    <row r="647" spans="1:7" s="444" customFormat="1" ht="15.95" customHeight="1" x14ac:dyDescent="0.15">
      <c r="A647" s="438">
        <v>646</v>
      </c>
      <c r="B647" s="439" t="s">
        <v>1710</v>
      </c>
      <c r="C647" s="440">
        <v>51779</v>
      </c>
      <c r="D647" s="438">
        <v>0</v>
      </c>
      <c r="E647" s="441" t="s">
        <v>541</v>
      </c>
      <c r="F647" s="442" t="s">
        <v>1802</v>
      </c>
      <c r="G647" s="443"/>
    </row>
    <row r="648" spans="1:7" s="444" customFormat="1" ht="15.95" customHeight="1" x14ac:dyDescent="0.15">
      <c r="A648" s="438">
        <v>647</v>
      </c>
      <c r="B648" s="439" t="s">
        <v>1710</v>
      </c>
      <c r="C648" s="440">
        <v>52035</v>
      </c>
      <c r="D648" s="438">
        <v>0</v>
      </c>
      <c r="E648" s="441" t="s">
        <v>542</v>
      </c>
      <c r="F648" s="442" t="s">
        <v>1801</v>
      </c>
      <c r="G648" s="443"/>
    </row>
    <row r="649" spans="1:7" s="444" customFormat="1" ht="15.95" customHeight="1" x14ac:dyDescent="0.15">
      <c r="A649" s="438">
        <v>648</v>
      </c>
      <c r="B649" s="439" t="s">
        <v>1710</v>
      </c>
      <c r="C649" s="440">
        <v>52291</v>
      </c>
      <c r="D649" s="438">
        <v>0</v>
      </c>
      <c r="E649" s="441" t="s">
        <v>543</v>
      </c>
      <c r="F649" s="442" t="s">
        <v>1800</v>
      </c>
      <c r="G649" s="443"/>
    </row>
    <row r="650" spans="1:7" s="444" customFormat="1" ht="15.95" customHeight="1" x14ac:dyDescent="0.15">
      <c r="A650" s="438">
        <v>649</v>
      </c>
      <c r="B650" s="439" t="s">
        <v>1710</v>
      </c>
      <c r="C650" s="440">
        <v>52547</v>
      </c>
      <c r="D650" s="438">
        <v>0</v>
      </c>
      <c r="E650" s="441" t="s">
        <v>544</v>
      </c>
      <c r="F650" s="442" t="s">
        <v>1799</v>
      </c>
      <c r="G650" s="443"/>
    </row>
    <row r="651" spans="1:7" s="444" customFormat="1" ht="15.95" customHeight="1" x14ac:dyDescent="0.15">
      <c r="A651" s="438">
        <v>650</v>
      </c>
      <c r="B651" s="439" t="s">
        <v>1710</v>
      </c>
      <c r="C651" s="440">
        <v>52803</v>
      </c>
      <c r="D651" s="438">
        <v>0</v>
      </c>
      <c r="E651" s="441" t="s">
        <v>1798</v>
      </c>
      <c r="F651" s="442" t="s">
        <v>1797</v>
      </c>
      <c r="G651" s="443"/>
    </row>
    <row r="652" spans="1:7" s="444" customFormat="1" ht="15.95" customHeight="1" x14ac:dyDescent="0.15">
      <c r="A652" s="438">
        <v>651</v>
      </c>
      <c r="B652" s="439" t="s">
        <v>1710</v>
      </c>
      <c r="C652" s="440">
        <v>53059</v>
      </c>
      <c r="D652" s="438">
        <v>0</v>
      </c>
      <c r="E652" s="441" t="s">
        <v>1796</v>
      </c>
      <c r="F652" s="442" t="s">
        <v>1795</v>
      </c>
      <c r="G652" s="443"/>
    </row>
    <row r="653" spans="1:7" s="444" customFormat="1" ht="15.95" customHeight="1" x14ac:dyDescent="0.15">
      <c r="A653" s="438">
        <v>652</v>
      </c>
      <c r="B653" s="439" t="s">
        <v>1710</v>
      </c>
      <c r="C653" s="440">
        <v>53315</v>
      </c>
      <c r="D653" s="438">
        <v>0</v>
      </c>
      <c r="E653" s="441" t="s">
        <v>1794</v>
      </c>
      <c r="F653" s="442" t="s">
        <v>1793</v>
      </c>
      <c r="G653" s="443"/>
    </row>
    <row r="654" spans="1:7" s="444" customFormat="1" ht="15.95" customHeight="1" x14ac:dyDescent="0.15">
      <c r="A654" s="438">
        <v>653</v>
      </c>
      <c r="B654" s="439" t="s">
        <v>1710</v>
      </c>
      <c r="C654" s="440">
        <v>53571</v>
      </c>
      <c r="D654" s="438">
        <v>0</v>
      </c>
      <c r="E654" s="441" t="s">
        <v>1792</v>
      </c>
      <c r="F654" s="442" t="s">
        <v>1791</v>
      </c>
      <c r="G654" s="443"/>
    </row>
    <row r="655" spans="1:7" s="444" customFormat="1" ht="15.95" customHeight="1" x14ac:dyDescent="0.15">
      <c r="A655" s="438">
        <v>654</v>
      </c>
      <c r="B655" s="439" t="s">
        <v>1710</v>
      </c>
      <c r="C655" s="440">
        <v>51268</v>
      </c>
      <c r="D655" s="438">
        <v>0</v>
      </c>
      <c r="E655" s="441" t="s">
        <v>545</v>
      </c>
      <c r="F655" s="442" t="s">
        <v>1790</v>
      </c>
      <c r="G655" s="443"/>
    </row>
    <row r="656" spans="1:7" s="444" customFormat="1" ht="15.95" customHeight="1" x14ac:dyDescent="0.15">
      <c r="A656" s="438">
        <v>655</v>
      </c>
      <c r="B656" s="439" t="s">
        <v>1710</v>
      </c>
      <c r="C656" s="440">
        <v>51524</v>
      </c>
      <c r="D656" s="438">
        <v>0</v>
      </c>
      <c r="E656" s="441" t="s">
        <v>546</v>
      </c>
      <c r="F656" s="442" t="s">
        <v>1789</v>
      </c>
      <c r="G656" s="443"/>
    </row>
    <row r="657" spans="1:7" s="444" customFormat="1" ht="15.95" customHeight="1" x14ac:dyDescent="0.15">
      <c r="A657" s="438">
        <v>656</v>
      </c>
      <c r="B657" s="439" t="s">
        <v>1710</v>
      </c>
      <c r="C657" s="440">
        <v>51780</v>
      </c>
      <c r="D657" s="438">
        <v>0</v>
      </c>
      <c r="E657" s="441" t="s">
        <v>547</v>
      </c>
      <c r="F657" s="442" t="s">
        <v>1788</v>
      </c>
      <c r="G657" s="443"/>
    </row>
    <row r="658" spans="1:7" s="444" customFormat="1" ht="15.95" customHeight="1" x14ac:dyDescent="0.15">
      <c r="A658" s="438">
        <v>657</v>
      </c>
      <c r="B658" s="439" t="s">
        <v>1710</v>
      </c>
      <c r="C658" s="440">
        <v>52036</v>
      </c>
      <c r="D658" s="438">
        <v>0</v>
      </c>
      <c r="E658" s="441" t="s">
        <v>548</v>
      </c>
      <c r="F658" s="442" t="s">
        <v>1787</v>
      </c>
      <c r="G658" s="443"/>
    </row>
    <row r="659" spans="1:7" s="444" customFormat="1" ht="15.95" customHeight="1" x14ac:dyDescent="0.15">
      <c r="A659" s="438">
        <v>658</v>
      </c>
      <c r="B659" s="439" t="s">
        <v>1710</v>
      </c>
      <c r="C659" s="440">
        <v>52292</v>
      </c>
      <c r="D659" s="438">
        <v>0</v>
      </c>
      <c r="E659" s="441" t="s">
        <v>549</v>
      </c>
      <c r="F659" s="442" t="s">
        <v>1786</v>
      </c>
      <c r="G659" s="443"/>
    </row>
    <row r="660" spans="1:7" s="444" customFormat="1" ht="15.95" customHeight="1" x14ac:dyDescent="0.15">
      <c r="A660" s="438">
        <v>659</v>
      </c>
      <c r="B660" s="439" t="s">
        <v>1710</v>
      </c>
      <c r="C660" s="440">
        <v>52548</v>
      </c>
      <c r="D660" s="438">
        <v>0</v>
      </c>
      <c r="E660" s="441" t="s">
        <v>550</v>
      </c>
      <c r="F660" s="442" t="s">
        <v>1785</v>
      </c>
      <c r="G660" s="443"/>
    </row>
    <row r="661" spans="1:7" s="444" customFormat="1" ht="15.95" customHeight="1" x14ac:dyDescent="0.15">
      <c r="A661" s="438">
        <v>660</v>
      </c>
      <c r="B661" s="439" t="s">
        <v>1710</v>
      </c>
      <c r="C661" s="440">
        <v>52804</v>
      </c>
      <c r="D661" s="438">
        <v>0</v>
      </c>
      <c r="E661" s="441" t="s">
        <v>1784</v>
      </c>
      <c r="F661" s="442" t="s">
        <v>1783</v>
      </c>
      <c r="G661" s="443"/>
    </row>
    <row r="662" spans="1:7" s="444" customFormat="1" ht="15.95" customHeight="1" x14ac:dyDescent="0.15">
      <c r="A662" s="438">
        <v>661</v>
      </c>
      <c r="B662" s="439" t="s">
        <v>1710</v>
      </c>
      <c r="C662" s="440">
        <v>53060</v>
      </c>
      <c r="D662" s="438">
        <v>0</v>
      </c>
      <c r="E662" s="441" t="s">
        <v>1782</v>
      </c>
      <c r="F662" s="442" t="s">
        <v>1781</v>
      </c>
      <c r="G662" s="443"/>
    </row>
    <row r="663" spans="1:7" s="444" customFormat="1" ht="15.95" customHeight="1" x14ac:dyDescent="0.15">
      <c r="A663" s="438">
        <v>662</v>
      </c>
      <c r="B663" s="439" t="s">
        <v>1710</v>
      </c>
      <c r="C663" s="440">
        <v>53316</v>
      </c>
      <c r="D663" s="438">
        <v>0</v>
      </c>
      <c r="E663" s="441" t="s">
        <v>1780</v>
      </c>
      <c r="F663" s="442" t="s">
        <v>1779</v>
      </c>
      <c r="G663" s="443"/>
    </row>
    <row r="664" spans="1:7" s="444" customFormat="1" ht="15.95" customHeight="1" x14ac:dyDescent="0.15">
      <c r="A664" s="438">
        <v>663</v>
      </c>
      <c r="B664" s="439" t="s">
        <v>1710</v>
      </c>
      <c r="C664" s="440">
        <v>53572</v>
      </c>
      <c r="D664" s="438">
        <v>0</v>
      </c>
      <c r="E664" s="441" t="s">
        <v>1778</v>
      </c>
      <c r="F664" s="442" t="s">
        <v>1777</v>
      </c>
      <c r="G664" s="443"/>
    </row>
    <row r="665" spans="1:7" s="444" customFormat="1" ht="15.95" customHeight="1" x14ac:dyDescent="0.15">
      <c r="A665" s="438">
        <v>664</v>
      </c>
      <c r="B665" s="439" t="s">
        <v>1710</v>
      </c>
      <c r="C665" s="440">
        <v>51269</v>
      </c>
      <c r="D665" s="438">
        <v>0</v>
      </c>
      <c r="E665" s="441" t="s">
        <v>551</v>
      </c>
      <c r="F665" s="442" t="s">
        <v>1776</v>
      </c>
      <c r="G665" s="443"/>
    </row>
    <row r="666" spans="1:7" s="444" customFormat="1" ht="15.95" customHeight="1" x14ac:dyDescent="0.15">
      <c r="A666" s="438">
        <v>665</v>
      </c>
      <c r="B666" s="439" t="s">
        <v>1710</v>
      </c>
      <c r="C666" s="440">
        <v>51525</v>
      </c>
      <c r="D666" s="438">
        <v>0</v>
      </c>
      <c r="E666" s="441" t="s">
        <v>552</v>
      </c>
      <c r="F666" s="442" t="s">
        <v>1775</v>
      </c>
      <c r="G666" s="443"/>
    </row>
    <row r="667" spans="1:7" s="444" customFormat="1" ht="15.95" customHeight="1" x14ac:dyDescent="0.15">
      <c r="A667" s="438">
        <v>666</v>
      </c>
      <c r="B667" s="439" t="s">
        <v>1710</v>
      </c>
      <c r="C667" s="440">
        <v>51781</v>
      </c>
      <c r="D667" s="438">
        <v>0</v>
      </c>
      <c r="E667" s="441" t="s">
        <v>553</v>
      </c>
      <c r="F667" s="442" t="s">
        <v>1774</v>
      </c>
      <c r="G667" s="443"/>
    </row>
    <row r="668" spans="1:7" s="444" customFormat="1" ht="15.95" customHeight="1" x14ac:dyDescent="0.15">
      <c r="A668" s="438">
        <v>667</v>
      </c>
      <c r="B668" s="439" t="s">
        <v>1710</v>
      </c>
      <c r="C668" s="440">
        <v>52037</v>
      </c>
      <c r="D668" s="438">
        <v>0</v>
      </c>
      <c r="E668" s="441" t="s">
        <v>554</v>
      </c>
      <c r="F668" s="442" t="s">
        <v>1773</v>
      </c>
      <c r="G668" s="443"/>
    </row>
    <row r="669" spans="1:7" s="444" customFormat="1" ht="15.95" customHeight="1" x14ac:dyDescent="0.15">
      <c r="A669" s="438">
        <v>668</v>
      </c>
      <c r="B669" s="439" t="s">
        <v>1710</v>
      </c>
      <c r="C669" s="440">
        <v>52293</v>
      </c>
      <c r="D669" s="438">
        <v>0</v>
      </c>
      <c r="E669" s="441" t="s">
        <v>555</v>
      </c>
      <c r="F669" s="442" t="s">
        <v>1772</v>
      </c>
      <c r="G669" s="443"/>
    </row>
    <row r="670" spans="1:7" s="444" customFormat="1" ht="15.95" customHeight="1" x14ac:dyDescent="0.15">
      <c r="A670" s="438">
        <v>669</v>
      </c>
      <c r="B670" s="439" t="s">
        <v>1710</v>
      </c>
      <c r="C670" s="440">
        <v>52549</v>
      </c>
      <c r="D670" s="438">
        <v>0</v>
      </c>
      <c r="E670" s="441" t="s">
        <v>556</v>
      </c>
      <c r="F670" s="442" t="s">
        <v>1771</v>
      </c>
      <c r="G670" s="443"/>
    </row>
    <row r="671" spans="1:7" s="444" customFormat="1" ht="15.95" customHeight="1" x14ac:dyDescent="0.15">
      <c r="A671" s="438">
        <v>670</v>
      </c>
      <c r="B671" s="439" t="s">
        <v>1710</v>
      </c>
      <c r="C671" s="440">
        <v>52805</v>
      </c>
      <c r="D671" s="438">
        <v>0</v>
      </c>
      <c r="E671" s="441" t="s">
        <v>1770</v>
      </c>
      <c r="F671" s="442" t="s">
        <v>1769</v>
      </c>
      <c r="G671" s="443"/>
    </row>
    <row r="672" spans="1:7" s="444" customFormat="1" ht="15.95" customHeight="1" x14ac:dyDescent="0.15">
      <c r="A672" s="438">
        <v>671</v>
      </c>
      <c r="B672" s="439" t="s">
        <v>1710</v>
      </c>
      <c r="C672" s="440">
        <v>53061</v>
      </c>
      <c r="D672" s="438">
        <v>0</v>
      </c>
      <c r="E672" s="441" t="s">
        <v>1768</v>
      </c>
      <c r="F672" s="442" t="s">
        <v>1767</v>
      </c>
      <c r="G672" s="443"/>
    </row>
    <row r="673" spans="1:7" s="444" customFormat="1" ht="15.95" customHeight="1" x14ac:dyDescent="0.15">
      <c r="A673" s="438">
        <v>672</v>
      </c>
      <c r="B673" s="439" t="s">
        <v>1710</v>
      </c>
      <c r="C673" s="440">
        <v>53317</v>
      </c>
      <c r="D673" s="438">
        <v>0</v>
      </c>
      <c r="E673" s="441" t="s">
        <v>1766</v>
      </c>
      <c r="F673" s="442" t="s">
        <v>1765</v>
      </c>
      <c r="G673" s="443"/>
    </row>
    <row r="674" spans="1:7" s="444" customFormat="1" ht="15.95" customHeight="1" x14ac:dyDescent="0.15">
      <c r="A674" s="438">
        <v>673</v>
      </c>
      <c r="B674" s="439" t="s">
        <v>1710</v>
      </c>
      <c r="C674" s="440">
        <v>53573</v>
      </c>
      <c r="D674" s="438">
        <v>0</v>
      </c>
      <c r="E674" s="441" t="s">
        <v>1764</v>
      </c>
      <c r="F674" s="442" t="s">
        <v>1763</v>
      </c>
      <c r="G674" s="443"/>
    </row>
    <row r="675" spans="1:7" s="444" customFormat="1" ht="15.95" customHeight="1" x14ac:dyDescent="0.15">
      <c r="A675" s="438">
        <v>674</v>
      </c>
      <c r="B675" s="439" t="s">
        <v>1710</v>
      </c>
      <c r="C675" s="440">
        <v>51270</v>
      </c>
      <c r="D675" s="438">
        <v>0</v>
      </c>
      <c r="E675" s="441" t="s">
        <v>557</v>
      </c>
      <c r="F675" s="442" t="s">
        <v>1762</v>
      </c>
      <c r="G675" s="443"/>
    </row>
    <row r="676" spans="1:7" s="444" customFormat="1" ht="15.95" customHeight="1" x14ac:dyDescent="0.15">
      <c r="A676" s="438">
        <v>675</v>
      </c>
      <c r="B676" s="439" t="s">
        <v>1710</v>
      </c>
      <c r="C676" s="440">
        <v>51526</v>
      </c>
      <c r="D676" s="438">
        <v>0</v>
      </c>
      <c r="E676" s="441" t="s">
        <v>558</v>
      </c>
      <c r="F676" s="442" t="s">
        <v>1761</v>
      </c>
      <c r="G676" s="443"/>
    </row>
    <row r="677" spans="1:7" s="444" customFormat="1" ht="15.95" customHeight="1" x14ac:dyDescent="0.15">
      <c r="A677" s="438">
        <v>676</v>
      </c>
      <c r="B677" s="439" t="s">
        <v>1710</v>
      </c>
      <c r="C677" s="440">
        <v>51782</v>
      </c>
      <c r="D677" s="438">
        <v>0</v>
      </c>
      <c r="E677" s="441" t="s">
        <v>559</v>
      </c>
      <c r="F677" s="442" t="s">
        <v>1760</v>
      </c>
      <c r="G677" s="443"/>
    </row>
    <row r="678" spans="1:7" s="444" customFormat="1" ht="15.95" customHeight="1" x14ac:dyDescent="0.15">
      <c r="A678" s="438">
        <v>677</v>
      </c>
      <c r="B678" s="439" t="s">
        <v>1710</v>
      </c>
      <c r="C678" s="440">
        <v>52038</v>
      </c>
      <c r="D678" s="438">
        <v>0</v>
      </c>
      <c r="E678" s="441" t="s">
        <v>560</v>
      </c>
      <c r="F678" s="442" t="s">
        <v>1759</v>
      </c>
      <c r="G678" s="443"/>
    </row>
    <row r="679" spans="1:7" s="444" customFormat="1" ht="15.95" customHeight="1" x14ac:dyDescent="0.15">
      <c r="A679" s="438">
        <v>678</v>
      </c>
      <c r="B679" s="439" t="s">
        <v>1710</v>
      </c>
      <c r="C679" s="440">
        <v>52294</v>
      </c>
      <c r="D679" s="438">
        <v>0</v>
      </c>
      <c r="E679" s="441" t="s">
        <v>561</v>
      </c>
      <c r="F679" s="442" t="s">
        <v>1758</v>
      </c>
      <c r="G679" s="443"/>
    </row>
    <row r="680" spans="1:7" s="444" customFormat="1" ht="15.95" customHeight="1" x14ac:dyDescent="0.15">
      <c r="A680" s="438">
        <v>679</v>
      </c>
      <c r="B680" s="439" t="s">
        <v>1710</v>
      </c>
      <c r="C680" s="440">
        <v>52550</v>
      </c>
      <c r="D680" s="438">
        <v>0</v>
      </c>
      <c r="E680" s="441" t="s">
        <v>562</v>
      </c>
      <c r="F680" s="442" t="s">
        <v>1757</v>
      </c>
      <c r="G680" s="443"/>
    </row>
    <row r="681" spans="1:7" s="444" customFormat="1" ht="15.95" customHeight="1" x14ac:dyDescent="0.15">
      <c r="A681" s="438">
        <v>680</v>
      </c>
      <c r="B681" s="439" t="s">
        <v>1710</v>
      </c>
      <c r="C681" s="440">
        <v>52806</v>
      </c>
      <c r="D681" s="438">
        <v>0</v>
      </c>
      <c r="E681" s="441" t="s">
        <v>1756</v>
      </c>
      <c r="F681" s="442" t="s">
        <v>1755</v>
      </c>
      <c r="G681" s="443"/>
    </row>
    <row r="682" spans="1:7" s="444" customFormat="1" ht="15.95" customHeight="1" x14ac:dyDescent="0.15">
      <c r="A682" s="438">
        <v>681</v>
      </c>
      <c r="B682" s="439" t="s">
        <v>1710</v>
      </c>
      <c r="C682" s="440">
        <v>53062</v>
      </c>
      <c r="D682" s="438">
        <v>0</v>
      </c>
      <c r="E682" s="441" t="s">
        <v>1754</v>
      </c>
      <c r="F682" s="442" t="s">
        <v>1753</v>
      </c>
      <c r="G682" s="443"/>
    </row>
    <row r="683" spans="1:7" s="444" customFormat="1" ht="15.95" customHeight="1" x14ac:dyDescent="0.15">
      <c r="A683" s="438">
        <v>682</v>
      </c>
      <c r="B683" s="439" t="s">
        <v>1710</v>
      </c>
      <c r="C683" s="440">
        <v>53318</v>
      </c>
      <c r="D683" s="438">
        <v>0</v>
      </c>
      <c r="E683" s="441" t="s">
        <v>1752</v>
      </c>
      <c r="F683" s="442" t="s">
        <v>1751</v>
      </c>
      <c r="G683" s="443"/>
    </row>
    <row r="684" spans="1:7" s="444" customFormat="1" ht="15.95" customHeight="1" x14ac:dyDescent="0.15">
      <c r="A684" s="438">
        <v>683</v>
      </c>
      <c r="B684" s="439" t="s">
        <v>1710</v>
      </c>
      <c r="C684" s="440">
        <v>53574</v>
      </c>
      <c r="D684" s="438">
        <v>0</v>
      </c>
      <c r="E684" s="441" t="s">
        <v>1750</v>
      </c>
      <c r="F684" s="442" t="s">
        <v>1749</v>
      </c>
      <c r="G684" s="443"/>
    </row>
    <row r="685" spans="1:7" s="444" customFormat="1" ht="15.95" customHeight="1" x14ac:dyDescent="0.15">
      <c r="A685" s="438">
        <v>684</v>
      </c>
      <c r="B685" s="439" t="s">
        <v>1710</v>
      </c>
      <c r="C685" s="440">
        <v>51271</v>
      </c>
      <c r="D685" s="438">
        <v>0</v>
      </c>
      <c r="E685" s="441" t="s">
        <v>563</v>
      </c>
      <c r="F685" s="442" t="s">
        <v>1748</v>
      </c>
      <c r="G685" s="443"/>
    </row>
    <row r="686" spans="1:7" s="444" customFormat="1" ht="15.95" customHeight="1" x14ac:dyDescent="0.15">
      <c r="A686" s="438">
        <v>685</v>
      </c>
      <c r="B686" s="439" t="s">
        <v>1710</v>
      </c>
      <c r="C686" s="440">
        <v>51527</v>
      </c>
      <c r="D686" s="438">
        <v>0</v>
      </c>
      <c r="E686" s="441" t="s">
        <v>564</v>
      </c>
      <c r="F686" s="442" t="s">
        <v>1747</v>
      </c>
      <c r="G686" s="443"/>
    </row>
    <row r="687" spans="1:7" s="444" customFormat="1" ht="15.95" customHeight="1" x14ac:dyDescent="0.15">
      <c r="A687" s="438">
        <v>686</v>
      </c>
      <c r="B687" s="439" t="s">
        <v>1710</v>
      </c>
      <c r="C687" s="440">
        <v>51783</v>
      </c>
      <c r="D687" s="438">
        <v>0</v>
      </c>
      <c r="E687" s="441" t="s">
        <v>565</v>
      </c>
      <c r="F687" s="442" t="s">
        <v>1746</v>
      </c>
      <c r="G687" s="443"/>
    </row>
    <row r="688" spans="1:7" s="444" customFormat="1" ht="15.95" customHeight="1" x14ac:dyDescent="0.15">
      <c r="A688" s="438">
        <v>687</v>
      </c>
      <c r="B688" s="439" t="s">
        <v>1710</v>
      </c>
      <c r="C688" s="440">
        <v>52039</v>
      </c>
      <c r="D688" s="438">
        <v>0</v>
      </c>
      <c r="E688" s="441" t="s">
        <v>566</v>
      </c>
      <c r="F688" s="442" t="s">
        <v>1745</v>
      </c>
      <c r="G688" s="443"/>
    </row>
    <row r="689" spans="1:7" s="444" customFormat="1" ht="15.95" customHeight="1" x14ac:dyDescent="0.15">
      <c r="A689" s="438">
        <v>688</v>
      </c>
      <c r="B689" s="439" t="s">
        <v>1710</v>
      </c>
      <c r="C689" s="440">
        <v>52295</v>
      </c>
      <c r="D689" s="438">
        <v>0</v>
      </c>
      <c r="E689" s="441" t="s">
        <v>567</v>
      </c>
      <c r="F689" s="442" t="s">
        <v>1744</v>
      </c>
      <c r="G689" s="443"/>
    </row>
    <row r="690" spans="1:7" s="444" customFormat="1" ht="15.95" customHeight="1" x14ac:dyDescent="0.15">
      <c r="A690" s="438">
        <v>689</v>
      </c>
      <c r="B690" s="439" t="s">
        <v>1710</v>
      </c>
      <c r="C690" s="440">
        <v>52551</v>
      </c>
      <c r="D690" s="438">
        <v>0</v>
      </c>
      <c r="E690" s="441" t="s">
        <v>568</v>
      </c>
      <c r="F690" s="442" t="s">
        <v>1743</v>
      </c>
      <c r="G690" s="443"/>
    </row>
    <row r="691" spans="1:7" s="444" customFormat="1" ht="15.95" customHeight="1" x14ac:dyDescent="0.15">
      <c r="A691" s="438">
        <v>690</v>
      </c>
      <c r="B691" s="439" t="s">
        <v>1710</v>
      </c>
      <c r="C691" s="440">
        <v>52807</v>
      </c>
      <c r="D691" s="438">
        <v>0</v>
      </c>
      <c r="E691" s="441" t="s">
        <v>1742</v>
      </c>
      <c r="F691" s="442" t="s">
        <v>1741</v>
      </c>
      <c r="G691" s="443"/>
    </row>
    <row r="692" spans="1:7" s="444" customFormat="1" ht="15.95" customHeight="1" x14ac:dyDescent="0.15">
      <c r="A692" s="438">
        <v>691</v>
      </c>
      <c r="B692" s="439" t="s">
        <v>1710</v>
      </c>
      <c r="C692" s="440">
        <v>53063</v>
      </c>
      <c r="D692" s="438">
        <v>0</v>
      </c>
      <c r="E692" s="441" t="s">
        <v>1740</v>
      </c>
      <c r="F692" s="442" t="s">
        <v>1739</v>
      </c>
      <c r="G692" s="443"/>
    </row>
    <row r="693" spans="1:7" s="444" customFormat="1" ht="15.95" customHeight="1" x14ac:dyDescent="0.15">
      <c r="A693" s="438">
        <v>692</v>
      </c>
      <c r="B693" s="439" t="s">
        <v>1710</v>
      </c>
      <c r="C693" s="440">
        <v>53319</v>
      </c>
      <c r="D693" s="438">
        <v>0</v>
      </c>
      <c r="E693" s="441" t="s">
        <v>1738</v>
      </c>
      <c r="F693" s="442" t="s">
        <v>1737</v>
      </c>
      <c r="G693" s="443"/>
    </row>
    <row r="694" spans="1:7" s="444" customFormat="1" ht="15.95" customHeight="1" x14ac:dyDescent="0.15">
      <c r="A694" s="438">
        <v>693</v>
      </c>
      <c r="B694" s="439" t="s">
        <v>1710</v>
      </c>
      <c r="C694" s="440">
        <v>53575</v>
      </c>
      <c r="D694" s="438">
        <v>0</v>
      </c>
      <c r="E694" s="441" t="s">
        <v>1736</v>
      </c>
      <c r="F694" s="442" t="s">
        <v>1735</v>
      </c>
      <c r="G694" s="443"/>
    </row>
    <row r="695" spans="1:7" s="444" customFormat="1" ht="15.95" customHeight="1" x14ac:dyDescent="0.15">
      <c r="A695" s="438">
        <v>694</v>
      </c>
      <c r="B695" s="439" t="s">
        <v>1710</v>
      </c>
      <c r="C695" s="440">
        <v>65025</v>
      </c>
      <c r="D695" s="438">
        <v>0</v>
      </c>
      <c r="E695" s="439" t="s">
        <v>1734</v>
      </c>
      <c r="F695" s="442" t="s">
        <v>1733</v>
      </c>
      <c r="G695" s="443"/>
    </row>
    <row r="696" spans="1:7" s="444" customFormat="1" ht="15.95" customHeight="1" x14ac:dyDescent="0.15">
      <c r="A696" s="438">
        <v>695</v>
      </c>
      <c r="B696" s="439" t="s">
        <v>1710</v>
      </c>
      <c r="C696" s="440">
        <v>65026</v>
      </c>
      <c r="D696" s="438">
        <v>0</v>
      </c>
      <c r="E696" s="439" t="s">
        <v>1732</v>
      </c>
      <c r="F696" s="442" t="s">
        <v>1731</v>
      </c>
      <c r="G696" s="443"/>
    </row>
    <row r="697" spans="1:7" s="444" customFormat="1" ht="15.95" customHeight="1" x14ac:dyDescent="0.15">
      <c r="A697" s="438">
        <v>696</v>
      </c>
      <c r="B697" s="439" t="s">
        <v>1710</v>
      </c>
      <c r="C697" s="440">
        <v>65113</v>
      </c>
      <c r="D697" s="438">
        <v>0</v>
      </c>
      <c r="E697" s="439" t="s">
        <v>1730</v>
      </c>
      <c r="F697" s="442" t="s">
        <v>1729</v>
      </c>
      <c r="G697" s="443"/>
    </row>
    <row r="698" spans="1:7" s="444" customFormat="1" ht="15.95" customHeight="1" x14ac:dyDescent="0.15">
      <c r="A698" s="438">
        <v>697</v>
      </c>
      <c r="B698" s="439" t="s">
        <v>1710</v>
      </c>
      <c r="C698" s="440">
        <v>65229</v>
      </c>
      <c r="D698" s="438">
        <v>0</v>
      </c>
      <c r="E698" s="439" t="s">
        <v>1728</v>
      </c>
      <c r="F698" s="442" t="s">
        <v>1727</v>
      </c>
      <c r="G698" s="443"/>
    </row>
    <row r="699" spans="1:7" s="444" customFormat="1" ht="15.95" customHeight="1" x14ac:dyDescent="0.15">
      <c r="A699" s="438">
        <v>698</v>
      </c>
      <c r="B699" s="439" t="s">
        <v>1710</v>
      </c>
      <c r="C699" s="440">
        <v>24832</v>
      </c>
      <c r="D699" s="438">
        <v>0</v>
      </c>
      <c r="E699" s="439" t="s">
        <v>1726</v>
      </c>
      <c r="F699" s="442" t="s">
        <v>1725</v>
      </c>
      <c r="G699" s="443"/>
    </row>
    <row r="700" spans="1:7" s="444" customFormat="1" ht="15.95" customHeight="1" x14ac:dyDescent="0.15">
      <c r="A700" s="438">
        <v>699</v>
      </c>
      <c r="B700" s="439" t="s">
        <v>1710</v>
      </c>
      <c r="C700" s="440">
        <v>24864</v>
      </c>
      <c r="D700" s="438">
        <v>0</v>
      </c>
      <c r="E700" s="439" t="s">
        <v>1724</v>
      </c>
      <c r="F700" s="442" t="s">
        <v>1723</v>
      </c>
      <c r="G700" s="443"/>
    </row>
    <row r="701" spans="1:7" x14ac:dyDescent="0.15">
      <c r="A701" s="438">
        <v>700</v>
      </c>
      <c r="B701" s="439" t="s">
        <v>1710</v>
      </c>
      <c r="C701" s="445">
        <v>13012</v>
      </c>
      <c r="D701" s="438">
        <v>0</v>
      </c>
      <c r="E701" s="446" t="s">
        <v>1722</v>
      </c>
      <c r="F701" s="447" t="s">
        <v>1721</v>
      </c>
      <c r="G701" s="443"/>
    </row>
    <row r="702" spans="1:7" x14ac:dyDescent="0.15">
      <c r="A702" s="438">
        <v>701</v>
      </c>
      <c r="B702" s="439" t="s">
        <v>1710</v>
      </c>
      <c r="C702" s="445">
        <v>13268</v>
      </c>
      <c r="D702" s="438">
        <v>0</v>
      </c>
      <c r="E702" s="446" t="s">
        <v>1720</v>
      </c>
      <c r="F702" s="447" t="s">
        <v>1719</v>
      </c>
      <c r="G702" s="443"/>
    </row>
    <row r="703" spans="1:7" x14ac:dyDescent="0.15">
      <c r="A703" s="438">
        <v>702</v>
      </c>
      <c r="B703" s="439" t="s">
        <v>1710</v>
      </c>
      <c r="C703" s="445">
        <v>13270</v>
      </c>
      <c r="D703" s="438">
        <v>0</v>
      </c>
      <c r="E703" s="446" t="s">
        <v>1718</v>
      </c>
      <c r="F703" s="447" t="s">
        <v>1717</v>
      </c>
      <c r="G703" s="443"/>
    </row>
    <row r="704" spans="1:7" x14ac:dyDescent="0.15">
      <c r="A704" s="438">
        <v>703</v>
      </c>
      <c r="B704" s="439" t="s">
        <v>1710</v>
      </c>
      <c r="C704" s="445">
        <v>13281</v>
      </c>
      <c r="D704" s="438">
        <v>0</v>
      </c>
      <c r="E704" s="446" t="s">
        <v>1716</v>
      </c>
      <c r="F704" s="447" t="s">
        <v>1715</v>
      </c>
      <c r="G704" s="443"/>
    </row>
    <row r="705" spans="1:7" x14ac:dyDescent="0.15">
      <c r="A705" s="438">
        <v>704</v>
      </c>
      <c r="B705" s="439" t="s">
        <v>1710</v>
      </c>
      <c r="C705" s="445">
        <v>13282</v>
      </c>
      <c r="D705" s="438">
        <v>0</v>
      </c>
      <c r="E705" s="446" t="s">
        <v>1714</v>
      </c>
      <c r="F705" s="447" t="s">
        <v>1713</v>
      </c>
      <c r="G705" s="443"/>
    </row>
    <row r="706" spans="1:7" x14ac:dyDescent="0.15">
      <c r="A706" s="438">
        <v>705</v>
      </c>
      <c r="B706" s="439" t="s">
        <v>1710</v>
      </c>
      <c r="C706" s="445">
        <v>13793</v>
      </c>
      <c r="D706" s="438">
        <v>0</v>
      </c>
      <c r="E706" s="446" t="s">
        <v>1712</v>
      </c>
      <c r="F706" s="447" t="s">
        <v>1711</v>
      </c>
      <c r="G706" s="443"/>
    </row>
    <row r="707" spans="1:7" x14ac:dyDescent="0.15">
      <c r="A707" s="438">
        <v>706</v>
      </c>
      <c r="B707" s="439" t="s">
        <v>1710</v>
      </c>
      <c r="C707" s="445">
        <v>13795</v>
      </c>
      <c r="D707" s="438">
        <v>0</v>
      </c>
      <c r="E707" s="446" t="s">
        <v>1709</v>
      </c>
      <c r="F707" s="447" t="s">
        <v>1708</v>
      </c>
      <c r="G707" s="443"/>
    </row>
    <row r="708" spans="1:7" x14ac:dyDescent="0.15">
      <c r="G708" s="443"/>
    </row>
    <row r="709" spans="1:7" x14ac:dyDescent="0.15">
      <c r="G709" s="443"/>
    </row>
    <row r="710" spans="1:7" x14ac:dyDescent="0.15">
      <c r="G710" s="443"/>
    </row>
    <row r="711" spans="1:7" x14ac:dyDescent="0.15">
      <c r="G711" s="443"/>
    </row>
    <row r="712" spans="1:7" x14ac:dyDescent="0.15">
      <c r="G712" s="443"/>
    </row>
    <row r="713" spans="1:7" x14ac:dyDescent="0.15">
      <c r="G713" s="443"/>
    </row>
    <row r="714" spans="1:7" x14ac:dyDescent="0.15">
      <c r="G714" s="443"/>
    </row>
    <row r="715" spans="1:7" x14ac:dyDescent="0.15">
      <c r="G715" s="443"/>
    </row>
    <row r="716" spans="1:7" x14ac:dyDescent="0.15">
      <c r="G716" s="443"/>
    </row>
  </sheetData>
  <phoneticPr fontId="6" type="noConversion"/>
  <conditionalFormatting sqref="C1:C1048576">
    <cfRule type="duplicateValues" dxfId="11" priority="3"/>
    <cfRule type="duplicateValues" dxfId="10" priority="5"/>
  </conditionalFormatting>
  <conditionalFormatting sqref="C2:C497">
    <cfRule type="duplicateValues" dxfId="9" priority="10"/>
    <cfRule type="duplicateValues" dxfId="8" priority="11"/>
  </conditionalFormatting>
  <conditionalFormatting sqref="C498:C698">
    <cfRule type="duplicateValues" dxfId="7" priority="8"/>
    <cfRule type="duplicateValues" dxfId="6" priority="9"/>
  </conditionalFormatting>
  <conditionalFormatting sqref="C699:C700">
    <cfRule type="duplicateValues" dxfId="5" priority="6"/>
    <cfRule type="duplicateValues" dxfId="4" priority="7"/>
  </conditionalFormatting>
  <conditionalFormatting sqref="E1:E700">
    <cfRule type="duplicateValues" dxfId="3" priority="12"/>
  </conditionalFormatting>
  <conditionalFormatting sqref="E701:E707">
    <cfRule type="duplicateValues" dxfId="2" priority="4"/>
  </conditionalFormatting>
  <conditionalFormatting sqref="F1:F1048576">
    <cfRule type="duplicateValues" dxfId="1" priority="2"/>
  </conditionalFormatting>
  <conditionalFormatting sqref="F1:G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CA88"/>
  <sheetViews>
    <sheetView zoomScaleNormal="100" workbookViewId="0">
      <pane xSplit="1" ySplit="1" topLeftCell="B2" activePane="bottomRight" state="frozen"/>
      <selection activeCell="S784" sqref="S784"/>
      <selection pane="topRight" activeCell="S784" sqref="S784"/>
      <selection pane="bottomLeft" activeCell="S784" sqref="S784"/>
      <selection pane="bottomRight" activeCell="E64" sqref="E64"/>
    </sheetView>
  </sheetViews>
  <sheetFormatPr defaultColWidth="9" defaultRowHeight="16.5" x14ac:dyDescent="0.3"/>
  <cols>
    <col min="1" max="1" width="8.125" style="455" customWidth="1"/>
    <col min="2" max="2" width="36.625" style="455" customWidth="1"/>
    <col min="3" max="3" width="12.25" style="460" customWidth="1"/>
    <col min="4" max="4" width="13.125" style="460" customWidth="1"/>
    <col min="5" max="5" width="61.75" style="462" customWidth="1"/>
    <col min="6" max="6" width="37.125" style="455" customWidth="1"/>
    <col min="7" max="16384" width="9" style="455"/>
  </cols>
  <sheetData>
    <row r="1" spans="1:79" s="458" customFormat="1" ht="20.25" x14ac:dyDescent="0.35">
      <c r="A1" s="453" t="s">
        <v>112</v>
      </c>
      <c r="B1" s="454" t="s">
        <v>1025</v>
      </c>
      <c r="C1" s="453" t="s">
        <v>569</v>
      </c>
      <c r="D1" s="453" t="s">
        <v>570</v>
      </c>
      <c r="E1" s="453" t="s">
        <v>114</v>
      </c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6"/>
      <c r="AK1" s="455"/>
      <c r="AL1" s="455"/>
      <c r="AM1" s="455"/>
      <c r="AN1" s="455"/>
      <c r="AO1" s="455"/>
      <c r="AP1" s="455"/>
      <c r="AQ1" s="455"/>
      <c r="AR1" s="455"/>
      <c r="AS1" s="455"/>
      <c r="AT1" s="455"/>
      <c r="AU1" s="455"/>
      <c r="AV1" s="455"/>
      <c r="AW1" s="455"/>
      <c r="AX1" s="455"/>
      <c r="AY1" s="455"/>
      <c r="AZ1" s="455"/>
      <c r="BA1" s="455"/>
      <c r="BB1" s="455"/>
      <c r="BC1" s="455"/>
      <c r="BD1" s="455"/>
      <c r="BE1" s="455"/>
      <c r="BF1" s="457"/>
      <c r="BG1" s="455"/>
      <c r="BH1" s="455"/>
      <c r="BI1" s="455"/>
      <c r="BJ1" s="455"/>
      <c r="BK1" s="455"/>
      <c r="BL1" s="455"/>
      <c r="BM1" s="455"/>
      <c r="BN1" s="455"/>
      <c r="BO1" s="455"/>
      <c r="BP1" s="455"/>
      <c r="BQ1" s="455"/>
      <c r="BR1" s="455"/>
      <c r="BS1" s="455"/>
      <c r="BT1" s="455"/>
      <c r="BU1" s="455"/>
      <c r="BV1" s="455"/>
      <c r="BW1" s="455"/>
      <c r="BX1" s="455"/>
      <c r="BY1" s="455"/>
      <c r="BZ1" s="455"/>
      <c r="CA1" s="455"/>
    </row>
    <row r="2" spans="1:79" ht="17.25" x14ac:dyDescent="0.3">
      <c r="A2" s="459">
        <v>1</v>
      </c>
      <c r="B2" s="464" t="s">
        <v>571</v>
      </c>
      <c r="C2" s="464">
        <v>518100</v>
      </c>
      <c r="D2" s="464">
        <v>5</v>
      </c>
      <c r="E2" s="465" t="str">
        <f>"BCM"&amp;":"&amp;"("&amp;C2&amp;","&amp;D2&amp;")"</f>
        <v>BCM:(518100,5)</v>
      </c>
    </row>
    <row r="3" spans="1:79" ht="17.25" x14ac:dyDescent="0.3">
      <c r="A3" s="459">
        <v>2</v>
      </c>
      <c r="B3" s="464" t="s">
        <v>574</v>
      </c>
      <c r="C3" s="464">
        <v>518100</v>
      </c>
      <c r="D3" s="464">
        <v>6</v>
      </c>
      <c r="E3" s="465" t="str">
        <f t="shared" ref="E3:E66" si="0">"BCM"&amp;":"&amp;"("&amp;C3&amp;","&amp;D3&amp;")"</f>
        <v>BCM:(518100,6)</v>
      </c>
      <c r="F3" s="467" t="s">
        <v>3404</v>
      </c>
    </row>
    <row r="4" spans="1:79" ht="17.25" x14ac:dyDescent="0.3">
      <c r="A4" s="459">
        <v>3</v>
      </c>
      <c r="B4" s="464" t="s">
        <v>575</v>
      </c>
      <c r="C4" s="464">
        <v>518101</v>
      </c>
      <c r="D4" s="464">
        <v>5</v>
      </c>
      <c r="E4" s="465" t="str">
        <f t="shared" si="0"/>
        <v>BCM:(518101,5)</v>
      </c>
    </row>
    <row r="5" spans="1:79" ht="17.25" x14ac:dyDescent="0.3">
      <c r="A5" s="459">
        <v>4</v>
      </c>
      <c r="B5" s="464" t="s">
        <v>576</v>
      </c>
      <c r="C5" s="464">
        <v>518101</v>
      </c>
      <c r="D5" s="464">
        <v>6</v>
      </c>
      <c r="E5" s="465" t="str">
        <f t="shared" si="0"/>
        <v>BCM:(518101,6)</v>
      </c>
    </row>
    <row r="6" spans="1:79" ht="17.25" x14ac:dyDescent="0.3">
      <c r="A6" s="459">
        <v>5</v>
      </c>
      <c r="B6" s="463" t="s">
        <v>577</v>
      </c>
      <c r="C6" s="463">
        <v>518102</v>
      </c>
      <c r="D6" s="463">
        <v>5</v>
      </c>
      <c r="E6" s="181"/>
    </row>
    <row r="7" spans="1:79" ht="17.25" x14ac:dyDescent="0.3">
      <c r="A7" s="459">
        <v>6</v>
      </c>
      <c r="B7" s="464" t="s">
        <v>578</v>
      </c>
      <c r="C7" s="464">
        <v>518102</v>
      </c>
      <c r="D7" s="464">
        <v>6</v>
      </c>
      <c r="E7" s="465" t="str">
        <f t="shared" si="0"/>
        <v>BCM:(518102,6)</v>
      </c>
    </row>
    <row r="8" spans="1:79" ht="17.25" x14ac:dyDescent="0.3">
      <c r="A8" s="459">
        <v>7</v>
      </c>
      <c r="B8" s="464" t="s">
        <v>579</v>
      </c>
      <c r="C8" s="464">
        <v>518103</v>
      </c>
      <c r="D8" s="464">
        <v>5</v>
      </c>
      <c r="E8" s="465" t="str">
        <f t="shared" si="0"/>
        <v>BCM:(518103,5)</v>
      </c>
    </row>
    <row r="9" spans="1:79" ht="17.25" x14ac:dyDescent="0.3">
      <c r="A9" s="459">
        <v>8</v>
      </c>
      <c r="B9" s="464" t="s">
        <v>580</v>
      </c>
      <c r="C9" s="464">
        <v>518103</v>
      </c>
      <c r="D9" s="464">
        <v>6</v>
      </c>
      <c r="E9" s="465" t="str">
        <f t="shared" si="0"/>
        <v>BCM:(518103,6)</v>
      </c>
    </row>
    <row r="10" spans="1:79" ht="17.25" x14ac:dyDescent="0.3">
      <c r="A10" s="459">
        <v>9</v>
      </c>
      <c r="B10" s="463" t="s">
        <v>581</v>
      </c>
      <c r="C10" s="463">
        <v>518104</v>
      </c>
      <c r="D10" s="463">
        <v>5</v>
      </c>
      <c r="E10" s="181"/>
    </row>
    <row r="11" spans="1:79" ht="17.25" x14ac:dyDescent="0.3">
      <c r="A11" s="459">
        <v>10</v>
      </c>
      <c r="B11" s="463" t="s">
        <v>582</v>
      </c>
      <c r="C11" s="463">
        <v>518104</v>
      </c>
      <c r="D11" s="463">
        <v>6</v>
      </c>
      <c r="E11" s="181"/>
    </row>
    <row r="12" spans="1:79" ht="17.25" x14ac:dyDescent="0.3">
      <c r="A12" s="459">
        <v>11</v>
      </c>
      <c r="B12" s="463" t="s">
        <v>583</v>
      </c>
      <c r="C12" s="463">
        <v>518105</v>
      </c>
      <c r="D12" s="463">
        <v>6</v>
      </c>
      <c r="E12" s="181"/>
    </row>
    <row r="13" spans="1:79" ht="17.25" x14ac:dyDescent="0.3">
      <c r="A13" s="459">
        <v>12</v>
      </c>
      <c r="B13" s="463" t="s">
        <v>584</v>
      </c>
      <c r="C13" s="463">
        <v>518106</v>
      </c>
      <c r="D13" s="463">
        <v>5</v>
      </c>
      <c r="E13" s="181"/>
    </row>
    <row r="14" spans="1:79" ht="17.25" x14ac:dyDescent="0.3">
      <c r="A14" s="459">
        <v>13</v>
      </c>
      <c r="B14" s="463" t="s">
        <v>585</v>
      </c>
      <c r="C14" s="463">
        <v>518106</v>
      </c>
      <c r="D14" s="463">
        <v>6</v>
      </c>
      <c r="E14" s="181"/>
    </row>
    <row r="15" spans="1:79" ht="17.25" x14ac:dyDescent="0.3">
      <c r="A15" s="459">
        <v>14</v>
      </c>
      <c r="B15" s="463" t="s">
        <v>586</v>
      </c>
      <c r="C15" s="463">
        <v>518107</v>
      </c>
      <c r="D15" s="463">
        <v>5</v>
      </c>
      <c r="E15" s="181"/>
    </row>
    <row r="16" spans="1:79" ht="17.25" x14ac:dyDescent="0.3">
      <c r="A16" s="459">
        <v>15</v>
      </c>
      <c r="B16" s="463" t="s">
        <v>587</v>
      </c>
      <c r="C16" s="463">
        <v>518107</v>
      </c>
      <c r="D16" s="463">
        <v>6</v>
      </c>
      <c r="E16" s="181"/>
    </row>
    <row r="17" spans="1:5" ht="17.25" x14ac:dyDescent="0.3">
      <c r="A17" s="459">
        <v>16</v>
      </c>
      <c r="B17" s="463" t="s">
        <v>588</v>
      </c>
      <c r="C17" s="463">
        <v>518108</v>
      </c>
      <c r="D17" s="463">
        <v>5</v>
      </c>
      <c r="E17" s="181"/>
    </row>
    <row r="18" spans="1:5" ht="17.25" x14ac:dyDescent="0.3">
      <c r="A18" s="459">
        <v>17</v>
      </c>
      <c r="B18" s="463" t="s">
        <v>589</v>
      </c>
      <c r="C18" s="463">
        <v>518108</v>
      </c>
      <c r="D18" s="463">
        <v>6</v>
      </c>
      <c r="E18" s="181"/>
    </row>
    <row r="19" spans="1:5" ht="17.25" x14ac:dyDescent="0.3">
      <c r="A19" s="459">
        <v>18</v>
      </c>
      <c r="B19" s="463" t="s">
        <v>590</v>
      </c>
      <c r="C19" s="463">
        <v>518108</v>
      </c>
      <c r="D19" s="463">
        <v>13</v>
      </c>
      <c r="E19" s="181"/>
    </row>
    <row r="20" spans="1:5" ht="17.25" x14ac:dyDescent="0.3">
      <c r="A20" s="459">
        <v>19</v>
      </c>
      <c r="B20" s="463" t="s">
        <v>591</v>
      </c>
      <c r="C20" s="463">
        <v>518109</v>
      </c>
      <c r="D20" s="463">
        <v>5</v>
      </c>
      <c r="E20" s="181"/>
    </row>
    <row r="21" spans="1:5" ht="17.25" x14ac:dyDescent="0.3">
      <c r="A21" s="459">
        <v>20</v>
      </c>
      <c r="B21" s="463" t="s">
        <v>592</v>
      </c>
      <c r="C21" s="463">
        <v>518109</v>
      </c>
      <c r="D21" s="463">
        <v>6</v>
      </c>
      <c r="E21" s="181"/>
    </row>
    <row r="22" spans="1:5" ht="17.25" x14ac:dyDescent="0.3">
      <c r="A22" s="459">
        <v>21</v>
      </c>
      <c r="B22" s="463" t="s">
        <v>593</v>
      </c>
      <c r="C22" s="463">
        <v>518109</v>
      </c>
      <c r="D22" s="463">
        <v>13</v>
      </c>
      <c r="E22" s="181"/>
    </row>
    <row r="23" spans="1:5" ht="17.25" x14ac:dyDescent="0.3">
      <c r="A23" s="459">
        <v>22</v>
      </c>
      <c r="B23" s="463" t="s">
        <v>594</v>
      </c>
      <c r="C23" s="463">
        <v>518110</v>
      </c>
      <c r="D23" s="463">
        <v>5</v>
      </c>
      <c r="E23" s="181"/>
    </row>
    <row r="24" spans="1:5" ht="17.25" x14ac:dyDescent="0.3">
      <c r="A24" s="459">
        <v>23</v>
      </c>
      <c r="B24" s="463" t="s">
        <v>595</v>
      </c>
      <c r="C24" s="463">
        <v>518110</v>
      </c>
      <c r="D24" s="463">
        <v>6</v>
      </c>
      <c r="E24" s="181"/>
    </row>
    <row r="25" spans="1:5" ht="17.25" x14ac:dyDescent="0.3">
      <c r="A25" s="459">
        <v>24</v>
      </c>
      <c r="B25" s="463" t="s">
        <v>596</v>
      </c>
      <c r="C25" s="463">
        <v>518110</v>
      </c>
      <c r="D25" s="463">
        <v>13</v>
      </c>
      <c r="E25" s="181"/>
    </row>
    <row r="26" spans="1:5" ht="17.25" x14ac:dyDescent="0.3">
      <c r="A26" s="459">
        <v>25</v>
      </c>
      <c r="B26" s="463" t="s">
        <v>597</v>
      </c>
      <c r="C26" s="463">
        <v>518111</v>
      </c>
      <c r="D26" s="463">
        <v>5</v>
      </c>
      <c r="E26" s="181"/>
    </row>
    <row r="27" spans="1:5" ht="17.25" x14ac:dyDescent="0.3">
      <c r="A27" s="459">
        <v>26</v>
      </c>
      <c r="B27" s="463" t="s">
        <v>598</v>
      </c>
      <c r="C27" s="463">
        <v>518111</v>
      </c>
      <c r="D27" s="463">
        <v>6</v>
      </c>
      <c r="E27" s="181"/>
    </row>
    <row r="28" spans="1:5" ht="17.25" x14ac:dyDescent="0.3">
      <c r="A28" s="459">
        <v>27</v>
      </c>
      <c r="B28" s="463" t="s">
        <v>599</v>
      </c>
      <c r="C28" s="463">
        <v>518111</v>
      </c>
      <c r="D28" s="463">
        <v>13</v>
      </c>
      <c r="E28" s="181"/>
    </row>
    <row r="29" spans="1:5" ht="17.25" x14ac:dyDescent="0.3">
      <c r="A29" s="459">
        <v>28</v>
      </c>
      <c r="B29" s="463" t="s">
        <v>600</v>
      </c>
      <c r="C29" s="463">
        <v>518112</v>
      </c>
      <c r="D29" s="463">
        <v>5</v>
      </c>
      <c r="E29" s="181"/>
    </row>
    <row r="30" spans="1:5" ht="17.25" x14ac:dyDescent="0.3">
      <c r="A30" s="459">
        <v>29</v>
      </c>
      <c r="B30" s="463" t="s">
        <v>601</v>
      </c>
      <c r="C30" s="463">
        <v>518112</v>
      </c>
      <c r="D30" s="463">
        <v>6</v>
      </c>
      <c r="E30" s="181"/>
    </row>
    <row r="31" spans="1:5" ht="17.25" x14ac:dyDescent="0.3">
      <c r="A31" s="459">
        <v>30</v>
      </c>
      <c r="B31" s="463" t="s">
        <v>602</v>
      </c>
      <c r="C31" s="463">
        <v>518112</v>
      </c>
      <c r="D31" s="463">
        <v>13</v>
      </c>
      <c r="E31" s="181"/>
    </row>
    <row r="32" spans="1:5" ht="17.25" x14ac:dyDescent="0.3">
      <c r="A32" s="459">
        <v>31</v>
      </c>
      <c r="B32" s="463" t="s">
        <v>603</v>
      </c>
      <c r="C32" s="463">
        <v>518113</v>
      </c>
      <c r="D32" s="463">
        <v>5</v>
      </c>
      <c r="E32" s="181"/>
    </row>
    <row r="33" spans="1:5" ht="17.25" x14ac:dyDescent="0.3">
      <c r="A33" s="459">
        <v>32</v>
      </c>
      <c r="B33" s="463" t="s">
        <v>604</v>
      </c>
      <c r="C33" s="463">
        <v>518113</v>
      </c>
      <c r="D33" s="463">
        <v>6</v>
      </c>
      <c r="E33" s="181"/>
    </row>
    <row r="34" spans="1:5" ht="17.25" x14ac:dyDescent="0.3">
      <c r="A34" s="459">
        <v>33</v>
      </c>
      <c r="B34" s="463" t="s">
        <v>605</v>
      </c>
      <c r="C34" s="463">
        <v>518113</v>
      </c>
      <c r="D34" s="463">
        <v>13</v>
      </c>
      <c r="E34" s="181"/>
    </row>
    <row r="35" spans="1:5" ht="17.25" x14ac:dyDescent="0.3">
      <c r="A35" s="459">
        <v>34</v>
      </c>
      <c r="B35" s="463" t="s">
        <v>606</v>
      </c>
      <c r="C35" s="463">
        <v>518114</v>
      </c>
      <c r="D35" s="463">
        <v>5</v>
      </c>
      <c r="E35" s="181"/>
    </row>
    <row r="36" spans="1:5" ht="17.25" x14ac:dyDescent="0.3">
      <c r="A36" s="459">
        <v>35</v>
      </c>
      <c r="B36" s="463" t="s">
        <v>607</v>
      </c>
      <c r="C36" s="463">
        <v>518114</v>
      </c>
      <c r="D36" s="463">
        <v>6</v>
      </c>
      <c r="E36" s="181"/>
    </row>
    <row r="37" spans="1:5" ht="17.25" x14ac:dyDescent="0.3">
      <c r="A37" s="459">
        <v>36</v>
      </c>
      <c r="B37" s="463" t="s">
        <v>608</v>
      </c>
      <c r="C37" s="463">
        <v>518114</v>
      </c>
      <c r="D37" s="463">
        <v>13</v>
      </c>
      <c r="E37" s="181"/>
    </row>
    <row r="38" spans="1:5" ht="17.25" x14ac:dyDescent="0.3">
      <c r="A38" s="459">
        <v>37</v>
      </c>
      <c r="B38" s="463" t="s">
        <v>609</v>
      </c>
      <c r="C38" s="463">
        <v>518115</v>
      </c>
      <c r="D38" s="463">
        <v>5</v>
      </c>
      <c r="E38" s="181"/>
    </row>
    <row r="39" spans="1:5" ht="17.25" x14ac:dyDescent="0.3">
      <c r="A39" s="459">
        <v>38</v>
      </c>
      <c r="B39" s="463" t="s">
        <v>610</v>
      </c>
      <c r="C39" s="463">
        <v>518115</v>
      </c>
      <c r="D39" s="463">
        <v>6</v>
      </c>
      <c r="E39" s="181"/>
    </row>
    <row r="40" spans="1:5" ht="17.25" x14ac:dyDescent="0.3">
      <c r="A40" s="459">
        <v>39</v>
      </c>
      <c r="B40" s="463" t="s">
        <v>611</v>
      </c>
      <c r="C40" s="463">
        <v>518115</v>
      </c>
      <c r="D40" s="463">
        <v>13</v>
      </c>
      <c r="E40" s="181"/>
    </row>
    <row r="41" spans="1:5" ht="17.25" x14ac:dyDescent="0.3">
      <c r="A41" s="459">
        <v>40</v>
      </c>
      <c r="B41" s="463" t="s">
        <v>612</v>
      </c>
      <c r="C41" s="463">
        <v>518116</v>
      </c>
      <c r="D41" s="463">
        <v>5</v>
      </c>
      <c r="E41" s="181"/>
    </row>
    <row r="42" spans="1:5" ht="17.25" x14ac:dyDescent="0.3">
      <c r="A42" s="459">
        <v>41</v>
      </c>
      <c r="B42" s="463" t="s">
        <v>613</v>
      </c>
      <c r="C42" s="463">
        <v>518116</v>
      </c>
      <c r="D42" s="463">
        <v>6</v>
      </c>
      <c r="E42" s="181"/>
    </row>
    <row r="43" spans="1:5" ht="17.25" x14ac:dyDescent="0.3">
      <c r="A43" s="459">
        <v>42</v>
      </c>
      <c r="B43" s="463" t="s">
        <v>614</v>
      </c>
      <c r="C43" s="463">
        <v>518116</v>
      </c>
      <c r="D43" s="463">
        <v>13</v>
      </c>
      <c r="E43" s="181"/>
    </row>
    <row r="44" spans="1:5" s="456" customFormat="1" ht="17.25" x14ac:dyDescent="0.3">
      <c r="A44" s="459">
        <v>43</v>
      </c>
      <c r="B44" s="463" t="s">
        <v>615</v>
      </c>
      <c r="C44" s="463">
        <v>518117</v>
      </c>
      <c r="D44" s="463">
        <v>5</v>
      </c>
      <c r="E44" s="181"/>
    </row>
    <row r="45" spans="1:5" ht="17.25" x14ac:dyDescent="0.3">
      <c r="A45" s="459">
        <v>44</v>
      </c>
      <c r="B45" s="463" t="s">
        <v>616</v>
      </c>
      <c r="C45" s="463">
        <v>518117</v>
      </c>
      <c r="D45" s="463">
        <v>6</v>
      </c>
      <c r="E45" s="181"/>
    </row>
    <row r="46" spans="1:5" ht="17.25" x14ac:dyDescent="0.3">
      <c r="A46" s="459">
        <v>45</v>
      </c>
      <c r="B46" s="463" t="s">
        <v>617</v>
      </c>
      <c r="C46" s="463">
        <v>518117</v>
      </c>
      <c r="D46" s="463">
        <v>13</v>
      </c>
      <c r="E46" s="181"/>
    </row>
    <row r="47" spans="1:5" ht="17.25" x14ac:dyDescent="0.3">
      <c r="A47" s="459">
        <v>46</v>
      </c>
      <c r="B47" s="463" t="s">
        <v>618</v>
      </c>
      <c r="C47" s="463">
        <v>518118</v>
      </c>
      <c r="D47" s="463">
        <v>5</v>
      </c>
      <c r="E47" s="181"/>
    </row>
    <row r="48" spans="1:5" ht="17.25" x14ac:dyDescent="0.3">
      <c r="A48" s="459">
        <v>47</v>
      </c>
      <c r="B48" s="463" t="s">
        <v>619</v>
      </c>
      <c r="C48" s="463">
        <v>518118</v>
      </c>
      <c r="D48" s="463">
        <v>6</v>
      </c>
      <c r="E48" s="181"/>
    </row>
    <row r="49" spans="1:5" ht="17.25" x14ac:dyDescent="0.3">
      <c r="A49" s="459">
        <v>48</v>
      </c>
      <c r="B49" s="463" t="s">
        <v>620</v>
      </c>
      <c r="C49" s="463">
        <v>518118</v>
      </c>
      <c r="D49" s="463">
        <v>13</v>
      </c>
      <c r="E49" s="181"/>
    </row>
    <row r="50" spans="1:5" ht="17.25" x14ac:dyDescent="0.3">
      <c r="A50" s="459">
        <v>49</v>
      </c>
      <c r="B50" s="463" t="s">
        <v>621</v>
      </c>
      <c r="C50" s="463">
        <v>518119</v>
      </c>
      <c r="D50" s="463">
        <v>5</v>
      </c>
      <c r="E50" s="181"/>
    </row>
    <row r="51" spans="1:5" ht="17.25" x14ac:dyDescent="0.3">
      <c r="A51" s="459">
        <v>50</v>
      </c>
      <c r="B51" s="463" t="s">
        <v>622</v>
      </c>
      <c r="C51" s="463">
        <v>518119</v>
      </c>
      <c r="D51" s="463">
        <v>6</v>
      </c>
      <c r="E51" s="181"/>
    </row>
    <row r="52" spans="1:5" ht="17.25" x14ac:dyDescent="0.3">
      <c r="A52" s="459">
        <v>51</v>
      </c>
      <c r="B52" s="463" t="s">
        <v>623</v>
      </c>
      <c r="C52" s="463">
        <v>518119</v>
      </c>
      <c r="D52" s="463">
        <v>13</v>
      </c>
      <c r="E52" s="181"/>
    </row>
    <row r="53" spans="1:5" ht="17.25" x14ac:dyDescent="0.3">
      <c r="A53" s="459">
        <v>52</v>
      </c>
      <c r="B53" s="463" t="s">
        <v>624</v>
      </c>
      <c r="C53" s="463">
        <v>518120</v>
      </c>
      <c r="D53" s="463">
        <v>5</v>
      </c>
      <c r="E53" s="181"/>
    </row>
    <row r="54" spans="1:5" ht="17.25" x14ac:dyDescent="0.3">
      <c r="A54" s="459">
        <v>53</v>
      </c>
      <c r="B54" s="463" t="s">
        <v>625</v>
      </c>
      <c r="C54" s="463">
        <v>518120</v>
      </c>
      <c r="D54" s="463">
        <v>6</v>
      </c>
      <c r="E54" s="181"/>
    </row>
    <row r="55" spans="1:5" ht="17.25" x14ac:dyDescent="0.3">
      <c r="A55" s="459">
        <v>54</v>
      </c>
      <c r="B55" s="463" t="s">
        <v>626</v>
      </c>
      <c r="C55" s="463">
        <v>518120</v>
      </c>
      <c r="D55" s="463">
        <v>13</v>
      </c>
      <c r="E55" s="181"/>
    </row>
    <row r="56" spans="1:5" ht="17.25" x14ac:dyDescent="0.3">
      <c r="A56" s="459">
        <v>55</v>
      </c>
      <c r="B56" s="463" t="s">
        <v>627</v>
      </c>
      <c r="C56" s="463">
        <v>518121</v>
      </c>
      <c r="D56" s="463">
        <v>5</v>
      </c>
      <c r="E56" s="181"/>
    </row>
    <row r="57" spans="1:5" ht="17.25" x14ac:dyDescent="0.3">
      <c r="A57" s="459">
        <v>56</v>
      </c>
      <c r="B57" s="463" t="s">
        <v>628</v>
      </c>
      <c r="C57" s="463">
        <v>518121</v>
      </c>
      <c r="D57" s="463">
        <v>6</v>
      </c>
      <c r="E57" s="181"/>
    </row>
    <row r="58" spans="1:5" ht="17.25" x14ac:dyDescent="0.3">
      <c r="A58" s="459">
        <v>57</v>
      </c>
      <c r="B58" s="463" t="s">
        <v>629</v>
      </c>
      <c r="C58" s="463">
        <v>518122</v>
      </c>
      <c r="D58" s="463">
        <v>5</v>
      </c>
      <c r="E58" s="181"/>
    </row>
    <row r="59" spans="1:5" ht="17.25" x14ac:dyDescent="0.3">
      <c r="A59" s="459">
        <v>58</v>
      </c>
      <c r="B59" s="463" t="s">
        <v>630</v>
      </c>
      <c r="C59" s="463">
        <v>518122</v>
      </c>
      <c r="D59" s="463">
        <v>6</v>
      </c>
      <c r="E59" s="181"/>
    </row>
    <row r="60" spans="1:5" ht="17.25" x14ac:dyDescent="0.3">
      <c r="A60" s="459">
        <v>59</v>
      </c>
      <c r="B60" s="463" t="s">
        <v>631</v>
      </c>
      <c r="C60" s="463">
        <v>518123</v>
      </c>
      <c r="D60" s="463">
        <v>5</v>
      </c>
      <c r="E60" s="181"/>
    </row>
    <row r="61" spans="1:5" ht="17.25" x14ac:dyDescent="0.3">
      <c r="A61" s="459">
        <v>60</v>
      </c>
      <c r="B61" s="463" t="s">
        <v>632</v>
      </c>
      <c r="C61" s="463">
        <v>518123</v>
      </c>
      <c r="D61" s="463">
        <v>6</v>
      </c>
      <c r="E61" s="181"/>
    </row>
    <row r="62" spans="1:5" ht="17.25" x14ac:dyDescent="0.3">
      <c r="A62" s="459">
        <v>61</v>
      </c>
      <c r="B62" s="463" t="s">
        <v>633</v>
      </c>
      <c r="C62" s="463">
        <v>518123</v>
      </c>
      <c r="D62" s="463">
        <v>13</v>
      </c>
      <c r="E62" s="181"/>
    </row>
    <row r="63" spans="1:5" ht="17.25" x14ac:dyDescent="0.3">
      <c r="A63" s="459">
        <v>62</v>
      </c>
      <c r="B63" s="463" t="s">
        <v>634</v>
      </c>
      <c r="C63" s="463">
        <v>518124</v>
      </c>
      <c r="D63" s="463">
        <v>6</v>
      </c>
      <c r="E63" s="181"/>
    </row>
    <row r="64" spans="1:5" ht="17.25" x14ac:dyDescent="0.3">
      <c r="A64" s="459">
        <v>63</v>
      </c>
      <c r="B64" s="463" t="s">
        <v>635</v>
      </c>
      <c r="C64" s="463">
        <v>518125</v>
      </c>
      <c r="D64" s="463">
        <v>6</v>
      </c>
      <c r="E64" s="181"/>
    </row>
    <row r="65" spans="1:5" ht="17.25" x14ac:dyDescent="0.3">
      <c r="A65" s="459">
        <v>64</v>
      </c>
      <c r="B65" s="464" t="s">
        <v>636</v>
      </c>
      <c r="C65" s="464">
        <v>518126</v>
      </c>
      <c r="D65" s="464">
        <v>5</v>
      </c>
      <c r="E65" s="465" t="str">
        <f t="shared" si="0"/>
        <v>BCM:(518126,5)</v>
      </c>
    </row>
    <row r="66" spans="1:5" s="457" customFormat="1" ht="17.25" x14ac:dyDescent="0.3">
      <c r="A66" s="459">
        <v>65</v>
      </c>
      <c r="B66" s="464" t="s">
        <v>637</v>
      </c>
      <c r="C66" s="464">
        <v>518127</v>
      </c>
      <c r="D66" s="464">
        <v>5</v>
      </c>
      <c r="E66" s="465" t="str">
        <f t="shared" si="0"/>
        <v>BCM:(518127,5)</v>
      </c>
    </row>
    <row r="67" spans="1:5" ht="17.25" x14ac:dyDescent="0.3">
      <c r="A67" s="459">
        <v>66</v>
      </c>
      <c r="B67" s="464" t="s">
        <v>638</v>
      </c>
      <c r="C67" s="464">
        <v>518128</v>
      </c>
      <c r="D67" s="464">
        <v>5</v>
      </c>
      <c r="E67" s="465" t="str">
        <f t="shared" ref="E67:E87" si="1">"BCM"&amp;":"&amp;"("&amp;C67&amp;","&amp;D67&amp;")"</f>
        <v>BCM:(518128,5)</v>
      </c>
    </row>
    <row r="68" spans="1:5" ht="17.25" x14ac:dyDescent="0.3">
      <c r="A68" s="459">
        <v>67</v>
      </c>
      <c r="B68" s="464" t="s">
        <v>639</v>
      </c>
      <c r="C68" s="464">
        <v>518129</v>
      </c>
      <c r="D68" s="464">
        <v>5</v>
      </c>
      <c r="E68" s="465" t="str">
        <f t="shared" si="1"/>
        <v>BCM:(518129,5)</v>
      </c>
    </row>
    <row r="69" spans="1:5" ht="17.25" x14ac:dyDescent="0.3">
      <c r="A69" s="459">
        <v>68</v>
      </c>
      <c r="B69" s="463" t="s">
        <v>640</v>
      </c>
      <c r="C69" s="463">
        <v>518131</v>
      </c>
      <c r="D69" s="463">
        <v>3</v>
      </c>
      <c r="E69" s="181"/>
    </row>
    <row r="70" spans="1:5" ht="17.25" x14ac:dyDescent="0.3">
      <c r="A70" s="459">
        <v>69</v>
      </c>
      <c r="B70" s="463" t="s">
        <v>641</v>
      </c>
      <c r="C70" s="463">
        <v>518131</v>
      </c>
      <c r="D70" s="463">
        <v>4</v>
      </c>
      <c r="E70" s="181"/>
    </row>
    <row r="71" spans="1:5" ht="17.25" x14ac:dyDescent="0.3">
      <c r="A71" s="459">
        <v>70</v>
      </c>
      <c r="B71" s="463" t="s">
        <v>642</v>
      </c>
      <c r="C71" s="463">
        <v>518136</v>
      </c>
      <c r="D71" s="463">
        <v>5</v>
      </c>
      <c r="E71" s="181"/>
    </row>
    <row r="72" spans="1:5" ht="17.25" x14ac:dyDescent="0.3">
      <c r="A72" s="459">
        <v>71</v>
      </c>
      <c r="B72" s="463" t="s">
        <v>643</v>
      </c>
      <c r="C72" s="463">
        <v>518136</v>
      </c>
      <c r="D72" s="463">
        <v>6</v>
      </c>
      <c r="E72" s="181"/>
    </row>
    <row r="73" spans="1:5" ht="17.25" x14ac:dyDescent="0.3">
      <c r="A73" s="459">
        <v>72</v>
      </c>
      <c r="B73" s="463" t="s">
        <v>644</v>
      </c>
      <c r="C73" s="463">
        <v>518137</v>
      </c>
      <c r="D73" s="463">
        <v>5</v>
      </c>
      <c r="E73" s="181"/>
    </row>
    <row r="74" spans="1:5" ht="17.25" x14ac:dyDescent="0.3">
      <c r="A74" s="459">
        <v>73</v>
      </c>
      <c r="B74" s="463" t="s">
        <v>645</v>
      </c>
      <c r="C74" s="463">
        <v>518137</v>
      </c>
      <c r="D74" s="463">
        <v>6</v>
      </c>
      <c r="E74" s="181"/>
    </row>
    <row r="75" spans="1:5" ht="17.25" x14ac:dyDescent="0.3">
      <c r="A75" s="459">
        <v>74</v>
      </c>
      <c r="B75" s="463" t="s">
        <v>646</v>
      </c>
      <c r="C75" s="463">
        <v>518138</v>
      </c>
      <c r="D75" s="463">
        <v>6</v>
      </c>
      <c r="E75" s="181"/>
    </row>
    <row r="76" spans="1:5" ht="17.25" x14ac:dyDescent="0.3">
      <c r="A76" s="459">
        <v>75</v>
      </c>
      <c r="B76" s="463" t="s">
        <v>647</v>
      </c>
      <c r="C76" s="463">
        <v>518139</v>
      </c>
      <c r="D76" s="463">
        <v>5</v>
      </c>
      <c r="E76" s="181"/>
    </row>
    <row r="77" spans="1:5" ht="17.25" x14ac:dyDescent="0.3">
      <c r="A77" s="459">
        <v>76</v>
      </c>
      <c r="B77" s="463" t="s">
        <v>648</v>
      </c>
      <c r="C77" s="463">
        <v>518139</v>
      </c>
      <c r="D77" s="463">
        <v>6</v>
      </c>
      <c r="E77" s="181"/>
    </row>
    <row r="78" spans="1:5" ht="17.25" x14ac:dyDescent="0.3">
      <c r="A78" s="459">
        <v>77</v>
      </c>
      <c r="B78" s="463" t="s">
        <v>649</v>
      </c>
      <c r="C78" s="463">
        <v>518140</v>
      </c>
      <c r="D78" s="463">
        <v>5</v>
      </c>
      <c r="E78" s="181"/>
    </row>
    <row r="79" spans="1:5" ht="17.25" x14ac:dyDescent="0.3">
      <c r="A79" s="459">
        <v>78</v>
      </c>
      <c r="B79" s="463" t="s">
        <v>650</v>
      </c>
      <c r="C79" s="463">
        <v>518140</v>
      </c>
      <c r="D79" s="463">
        <v>6</v>
      </c>
      <c r="E79" s="181"/>
    </row>
    <row r="80" spans="1:5" ht="17.25" x14ac:dyDescent="0.3">
      <c r="A80" s="459">
        <v>79</v>
      </c>
      <c r="B80" s="463" t="s">
        <v>651</v>
      </c>
      <c r="C80" s="463">
        <v>518141</v>
      </c>
      <c r="D80" s="463">
        <v>5</v>
      </c>
      <c r="E80" s="181"/>
    </row>
    <row r="81" spans="1:5" ht="17.25" x14ac:dyDescent="0.3">
      <c r="A81" s="459">
        <v>80</v>
      </c>
      <c r="B81" s="463" t="s">
        <v>652</v>
      </c>
      <c r="C81" s="463">
        <v>518141</v>
      </c>
      <c r="D81" s="463">
        <v>6</v>
      </c>
      <c r="E81" s="181"/>
    </row>
    <row r="82" spans="1:5" ht="17.25" x14ac:dyDescent="0.3">
      <c r="A82" s="459">
        <v>81</v>
      </c>
      <c r="B82" s="463" t="s">
        <v>653</v>
      </c>
      <c r="C82" s="463">
        <v>518142</v>
      </c>
      <c r="D82" s="463">
        <v>5</v>
      </c>
      <c r="E82" s="181"/>
    </row>
    <row r="83" spans="1:5" ht="17.25" x14ac:dyDescent="0.3">
      <c r="A83" s="459">
        <v>82</v>
      </c>
      <c r="B83" s="463" t="s">
        <v>654</v>
      </c>
      <c r="C83" s="463">
        <v>518142</v>
      </c>
      <c r="D83" s="463">
        <v>6</v>
      </c>
      <c r="E83" s="181"/>
    </row>
    <row r="84" spans="1:5" ht="17.25" x14ac:dyDescent="0.3">
      <c r="A84" s="459">
        <v>83</v>
      </c>
      <c r="B84" s="463" t="s">
        <v>655</v>
      </c>
      <c r="C84" s="463">
        <v>518148</v>
      </c>
      <c r="D84" s="463">
        <v>3</v>
      </c>
      <c r="E84" s="181"/>
    </row>
    <row r="85" spans="1:5" ht="17.25" x14ac:dyDescent="0.3">
      <c r="A85" s="459">
        <v>84</v>
      </c>
      <c r="B85" s="463" t="s">
        <v>656</v>
      </c>
      <c r="C85" s="463">
        <v>518148</v>
      </c>
      <c r="D85" s="463">
        <v>4</v>
      </c>
      <c r="E85" s="181"/>
    </row>
    <row r="86" spans="1:5" ht="17.25" x14ac:dyDescent="0.3">
      <c r="A86" s="459">
        <v>85</v>
      </c>
      <c r="B86" s="463" t="s">
        <v>657</v>
      </c>
      <c r="C86" s="466">
        <v>518151</v>
      </c>
      <c r="D86" s="466">
        <v>0</v>
      </c>
      <c r="E86" s="181"/>
    </row>
    <row r="87" spans="1:5" ht="17.25" x14ac:dyDescent="0.3">
      <c r="A87" s="459">
        <v>86</v>
      </c>
      <c r="B87" s="463" t="s">
        <v>658</v>
      </c>
      <c r="C87" s="466">
        <v>518151</v>
      </c>
      <c r="D87" s="466">
        <v>1</v>
      </c>
      <c r="E87" s="181"/>
    </row>
    <row r="88" spans="1:5" x14ac:dyDescent="0.3">
      <c r="E88" s="461"/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XFD27"/>
  <sheetViews>
    <sheetView zoomScale="85" zoomScaleNormal="85" workbookViewId="0">
      <pane ySplit="1" topLeftCell="A2" activePane="bottomLeft" state="frozen"/>
      <selection activeCell="S784" sqref="S784"/>
      <selection pane="bottomLeft" activeCell="H11" sqref="H11"/>
    </sheetView>
  </sheetViews>
  <sheetFormatPr defaultColWidth="0" defaultRowHeight="13.5" x14ac:dyDescent="0.15"/>
  <cols>
    <col min="1" max="1" width="4.125" style="21" customWidth="1"/>
    <col min="4" max="4" width="36.625" style="29" customWidth="1"/>
    <col min="5" max="5" width="36.625" style="29" hidden="1" customWidth="1"/>
    <col min="6" max="6" width="7.5" style="21" bestFit="1" customWidth="1"/>
    <col min="7" max="7" width="5.125" style="21" bestFit="1" customWidth="1"/>
    <col min="8" max="8" width="57.625" style="29" bestFit="1" customWidth="1"/>
    <col min="9" max="9" width="22.625" style="29" hidden="1" customWidth="1"/>
    <col min="10" max="36" width="0" style="21" hidden="1" customWidth="1"/>
    <col min="37" max="16382" width="9" style="21" hidden="1"/>
    <col min="16383" max="16384" width="81.625" style="21" hidden="1"/>
  </cols>
  <sheetData>
    <row r="1" spans="1:36" s="19" customFormat="1" ht="28.5" x14ac:dyDescent="0.25">
      <c r="A1" s="18" t="s">
        <v>112</v>
      </c>
      <c r="D1" s="351" t="s">
        <v>659</v>
      </c>
      <c r="E1" s="352"/>
      <c r="F1" s="18" t="s">
        <v>569</v>
      </c>
      <c r="G1" s="18" t="s">
        <v>570</v>
      </c>
      <c r="H1" s="18" t="s">
        <v>114</v>
      </c>
      <c r="I1" s="18" t="s">
        <v>115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33.6" customHeight="1" x14ac:dyDescent="0.15">
      <c r="A2" s="22" t="s">
        <v>660</v>
      </c>
      <c r="D2" s="24" t="s">
        <v>663</v>
      </c>
      <c r="E2" s="24" t="s">
        <v>664</v>
      </c>
      <c r="F2" s="23" t="s">
        <v>661</v>
      </c>
      <c r="G2" s="23" t="s">
        <v>662</v>
      </c>
      <c r="H2" s="427"/>
      <c r="I2" s="25" t="s">
        <v>665</v>
      </c>
      <c r="J2" s="21" t="str">
        <f>"DCM_"&amp;F2&amp;"_"&amp;G2</f>
        <v>DCM_518001_5</v>
      </c>
      <c r="K2" s="21" t="str">
        <f>"Detail_"&amp;J2</f>
        <v>Detail_DCM_518001_5</v>
      </c>
      <c r="L2" s="20" t="str">
        <f>(F2*100+G2)&amp;":"</f>
        <v>51800105:</v>
      </c>
      <c r="M2" s="21" t="s">
        <v>666</v>
      </c>
      <c r="N2" s="21" t="s">
        <v>667</v>
      </c>
      <c r="O2" s="16" t="s">
        <v>572</v>
      </c>
      <c r="P2" s="16">
        <v>1</v>
      </c>
      <c r="Q2" s="16" t="s">
        <v>573</v>
      </c>
      <c r="R2" s="16" t="str">
        <f>N2&amp;O2&amp;P2&amp;Q2</f>
        <v>51800105:Var_ui_ErrNo := 1;</v>
      </c>
    </row>
    <row r="3" spans="1:36" ht="33.6" customHeight="1" x14ac:dyDescent="0.15">
      <c r="A3" s="22" t="s">
        <v>668</v>
      </c>
      <c r="D3" s="24" t="s">
        <v>670</v>
      </c>
      <c r="E3" s="24" t="s">
        <v>671</v>
      </c>
      <c r="F3" s="23" t="s">
        <v>661</v>
      </c>
      <c r="G3" s="23" t="s">
        <v>669</v>
      </c>
      <c r="H3" s="427"/>
      <c r="I3" s="25" t="s">
        <v>672</v>
      </c>
      <c r="J3" s="21" t="str">
        <f>"DCM_"&amp;F3&amp;"_"&amp;G3</f>
        <v>DCM_518001_6</v>
      </c>
      <c r="K3" s="21" t="str">
        <f t="shared" ref="K3:K27" si="0">"Detail_"&amp;J3</f>
        <v>Detail_DCM_518001_6</v>
      </c>
      <c r="L3" s="20" t="str">
        <f>(F3*100+G3)&amp;":"</f>
        <v>51800106:</v>
      </c>
      <c r="M3" s="21" t="s">
        <v>673</v>
      </c>
      <c r="N3" s="21" t="s">
        <v>674</v>
      </c>
      <c r="O3" s="16" t="s">
        <v>572</v>
      </c>
      <c r="P3" s="16">
        <v>2</v>
      </c>
      <c r="Q3" s="16" t="s">
        <v>573</v>
      </c>
      <c r="R3" s="16" t="str">
        <f t="shared" ref="R3:R27" si="1">N3&amp;O3&amp;P3&amp;Q3</f>
        <v>51800106:Var_ui_ErrNo := 2;</v>
      </c>
    </row>
    <row r="4" spans="1:36" ht="33.6" customHeight="1" x14ac:dyDescent="0.15">
      <c r="A4" s="22" t="s">
        <v>675</v>
      </c>
      <c r="D4" s="24" t="s">
        <v>677</v>
      </c>
      <c r="E4" s="24" t="s">
        <v>678</v>
      </c>
      <c r="F4" s="23" t="s">
        <v>676</v>
      </c>
      <c r="G4" s="23" t="s">
        <v>662</v>
      </c>
      <c r="H4" s="427"/>
      <c r="I4" s="25" t="s">
        <v>679</v>
      </c>
      <c r="J4" s="21" t="str">
        <f>"DCM_"&amp;F4&amp;"_"&amp;G4</f>
        <v>DCM_518002_5</v>
      </c>
      <c r="K4" s="21" t="str">
        <f t="shared" si="0"/>
        <v>Detail_DCM_518002_5</v>
      </c>
      <c r="L4" s="20" t="str">
        <f>(F4*100+G4)&amp;":"</f>
        <v>51800205:</v>
      </c>
      <c r="M4" s="21" t="s">
        <v>680</v>
      </c>
      <c r="N4" s="21" t="s">
        <v>681</v>
      </c>
      <c r="O4" s="16" t="s">
        <v>572</v>
      </c>
      <c r="P4" s="16">
        <v>3</v>
      </c>
      <c r="Q4" s="16" t="s">
        <v>573</v>
      </c>
      <c r="R4" s="16" t="str">
        <f t="shared" si="1"/>
        <v>51800205:Var_ui_ErrNo := 3;</v>
      </c>
    </row>
    <row r="5" spans="1:36" ht="33.6" customHeight="1" x14ac:dyDescent="0.15">
      <c r="A5" s="22" t="s">
        <v>682</v>
      </c>
      <c r="D5" s="24" t="s">
        <v>683</v>
      </c>
      <c r="E5" s="24" t="s">
        <v>684</v>
      </c>
      <c r="F5" s="23" t="s">
        <v>676</v>
      </c>
      <c r="G5" s="23" t="s">
        <v>669</v>
      </c>
      <c r="H5" s="427"/>
      <c r="I5" s="25" t="s">
        <v>685</v>
      </c>
      <c r="J5" s="21" t="str">
        <f>"DCM_"&amp;F5&amp;"_"&amp;G5</f>
        <v>DCM_518002_6</v>
      </c>
      <c r="K5" s="21" t="str">
        <f t="shared" si="0"/>
        <v>Detail_DCM_518002_6</v>
      </c>
      <c r="L5" s="20" t="str">
        <f>(F5*100+G5)&amp;":"</f>
        <v>51800206:</v>
      </c>
      <c r="M5" s="21" t="s">
        <v>686</v>
      </c>
      <c r="N5" s="21" t="s">
        <v>687</v>
      </c>
      <c r="O5" s="16" t="s">
        <v>572</v>
      </c>
      <c r="P5" s="16">
        <v>4</v>
      </c>
      <c r="Q5" s="16" t="s">
        <v>573</v>
      </c>
      <c r="R5" s="16" t="str">
        <f t="shared" si="1"/>
        <v>51800206:Var_ui_ErrNo := 4;</v>
      </c>
    </row>
    <row r="6" spans="1:36" ht="33.6" customHeight="1" x14ac:dyDescent="0.15">
      <c r="A6" s="22" t="s">
        <v>688</v>
      </c>
      <c r="D6" s="24" t="s">
        <v>690</v>
      </c>
      <c r="E6" s="24" t="s">
        <v>691</v>
      </c>
      <c r="F6" s="23" t="s">
        <v>689</v>
      </c>
      <c r="G6" s="23" t="s">
        <v>662</v>
      </c>
      <c r="H6" s="427"/>
      <c r="I6" s="25" t="s">
        <v>692</v>
      </c>
      <c r="J6" s="21" t="str">
        <f>"DCM_"&amp;F6&amp;"_"&amp;G6</f>
        <v>DCM_518003_5</v>
      </c>
      <c r="K6" s="21" t="str">
        <f t="shared" si="0"/>
        <v>Detail_DCM_518003_5</v>
      </c>
      <c r="L6" s="20" t="str">
        <f>(F6*100+G6)&amp;":"</f>
        <v>51800305:</v>
      </c>
      <c r="M6" s="21" t="s">
        <v>693</v>
      </c>
      <c r="N6" s="21" t="s">
        <v>694</v>
      </c>
      <c r="O6" s="16" t="s">
        <v>572</v>
      </c>
      <c r="P6" s="16">
        <v>5</v>
      </c>
      <c r="Q6" s="16" t="s">
        <v>573</v>
      </c>
      <c r="R6" s="16" t="str">
        <f t="shared" si="1"/>
        <v>51800305:Var_ui_ErrNo := 5;</v>
      </c>
    </row>
    <row r="7" spans="1:36" ht="33.6" customHeight="1" x14ac:dyDescent="0.15">
      <c r="A7" s="22" t="s">
        <v>695</v>
      </c>
      <c r="D7" s="24" t="s">
        <v>696</v>
      </c>
      <c r="E7" s="24" t="s">
        <v>697</v>
      </c>
      <c r="F7" s="23" t="s">
        <v>689</v>
      </c>
      <c r="G7" s="23" t="s">
        <v>669</v>
      </c>
      <c r="H7" s="427"/>
      <c r="I7" s="25" t="s">
        <v>698</v>
      </c>
      <c r="J7" s="21" t="str">
        <f>"DCM_"&amp;F7&amp;"_"&amp;G7</f>
        <v>DCM_518003_6</v>
      </c>
      <c r="K7" s="21" t="str">
        <f t="shared" si="0"/>
        <v>Detail_DCM_518003_6</v>
      </c>
      <c r="L7" s="20" t="str">
        <f>(F7*100+G7)&amp;":"</f>
        <v>51800306:</v>
      </c>
      <c r="M7" s="21" t="s">
        <v>699</v>
      </c>
      <c r="N7" s="21" t="s">
        <v>700</v>
      </c>
      <c r="O7" s="16" t="s">
        <v>572</v>
      </c>
      <c r="P7" s="16">
        <v>6</v>
      </c>
      <c r="Q7" s="16" t="s">
        <v>573</v>
      </c>
      <c r="R7" s="16" t="str">
        <f t="shared" si="1"/>
        <v>51800306:Var_ui_ErrNo := 6;</v>
      </c>
    </row>
    <row r="8" spans="1:36" ht="33.6" customHeight="1" x14ac:dyDescent="0.15">
      <c r="A8" s="22" t="s">
        <v>701</v>
      </c>
      <c r="D8" s="24" t="s">
        <v>703</v>
      </c>
      <c r="E8" s="24" t="s">
        <v>704</v>
      </c>
      <c r="F8" s="23" t="s">
        <v>702</v>
      </c>
      <c r="G8" s="23" t="s">
        <v>662</v>
      </c>
      <c r="H8" s="427"/>
      <c r="I8" s="26" t="s">
        <v>705</v>
      </c>
      <c r="J8" s="21" t="str">
        <f>"DCM_"&amp;F8&amp;"_"&amp;G8</f>
        <v>DCM_518004_5</v>
      </c>
      <c r="K8" s="21" t="str">
        <f t="shared" si="0"/>
        <v>Detail_DCM_518004_5</v>
      </c>
      <c r="L8" s="20" t="str">
        <f>(F8*100+G8)&amp;":"</f>
        <v>51800405:</v>
      </c>
      <c r="M8" s="21" t="s">
        <v>706</v>
      </c>
      <c r="N8" s="21" t="s">
        <v>707</v>
      </c>
      <c r="O8" s="16" t="s">
        <v>572</v>
      </c>
      <c r="P8" s="16">
        <v>7</v>
      </c>
      <c r="Q8" s="16" t="s">
        <v>573</v>
      </c>
      <c r="R8" s="16" t="str">
        <f t="shared" si="1"/>
        <v>51800405:Var_ui_ErrNo := 7;</v>
      </c>
    </row>
    <row r="9" spans="1:36" ht="33.6" customHeight="1" x14ac:dyDescent="0.15">
      <c r="A9" s="22" t="s">
        <v>708</v>
      </c>
      <c r="D9" s="24" t="s">
        <v>709</v>
      </c>
      <c r="E9" s="24" t="s">
        <v>710</v>
      </c>
      <c r="F9" s="23" t="s">
        <v>702</v>
      </c>
      <c r="G9" s="23" t="s">
        <v>669</v>
      </c>
      <c r="H9" s="427"/>
      <c r="I9" s="26" t="s">
        <v>711</v>
      </c>
      <c r="J9" s="21" t="str">
        <f>"DCM_"&amp;F9&amp;"_"&amp;G9</f>
        <v>DCM_518004_6</v>
      </c>
      <c r="K9" s="21" t="str">
        <f t="shared" si="0"/>
        <v>Detail_DCM_518004_6</v>
      </c>
      <c r="L9" s="20" t="str">
        <f>(F9*100+G9)&amp;":"</f>
        <v>51800406:</v>
      </c>
      <c r="M9" s="21" t="s">
        <v>712</v>
      </c>
      <c r="N9" s="21" t="s">
        <v>713</v>
      </c>
      <c r="O9" s="16" t="s">
        <v>572</v>
      </c>
      <c r="P9" s="16">
        <v>8</v>
      </c>
      <c r="Q9" s="16" t="s">
        <v>573</v>
      </c>
      <c r="R9" s="16" t="str">
        <f t="shared" si="1"/>
        <v>51800406:Var_ui_ErrNo := 8;</v>
      </c>
    </row>
    <row r="10" spans="1:36" ht="33.6" customHeight="1" x14ac:dyDescent="0.15">
      <c r="A10" s="22" t="s">
        <v>714</v>
      </c>
      <c r="D10" s="24" t="s">
        <v>716</v>
      </c>
      <c r="E10" s="24" t="s">
        <v>717</v>
      </c>
      <c r="F10" s="23" t="s">
        <v>715</v>
      </c>
      <c r="G10" s="23" t="s">
        <v>662</v>
      </c>
      <c r="H10" s="427"/>
      <c r="I10" s="26" t="s">
        <v>718</v>
      </c>
      <c r="J10" s="21" t="str">
        <f>"DCM_"&amp;F10&amp;"_"&amp;G10</f>
        <v>DCM_518005_5</v>
      </c>
      <c r="K10" s="21" t="str">
        <f t="shared" si="0"/>
        <v>Detail_DCM_518005_5</v>
      </c>
      <c r="L10" s="20" t="str">
        <f>(F10*100+G10)&amp;":"</f>
        <v>51800505:</v>
      </c>
      <c r="M10" s="21" t="s">
        <v>719</v>
      </c>
      <c r="N10" s="21" t="s">
        <v>720</v>
      </c>
      <c r="O10" s="16" t="s">
        <v>572</v>
      </c>
      <c r="P10" s="16">
        <v>9</v>
      </c>
      <c r="Q10" s="16" t="s">
        <v>573</v>
      </c>
      <c r="R10" s="16" t="str">
        <f t="shared" si="1"/>
        <v>51800505:Var_ui_ErrNo := 9;</v>
      </c>
    </row>
    <row r="11" spans="1:36" ht="33.6" customHeight="1" x14ac:dyDescent="0.15">
      <c r="A11" s="22" t="s">
        <v>721</v>
      </c>
      <c r="D11" s="24" t="s">
        <v>722</v>
      </c>
      <c r="E11" s="24" t="s">
        <v>723</v>
      </c>
      <c r="F11" s="23" t="s">
        <v>715</v>
      </c>
      <c r="G11" s="23" t="s">
        <v>669</v>
      </c>
      <c r="H11" s="465" t="str">
        <f t="shared" ref="H3:H27" si="2">"DCM"&amp;":"&amp;"("&amp;F11&amp;","&amp;G11&amp;")"</f>
        <v>DCM:(518005,6)</v>
      </c>
      <c r="I11" s="26" t="s">
        <v>724</v>
      </c>
      <c r="J11" s="21" t="str">
        <f>"DCM_"&amp;F11&amp;"_"&amp;G11</f>
        <v>DCM_518005_6</v>
      </c>
      <c r="K11" s="21" t="str">
        <f t="shared" si="0"/>
        <v>Detail_DCM_518005_6</v>
      </c>
      <c r="L11" s="20" t="str">
        <f>(F11*100+G11)&amp;":"</f>
        <v>51800506:</v>
      </c>
      <c r="M11" s="21" t="s">
        <v>725</v>
      </c>
      <c r="N11" s="21" t="s">
        <v>726</v>
      </c>
      <c r="O11" s="16" t="s">
        <v>572</v>
      </c>
      <c r="P11" s="16">
        <v>10</v>
      </c>
      <c r="Q11" s="16" t="s">
        <v>573</v>
      </c>
      <c r="R11" s="16" t="str">
        <f t="shared" si="1"/>
        <v>51800506:Var_ui_ErrNo := 10;</v>
      </c>
    </row>
    <row r="12" spans="1:36" ht="33.6" customHeight="1" x14ac:dyDescent="0.15">
      <c r="A12" s="22" t="s">
        <v>727</v>
      </c>
      <c r="D12" s="24" t="s">
        <v>729</v>
      </c>
      <c r="E12" s="24" t="s">
        <v>730</v>
      </c>
      <c r="F12" s="23" t="s">
        <v>728</v>
      </c>
      <c r="G12" s="23" t="s">
        <v>662</v>
      </c>
      <c r="H12" s="427"/>
      <c r="I12" s="26" t="s">
        <v>731</v>
      </c>
      <c r="J12" s="21" t="str">
        <f>"DCM_"&amp;F12&amp;"_"&amp;G12</f>
        <v>DCM_518006_5</v>
      </c>
      <c r="K12" s="21" t="str">
        <f t="shared" si="0"/>
        <v>Detail_DCM_518006_5</v>
      </c>
      <c r="L12" s="20" t="str">
        <f>(F12*100+G12)&amp;":"</f>
        <v>51800605:</v>
      </c>
      <c r="M12" s="21" t="s">
        <v>732</v>
      </c>
      <c r="N12" s="21" t="s">
        <v>733</v>
      </c>
      <c r="O12" s="16" t="s">
        <v>572</v>
      </c>
      <c r="P12" s="16">
        <v>11</v>
      </c>
      <c r="Q12" s="16" t="s">
        <v>573</v>
      </c>
      <c r="R12" s="16" t="str">
        <f t="shared" si="1"/>
        <v>51800605:Var_ui_ErrNo := 11;</v>
      </c>
    </row>
    <row r="13" spans="1:36" ht="33.6" customHeight="1" x14ac:dyDescent="0.15">
      <c r="A13" s="22" t="s">
        <v>734</v>
      </c>
      <c r="D13" s="24" t="s">
        <v>736</v>
      </c>
      <c r="E13" s="24" t="s">
        <v>737</v>
      </c>
      <c r="F13" s="23" t="s">
        <v>735</v>
      </c>
      <c r="G13" s="23" t="s">
        <v>669</v>
      </c>
      <c r="H13" s="427"/>
      <c r="I13" s="26" t="s">
        <v>738</v>
      </c>
      <c r="J13" s="21" t="str">
        <f>"DCM_"&amp;F13&amp;"_"&amp;G13</f>
        <v>DCM_518006_6</v>
      </c>
      <c r="K13" s="21" t="str">
        <f t="shared" si="0"/>
        <v>Detail_DCM_518006_6</v>
      </c>
      <c r="L13" s="20" t="str">
        <f>(F13*100+G13)&amp;":"</f>
        <v>51800606:</v>
      </c>
      <c r="M13" s="21" t="s">
        <v>739</v>
      </c>
      <c r="N13" s="21" t="s">
        <v>740</v>
      </c>
      <c r="O13" s="16" t="s">
        <v>572</v>
      </c>
      <c r="P13" s="16">
        <v>12</v>
      </c>
      <c r="Q13" s="16" t="s">
        <v>573</v>
      </c>
      <c r="R13" s="16" t="str">
        <f t="shared" si="1"/>
        <v>51800606:Var_ui_ErrNo := 12;</v>
      </c>
    </row>
    <row r="14" spans="1:36" ht="33.6" customHeight="1" x14ac:dyDescent="0.15">
      <c r="A14" s="22" t="s">
        <v>741</v>
      </c>
      <c r="D14" s="24" t="s">
        <v>743</v>
      </c>
      <c r="E14" s="24" t="s">
        <v>744</v>
      </c>
      <c r="F14" s="23" t="s">
        <v>742</v>
      </c>
      <c r="G14" s="23" t="s">
        <v>662</v>
      </c>
      <c r="H14" s="427"/>
      <c r="I14" s="25" t="s">
        <v>745</v>
      </c>
      <c r="J14" s="21" t="str">
        <f>"DCM_"&amp;F14&amp;"_"&amp;G14</f>
        <v>DCM_518007_5</v>
      </c>
      <c r="K14" s="21" t="str">
        <f t="shared" si="0"/>
        <v>Detail_DCM_518007_5</v>
      </c>
      <c r="L14" s="20" t="str">
        <f>(F14*100+G14)&amp;":"</f>
        <v>51800705:</v>
      </c>
      <c r="M14" s="21" t="s">
        <v>746</v>
      </c>
      <c r="N14" s="21" t="s">
        <v>747</v>
      </c>
      <c r="O14" s="16" t="s">
        <v>572</v>
      </c>
      <c r="P14" s="16">
        <v>13</v>
      </c>
      <c r="Q14" s="16" t="s">
        <v>573</v>
      </c>
      <c r="R14" s="16" t="str">
        <f t="shared" si="1"/>
        <v>51800705:Var_ui_ErrNo := 13;</v>
      </c>
    </row>
    <row r="15" spans="1:36" ht="33.6" customHeight="1" x14ac:dyDescent="0.15">
      <c r="A15" s="22" t="s">
        <v>748</v>
      </c>
      <c r="D15" s="24" t="s">
        <v>749</v>
      </c>
      <c r="E15" s="24" t="s">
        <v>750</v>
      </c>
      <c r="F15" s="23" t="s">
        <v>742</v>
      </c>
      <c r="G15" s="23" t="s">
        <v>669</v>
      </c>
      <c r="H15" s="427"/>
      <c r="I15" s="25" t="s">
        <v>751</v>
      </c>
      <c r="J15" s="21" t="str">
        <f>"DCM_"&amp;F15&amp;"_"&amp;G15</f>
        <v>DCM_518007_6</v>
      </c>
      <c r="K15" s="21" t="str">
        <f t="shared" si="0"/>
        <v>Detail_DCM_518007_6</v>
      </c>
      <c r="L15" s="20" t="str">
        <f>(F15*100+G15)&amp;":"</f>
        <v>51800706:</v>
      </c>
      <c r="M15" s="21" t="s">
        <v>752</v>
      </c>
      <c r="N15" s="21" t="s">
        <v>753</v>
      </c>
      <c r="O15" s="16" t="s">
        <v>572</v>
      </c>
      <c r="P15" s="16">
        <v>14</v>
      </c>
      <c r="Q15" s="16" t="s">
        <v>573</v>
      </c>
      <c r="R15" s="16" t="str">
        <f t="shared" si="1"/>
        <v>51800706:Var_ui_ErrNo := 14;</v>
      </c>
    </row>
    <row r="16" spans="1:36" ht="33.6" customHeight="1" x14ac:dyDescent="0.15">
      <c r="A16" s="22" t="s">
        <v>754</v>
      </c>
      <c r="D16" s="24" t="s">
        <v>756</v>
      </c>
      <c r="E16" s="24" t="s">
        <v>757</v>
      </c>
      <c r="F16" s="23" t="s">
        <v>755</v>
      </c>
      <c r="G16" s="23" t="s">
        <v>662</v>
      </c>
      <c r="H16" s="427"/>
      <c r="I16" s="25" t="s">
        <v>758</v>
      </c>
      <c r="J16" s="21" t="str">
        <f>"DCM_"&amp;F16&amp;"_"&amp;G16</f>
        <v>DCM_518008_5</v>
      </c>
      <c r="K16" s="21" t="str">
        <f t="shared" si="0"/>
        <v>Detail_DCM_518008_5</v>
      </c>
      <c r="L16" s="20" t="str">
        <f>(F16*100+G16)&amp;":"</f>
        <v>51800805:</v>
      </c>
      <c r="M16" s="21" t="s">
        <v>759</v>
      </c>
      <c r="N16" s="21" t="s">
        <v>760</v>
      </c>
      <c r="O16" s="16" t="s">
        <v>572</v>
      </c>
      <c r="P16" s="16">
        <v>15</v>
      </c>
      <c r="Q16" s="16" t="s">
        <v>573</v>
      </c>
      <c r="R16" s="16" t="str">
        <f t="shared" si="1"/>
        <v>51800805:Var_ui_ErrNo := 15;</v>
      </c>
    </row>
    <row r="17" spans="1:18" ht="33.6" customHeight="1" x14ac:dyDescent="0.15">
      <c r="A17" s="22" t="s">
        <v>761</v>
      </c>
      <c r="D17" s="24" t="s">
        <v>762</v>
      </c>
      <c r="E17" s="24" t="s">
        <v>763</v>
      </c>
      <c r="F17" s="23" t="s">
        <v>755</v>
      </c>
      <c r="G17" s="23" t="s">
        <v>669</v>
      </c>
      <c r="H17" s="427"/>
      <c r="I17" s="25" t="s">
        <v>764</v>
      </c>
      <c r="J17" s="21" t="str">
        <f>"DCM_"&amp;F17&amp;"_"&amp;G17</f>
        <v>DCM_518008_6</v>
      </c>
      <c r="K17" s="21" t="str">
        <f t="shared" si="0"/>
        <v>Detail_DCM_518008_6</v>
      </c>
      <c r="L17" s="20" t="str">
        <f>(F17*100+G17)&amp;":"</f>
        <v>51800806:</v>
      </c>
      <c r="M17" s="21" t="s">
        <v>765</v>
      </c>
      <c r="N17" s="21" t="s">
        <v>766</v>
      </c>
      <c r="O17" s="16" t="s">
        <v>572</v>
      </c>
      <c r="P17" s="16">
        <v>16</v>
      </c>
      <c r="Q17" s="16" t="s">
        <v>573</v>
      </c>
      <c r="R17" s="16" t="str">
        <f t="shared" si="1"/>
        <v>51800806:Var_ui_ErrNo := 16;</v>
      </c>
    </row>
    <row r="18" spans="1:18" ht="33.6" customHeight="1" x14ac:dyDescent="0.15">
      <c r="A18" s="22" t="s">
        <v>767</v>
      </c>
      <c r="D18" s="24" t="s">
        <v>769</v>
      </c>
      <c r="E18" s="24" t="s">
        <v>770</v>
      </c>
      <c r="F18" s="23" t="s">
        <v>768</v>
      </c>
      <c r="G18" s="23" t="s">
        <v>662</v>
      </c>
      <c r="H18" s="427"/>
      <c r="I18" s="25" t="s">
        <v>771</v>
      </c>
      <c r="J18" s="21" t="str">
        <f>"DCM_"&amp;F18&amp;"_"&amp;G18</f>
        <v>DCM_518009_5</v>
      </c>
      <c r="K18" s="21" t="str">
        <f t="shared" si="0"/>
        <v>Detail_DCM_518009_5</v>
      </c>
      <c r="L18" s="20" t="str">
        <f>(F18*100+G18)&amp;":"</f>
        <v>51800905:</v>
      </c>
      <c r="M18" s="21" t="s">
        <v>772</v>
      </c>
      <c r="N18" s="21" t="s">
        <v>773</v>
      </c>
      <c r="O18" s="16" t="s">
        <v>572</v>
      </c>
      <c r="P18" s="16">
        <v>17</v>
      </c>
      <c r="Q18" s="16" t="s">
        <v>573</v>
      </c>
      <c r="R18" s="16" t="str">
        <f t="shared" si="1"/>
        <v>51800905:Var_ui_ErrNo := 17;</v>
      </c>
    </row>
    <row r="19" spans="1:18" ht="33.6" customHeight="1" x14ac:dyDescent="0.15">
      <c r="A19" s="22" t="s">
        <v>774</v>
      </c>
      <c r="D19" s="24" t="s">
        <v>775</v>
      </c>
      <c r="E19" s="24" t="s">
        <v>776</v>
      </c>
      <c r="F19" s="23" t="s">
        <v>768</v>
      </c>
      <c r="G19" s="23" t="s">
        <v>669</v>
      </c>
      <c r="H19" s="427"/>
      <c r="I19" s="25" t="s">
        <v>777</v>
      </c>
      <c r="J19" s="21" t="str">
        <f>"DCM_"&amp;F19&amp;"_"&amp;G19</f>
        <v>DCM_518009_6</v>
      </c>
      <c r="K19" s="21" t="str">
        <f t="shared" si="0"/>
        <v>Detail_DCM_518009_6</v>
      </c>
      <c r="L19" s="20" t="str">
        <f>(F19*100+G19)&amp;":"</f>
        <v>51800906:</v>
      </c>
      <c r="M19" s="21" t="s">
        <v>778</v>
      </c>
      <c r="N19" s="21" t="s">
        <v>779</v>
      </c>
      <c r="O19" s="16" t="s">
        <v>572</v>
      </c>
      <c r="P19" s="16">
        <v>18</v>
      </c>
      <c r="Q19" s="16" t="s">
        <v>573</v>
      </c>
      <c r="R19" s="16" t="str">
        <f t="shared" si="1"/>
        <v>51800906:Var_ui_ErrNo := 18;</v>
      </c>
    </row>
    <row r="20" spans="1:18" ht="33.6" customHeight="1" x14ac:dyDescent="0.15">
      <c r="A20" s="22" t="s">
        <v>780</v>
      </c>
      <c r="D20" s="24" t="s">
        <v>782</v>
      </c>
      <c r="E20" s="24" t="s">
        <v>783</v>
      </c>
      <c r="F20" s="23" t="s">
        <v>781</v>
      </c>
      <c r="G20" s="23" t="s">
        <v>662</v>
      </c>
      <c r="H20" s="427"/>
      <c r="I20" s="26" t="s">
        <v>784</v>
      </c>
      <c r="J20" s="21" t="str">
        <f>"DCM_"&amp;F20&amp;"_"&amp;G20</f>
        <v>DCM_518010_5</v>
      </c>
      <c r="K20" s="21" t="str">
        <f t="shared" si="0"/>
        <v>Detail_DCM_518010_5</v>
      </c>
      <c r="L20" s="20" t="str">
        <f>(F20*100+G20)&amp;":"</f>
        <v>51801005:</v>
      </c>
      <c r="M20" s="21" t="s">
        <v>785</v>
      </c>
      <c r="N20" s="21" t="s">
        <v>786</v>
      </c>
      <c r="O20" s="16" t="s">
        <v>572</v>
      </c>
      <c r="P20" s="16">
        <v>19</v>
      </c>
      <c r="Q20" s="16" t="s">
        <v>573</v>
      </c>
      <c r="R20" s="16" t="str">
        <f t="shared" si="1"/>
        <v>51801005:Var_ui_ErrNo := 19;</v>
      </c>
    </row>
    <row r="21" spans="1:18" ht="33.6" customHeight="1" x14ac:dyDescent="0.15">
      <c r="A21" s="22" t="s">
        <v>787</v>
      </c>
      <c r="D21" s="24" t="s">
        <v>788</v>
      </c>
      <c r="E21" s="24" t="s">
        <v>789</v>
      </c>
      <c r="F21" s="23" t="s">
        <v>781</v>
      </c>
      <c r="G21" s="23" t="s">
        <v>669</v>
      </c>
      <c r="H21" s="465" t="str">
        <f t="shared" si="2"/>
        <v>DCM:(518010,6)</v>
      </c>
      <c r="I21" s="26" t="s">
        <v>790</v>
      </c>
      <c r="J21" s="21" t="str">
        <f>"DCM_"&amp;F21&amp;"_"&amp;G21</f>
        <v>DCM_518010_6</v>
      </c>
      <c r="K21" s="21" t="str">
        <f t="shared" si="0"/>
        <v>Detail_DCM_518010_6</v>
      </c>
      <c r="L21" s="20" t="str">
        <f>(F21*100+G21)&amp;":"</f>
        <v>51801006:</v>
      </c>
      <c r="M21" s="21" t="s">
        <v>791</v>
      </c>
      <c r="N21" s="21" t="s">
        <v>792</v>
      </c>
      <c r="O21" s="16" t="s">
        <v>572</v>
      </c>
      <c r="P21" s="16">
        <v>20</v>
      </c>
      <c r="Q21" s="16" t="s">
        <v>573</v>
      </c>
      <c r="R21" s="16" t="str">
        <f t="shared" si="1"/>
        <v>51801006:Var_ui_ErrNo := 20;</v>
      </c>
    </row>
    <row r="22" spans="1:18" ht="33.6" customHeight="1" x14ac:dyDescent="0.15">
      <c r="A22" s="22" t="s">
        <v>793</v>
      </c>
      <c r="D22" s="24" t="s">
        <v>795</v>
      </c>
      <c r="E22" s="24" t="s">
        <v>796</v>
      </c>
      <c r="F22" s="23" t="s">
        <v>794</v>
      </c>
      <c r="G22" s="23" t="s">
        <v>669</v>
      </c>
      <c r="H22" s="427"/>
      <c r="I22" s="26" t="s">
        <v>797</v>
      </c>
      <c r="J22" s="21" t="str">
        <f>"DCM_"&amp;F22&amp;"_"&amp;G22</f>
        <v>DCM_518011_6</v>
      </c>
      <c r="K22" s="21" t="str">
        <f t="shared" si="0"/>
        <v>Detail_DCM_518011_6</v>
      </c>
      <c r="L22" s="20" t="str">
        <f>(F22*100+G22)&amp;":"</f>
        <v>51801106:</v>
      </c>
      <c r="M22" s="21" t="s">
        <v>798</v>
      </c>
      <c r="N22" s="21" t="s">
        <v>799</v>
      </c>
      <c r="O22" s="16" t="s">
        <v>572</v>
      </c>
      <c r="P22" s="16">
        <v>21</v>
      </c>
      <c r="Q22" s="16" t="s">
        <v>573</v>
      </c>
      <c r="R22" s="16" t="str">
        <f t="shared" si="1"/>
        <v>51801106:Var_ui_ErrNo := 21;</v>
      </c>
    </row>
    <row r="23" spans="1:18" ht="33.6" customHeight="1" x14ac:dyDescent="0.15">
      <c r="A23" s="22" t="s">
        <v>800</v>
      </c>
      <c r="D23" s="24" t="s">
        <v>803</v>
      </c>
      <c r="E23" s="24" t="s">
        <v>804</v>
      </c>
      <c r="F23" s="23" t="s">
        <v>801</v>
      </c>
      <c r="G23" s="23" t="s">
        <v>802</v>
      </c>
      <c r="H23" s="465" t="str">
        <f t="shared" si="2"/>
        <v>DCM:(518012,4)</v>
      </c>
      <c r="I23" s="26" t="s">
        <v>805</v>
      </c>
      <c r="J23" s="21" t="str">
        <f>"DCM_"&amp;F23&amp;"_"&amp;G23</f>
        <v>DCM_518012_4</v>
      </c>
      <c r="K23" s="21" t="str">
        <f t="shared" si="0"/>
        <v>Detail_DCM_518012_4</v>
      </c>
      <c r="L23" s="20" t="str">
        <f>(F23*100+G23)&amp;":"</f>
        <v>51801204:</v>
      </c>
      <c r="M23" s="21" t="s">
        <v>806</v>
      </c>
      <c r="N23" s="21" t="s">
        <v>807</v>
      </c>
      <c r="O23" s="16" t="s">
        <v>572</v>
      </c>
      <c r="P23" s="16">
        <v>22</v>
      </c>
      <c r="Q23" s="16" t="s">
        <v>573</v>
      </c>
      <c r="R23" s="16" t="str">
        <f t="shared" si="1"/>
        <v>51801204:Var_ui_ErrNo := 22;</v>
      </c>
    </row>
    <row r="24" spans="1:18" ht="33.6" customHeight="1" x14ac:dyDescent="0.15">
      <c r="A24" s="22" t="s">
        <v>808</v>
      </c>
      <c r="D24" s="24" t="s">
        <v>810</v>
      </c>
      <c r="E24" s="24" t="s">
        <v>811</v>
      </c>
      <c r="F24" s="23" t="s">
        <v>809</v>
      </c>
      <c r="G24" s="23" t="s">
        <v>802</v>
      </c>
      <c r="H24" s="465" t="str">
        <f t="shared" si="2"/>
        <v>DCM:(518013,4)</v>
      </c>
      <c r="I24" s="26" t="s">
        <v>812</v>
      </c>
      <c r="J24" s="21" t="str">
        <f>"DCM_"&amp;F24&amp;"_"&amp;G24</f>
        <v>DCM_518013_4</v>
      </c>
      <c r="K24" s="21" t="str">
        <f t="shared" si="0"/>
        <v>Detail_DCM_518013_4</v>
      </c>
      <c r="L24" s="20" t="str">
        <f>(F24*100+G24)&amp;":"</f>
        <v>51801304:</v>
      </c>
      <c r="M24" s="21" t="s">
        <v>813</v>
      </c>
      <c r="N24" s="21" t="s">
        <v>814</v>
      </c>
      <c r="O24" s="16" t="s">
        <v>572</v>
      </c>
      <c r="P24" s="16">
        <v>23</v>
      </c>
      <c r="Q24" s="16" t="s">
        <v>573</v>
      </c>
      <c r="R24" s="16" t="str">
        <f t="shared" si="1"/>
        <v>51801304:Var_ui_ErrNo := 23;</v>
      </c>
    </row>
    <row r="25" spans="1:18" ht="33.6" customHeight="1" x14ac:dyDescent="0.15">
      <c r="A25" s="22" t="s">
        <v>815</v>
      </c>
      <c r="D25" s="24" t="s">
        <v>817</v>
      </c>
      <c r="E25" s="24" t="s">
        <v>818</v>
      </c>
      <c r="F25" s="23" t="s">
        <v>816</v>
      </c>
      <c r="G25" s="23" t="s">
        <v>802</v>
      </c>
      <c r="H25" s="465" t="str">
        <f t="shared" si="2"/>
        <v>DCM:(518014,4)</v>
      </c>
      <c r="I25" s="26" t="s">
        <v>819</v>
      </c>
      <c r="J25" s="21" t="str">
        <f>"DCM_"&amp;F25&amp;"_"&amp;G25</f>
        <v>DCM_518014_4</v>
      </c>
      <c r="K25" s="21" t="str">
        <f t="shared" si="0"/>
        <v>Detail_DCM_518014_4</v>
      </c>
      <c r="L25" s="20" t="str">
        <f>(F25*100+G25)&amp;":"</f>
        <v>51801404:</v>
      </c>
      <c r="M25" s="21" t="s">
        <v>820</v>
      </c>
      <c r="N25" s="21" t="s">
        <v>821</v>
      </c>
      <c r="O25" s="16" t="s">
        <v>572</v>
      </c>
      <c r="P25" s="16">
        <v>24</v>
      </c>
      <c r="Q25" s="16" t="s">
        <v>573</v>
      </c>
      <c r="R25" s="16" t="str">
        <f t="shared" si="1"/>
        <v>51801404:Var_ui_ErrNo := 24;</v>
      </c>
    </row>
    <row r="26" spans="1:18" ht="33.6" customHeight="1" x14ac:dyDescent="0.15">
      <c r="A26" s="22" t="s">
        <v>822</v>
      </c>
      <c r="D26" s="24" t="s">
        <v>823</v>
      </c>
      <c r="E26" s="24" t="s">
        <v>824</v>
      </c>
      <c r="F26" s="27">
        <v>518017</v>
      </c>
      <c r="G26" s="27">
        <v>0</v>
      </c>
      <c r="H26" s="427"/>
      <c r="I26" s="28" t="s">
        <v>825</v>
      </c>
      <c r="J26" s="21" t="str">
        <f>"DCM_"&amp;F26&amp;"_"&amp;G26</f>
        <v>DCM_518017_0</v>
      </c>
      <c r="K26" s="21" t="str">
        <f t="shared" si="0"/>
        <v>Detail_DCM_518017_0</v>
      </c>
      <c r="L26" s="20" t="str">
        <f>(F26*100+G26)&amp;":"</f>
        <v>51801700:</v>
      </c>
      <c r="M26" s="21" t="s">
        <v>826</v>
      </c>
      <c r="N26" s="21" t="s">
        <v>827</v>
      </c>
      <c r="O26" s="16" t="s">
        <v>572</v>
      </c>
      <c r="P26" s="16">
        <v>25</v>
      </c>
      <c r="Q26" s="16" t="s">
        <v>573</v>
      </c>
      <c r="R26" s="16" t="str">
        <f t="shared" si="1"/>
        <v>51801700:Var_ui_ErrNo := 25;</v>
      </c>
    </row>
    <row r="27" spans="1:18" ht="33.6" customHeight="1" x14ac:dyDescent="0.15">
      <c r="A27" s="22" t="s">
        <v>828</v>
      </c>
      <c r="D27" s="24" t="s">
        <v>829</v>
      </c>
      <c r="E27" s="24" t="s">
        <v>830</v>
      </c>
      <c r="F27" s="27">
        <v>518017</v>
      </c>
      <c r="G27" s="27">
        <v>1</v>
      </c>
      <c r="H27" s="427"/>
      <c r="I27" s="28" t="s">
        <v>831</v>
      </c>
      <c r="J27" s="21" t="str">
        <f>"DCM_"&amp;F27&amp;"_"&amp;G27</f>
        <v>DCM_518017_1</v>
      </c>
      <c r="K27" s="21" t="str">
        <f t="shared" si="0"/>
        <v>Detail_DCM_518017_1</v>
      </c>
      <c r="L27" s="20" t="str">
        <f>(F27*100+G27)&amp;":"</f>
        <v>51801701:</v>
      </c>
      <c r="M27" s="21" t="s">
        <v>832</v>
      </c>
      <c r="N27" s="21" t="s">
        <v>833</v>
      </c>
      <c r="O27" s="16" t="s">
        <v>572</v>
      </c>
      <c r="P27" s="16">
        <v>26</v>
      </c>
      <c r="Q27" s="16" t="s">
        <v>573</v>
      </c>
      <c r="R27" s="16" t="str">
        <f t="shared" si="1"/>
        <v>51801701:Var_ui_ErrNo := 26;</v>
      </c>
    </row>
  </sheetData>
  <mergeCells count="1">
    <mergeCell ref="D1:E1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G44"/>
  <sheetViews>
    <sheetView zoomScale="85" zoomScaleNormal="85" workbookViewId="0">
      <pane ySplit="1" topLeftCell="A2" activePane="bottomLeft" state="frozen"/>
      <selection activeCell="S784" sqref="S784"/>
      <selection pane="bottomLeft" activeCell="F2" sqref="F2"/>
    </sheetView>
  </sheetViews>
  <sheetFormatPr defaultColWidth="9" defaultRowHeight="16.5" x14ac:dyDescent="0.3"/>
  <cols>
    <col min="1" max="1" width="7.25" style="455" customWidth="1"/>
    <col min="2" max="2" width="10.625" style="460" customWidth="1"/>
    <col min="3" max="3" width="5.125" style="460" bestFit="1" customWidth="1"/>
    <col min="4" max="4" width="57.625" style="455" bestFit="1" customWidth="1"/>
    <col min="5" max="5" width="28" style="462" bestFit="1" customWidth="1"/>
    <col min="6" max="6" width="39.375" style="462" customWidth="1"/>
    <col min="7" max="7" width="57" style="462" bestFit="1" customWidth="1"/>
    <col min="8" max="9" width="15.75" style="455" customWidth="1"/>
    <col min="10" max="10" width="20.875" style="455" customWidth="1"/>
    <col min="11" max="16384" width="9" style="455"/>
  </cols>
  <sheetData>
    <row r="1" spans="1:7" s="470" customFormat="1" ht="34.5" customHeight="1" x14ac:dyDescent="0.3">
      <c r="A1" s="410" t="s">
        <v>112</v>
      </c>
      <c r="B1" s="410" t="s">
        <v>569</v>
      </c>
      <c r="C1" s="410" t="s">
        <v>570</v>
      </c>
      <c r="D1" s="468" t="s">
        <v>865</v>
      </c>
      <c r="E1" s="469"/>
      <c r="F1" s="410" t="s">
        <v>114</v>
      </c>
      <c r="G1" s="410" t="s">
        <v>115</v>
      </c>
    </row>
    <row r="2" spans="1:7" ht="25.9" customHeight="1" x14ac:dyDescent="0.3">
      <c r="A2" s="471" t="s">
        <v>866</v>
      </c>
      <c r="B2" s="471">
        <v>520001</v>
      </c>
      <c r="C2" s="471">
        <v>9</v>
      </c>
      <c r="D2" s="471" t="s">
        <v>867</v>
      </c>
      <c r="E2" s="472" t="s">
        <v>868</v>
      </c>
      <c r="F2" s="465" t="str">
        <f>"TPMS"&amp;":"&amp;"("&amp;B2&amp;","&amp;C2&amp;")"</f>
        <v>TPMS:(520001,9)</v>
      </c>
      <c r="G2" s="472" t="s">
        <v>869</v>
      </c>
    </row>
    <row r="3" spans="1:7" ht="25.9" customHeight="1" x14ac:dyDescent="0.3">
      <c r="A3" s="471" t="s">
        <v>870</v>
      </c>
      <c r="B3" s="471">
        <v>520002</v>
      </c>
      <c r="C3" s="471">
        <v>9</v>
      </c>
      <c r="D3" s="471" t="s">
        <v>871</v>
      </c>
      <c r="E3" s="472" t="s">
        <v>872</v>
      </c>
      <c r="F3" s="465" t="str">
        <f t="shared" ref="F3:F38" si="0">"TPMS"&amp;":"&amp;"("&amp;B3&amp;","&amp;C3&amp;")"</f>
        <v>TPMS:(520002,9)</v>
      </c>
      <c r="G3" s="472" t="s">
        <v>873</v>
      </c>
    </row>
    <row r="4" spans="1:7" ht="25.9" customHeight="1" x14ac:dyDescent="0.3">
      <c r="A4" s="471" t="s">
        <v>675</v>
      </c>
      <c r="B4" s="471">
        <v>520003</v>
      </c>
      <c r="C4" s="471">
        <v>9</v>
      </c>
      <c r="D4" s="471" t="s">
        <v>874</v>
      </c>
      <c r="E4" s="472" t="s">
        <v>875</v>
      </c>
      <c r="F4" s="465" t="str">
        <f t="shared" si="0"/>
        <v>TPMS:(520003,9)</v>
      </c>
      <c r="G4" s="472" t="s">
        <v>876</v>
      </c>
    </row>
    <row r="5" spans="1:7" ht="25.9" customHeight="1" x14ac:dyDescent="0.3">
      <c r="A5" s="471" t="s">
        <v>682</v>
      </c>
      <c r="B5" s="471">
        <v>520004</v>
      </c>
      <c r="C5" s="471">
        <v>9</v>
      </c>
      <c r="D5" s="471" t="s">
        <v>877</v>
      </c>
      <c r="E5" s="472" t="s">
        <v>878</v>
      </c>
      <c r="F5" s="465" t="str">
        <f t="shared" si="0"/>
        <v>TPMS:(520004,9)</v>
      </c>
      <c r="G5" s="472" t="s">
        <v>879</v>
      </c>
    </row>
    <row r="6" spans="1:7" ht="25.9" customHeight="1" x14ac:dyDescent="0.3">
      <c r="A6" s="471" t="s">
        <v>688</v>
      </c>
      <c r="B6" s="471">
        <v>520005</v>
      </c>
      <c r="C6" s="471">
        <v>9</v>
      </c>
      <c r="D6" s="471" t="s">
        <v>880</v>
      </c>
      <c r="E6" s="472" t="s">
        <v>881</v>
      </c>
      <c r="F6" s="465" t="str">
        <f t="shared" si="0"/>
        <v>TPMS:(520005,9)</v>
      </c>
      <c r="G6" s="472" t="s">
        <v>882</v>
      </c>
    </row>
    <row r="7" spans="1:7" ht="25.9" customHeight="1" x14ac:dyDescent="0.3">
      <c r="A7" s="471" t="s">
        <v>695</v>
      </c>
      <c r="B7" s="471">
        <v>520006</v>
      </c>
      <c r="C7" s="471">
        <v>9</v>
      </c>
      <c r="D7" s="471" t="s">
        <v>883</v>
      </c>
      <c r="E7" s="472" t="s">
        <v>884</v>
      </c>
      <c r="F7" s="465" t="str">
        <f t="shared" si="0"/>
        <v>TPMS:(520006,9)</v>
      </c>
      <c r="G7" s="472" t="s">
        <v>885</v>
      </c>
    </row>
    <row r="8" spans="1:7" ht="25.9" customHeight="1" x14ac:dyDescent="0.3">
      <c r="A8" s="471" t="s">
        <v>701</v>
      </c>
      <c r="B8" s="471">
        <v>520007</v>
      </c>
      <c r="C8" s="471">
        <v>9</v>
      </c>
      <c r="D8" s="471" t="s">
        <v>886</v>
      </c>
      <c r="E8" s="472" t="s">
        <v>887</v>
      </c>
      <c r="F8" s="465" t="str">
        <f t="shared" si="0"/>
        <v>TPMS:(520007,9)</v>
      </c>
      <c r="G8" s="472" t="s">
        <v>888</v>
      </c>
    </row>
    <row r="9" spans="1:7" ht="25.9" customHeight="1" x14ac:dyDescent="0.3">
      <c r="A9" s="471" t="s">
        <v>708</v>
      </c>
      <c r="B9" s="471">
        <v>520008</v>
      </c>
      <c r="C9" s="471">
        <v>9</v>
      </c>
      <c r="D9" s="471" t="s">
        <v>889</v>
      </c>
      <c r="E9" s="472" t="s">
        <v>890</v>
      </c>
      <c r="F9" s="465" t="str">
        <f t="shared" si="0"/>
        <v>TPMS:(520008,9)</v>
      </c>
      <c r="G9" s="472" t="s">
        <v>891</v>
      </c>
    </row>
    <row r="10" spans="1:7" ht="25.9" customHeight="1" x14ac:dyDescent="0.3">
      <c r="A10" s="471" t="s">
        <v>714</v>
      </c>
      <c r="B10" s="471">
        <v>520009</v>
      </c>
      <c r="C10" s="471">
        <v>9</v>
      </c>
      <c r="D10" s="471" t="s">
        <v>892</v>
      </c>
      <c r="E10" s="472" t="s">
        <v>893</v>
      </c>
      <c r="F10" s="465" t="str">
        <f t="shared" si="0"/>
        <v>TPMS:(520009,9)</v>
      </c>
      <c r="G10" s="472" t="s">
        <v>894</v>
      </c>
    </row>
    <row r="11" spans="1:7" ht="25.9" customHeight="1" x14ac:dyDescent="0.3">
      <c r="A11" s="471" t="s">
        <v>721</v>
      </c>
      <c r="B11" s="471">
        <v>520010</v>
      </c>
      <c r="C11" s="471">
        <v>9</v>
      </c>
      <c r="D11" s="471" t="s">
        <v>895</v>
      </c>
      <c r="E11" s="472" t="s">
        <v>896</v>
      </c>
      <c r="F11" s="465" t="str">
        <f t="shared" si="0"/>
        <v>TPMS:(520010,9)</v>
      </c>
      <c r="G11" s="472" t="s">
        <v>897</v>
      </c>
    </row>
    <row r="12" spans="1:7" ht="25.9" customHeight="1" x14ac:dyDescent="0.3">
      <c r="A12" s="471" t="s">
        <v>727</v>
      </c>
      <c r="B12" s="471">
        <v>520011</v>
      </c>
      <c r="C12" s="471">
        <v>9</v>
      </c>
      <c r="D12" s="471" t="s">
        <v>898</v>
      </c>
      <c r="E12" s="472" t="s">
        <v>899</v>
      </c>
      <c r="F12" s="465" t="str">
        <f t="shared" si="0"/>
        <v>TPMS:(520011,9)</v>
      </c>
      <c r="G12" s="472" t="s">
        <v>900</v>
      </c>
    </row>
    <row r="13" spans="1:7" ht="25.9" customHeight="1" x14ac:dyDescent="0.3">
      <c r="A13" s="471" t="s">
        <v>734</v>
      </c>
      <c r="B13" s="471">
        <v>520012</v>
      </c>
      <c r="C13" s="471">
        <v>9</v>
      </c>
      <c r="D13" s="471" t="s">
        <v>901</v>
      </c>
      <c r="E13" s="472" t="s">
        <v>902</v>
      </c>
      <c r="F13" s="465" t="str">
        <f t="shared" si="0"/>
        <v>TPMS:(520012,9)</v>
      </c>
      <c r="G13" s="472" t="s">
        <v>903</v>
      </c>
    </row>
    <row r="14" spans="1:7" ht="25.9" customHeight="1" x14ac:dyDescent="0.3">
      <c r="A14" s="471" t="s">
        <v>741</v>
      </c>
      <c r="B14" s="471">
        <v>520013</v>
      </c>
      <c r="C14" s="471">
        <v>9</v>
      </c>
      <c r="D14" s="471" t="s">
        <v>904</v>
      </c>
      <c r="E14" s="472" t="s">
        <v>905</v>
      </c>
      <c r="F14" s="465" t="str">
        <f t="shared" si="0"/>
        <v>TPMS:(520013,9)</v>
      </c>
      <c r="G14" s="472" t="s">
        <v>906</v>
      </c>
    </row>
    <row r="15" spans="1:7" ht="25.9" customHeight="1" x14ac:dyDescent="0.3">
      <c r="A15" s="471" t="s">
        <v>748</v>
      </c>
      <c r="B15" s="471">
        <v>520014</v>
      </c>
      <c r="C15" s="471">
        <v>9</v>
      </c>
      <c r="D15" s="471" t="s">
        <v>907</v>
      </c>
      <c r="E15" s="472" t="s">
        <v>908</v>
      </c>
      <c r="F15" s="465" t="str">
        <f t="shared" si="0"/>
        <v>TPMS:(520014,9)</v>
      </c>
      <c r="G15" s="472" t="s">
        <v>909</v>
      </c>
    </row>
    <row r="16" spans="1:7" ht="25.9" customHeight="1" x14ac:dyDescent="0.3">
      <c r="A16" s="471" t="s">
        <v>754</v>
      </c>
      <c r="B16" s="471">
        <v>3509</v>
      </c>
      <c r="C16" s="471">
        <v>18</v>
      </c>
      <c r="D16" s="471" t="s">
        <v>910</v>
      </c>
      <c r="E16" s="472" t="s">
        <v>911</v>
      </c>
      <c r="F16" s="465" t="str">
        <f t="shared" si="0"/>
        <v>TPMS:(3509,18)</v>
      </c>
      <c r="G16" s="472" t="s">
        <v>912</v>
      </c>
    </row>
    <row r="17" spans="1:7" ht="25.9" customHeight="1" x14ac:dyDescent="0.3">
      <c r="A17" s="471" t="s">
        <v>761</v>
      </c>
      <c r="B17" s="471">
        <v>3510</v>
      </c>
      <c r="C17" s="471">
        <v>18</v>
      </c>
      <c r="D17" s="471" t="s">
        <v>913</v>
      </c>
      <c r="E17" s="472" t="s">
        <v>914</v>
      </c>
      <c r="F17" s="465" t="str">
        <f t="shared" si="0"/>
        <v>TPMS:(3510,18)</v>
      </c>
      <c r="G17" s="472" t="s">
        <v>915</v>
      </c>
    </row>
    <row r="18" spans="1:7" ht="25.9" customHeight="1" x14ac:dyDescent="0.3">
      <c r="A18" s="471" t="s">
        <v>767</v>
      </c>
      <c r="B18" s="471">
        <v>3511</v>
      </c>
      <c r="C18" s="471">
        <v>18</v>
      </c>
      <c r="D18" s="471" t="s">
        <v>916</v>
      </c>
      <c r="E18" s="472" t="s">
        <v>917</v>
      </c>
      <c r="F18" s="465" t="str">
        <f t="shared" si="0"/>
        <v>TPMS:(3511,18)</v>
      </c>
      <c r="G18" s="472" t="s">
        <v>918</v>
      </c>
    </row>
    <row r="19" spans="1:7" ht="25.9" customHeight="1" x14ac:dyDescent="0.3">
      <c r="A19" s="471" t="s">
        <v>774</v>
      </c>
      <c r="B19" s="471">
        <v>3512</v>
      </c>
      <c r="C19" s="471">
        <v>18</v>
      </c>
      <c r="D19" s="471" t="s">
        <v>919</v>
      </c>
      <c r="E19" s="472" t="s">
        <v>920</v>
      </c>
      <c r="F19" s="465" t="str">
        <f t="shared" si="0"/>
        <v>TPMS:(3512,18)</v>
      </c>
      <c r="G19" s="472" t="s">
        <v>921</v>
      </c>
    </row>
    <row r="20" spans="1:7" ht="25.9" customHeight="1" x14ac:dyDescent="0.3">
      <c r="A20" s="471" t="s">
        <v>780</v>
      </c>
      <c r="B20" s="471">
        <v>3513</v>
      </c>
      <c r="C20" s="471">
        <v>18</v>
      </c>
      <c r="D20" s="471" t="s">
        <v>922</v>
      </c>
      <c r="E20" s="472" t="s">
        <v>923</v>
      </c>
      <c r="F20" s="465" t="str">
        <f t="shared" si="0"/>
        <v>TPMS:(3513,18)</v>
      </c>
      <c r="G20" s="472" t="s">
        <v>924</v>
      </c>
    </row>
    <row r="21" spans="1:7" ht="25.9" customHeight="1" x14ac:dyDescent="0.3">
      <c r="A21" s="471" t="s">
        <v>787</v>
      </c>
      <c r="B21" s="471">
        <v>3514</v>
      </c>
      <c r="C21" s="471">
        <v>18</v>
      </c>
      <c r="D21" s="471" t="s">
        <v>925</v>
      </c>
      <c r="E21" s="472" t="s">
        <v>926</v>
      </c>
      <c r="F21" s="465" t="str">
        <f t="shared" si="0"/>
        <v>TPMS:(3514,18)</v>
      </c>
      <c r="G21" s="472" t="s">
        <v>927</v>
      </c>
    </row>
    <row r="22" spans="1:7" ht="25.9" customHeight="1" x14ac:dyDescent="0.3">
      <c r="A22" s="471" t="s">
        <v>793</v>
      </c>
      <c r="B22" s="471">
        <v>5125</v>
      </c>
      <c r="C22" s="471">
        <v>18</v>
      </c>
      <c r="D22" s="471" t="s">
        <v>928</v>
      </c>
      <c r="E22" s="472" t="s">
        <v>929</v>
      </c>
      <c r="F22" s="465" t="str">
        <f t="shared" si="0"/>
        <v>TPMS:(5125,18)</v>
      </c>
      <c r="G22" s="472" t="s">
        <v>930</v>
      </c>
    </row>
    <row r="23" spans="1:7" ht="25.9" customHeight="1" x14ac:dyDescent="0.3">
      <c r="A23" s="471" t="s">
        <v>800</v>
      </c>
      <c r="B23" s="471">
        <v>5126</v>
      </c>
      <c r="C23" s="471">
        <v>18</v>
      </c>
      <c r="D23" s="471" t="s">
        <v>931</v>
      </c>
      <c r="E23" s="472" t="s">
        <v>932</v>
      </c>
      <c r="F23" s="465" t="str">
        <f t="shared" si="0"/>
        <v>TPMS:(5126,18)</v>
      </c>
      <c r="G23" s="472" t="s">
        <v>933</v>
      </c>
    </row>
    <row r="24" spans="1:7" ht="25.9" customHeight="1" x14ac:dyDescent="0.3">
      <c r="A24" s="471" t="s">
        <v>808</v>
      </c>
      <c r="B24" s="471">
        <v>5127</v>
      </c>
      <c r="C24" s="471">
        <v>18</v>
      </c>
      <c r="D24" s="471" t="s">
        <v>934</v>
      </c>
      <c r="E24" s="472" t="s">
        <v>935</v>
      </c>
      <c r="F24" s="465" t="str">
        <f t="shared" si="0"/>
        <v>TPMS:(5127,18)</v>
      </c>
      <c r="G24" s="472" t="s">
        <v>936</v>
      </c>
    </row>
    <row r="25" spans="1:7" ht="25.9" customHeight="1" x14ac:dyDescent="0.3">
      <c r="A25" s="471" t="s">
        <v>815</v>
      </c>
      <c r="B25" s="471">
        <v>5128</v>
      </c>
      <c r="C25" s="471">
        <v>18</v>
      </c>
      <c r="D25" s="471" t="s">
        <v>937</v>
      </c>
      <c r="E25" s="472" t="s">
        <v>938</v>
      </c>
      <c r="F25" s="465" t="str">
        <f t="shared" si="0"/>
        <v>TPMS:(5128,18)</v>
      </c>
      <c r="G25" s="472" t="s">
        <v>939</v>
      </c>
    </row>
    <row r="26" spans="1:7" ht="25.9" customHeight="1" x14ac:dyDescent="0.3">
      <c r="A26" s="471" t="s">
        <v>822</v>
      </c>
      <c r="B26" s="471">
        <v>5129</v>
      </c>
      <c r="C26" s="471">
        <v>18</v>
      </c>
      <c r="D26" s="471" t="s">
        <v>940</v>
      </c>
      <c r="E26" s="472" t="s">
        <v>941</v>
      </c>
      <c r="F26" s="465" t="str">
        <f t="shared" si="0"/>
        <v>TPMS:(5129,18)</v>
      </c>
      <c r="G26" s="472" t="s">
        <v>942</v>
      </c>
    </row>
    <row r="27" spans="1:7" ht="25.9" customHeight="1" x14ac:dyDescent="0.3">
      <c r="A27" s="471" t="s">
        <v>828</v>
      </c>
      <c r="B27" s="471">
        <v>5130</v>
      </c>
      <c r="C27" s="471">
        <v>18</v>
      </c>
      <c r="D27" s="471" t="s">
        <v>943</v>
      </c>
      <c r="E27" s="472" t="s">
        <v>944</v>
      </c>
      <c r="F27" s="465" t="str">
        <f t="shared" si="0"/>
        <v>TPMS:(5130,18)</v>
      </c>
      <c r="G27" s="472" t="s">
        <v>945</v>
      </c>
    </row>
    <row r="28" spans="1:7" ht="25.9" customHeight="1" x14ac:dyDescent="0.3">
      <c r="A28" s="471" t="s">
        <v>946</v>
      </c>
      <c r="B28" s="471">
        <v>5131</v>
      </c>
      <c r="C28" s="471">
        <v>18</v>
      </c>
      <c r="D28" s="471" t="s">
        <v>947</v>
      </c>
      <c r="E28" s="472" t="s">
        <v>948</v>
      </c>
      <c r="F28" s="465" t="str">
        <f t="shared" si="0"/>
        <v>TPMS:(5131,18)</v>
      </c>
      <c r="G28" s="472" t="s">
        <v>949</v>
      </c>
    </row>
    <row r="29" spans="1:7" ht="25.9" customHeight="1" x14ac:dyDescent="0.3">
      <c r="A29" s="471" t="s">
        <v>950</v>
      </c>
      <c r="B29" s="471">
        <v>5132</v>
      </c>
      <c r="C29" s="471">
        <v>18</v>
      </c>
      <c r="D29" s="471" t="s">
        <v>951</v>
      </c>
      <c r="E29" s="472" t="s">
        <v>952</v>
      </c>
      <c r="F29" s="465" t="str">
        <f t="shared" si="0"/>
        <v>TPMS:(5132,18)</v>
      </c>
      <c r="G29" s="472" t="s">
        <v>953</v>
      </c>
    </row>
    <row r="30" spans="1:7" ht="25.9" customHeight="1" x14ac:dyDescent="0.3">
      <c r="A30" s="471" t="s">
        <v>954</v>
      </c>
      <c r="B30" s="471">
        <v>5133</v>
      </c>
      <c r="C30" s="471">
        <v>18</v>
      </c>
      <c r="D30" s="471" t="s">
        <v>955</v>
      </c>
      <c r="E30" s="472" t="s">
        <v>956</v>
      </c>
      <c r="F30" s="465" t="str">
        <f t="shared" si="0"/>
        <v>TPMS:(5133,18)</v>
      </c>
      <c r="G30" s="472" t="s">
        <v>957</v>
      </c>
    </row>
    <row r="31" spans="1:7" ht="25.9" customHeight="1" x14ac:dyDescent="0.3">
      <c r="A31" s="471" t="s">
        <v>958</v>
      </c>
      <c r="B31" s="471">
        <v>519001</v>
      </c>
      <c r="C31" s="471" t="s">
        <v>714</v>
      </c>
      <c r="D31" s="471" t="s">
        <v>959</v>
      </c>
      <c r="E31" s="472" t="s">
        <v>960</v>
      </c>
      <c r="F31" s="427"/>
      <c r="G31" s="472" t="s">
        <v>961</v>
      </c>
    </row>
    <row r="32" spans="1:7" ht="25.9" customHeight="1" x14ac:dyDescent="0.3">
      <c r="A32" s="471" t="s">
        <v>962</v>
      </c>
      <c r="B32" s="471">
        <v>519002</v>
      </c>
      <c r="C32" s="471" t="s">
        <v>721</v>
      </c>
      <c r="D32" s="471" t="s">
        <v>963</v>
      </c>
      <c r="E32" s="472" t="s">
        <v>964</v>
      </c>
      <c r="F32" s="427"/>
      <c r="G32" s="472" t="s">
        <v>965</v>
      </c>
    </row>
    <row r="33" spans="1:7" ht="25.9" customHeight="1" x14ac:dyDescent="0.3">
      <c r="A33" s="471" t="s">
        <v>966</v>
      </c>
      <c r="B33" s="471">
        <v>519003</v>
      </c>
      <c r="C33" s="471" t="s">
        <v>727</v>
      </c>
      <c r="D33" s="471" t="s">
        <v>963</v>
      </c>
      <c r="E33" s="472" t="s">
        <v>967</v>
      </c>
      <c r="F33" s="427"/>
      <c r="G33" s="472" t="s">
        <v>968</v>
      </c>
    </row>
    <row r="34" spans="1:7" ht="25.9" customHeight="1" x14ac:dyDescent="0.3">
      <c r="A34" s="471" t="s">
        <v>969</v>
      </c>
      <c r="B34" s="471">
        <v>518005</v>
      </c>
      <c r="C34" s="471">
        <v>11</v>
      </c>
      <c r="D34" s="471" t="s">
        <v>970</v>
      </c>
      <c r="E34" s="472" t="s">
        <v>971</v>
      </c>
      <c r="F34" s="427"/>
      <c r="G34" s="472" t="s">
        <v>972</v>
      </c>
    </row>
    <row r="35" spans="1:7" ht="25.9" customHeight="1" x14ac:dyDescent="0.3">
      <c r="A35" s="471" t="s">
        <v>973</v>
      </c>
      <c r="B35" s="471">
        <v>168</v>
      </c>
      <c r="C35" s="471">
        <v>4</v>
      </c>
      <c r="D35" s="471" t="s">
        <v>974</v>
      </c>
      <c r="E35" s="472" t="s">
        <v>975</v>
      </c>
      <c r="F35" s="427"/>
      <c r="G35" s="472" t="s">
        <v>976</v>
      </c>
    </row>
    <row r="36" spans="1:7" ht="25.9" customHeight="1" x14ac:dyDescent="0.3">
      <c r="A36" s="471" t="s">
        <v>977</v>
      </c>
      <c r="B36" s="471">
        <v>168</v>
      </c>
      <c r="C36" s="471">
        <v>3</v>
      </c>
      <c r="D36" s="471" t="s">
        <v>978</v>
      </c>
      <c r="E36" s="472" t="s">
        <v>979</v>
      </c>
      <c r="F36" s="427"/>
      <c r="G36" s="472" t="s">
        <v>980</v>
      </c>
    </row>
    <row r="37" spans="1:7" ht="25.9" customHeight="1" x14ac:dyDescent="0.3">
      <c r="A37" s="471" t="s">
        <v>981</v>
      </c>
      <c r="B37" s="471">
        <v>518002</v>
      </c>
      <c r="C37" s="471">
        <v>9</v>
      </c>
      <c r="D37" s="471" t="s">
        <v>982</v>
      </c>
      <c r="E37" s="472" t="s">
        <v>983</v>
      </c>
      <c r="F37" s="427"/>
      <c r="G37" s="472" t="s">
        <v>984</v>
      </c>
    </row>
    <row r="38" spans="1:7" ht="25.9" customHeight="1" x14ac:dyDescent="0.3">
      <c r="A38" s="471" t="s">
        <v>985</v>
      </c>
      <c r="B38" s="471">
        <v>171</v>
      </c>
      <c r="C38" s="471">
        <v>9</v>
      </c>
      <c r="D38" s="471" t="s">
        <v>986</v>
      </c>
      <c r="E38" s="472" t="s">
        <v>987</v>
      </c>
      <c r="F38" s="427"/>
      <c r="G38" s="472" t="s">
        <v>988</v>
      </c>
    </row>
    <row r="44" spans="1:7" x14ac:dyDescent="0.3">
      <c r="E44" s="455"/>
      <c r="F44" s="455"/>
      <c r="G44" s="455"/>
    </row>
  </sheetData>
  <mergeCells count="1">
    <mergeCell ref="D1:E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10"/>
  <sheetViews>
    <sheetView workbookViewId="0">
      <selection activeCell="H41" sqref="G41:H41"/>
    </sheetView>
  </sheetViews>
  <sheetFormatPr defaultColWidth="8.875" defaultRowHeight="13.5" x14ac:dyDescent="0.15"/>
  <cols>
    <col min="1" max="2" width="8.875" style="16"/>
    <col min="3" max="3" width="8.125" style="16" customWidth="1"/>
    <col min="4" max="4" width="23.25" style="16" customWidth="1"/>
    <col min="5" max="5" width="36.125" style="16" bestFit="1" customWidth="1"/>
    <col min="6" max="6" width="27.875" style="16" customWidth="1"/>
    <col min="7" max="7" width="29.875" style="16" customWidth="1"/>
    <col min="8" max="8" width="21.125" style="16" customWidth="1"/>
    <col min="9" max="14" width="8.875" style="16"/>
    <col min="15" max="15" width="14.375" style="16" customWidth="1"/>
    <col min="16" max="16384" width="8.875" style="16"/>
  </cols>
  <sheetData>
    <row r="1" spans="1:7" x14ac:dyDescent="0.15">
      <c r="A1" s="479" t="s">
        <v>989</v>
      </c>
      <c r="B1" s="479"/>
      <c r="C1" s="479"/>
      <c r="D1" s="479"/>
      <c r="E1" s="479"/>
      <c r="F1" s="479"/>
    </row>
    <row r="2" spans="1:7" ht="24.95" customHeight="1" x14ac:dyDescent="0.15">
      <c r="A2" s="480" t="s">
        <v>0</v>
      </c>
      <c r="B2" s="480" t="s">
        <v>103</v>
      </c>
      <c r="C2" s="480" t="s">
        <v>104</v>
      </c>
      <c r="D2" s="480" t="s">
        <v>2</v>
      </c>
      <c r="E2" s="480" t="s">
        <v>990</v>
      </c>
      <c r="F2" s="480" t="s">
        <v>991</v>
      </c>
      <c r="G2" s="481" t="s">
        <v>3406</v>
      </c>
    </row>
    <row r="3" spans="1:7" ht="24.95" customHeight="1" x14ac:dyDescent="0.15">
      <c r="A3" s="482">
        <v>1</v>
      </c>
      <c r="B3" s="482" t="s">
        <v>992</v>
      </c>
      <c r="C3" s="482" t="s">
        <v>993</v>
      </c>
      <c r="D3" s="482" t="s">
        <v>994</v>
      </c>
      <c r="E3" s="482" t="s">
        <v>995</v>
      </c>
      <c r="F3" s="483" t="s">
        <v>3405</v>
      </c>
      <c r="G3" s="483" t="s">
        <v>995</v>
      </c>
    </row>
    <row r="4" spans="1:7" ht="24.95" customHeight="1" x14ac:dyDescent="0.15">
      <c r="A4" s="477">
        <v>2</v>
      </c>
      <c r="B4" s="477" t="s">
        <v>996</v>
      </c>
      <c r="C4" s="477" t="s">
        <v>997</v>
      </c>
      <c r="D4" s="477" t="s">
        <v>998</v>
      </c>
      <c r="E4" s="477" t="s">
        <v>999</v>
      </c>
      <c r="F4" s="477"/>
      <c r="G4" s="477"/>
    </row>
    <row r="5" spans="1:7" ht="24.95" customHeight="1" x14ac:dyDescent="0.15">
      <c r="A5" s="477">
        <v>3</v>
      </c>
      <c r="B5" s="477" t="s">
        <v>1000</v>
      </c>
      <c r="C5" s="477" t="s">
        <v>1001</v>
      </c>
      <c r="D5" s="477" t="s">
        <v>1002</v>
      </c>
      <c r="E5" s="477" t="s">
        <v>1003</v>
      </c>
      <c r="F5" s="477"/>
      <c r="G5" s="477"/>
    </row>
    <row r="6" spans="1:7" ht="24.95" customHeight="1" x14ac:dyDescent="0.15">
      <c r="A6" s="482">
        <v>4</v>
      </c>
      <c r="B6" s="482" t="s">
        <v>1004</v>
      </c>
      <c r="C6" s="482" t="s">
        <v>1001</v>
      </c>
      <c r="D6" s="482" t="s">
        <v>1005</v>
      </c>
      <c r="E6" s="482" t="s">
        <v>1006</v>
      </c>
      <c r="F6" s="482"/>
      <c r="G6" s="482"/>
    </row>
    <row r="7" spans="1:7" ht="24.95" customHeight="1" x14ac:dyDescent="0.15">
      <c r="A7" s="482">
        <v>5</v>
      </c>
      <c r="B7" s="482" t="s">
        <v>1007</v>
      </c>
      <c r="C7" s="482" t="s">
        <v>1001</v>
      </c>
      <c r="D7" s="482" t="s">
        <v>1008</v>
      </c>
      <c r="E7" s="482" t="s">
        <v>1009</v>
      </c>
      <c r="F7" s="482"/>
      <c r="G7" s="482"/>
    </row>
    <row r="8" spans="1:7" ht="24.95" customHeight="1" x14ac:dyDescent="0.15">
      <c r="A8" s="482">
        <v>6</v>
      </c>
      <c r="B8" s="482" t="s">
        <v>1010</v>
      </c>
      <c r="C8" s="482" t="s">
        <v>1001</v>
      </c>
      <c r="D8" s="482" t="s">
        <v>1011</v>
      </c>
      <c r="E8" s="482" t="s">
        <v>1012</v>
      </c>
      <c r="F8" s="482"/>
      <c r="G8" s="482"/>
    </row>
    <row r="9" spans="1:7" ht="24.95" customHeight="1" x14ac:dyDescent="0.15">
      <c r="A9" s="477">
        <v>7</v>
      </c>
      <c r="B9" s="477" t="s">
        <v>1013</v>
      </c>
      <c r="C9" s="477" t="s">
        <v>1001</v>
      </c>
      <c r="D9" s="477" t="s">
        <v>1014</v>
      </c>
      <c r="E9" s="478" t="s">
        <v>1015</v>
      </c>
      <c r="F9" s="484" t="s">
        <v>3407</v>
      </c>
      <c r="G9" s="484" t="s">
        <v>1015</v>
      </c>
    </row>
    <row r="10" spans="1:7" ht="24.95" customHeight="1" x14ac:dyDescent="0.15">
      <c r="A10" s="477">
        <v>8</v>
      </c>
      <c r="B10" s="477" t="s">
        <v>1016</v>
      </c>
      <c r="C10" s="477" t="s">
        <v>1001</v>
      </c>
      <c r="D10" s="477" t="s">
        <v>1017</v>
      </c>
      <c r="E10" s="478" t="s">
        <v>1018</v>
      </c>
      <c r="F10" s="477"/>
      <c r="G10" s="478"/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G6"/>
  <sheetViews>
    <sheetView workbookViewId="0">
      <selection activeCell="G17" sqref="G17"/>
    </sheetView>
  </sheetViews>
  <sheetFormatPr defaultColWidth="8.875" defaultRowHeight="16.5" x14ac:dyDescent="0.3"/>
  <cols>
    <col min="1" max="1" width="6.75" style="430" customWidth="1"/>
    <col min="2" max="2" width="7.125" style="430" customWidth="1"/>
    <col min="3" max="3" width="7.875" style="430" customWidth="1"/>
    <col min="4" max="4" width="15.625" style="430" customWidth="1"/>
    <col min="5" max="5" width="43.375" style="430" customWidth="1"/>
    <col min="6" max="6" width="36.75" style="430" customWidth="1"/>
    <col min="7" max="16384" width="8.875" style="430"/>
  </cols>
  <sheetData>
    <row r="1" spans="1:7" x14ac:dyDescent="0.3">
      <c r="A1" s="485" t="s">
        <v>1019</v>
      </c>
      <c r="B1" s="485"/>
      <c r="C1" s="485"/>
      <c r="D1" s="485"/>
      <c r="E1" s="485"/>
      <c r="F1" s="485"/>
    </row>
    <row r="2" spans="1:7" ht="18" x14ac:dyDescent="0.3">
      <c r="A2" s="473" t="s">
        <v>0</v>
      </c>
      <c r="B2" s="473" t="s">
        <v>103</v>
      </c>
      <c r="C2" s="473" t="s">
        <v>104</v>
      </c>
      <c r="D2" s="473" t="s">
        <v>2</v>
      </c>
      <c r="E2" s="473" t="s">
        <v>990</v>
      </c>
      <c r="F2" s="473" t="s">
        <v>1020</v>
      </c>
    </row>
    <row r="3" spans="1:7" ht="18" x14ac:dyDescent="0.35">
      <c r="A3" s="474">
        <v>1</v>
      </c>
      <c r="B3" s="474">
        <v>91</v>
      </c>
      <c r="C3" s="474">
        <v>5</v>
      </c>
      <c r="D3" s="474" t="s">
        <v>1021</v>
      </c>
      <c r="E3" s="486" t="s">
        <v>3412</v>
      </c>
      <c r="F3" s="475" t="s">
        <v>3408</v>
      </c>
      <c r="G3" s="430" t="s">
        <v>1119</v>
      </c>
    </row>
    <row r="4" spans="1:7" ht="18" x14ac:dyDescent="0.35">
      <c r="A4" s="476">
        <v>2</v>
      </c>
      <c r="B4" s="474">
        <v>92</v>
      </c>
      <c r="C4" s="474">
        <v>6</v>
      </c>
      <c r="D4" s="474" t="s">
        <v>1022</v>
      </c>
      <c r="E4" s="486" t="s">
        <v>3413</v>
      </c>
      <c r="F4" s="475" t="s">
        <v>3409</v>
      </c>
      <c r="G4" s="430" t="s">
        <v>1120</v>
      </c>
    </row>
    <row r="5" spans="1:7" ht="18" x14ac:dyDescent="0.35">
      <c r="A5" s="476">
        <v>3</v>
      </c>
      <c r="B5" s="474">
        <v>93</v>
      </c>
      <c r="C5" s="474">
        <v>5</v>
      </c>
      <c r="D5" s="474" t="s">
        <v>1023</v>
      </c>
      <c r="E5" s="486" t="s">
        <v>3414</v>
      </c>
      <c r="F5" s="475" t="s">
        <v>3410</v>
      </c>
      <c r="G5" s="430" t="s">
        <v>1121</v>
      </c>
    </row>
    <row r="6" spans="1:7" ht="18" x14ac:dyDescent="0.35">
      <c r="A6" s="474">
        <v>4</v>
      </c>
      <c r="B6" s="474">
        <v>94</v>
      </c>
      <c r="C6" s="474">
        <v>6</v>
      </c>
      <c r="D6" s="474" t="s">
        <v>1024</v>
      </c>
      <c r="E6" s="486" t="s">
        <v>3415</v>
      </c>
      <c r="F6" s="475" t="s">
        <v>3411</v>
      </c>
    </row>
  </sheetData>
  <mergeCells count="1">
    <mergeCell ref="A1:F1"/>
  </mergeCells>
  <phoneticPr fontId="6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H82"/>
  <sheetViews>
    <sheetView topLeftCell="A58" zoomScale="130" zoomScaleNormal="130" workbookViewId="0">
      <selection activeCell="G3" sqref="G3"/>
    </sheetView>
  </sheetViews>
  <sheetFormatPr defaultColWidth="8.875" defaultRowHeight="16.5" x14ac:dyDescent="0.15"/>
  <cols>
    <col min="1" max="1" width="5.75" style="250" bestFit="1" customWidth="1"/>
    <col min="2" max="2" width="9" style="287" bestFit="1" customWidth="1"/>
    <col min="3" max="3" width="9" style="287" customWidth="1"/>
    <col min="4" max="4" width="40.5" style="287" customWidth="1"/>
    <col min="5" max="5" width="9.875" style="287" bestFit="1" customWidth="1"/>
    <col min="6" max="6" width="11.5" style="287" customWidth="1"/>
    <col min="7" max="7" width="47" style="287" bestFit="1" customWidth="1"/>
    <col min="8" max="8" width="20.75" style="250" customWidth="1"/>
    <col min="9" max="16384" width="8.875" style="250"/>
  </cols>
  <sheetData>
    <row r="1" spans="1:8" x14ac:dyDescent="0.15">
      <c r="A1" s="347" t="s">
        <v>1703</v>
      </c>
      <c r="B1" s="347"/>
    </row>
    <row r="2" spans="1:8" ht="19.149999999999999" customHeight="1" x14ac:dyDescent="0.15">
      <c r="A2" s="296" t="s">
        <v>1</v>
      </c>
      <c r="B2" s="297" t="s">
        <v>1600</v>
      </c>
      <c r="C2" s="297" t="s">
        <v>1647</v>
      </c>
      <c r="D2" s="298" t="s">
        <v>1265</v>
      </c>
      <c r="E2" s="298" t="s">
        <v>10</v>
      </c>
      <c r="F2" s="298" t="s">
        <v>1167</v>
      </c>
      <c r="G2" s="298" t="s">
        <v>1038</v>
      </c>
      <c r="H2" s="186"/>
    </row>
    <row r="3" spans="1:8" x14ac:dyDescent="0.15">
      <c r="A3" s="185">
        <v>1</v>
      </c>
      <c r="B3" s="288" t="s">
        <v>1603</v>
      </c>
      <c r="C3" s="185" t="s">
        <v>1648</v>
      </c>
      <c r="D3" s="42" t="s">
        <v>1168</v>
      </c>
      <c r="E3" s="187">
        <v>11181</v>
      </c>
      <c r="F3" s="187">
        <v>0</v>
      </c>
      <c r="G3" s="187" t="str">
        <f>"FCU"&amp;":"&amp;"("&amp;E3&amp;","&amp;F3&amp;")"</f>
        <v>FCU:(11181,0)</v>
      </c>
      <c r="H3" s="186"/>
    </row>
    <row r="4" spans="1:8" x14ac:dyDescent="0.15">
      <c r="A4" s="185">
        <v>2</v>
      </c>
      <c r="B4" s="288" t="s">
        <v>1603</v>
      </c>
      <c r="C4" s="185" t="s">
        <v>1648</v>
      </c>
      <c r="D4" s="42" t="s">
        <v>1170</v>
      </c>
      <c r="E4" s="187">
        <v>522000</v>
      </c>
      <c r="F4" s="187">
        <v>0</v>
      </c>
      <c r="G4" s="187" t="str">
        <f t="shared" ref="G4:G67" si="0">"FCU"&amp;":"&amp;"("&amp;E4&amp;","&amp;F4&amp;")"</f>
        <v>FCU:(522000,0)</v>
      </c>
      <c r="H4" s="186"/>
    </row>
    <row r="5" spans="1:8" x14ac:dyDescent="0.15">
      <c r="A5" s="185">
        <v>3</v>
      </c>
      <c r="B5" s="288" t="s">
        <v>1603</v>
      </c>
      <c r="C5" s="185" t="s">
        <v>1648</v>
      </c>
      <c r="D5" s="42" t="s">
        <v>1171</v>
      </c>
      <c r="E5" s="187">
        <v>522000</v>
      </c>
      <c r="F5" s="187">
        <v>1</v>
      </c>
      <c r="G5" s="187" t="str">
        <f t="shared" si="0"/>
        <v>FCU:(522000,1)</v>
      </c>
      <c r="H5" s="186"/>
    </row>
    <row r="6" spans="1:8" x14ac:dyDescent="0.15">
      <c r="A6" s="185">
        <v>4</v>
      </c>
      <c r="B6" s="288" t="s">
        <v>1603</v>
      </c>
      <c r="C6" s="185" t="s">
        <v>1648</v>
      </c>
      <c r="D6" s="42" t="s">
        <v>1172</v>
      </c>
      <c r="E6" s="187">
        <v>522001</v>
      </c>
      <c r="F6" s="187">
        <v>0</v>
      </c>
      <c r="G6" s="187" t="str">
        <f t="shared" si="0"/>
        <v>FCU:(522001,0)</v>
      </c>
      <c r="H6" s="186"/>
    </row>
    <row r="7" spans="1:8" x14ac:dyDescent="0.15">
      <c r="A7" s="185">
        <v>5</v>
      </c>
      <c r="B7" s="288" t="s">
        <v>1603</v>
      </c>
      <c r="C7" s="185" t="s">
        <v>1648</v>
      </c>
      <c r="D7" s="42" t="s">
        <v>1173</v>
      </c>
      <c r="E7" s="187">
        <v>522001</v>
      </c>
      <c r="F7" s="187">
        <v>1</v>
      </c>
      <c r="G7" s="187" t="str">
        <f t="shared" si="0"/>
        <v>FCU:(522001,1)</v>
      </c>
      <c r="H7" s="186"/>
    </row>
    <row r="8" spans="1:8" x14ac:dyDescent="0.15">
      <c r="A8" s="185">
        <v>6</v>
      </c>
      <c r="B8" s="288" t="s">
        <v>1603</v>
      </c>
      <c r="C8" s="185" t="s">
        <v>1648</v>
      </c>
      <c r="D8" s="42" t="s">
        <v>1174</v>
      </c>
      <c r="E8" s="187">
        <v>522002</v>
      </c>
      <c r="F8" s="187">
        <v>0</v>
      </c>
      <c r="G8" s="187" t="str">
        <f t="shared" si="0"/>
        <v>FCU:(522002,0)</v>
      </c>
      <c r="H8" s="186"/>
    </row>
    <row r="9" spans="1:8" x14ac:dyDescent="0.15">
      <c r="A9" s="185">
        <v>7</v>
      </c>
      <c r="B9" s="288" t="s">
        <v>1603</v>
      </c>
      <c r="C9" s="185" t="s">
        <v>1648</v>
      </c>
      <c r="D9" s="42" t="s">
        <v>1175</v>
      </c>
      <c r="E9" s="187">
        <v>522002</v>
      </c>
      <c r="F9" s="187">
        <v>1</v>
      </c>
      <c r="G9" s="187" t="str">
        <f t="shared" si="0"/>
        <v>FCU:(522002,1)</v>
      </c>
      <c r="H9" s="186"/>
    </row>
    <row r="10" spans="1:8" x14ac:dyDescent="0.15">
      <c r="A10" s="185">
        <v>8</v>
      </c>
      <c r="B10" s="288" t="s">
        <v>1603</v>
      </c>
      <c r="C10" s="185" t="s">
        <v>1648</v>
      </c>
      <c r="D10" s="187" t="s">
        <v>1176</v>
      </c>
      <c r="E10" s="187">
        <v>11187</v>
      </c>
      <c r="F10" s="187">
        <v>0</v>
      </c>
      <c r="G10" s="187" t="str">
        <f t="shared" si="0"/>
        <v>FCU:(11187,0)</v>
      </c>
      <c r="H10" s="186"/>
    </row>
    <row r="11" spans="1:8" x14ac:dyDescent="0.15">
      <c r="A11" s="185">
        <v>9</v>
      </c>
      <c r="B11" s="288" t="s">
        <v>1603</v>
      </c>
      <c r="C11" s="185" t="s">
        <v>1648</v>
      </c>
      <c r="D11" s="187" t="s">
        <v>1169</v>
      </c>
      <c r="E11" s="187">
        <v>11188</v>
      </c>
      <c r="F11" s="187">
        <v>0</v>
      </c>
      <c r="G11" s="187" t="str">
        <f t="shared" si="0"/>
        <v>FCU:(11188,0)</v>
      </c>
      <c r="H11" s="186"/>
    </row>
    <row r="12" spans="1:8" x14ac:dyDescent="0.15">
      <c r="A12" s="185">
        <v>10</v>
      </c>
      <c r="B12" s="288" t="s">
        <v>1603</v>
      </c>
      <c r="C12" s="185" t="s">
        <v>1648</v>
      </c>
      <c r="D12" s="187" t="s">
        <v>1177</v>
      </c>
      <c r="E12" s="187">
        <v>11172</v>
      </c>
      <c r="F12" s="187">
        <v>1</v>
      </c>
      <c r="G12" s="187" t="str">
        <f t="shared" si="0"/>
        <v>FCU:(11172,1)</v>
      </c>
      <c r="H12" s="186" t="s">
        <v>1302</v>
      </c>
    </row>
    <row r="13" spans="1:8" x14ac:dyDescent="0.15">
      <c r="A13" s="185">
        <v>11</v>
      </c>
      <c r="B13" s="288" t="s">
        <v>1603</v>
      </c>
      <c r="C13" s="185" t="s">
        <v>1648</v>
      </c>
      <c r="D13" s="187" t="s">
        <v>1178</v>
      </c>
      <c r="E13" s="187">
        <v>522003</v>
      </c>
      <c r="F13" s="187">
        <v>0</v>
      </c>
      <c r="G13" s="187" t="str">
        <f t="shared" si="0"/>
        <v>FCU:(522003,0)</v>
      </c>
      <c r="H13" s="186"/>
    </row>
    <row r="14" spans="1:8" x14ac:dyDescent="0.15">
      <c r="A14" s="185">
        <v>12</v>
      </c>
      <c r="B14" s="288" t="s">
        <v>1603</v>
      </c>
      <c r="C14" s="185" t="s">
        <v>1648</v>
      </c>
      <c r="D14" s="187" t="s">
        <v>1179</v>
      </c>
      <c r="E14" s="187">
        <v>522004</v>
      </c>
      <c r="F14" s="187">
        <v>1</v>
      </c>
      <c r="G14" s="187" t="str">
        <f t="shared" si="0"/>
        <v>FCU:(522004,1)</v>
      </c>
      <c r="H14" s="186"/>
    </row>
    <row r="15" spans="1:8" x14ac:dyDescent="0.15">
      <c r="A15" s="185">
        <v>13</v>
      </c>
      <c r="B15" s="288" t="s">
        <v>1603</v>
      </c>
      <c r="C15" s="185" t="s">
        <v>1648</v>
      </c>
      <c r="D15" s="187" t="s">
        <v>1180</v>
      </c>
      <c r="E15" s="187">
        <v>522005</v>
      </c>
      <c r="F15" s="187">
        <v>0</v>
      </c>
      <c r="G15" s="187" t="str">
        <f t="shared" si="0"/>
        <v>FCU:(522005,0)</v>
      </c>
      <c r="H15" s="186"/>
    </row>
    <row r="16" spans="1:8" x14ac:dyDescent="0.15">
      <c r="A16" s="185">
        <v>14</v>
      </c>
      <c r="B16" s="288" t="s">
        <v>1603</v>
      </c>
      <c r="C16" s="185" t="s">
        <v>1648</v>
      </c>
      <c r="D16" s="187" t="s">
        <v>1181</v>
      </c>
      <c r="E16" s="187">
        <v>522006</v>
      </c>
      <c r="F16" s="187">
        <v>12</v>
      </c>
      <c r="G16" s="187" t="str">
        <f t="shared" si="0"/>
        <v>FCU:(522006,12)</v>
      </c>
      <c r="H16" s="186"/>
    </row>
    <row r="17" spans="1:8" x14ac:dyDescent="0.15">
      <c r="A17" s="185">
        <v>15</v>
      </c>
      <c r="B17" s="288" t="s">
        <v>1603</v>
      </c>
      <c r="C17" s="185" t="s">
        <v>1648</v>
      </c>
      <c r="D17" s="187" t="s">
        <v>1182</v>
      </c>
      <c r="E17" s="187">
        <v>522007</v>
      </c>
      <c r="F17" s="187">
        <v>12</v>
      </c>
      <c r="G17" s="187" t="str">
        <f t="shared" si="0"/>
        <v>FCU:(522007,12)</v>
      </c>
      <c r="H17" s="186"/>
    </row>
    <row r="18" spans="1:8" x14ac:dyDescent="0.15">
      <c r="A18" s="185">
        <v>16</v>
      </c>
      <c r="B18" s="288" t="s">
        <v>1603</v>
      </c>
      <c r="C18" s="185" t="s">
        <v>1649</v>
      </c>
      <c r="D18" s="42" t="s">
        <v>1183</v>
      </c>
      <c r="E18" s="42">
        <v>11181</v>
      </c>
      <c r="F18" s="42">
        <v>6</v>
      </c>
      <c r="G18" s="187" t="str">
        <f t="shared" si="0"/>
        <v>FCU:(11181,6)</v>
      </c>
      <c r="H18" s="186"/>
    </row>
    <row r="19" spans="1:8" x14ac:dyDescent="0.15">
      <c r="A19" s="185">
        <v>17</v>
      </c>
      <c r="B19" s="288" t="s">
        <v>1603</v>
      </c>
      <c r="C19" s="185" t="s">
        <v>1649</v>
      </c>
      <c r="D19" s="42" t="s">
        <v>1184</v>
      </c>
      <c r="E19" s="42">
        <v>522000</v>
      </c>
      <c r="F19" s="42">
        <v>16</v>
      </c>
      <c r="G19" s="187" t="str">
        <f t="shared" si="0"/>
        <v>FCU:(522000,16)</v>
      </c>
      <c r="H19" s="186"/>
    </row>
    <row r="20" spans="1:8" x14ac:dyDescent="0.15">
      <c r="A20" s="185">
        <v>18</v>
      </c>
      <c r="B20" s="288" t="s">
        <v>1603</v>
      </c>
      <c r="C20" s="185" t="s">
        <v>1649</v>
      </c>
      <c r="D20" s="42" t="s">
        <v>1185</v>
      </c>
      <c r="E20" s="42">
        <v>522000</v>
      </c>
      <c r="F20" s="42">
        <v>18</v>
      </c>
      <c r="G20" s="187" t="str">
        <f t="shared" si="0"/>
        <v>FCU:(522000,18)</v>
      </c>
      <c r="H20" s="186"/>
    </row>
    <row r="21" spans="1:8" x14ac:dyDescent="0.15">
      <c r="A21" s="185">
        <v>19</v>
      </c>
      <c r="B21" s="288" t="s">
        <v>1603</v>
      </c>
      <c r="C21" s="185" t="s">
        <v>1649</v>
      </c>
      <c r="D21" s="42" t="s">
        <v>1186</v>
      </c>
      <c r="E21" s="42">
        <v>522001</v>
      </c>
      <c r="F21" s="42">
        <v>16</v>
      </c>
      <c r="G21" s="187" t="str">
        <f t="shared" si="0"/>
        <v>FCU:(522001,16)</v>
      </c>
      <c r="H21" s="186"/>
    </row>
    <row r="22" spans="1:8" x14ac:dyDescent="0.15">
      <c r="A22" s="185">
        <v>20</v>
      </c>
      <c r="B22" s="288" t="s">
        <v>1603</v>
      </c>
      <c r="C22" s="185" t="s">
        <v>1649</v>
      </c>
      <c r="D22" s="42" t="s">
        <v>1187</v>
      </c>
      <c r="E22" s="42">
        <v>522001</v>
      </c>
      <c r="F22" s="42">
        <v>18</v>
      </c>
      <c r="G22" s="187" t="str">
        <f t="shared" si="0"/>
        <v>FCU:(522001,18)</v>
      </c>
      <c r="H22" s="186"/>
    </row>
    <row r="23" spans="1:8" x14ac:dyDescent="0.15">
      <c r="A23" s="185">
        <v>21</v>
      </c>
      <c r="B23" s="288" t="s">
        <v>1603</v>
      </c>
      <c r="C23" s="185" t="s">
        <v>1649</v>
      </c>
      <c r="D23" s="42" t="s">
        <v>1188</v>
      </c>
      <c r="E23" s="42">
        <v>522002</v>
      </c>
      <c r="F23" s="42">
        <v>16</v>
      </c>
      <c r="G23" s="187" t="str">
        <f t="shared" si="0"/>
        <v>FCU:(522002,16)</v>
      </c>
      <c r="H23" s="186"/>
    </row>
    <row r="24" spans="1:8" x14ac:dyDescent="0.15">
      <c r="A24" s="185">
        <v>22</v>
      </c>
      <c r="B24" s="288" t="s">
        <v>1603</v>
      </c>
      <c r="C24" s="185" t="s">
        <v>1649</v>
      </c>
      <c r="D24" s="42" t="s">
        <v>1189</v>
      </c>
      <c r="E24" s="42">
        <v>522002</v>
      </c>
      <c r="F24" s="42">
        <v>18</v>
      </c>
      <c r="G24" s="187" t="str">
        <f t="shared" si="0"/>
        <v>FCU:(522002,18)</v>
      </c>
      <c r="H24" s="186"/>
    </row>
    <row r="25" spans="1:8" x14ac:dyDescent="0.15">
      <c r="A25" s="185">
        <v>23</v>
      </c>
      <c r="B25" s="288" t="s">
        <v>1603</v>
      </c>
      <c r="C25" s="185" t="s">
        <v>1649</v>
      </c>
      <c r="D25" s="187" t="s">
        <v>1190</v>
      </c>
      <c r="E25" s="42">
        <v>11187</v>
      </c>
      <c r="F25" s="42">
        <v>16</v>
      </c>
      <c r="G25" s="187" t="str">
        <f t="shared" si="0"/>
        <v>FCU:(11187,16)</v>
      </c>
      <c r="H25" s="186"/>
    </row>
    <row r="26" spans="1:8" x14ac:dyDescent="0.15">
      <c r="A26" s="185">
        <v>24</v>
      </c>
      <c r="B26" s="288" t="s">
        <v>1603</v>
      </c>
      <c r="C26" s="185" t="s">
        <v>1649</v>
      </c>
      <c r="D26" s="187" t="s">
        <v>1191</v>
      </c>
      <c r="E26" s="42">
        <v>11188</v>
      </c>
      <c r="F26" s="42">
        <v>16</v>
      </c>
      <c r="G26" s="187" t="str">
        <f t="shared" si="0"/>
        <v>FCU:(11188,16)</v>
      </c>
      <c r="H26" s="186"/>
    </row>
    <row r="27" spans="1:8" x14ac:dyDescent="0.15">
      <c r="A27" s="185">
        <v>25</v>
      </c>
      <c r="B27" s="288" t="s">
        <v>1603</v>
      </c>
      <c r="C27" s="185" t="s">
        <v>1649</v>
      </c>
      <c r="D27" s="187" t="s">
        <v>1192</v>
      </c>
      <c r="E27" s="42">
        <v>11172</v>
      </c>
      <c r="F27" s="42">
        <v>18</v>
      </c>
      <c r="G27" s="187" t="str">
        <f t="shared" si="0"/>
        <v>FCU:(11172,18)</v>
      </c>
      <c r="H27" s="186"/>
    </row>
    <row r="28" spans="1:8" x14ac:dyDescent="0.15">
      <c r="A28" s="185">
        <v>26</v>
      </c>
      <c r="B28" s="288" t="s">
        <v>1603</v>
      </c>
      <c r="C28" s="185" t="s">
        <v>1649</v>
      </c>
      <c r="D28" s="187" t="s">
        <v>1193</v>
      </c>
      <c r="E28" s="42">
        <v>522003</v>
      </c>
      <c r="F28" s="42">
        <v>16</v>
      </c>
      <c r="G28" s="187" t="str">
        <f t="shared" si="0"/>
        <v>FCU:(522003,16)</v>
      </c>
      <c r="H28" s="186"/>
    </row>
    <row r="29" spans="1:8" x14ac:dyDescent="0.15">
      <c r="A29" s="185">
        <v>27</v>
      </c>
      <c r="B29" s="288" t="s">
        <v>1603</v>
      </c>
      <c r="C29" s="185" t="s">
        <v>1649</v>
      </c>
      <c r="D29" s="187" t="s">
        <v>1194</v>
      </c>
      <c r="E29" s="42">
        <v>522004</v>
      </c>
      <c r="F29" s="42">
        <v>18</v>
      </c>
      <c r="G29" s="187" t="str">
        <f t="shared" si="0"/>
        <v>FCU:(522004,18)</v>
      </c>
      <c r="H29" s="186"/>
    </row>
    <row r="30" spans="1:8" x14ac:dyDescent="0.15">
      <c r="A30" s="185">
        <v>28</v>
      </c>
      <c r="B30" s="288" t="s">
        <v>1603</v>
      </c>
      <c r="C30" s="185" t="s">
        <v>1649</v>
      </c>
      <c r="D30" s="187" t="s">
        <v>1195</v>
      </c>
      <c r="E30" s="42">
        <v>522005</v>
      </c>
      <c r="F30" s="42">
        <v>16</v>
      </c>
      <c r="G30" s="187" t="str">
        <f t="shared" si="0"/>
        <v>FCU:(522005,16)</v>
      </c>
      <c r="H30" s="186"/>
    </row>
    <row r="31" spans="1:8" x14ac:dyDescent="0.15">
      <c r="A31" s="185">
        <v>29</v>
      </c>
      <c r="B31" s="288" t="s">
        <v>1603</v>
      </c>
      <c r="C31" s="185" t="s">
        <v>1649</v>
      </c>
      <c r="D31" s="187" t="s">
        <v>1196</v>
      </c>
      <c r="E31" s="42">
        <v>522008</v>
      </c>
      <c r="F31" s="42">
        <v>19</v>
      </c>
      <c r="G31" s="187" t="str">
        <f t="shared" si="0"/>
        <v>FCU:(522008,19)</v>
      </c>
      <c r="H31" s="186"/>
    </row>
    <row r="32" spans="1:8" x14ac:dyDescent="0.15">
      <c r="A32" s="185">
        <v>30</v>
      </c>
      <c r="B32" s="288" t="s">
        <v>1603</v>
      </c>
      <c r="C32" s="185" t="s">
        <v>1649</v>
      </c>
      <c r="D32" s="187" t="s">
        <v>1197</v>
      </c>
      <c r="E32" s="42">
        <v>522009</v>
      </c>
      <c r="F32" s="42">
        <v>19</v>
      </c>
      <c r="G32" s="187" t="str">
        <f t="shared" si="0"/>
        <v>FCU:(522009,19)</v>
      </c>
      <c r="H32" s="186"/>
    </row>
    <row r="33" spans="1:8" x14ac:dyDescent="0.15">
      <c r="A33" s="185">
        <v>31</v>
      </c>
      <c r="B33" s="288" t="s">
        <v>1603</v>
      </c>
      <c r="C33" s="185" t="s">
        <v>1649</v>
      </c>
      <c r="D33" s="187" t="s">
        <v>1198</v>
      </c>
      <c r="E33" s="42">
        <v>522010</v>
      </c>
      <c r="F33" s="42">
        <v>19</v>
      </c>
      <c r="G33" s="187" t="str">
        <f t="shared" si="0"/>
        <v>FCU:(522010,19)</v>
      </c>
      <c r="H33" s="186"/>
    </row>
    <row r="34" spans="1:8" x14ac:dyDescent="0.15">
      <c r="A34" s="185">
        <v>32</v>
      </c>
      <c r="B34" s="288" t="s">
        <v>1603</v>
      </c>
      <c r="C34" s="185" t="s">
        <v>1649</v>
      </c>
      <c r="D34" s="187" t="s">
        <v>1199</v>
      </c>
      <c r="E34" s="42">
        <v>522011</v>
      </c>
      <c r="F34" s="42">
        <v>19</v>
      </c>
      <c r="G34" s="187" t="str">
        <f t="shared" si="0"/>
        <v>FCU:(522011,19)</v>
      </c>
      <c r="H34" s="186"/>
    </row>
    <row r="35" spans="1:8" x14ac:dyDescent="0.15">
      <c r="A35" s="185">
        <v>33</v>
      </c>
      <c r="B35" s="288" t="s">
        <v>1603</v>
      </c>
      <c r="C35" s="185" t="s">
        <v>1649</v>
      </c>
      <c r="D35" s="187" t="s">
        <v>1200</v>
      </c>
      <c r="E35" s="42">
        <v>522012</v>
      </c>
      <c r="F35" s="42">
        <v>19</v>
      </c>
      <c r="G35" s="187" t="str">
        <f t="shared" si="0"/>
        <v>FCU:(522012,19)</v>
      </c>
      <c r="H35" s="186"/>
    </row>
    <row r="36" spans="1:8" x14ac:dyDescent="0.15">
      <c r="A36" s="185">
        <v>34</v>
      </c>
      <c r="B36" s="288" t="s">
        <v>1603</v>
      </c>
      <c r="C36" s="185" t="s">
        <v>1649</v>
      </c>
      <c r="D36" s="187" t="s">
        <v>1201</v>
      </c>
      <c r="E36" s="42">
        <v>522004</v>
      </c>
      <c r="F36" s="42">
        <v>16</v>
      </c>
      <c r="G36" s="187" t="str">
        <f t="shared" si="0"/>
        <v>FCU:(522004,16)</v>
      </c>
      <c r="H36" s="186"/>
    </row>
    <row r="37" spans="1:8" x14ac:dyDescent="0.15">
      <c r="A37" s="185">
        <v>35</v>
      </c>
      <c r="B37" s="185" t="s">
        <v>1608</v>
      </c>
      <c r="C37" s="185"/>
      <c r="D37" s="42" t="s">
        <v>1202</v>
      </c>
      <c r="E37" s="42">
        <v>11181</v>
      </c>
      <c r="F37" s="42">
        <v>15</v>
      </c>
      <c r="G37" s="187"/>
      <c r="H37" s="186"/>
    </row>
    <row r="38" spans="1:8" x14ac:dyDescent="0.15">
      <c r="A38" s="185">
        <v>36</v>
      </c>
      <c r="B38" s="185" t="s">
        <v>1608</v>
      </c>
      <c r="C38" s="185"/>
      <c r="D38" s="42" t="s">
        <v>1203</v>
      </c>
      <c r="E38" s="42">
        <v>522000</v>
      </c>
      <c r="F38" s="42">
        <v>15</v>
      </c>
      <c r="G38" s="187"/>
      <c r="H38" s="186"/>
    </row>
    <row r="39" spans="1:8" x14ac:dyDescent="0.15">
      <c r="A39" s="185">
        <v>37</v>
      </c>
      <c r="B39" s="185" t="s">
        <v>1608</v>
      </c>
      <c r="C39" s="185"/>
      <c r="D39" s="42" t="s">
        <v>1204</v>
      </c>
      <c r="E39" s="42">
        <v>522000</v>
      </c>
      <c r="F39" s="42">
        <v>17</v>
      </c>
      <c r="G39" s="187"/>
      <c r="H39" s="186"/>
    </row>
    <row r="40" spans="1:8" x14ac:dyDescent="0.15">
      <c r="A40" s="185">
        <v>38</v>
      </c>
      <c r="B40" s="185" t="s">
        <v>1608</v>
      </c>
      <c r="C40" s="185"/>
      <c r="D40" s="42" t="s">
        <v>1205</v>
      </c>
      <c r="E40" s="42">
        <v>522001</v>
      </c>
      <c r="F40" s="42">
        <v>15</v>
      </c>
      <c r="G40" s="187"/>
      <c r="H40" s="186"/>
    </row>
    <row r="41" spans="1:8" x14ac:dyDescent="0.15">
      <c r="A41" s="185">
        <v>39</v>
      </c>
      <c r="B41" s="185" t="s">
        <v>1608</v>
      </c>
      <c r="C41" s="185"/>
      <c r="D41" s="42" t="s">
        <v>1206</v>
      </c>
      <c r="E41" s="42">
        <v>522001</v>
      </c>
      <c r="F41" s="42">
        <v>17</v>
      </c>
      <c r="G41" s="187"/>
      <c r="H41" s="186"/>
    </row>
    <row r="42" spans="1:8" x14ac:dyDescent="0.15">
      <c r="A42" s="185">
        <v>40</v>
      </c>
      <c r="B42" s="185" t="s">
        <v>1608</v>
      </c>
      <c r="C42" s="185"/>
      <c r="D42" s="42" t="s">
        <v>1207</v>
      </c>
      <c r="E42" s="42">
        <v>522002</v>
      </c>
      <c r="F42" s="42">
        <v>15</v>
      </c>
      <c r="G42" s="187"/>
      <c r="H42" s="186"/>
    </row>
    <row r="43" spans="1:8" x14ac:dyDescent="0.15">
      <c r="A43" s="185">
        <v>41</v>
      </c>
      <c r="B43" s="185" t="s">
        <v>1608</v>
      </c>
      <c r="C43" s="185"/>
      <c r="D43" s="42" t="s">
        <v>1208</v>
      </c>
      <c r="E43" s="42">
        <v>522002</v>
      </c>
      <c r="F43" s="42">
        <v>17</v>
      </c>
      <c r="G43" s="187"/>
      <c r="H43" s="186"/>
    </row>
    <row r="44" spans="1:8" x14ac:dyDescent="0.15">
      <c r="A44" s="185">
        <v>42</v>
      </c>
      <c r="B44" s="185" t="s">
        <v>1608</v>
      </c>
      <c r="C44" s="185"/>
      <c r="D44" s="246" t="s">
        <v>1209</v>
      </c>
      <c r="E44" s="289">
        <v>11187</v>
      </c>
      <c r="F44" s="289">
        <v>15</v>
      </c>
      <c r="G44" s="187"/>
      <c r="H44" s="186"/>
    </row>
    <row r="45" spans="1:8" x14ac:dyDescent="0.15">
      <c r="A45" s="185">
        <v>43</v>
      </c>
      <c r="B45" s="185" t="s">
        <v>1608</v>
      </c>
      <c r="C45" s="185"/>
      <c r="D45" s="187" t="s">
        <v>1210</v>
      </c>
      <c r="E45" s="42">
        <v>11188</v>
      </c>
      <c r="F45" s="42">
        <v>15</v>
      </c>
      <c r="G45" s="187"/>
      <c r="H45" s="186"/>
    </row>
    <row r="46" spans="1:8" x14ac:dyDescent="0.15">
      <c r="A46" s="185">
        <v>44</v>
      </c>
      <c r="B46" s="185" t="s">
        <v>1608</v>
      </c>
      <c r="C46" s="185"/>
      <c r="D46" s="246" t="s">
        <v>1211</v>
      </c>
      <c r="E46" s="289">
        <v>11172</v>
      </c>
      <c r="F46" s="289">
        <v>17</v>
      </c>
      <c r="G46" s="187"/>
      <c r="H46" s="186"/>
    </row>
    <row r="47" spans="1:8" x14ac:dyDescent="0.15">
      <c r="A47" s="185">
        <v>45</v>
      </c>
      <c r="B47" s="185" t="s">
        <v>1608</v>
      </c>
      <c r="C47" s="185"/>
      <c r="D47" s="246" t="s">
        <v>1212</v>
      </c>
      <c r="E47" s="289">
        <v>522003</v>
      </c>
      <c r="F47" s="289">
        <v>15</v>
      </c>
      <c r="G47" s="187"/>
      <c r="H47" s="186"/>
    </row>
    <row r="48" spans="1:8" x14ac:dyDescent="0.15">
      <c r="A48" s="185">
        <v>46</v>
      </c>
      <c r="B48" s="185" t="s">
        <v>1608</v>
      </c>
      <c r="C48" s="185"/>
      <c r="D48" s="246" t="s">
        <v>1213</v>
      </c>
      <c r="E48" s="289">
        <v>522004</v>
      </c>
      <c r="F48" s="289">
        <v>17</v>
      </c>
      <c r="G48" s="187"/>
      <c r="H48" s="186"/>
    </row>
    <row r="49" spans="1:8" x14ac:dyDescent="0.15">
      <c r="A49" s="185">
        <v>47</v>
      </c>
      <c r="B49" s="185" t="s">
        <v>1608</v>
      </c>
      <c r="C49" s="185"/>
      <c r="D49" s="246" t="s">
        <v>1214</v>
      </c>
      <c r="E49" s="289">
        <v>522005</v>
      </c>
      <c r="F49" s="289">
        <v>15</v>
      </c>
      <c r="G49" s="187"/>
      <c r="H49" s="186"/>
    </row>
    <row r="50" spans="1:8" x14ac:dyDescent="0.15">
      <c r="A50" s="185">
        <v>48</v>
      </c>
      <c r="B50" s="288" t="s">
        <v>1603</v>
      </c>
      <c r="C50" s="185" t="s">
        <v>1648</v>
      </c>
      <c r="D50" s="187" t="s">
        <v>1272</v>
      </c>
      <c r="E50" s="187">
        <v>522004</v>
      </c>
      <c r="F50" s="187">
        <v>0</v>
      </c>
      <c r="G50" s="187" t="str">
        <f t="shared" si="0"/>
        <v>FCU:(522004,0)</v>
      </c>
      <c r="H50" s="186"/>
    </row>
    <row r="51" spans="1:8" x14ac:dyDescent="0.15">
      <c r="A51" s="185">
        <v>49</v>
      </c>
      <c r="B51" s="288" t="s">
        <v>1603</v>
      </c>
      <c r="C51" s="185" t="s">
        <v>1648</v>
      </c>
      <c r="D51" s="187" t="s">
        <v>1273</v>
      </c>
      <c r="E51" s="187">
        <v>522008</v>
      </c>
      <c r="F51" s="187">
        <v>12</v>
      </c>
      <c r="G51" s="187" t="str">
        <f t="shared" si="0"/>
        <v>FCU:(522008,12)</v>
      </c>
      <c r="H51" s="186"/>
    </row>
    <row r="52" spans="1:8" x14ac:dyDescent="0.15">
      <c r="A52" s="185">
        <v>50</v>
      </c>
      <c r="B52" s="288" t="s">
        <v>1603</v>
      </c>
      <c r="C52" s="185" t="s">
        <v>1648</v>
      </c>
      <c r="D52" s="187" t="s">
        <v>1274</v>
      </c>
      <c r="E52" s="187">
        <v>522010</v>
      </c>
      <c r="F52" s="187">
        <v>12</v>
      </c>
      <c r="G52" s="187" t="str">
        <f t="shared" si="0"/>
        <v>FCU:(522010,12)</v>
      </c>
      <c r="H52" s="186"/>
    </row>
    <row r="53" spans="1:8" x14ac:dyDescent="0.15">
      <c r="A53" s="185">
        <v>51</v>
      </c>
      <c r="B53" s="288" t="s">
        <v>1603</v>
      </c>
      <c r="C53" s="185" t="s">
        <v>1649</v>
      </c>
      <c r="D53" s="187" t="s">
        <v>1275</v>
      </c>
      <c r="E53" s="187">
        <v>522013</v>
      </c>
      <c r="F53" s="187">
        <v>19</v>
      </c>
      <c r="G53" s="187" t="str">
        <f t="shared" si="0"/>
        <v>FCU:(522013,19)</v>
      </c>
      <c r="H53" s="186"/>
    </row>
    <row r="54" spans="1:8" x14ac:dyDescent="0.15">
      <c r="A54" s="185">
        <v>52</v>
      </c>
      <c r="B54" s="288" t="s">
        <v>1603</v>
      </c>
      <c r="C54" s="185" t="s">
        <v>1649</v>
      </c>
      <c r="D54" s="187" t="s">
        <v>1276</v>
      </c>
      <c r="E54" s="187">
        <v>522014</v>
      </c>
      <c r="F54" s="187">
        <v>16</v>
      </c>
      <c r="G54" s="187" t="str">
        <f t="shared" si="0"/>
        <v>FCU:(522014,16)</v>
      </c>
      <c r="H54" s="186"/>
    </row>
    <row r="55" spans="1:8" x14ac:dyDescent="0.15">
      <c r="A55" s="185">
        <v>53</v>
      </c>
      <c r="B55" s="288" t="s">
        <v>1603</v>
      </c>
      <c r="C55" s="185" t="s">
        <v>1648</v>
      </c>
      <c r="D55" s="187" t="s">
        <v>1277</v>
      </c>
      <c r="E55" s="187">
        <v>522014</v>
      </c>
      <c r="F55" s="187">
        <v>0</v>
      </c>
      <c r="G55" s="187" t="str">
        <f t="shared" si="0"/>
        <v>FCU:(522014,0)</v>
      </c>
      <c r="H55" s="186"/>
    </row>
    <row r="56" spans="1:8" x14ac:dyDescent="0.15">
      <c r="A56" s="185">
        <v>54</v>
      </c>
      <c r="B56" s="288" t="s">
        <v>1603</v>
      </c>
      <c r="C56" s="185" t="s">
        <v>1648</v>
      </c>
      <c r="D56" s="187" t="s">
        <v>1278</v>
      </c>
      <c r="E56" s="187">
        <v>522015</v>
      </c>
      <c r="F56" s="187">
        <v>16</v>
      </c>
      <c r="G56" s="187" t="str">
        <f t="shared" si="0"/>
        <v>FCU:(522015,16)</v>
      </c>
      <c r="H56" s="186"/>
    </row>
    <row r="57" spans="1:8" x14ac:dyDescent="0.15">
      <c r="A57" s="185">
        <v>55</v>
      </c>
      <c r="B57" s="288" t="s">
        <v>1603</v>
      </c>
      <c r="C57" s="185" t="s">
        <v>1648</v>
      </c>
      <c r="D57" s="187" t="s">
        <v>1279</v>
      </c>
      <c r="E57" s="187">
        <v>522015</v>
      </c>
      <c r="F57" s="187">
        <v>0</v>
      </c>
      <c r="G57" s="187" t="str">
        <f t="shared" si="0"/>
        <v>FCU:(522015,0)</v>
      </c>
      <c r="H57" s="186"/>
    </row>
    <row r="58" spans="1:8" x14ac:dyDescent="0.15">
      <c r="A58" s="185">
        <v>56</v>
      </c>
      <c r="B58" s="288" t="s">
        <v>1603</v>
      </c>
      <c r="C58" s="185" t="s">
        <v>1649</v>
      </c>
      <c r="D58" s="187" t="s">
        <v>1280</v>
      </c>
      <c r="E58" s="187">
        <v>522029</v>
      </c>
      <c r="F58" s="187">
        <v>19</v>
      </c>
      <c r="G58" s="187" t="str">
        <f t="shared" si="0"/>
        <v>FCU:(522029,19)</v>
      </c>
      <c r="H58" s="186"/>
    </row>
    <row r="59" spans="1:8" x14ac:dyDescent="0.15">
      <c r="A59" s="185">
        <v>57</v>
      </c>
      <c r="B59" s="288" t="s">
        <v>1603</v>
      </c>
      <c r="C59" s="185" t="s">
        <v>1648</v>
      </c>
      <c r="D59" s="187" t="s">
        <v>1280</v>
      </c>
      <c r="E59" s="187">
        <v>522029</v>
      </c>
      <c r="F59" s="187">
        <v>12</v>
      </c>
      <c r="G59" s="187" t="str">
        <f t="shared" si="0"/>
        <v>FCU:(522029,12)</v>
      </c>
      <c r="H59" s="186"/>
    </row>
    <row r="60" spans="1:8" x14ac:dyDescent="0.15">
      <c r="A60" s="185">
        <v>58</v>
      </c>
      <c r="B60" s="288" t="s">
        <v>1603</v>
      </c>
      <c r="C60" s="185" t="s">
        <v>1648</v>
      </c>
      <c r="D60" s="187" t="s">
        <v>1298</v>
      </c>
      <c r="E60" s="187">
        <v>522017</v>
      </c>
      <c r="F60" s="187">
        <v>1</v>
      </c>
      <c r="G60" s="187" t="str">
        <f t="shared" si="0"/>
        <v>FCU:(522017,1)</v>
      </c>
      <c r="H60" s="186"/>
    </row>
    <row r="61" spans="1:8" x14ac:dyDescent="0.15">
      <c r="A61" s="185">
        <v>59</v>
      </c>
      <c r="B61" s="288" t="s">
        <v>1638</v>
      </c>
      <c r="C61" s="38"/>
      <c r="D61" s="187" t="s">
        <v>1301</v>
      </c>
      <c r="E61" s="187">
        <v>522016</v>
      </c>
      <c r="F61" s="187">
        <v>18</v>
      </c>
      <c r="G61" s="286" t="s">
        <v>3354</v>
      </c>
      <c r="H61" s="186"/>
    </row>
    <row r="62" spans="1:8" x14ac:dyDescent="0.35">
      <c r="A62" s="185">
        <v>60</v>
      </c>
      <c r="B62" s="288" t="s">
        <v>1603</v>
      </c>
      <c r="C62" s="38"/>
      <c r="D62" s="44" t="s">
        <v>3356</v>
      </c>
      <c r="E62" s="45">
        <v>522026</v>
      </c>
      <c r="F62" s="45">
        <v>19</v>
      </c>
      <c r="G62" s="190" t="str">
        <f t="shared" ref="G62" si="1">"FCU"&amp;":"&amp;"("&amp;E62&amp;","&amp;F62&amp;")"</f>
        <v>FCU:(522026,19)</v>
      </c>
      <c r="H62" s="295" t="s">
        <v>3355</v>
      </c>
    </row>
    <row r="63" spans="1:8" x14ac:dyDescent="0.15">
      <c r="A63" s="185">
        <v>61</v>
      </c>
      <c r="B63" s="288" t="s">
        <v>1603</v>
      </c>
      <c r="C63" s="185" t="s">
        <v>1648</v>
      </c>
      <c r="D63" s="187" t="s">
        <v>1300</v>
      </c>
      <c r="E63" s="187">
        <v>522027</v>
      </c>
      <c r="F63" s="187">
        <v>12</v>
      </c>
      <c r="G63" s="187" t="str">
        <f t="shared" si="0"/>
        <v>FCU:(522027,12)</v>
      </c>
      <c r="H63" s="186"/>
    </row>
    <row r="64" spans="1:8" x14ac:dyDescent="0.15">
      <c r="A64" s="185">
        <v>62</v>
      </c>
      <c r="B64" s="288" t="s">
        <v>1603</v>
      </c>
      <c r="C64" s="185"/>
      <c r="D64" s="190" t="s">
        <v>1299</v>
      </c>
      <c r="E64" s="190">
        <v>522028</v>
      </c>
      <c r="F64" s="190">
        <v>19</v>
      </c>
      <c r="G64" s="190" t="str">
        <f t="shared" si="0"/>
        <v>FCU:(522028,19)</v>
      </c>
      <c r="H64" s="294" t="s">
        <v>3355</v>
      </c>
    </row>
    <row r="65" spans="1:8" ht="33" x14ac:dyDescent="0.15">
      <c r="A65" s="185">
        <v>63</v>
      </c>
      <c r="B65" s="288" t="s">
        <v>1603</v>
      </c>
      <c r="C65" s="185" t="s">
        <v>1648</v>
      </c>
      <c r="D65" s="187" t="s">
        <v>1299</v>
      </c>
      <c r="E65" s="187">
        <v>522028</v>
      </c>
      <c r="F65" s="187">
        <v>12</v>
      </c>
      <c r="G65" s="187" t="str">
        <f t="shared" si="0"/>
        <v>FCU:(522028,12)</v>
      </c>
      <c r="H65" s="290" t="s">
        <v>1622</v>
      </c>
    </row>
    <row r="66" spans="1:8" x14ac:dyDescent="0.35">
      <c r="A66" s="185">
        <v>64</v>
      </c>
      <c r="B66" s="288" t="s">
        <v>1603</v>
      </c>
      <c r="C66" s="185" t="s">
        <v>1649</v>
      </c>
      <c r="D66" s="48" t="s">
        <v>1254</v>
      </c>
      <c r="E66" s="293">
        <v>522030</v>
      </c>
      <c r="F66" s="293">
        <v>16</v>
      </c>
      <c r="G66" s="187" t="str">
        <f t="shared" si="0"/>
        <v>FCU:(522030,16)</v>
      </c>
    </row>
    <row r="67" spans="1:8" x14ac:dyDescent="0.35">
      <c r="A67" s="185">
        <v>65</v>
      </c>
      <c r="B67" s="288" t="s">
        <v>1603</v>
      </c>
      <c r="C67" s="185" t="s">
        <v>1648</v>
      </c>
      <c r="D67" s="48" t="s">
        <v>1281</v>
      </c>
      <c r="E67" s="293">
        <v>522030</v>
      </c>
      <c r="F67" s="293">
        <v>0</v>
      </c>
      <c r="G67" s="187" t="str">
        <f t="shared" si="0"/>
        <v>FCU:(522030,0)</v>
      </c>
    </row>
    <row r="68" spans="1:8" x14ac:dyDescent="0.35">
      <c r="A68" s="185">
        <v>66</v>
      </c>
      <c r="B68" s="288" t="s">
        <v>1603</v>
      </c>
      <c r="C68" s="185" t="s">
        <v>1649</v>
      </c>
      <c r="D68" s="48" t="s">
        <v>1246</v>
      </c>
      <c r="E68" s="293">
        <v>522030</v>
      </c>
      <c r="F68" s="293">
        <v>18</v>
      </c>
      <c r="G68" s="187" t="str">
        <f t="shared" ref="G68:G82" si="2">"FCU"&amp;":"&amp;"("&amp;E68&amp;","&amp;F68&amp;")"</f>
        <v>FCU:(522030,18)</v>
      </c>
    </row>
    <row r="69" spans="1:8" x14ac:dyDescent="0.35">
      <c r="A69" s="185">
        <v>67</v>
      </c>
      <c r="B69" s="288" t="s">
        <v>1603</v>
      </c>
      <c r="C69" s="185" t="s">
        <v>1648</v>
      </c>
      <c r="D69" s="48" t="s">
        <v>1246</v>
      </c>
      <c r="E69" s="293">
        <v>522030</v>
      </c>
      <c r="F69" s="293">
        <v>1</v>
      </c>
      <c r="G69" s="187" t="str">
        <f t="shared" si="2"/>
        <v>FCU:(522030,1)</v>
      </c>
    </row>
    <row r="70" spans="1:8" x14ac:dyDescent="0.35">
      <c r="A70" s="185">
        <v>68</v>
      </c>
      <c r="B70" s="288" t="s">
        <v>1603</v>
      </c>
      <c r="C70" s="185" t="s">
        <v>1649</v>
      </c>
      <c r="D70" s="48" t="s">
        <v>1247</v>
      </c>
      <c r="E70" s="293">
        <v>522031</v>
      </c>
      <c r="F70" s="293">
        <v>16</v>
      </c>
      <c r="G70" s="187" t="str">
        <f t="shared" si="2"/>
        <v>FCU:(522031,16)</v>
      </c>
    </row>
    <row r="71" spans="1:8" x14ac:dyDescent="0.35">
      <c r="A71" s="185">
        <v>69</v>
      </c>
      <c r="B71" s="288" t="s">
        <v>1603</v>
      </c>
      <c r="C71" s="185" t="s">
        <v>1648</v>
      </c>
      <c r="D71" s="48" t="s">
        <v>1247</v>
      </c>
      <c r="E71" s="293">
        <v>522031</v>
      </c>
      <c r="F71" s="293">
        <v>0</v>
      </c>
      <c r="G71" s="187" t="str">
        <f t="shared" si="2"/>
        <v>FCU:(522031,0)</v>
      </c>
    </row>
    <row r="72" spans="1:8" x14ac:dyDescent="0.35">
      <c r="A72" s="185">
        <v>70</v>
      </c>
      <c r="B72" s="288" t="s">
        <v>1603</v>
      </c>
      <c r="C72" s="185" t="s">
        <v>1649</v>
      </c>
      <c r="D72" s="48" t="s">
        <v>1248</v>
      </c>
      <c r="E72" s="293">
        <v>522032</v>
      </c>
      <c r="F72" s="293">
        <v>16</v>
      </c>
      <c r="G72" s="187" t="str">
        <f t="shared" si="2"/>
        <v>FCU:(522032,16)</v>
      </c>
    </row>
    <row r="73" spans="1:8" x14ac:dyDescent="0.35">
      <c r="A73" s="185">
        <v>71</v>
      </c>
      <c r="B73" s="288" t="s">
        <v>1603</v>
      </c>
      <c r="C73" s="185" t="s">
        <v>1648</v>
      </c>
      <c r="D73" s="48" t="s">
        <v>1248</v>
      </c>
      <c r="E73" s="293">
        <v>522032</v>
      </c>
      <c r="F73" s="293">
        <v>0</v>
      </c>
      <c r="G73" s="187" t="str">
        <f t="shared" si="2"/>
        <v>FCU:(522032,0)</v>
      </c>
    </row>
    <row r="74" spans="1:8" x14ac:dyDescent="0.35">
      <c r="A74" s="185">
        <v>72</v>
      </c>
      <c r="B74" s="288" t="s">
        <v>1603</v>
      </c>
      <c r="C74" s="185" t="s">
        <v>1649</v>
      </c>
      <c r="D74" s="48" t="s">
        <v>1249</v>
      </c>
      <c r="E74" s="293">
        <v>522032</v>
      </c>
      <c r="F74" s="293">
        <v>18</v>
      </c>
      <c r="G74" s="187" t="str">
        <f t="shared" si="2"/>
        <v>FCU:(522032,18)</v>
      </c>
    </row>
    <row r="75" spans="1:8" x14ac:dyDescent="0.35">
      <c r="A75" s="185">
        <v>73</v>
      </c>
      <c r="B75" s="288" t="s">
        <v>1603</v>
      </c>
      <c r="C75" s="185" t="s">
        <v>1648</v>
      </c>
      <c r="D75" s="48" t="s">
        <v>1249</v>
      </c>
      <c r="E75" s="293">
        <v>522032</v>
      </c>
      <c r="F75" s="293">
        <v>1</v>
      </c>
      <c r="G75" s="187" t="str">
        <f t="shared" si="2"/>
        <v>FCU:(522032,1)</v>
      </c>
    </row>
    <row r="76" spans="1:8" x14ac:dyDescent="0.35">
      <c r="A76" s="185">
        <v>74</v>
      </c>
      <c r="B76" s="288" t="s">
        <v>1603</v>
      </c>
      <c r="C76" s="185" t="s">
        <v>1649</v>
      </c>
      <c r="D76" s="48" t="s">
        <v>1250</v>
      </c>
      <c r="E76" s="293">
        <v>522033</v>
      </c>
      <c r="F76" s="293">
        <v>16</v>
      </c>
      <c r="G76" s="187" t="str">
        <f t="shared" si="2"/>
        <v>FCU:(522033,16)</v>
      </c>
    </row>
    <row r="77" spans="1:8" x14ac:dyDescent="0.35">
      <c r="A77" s="185">
        <v>75</v>
      </c>
      <c r="B77" s="288" t="s">
        <v>1603</v>
      </c>
      <c r="C77" s="185" t="s">
        <v>1648</v>
      </c>
      <c r="D77" s="48" t="s">
        <v>1250</v>
      </c>
      <c r="E77" s="293">
        <v>522033</v>
      </c>
      <c r="F77" s="293">
        <v>0</v>
      </c>
      <c r="G77" s="187" t="str">
        <f t="shared" si="2"/>
        <v>FCU:(522033,0)</v>
      </c>
    </row>
    <row r="78" spans="1:8" x14ac:dyDescent="0.35">
      <c r="A78" s="185">
        <v>76</v>
      </c>
      <c r="B78" s="288" t="s">
        <v>1603</v>
      </c>
      <c r="C78" s="185" t="s">
        <v>1649</v>
      </c>
      <c r="D78" s="48" t="s">
        <v>1619</v>
      </c>
      <c r="E78" s="293">
        <v>522034</v>
      </c>
      <c r="F78" s="293">
        <v>16</v>
      </c>
      <c r="G78" s="187" t="str">
        <f t="shared" si="2"/>
        <v>FCU:(522034,16)</v>
      </c>
    </row>
    <row r="79" spans="1:8" x14ac:dyDescent="0.35">
      <c r="A79" s="185">
        <v>77</v>
      </c>
      <c r="B79" s="288" t="s">
        <v>1603</v>
      </c>
      <c r="C79" s="185" t="s">
        <v>1648</v>
      </c>
      <c r="D79" s="48" t="s">
        <v>1619</v>
      </c>
      <c r="E79" s="293">
        <v>522034</v>
      </c>
      <c r="F79" s="293">
        <v>0</v>
      </c>
      <c r="G79" s="187" t="str">
        <f t="shared" si="2"/>
        <v>FCU:(522034,0)</v>
      </c>
    </row>
    <row r="80" spans="1:8" x14ac:dyDescent="0.35">
      <c r="A80" s="185">
        <v>78</v>
      </c>
      <c r="B80" s="288" t="s">
        <v>1603</v>
      </c>
      <c r="C80" s="185" t="s">
        <v>1649</v>
      </c>
      <c r="D80" s="48" t="s">
        <v>1620</v>
      </c>
      <c r="E80" s="293">
        <v>522035</v>
      </c>
      <c r="F80" s="293">
        <v>4</v>
      </c>
      <c r="G80" s="187" t="str">
        <f t="shared" si="2"/>
        <v>FCU:(522035,4)</v>
      </c>
    </row>
    <row r="81" spans="1:7" x14ac:dyDescent="0.35">
      <c r="A81" s="185">
        <v>79</v>
      </c>
      <c r="B81" s="288" t="s">
        <v>1603</v>
      </c>
      <c r="C81" s="185" t="s">
        <v>1649</v>
      </c>
      <c r="D81" s="48" t="s">
        <v>1621</v>
      </c>
      <c r="E81" s="293">
        <v>2853</v>
      </c>
      <c r="F81" s="293">
        <v>19</v>
      </c>
      <c r="G81" s="187" t="str">
        <f t="shared" si="2"/>
        <v>FCU:(2853,19)</v>
      </c>
    </row>
    <row r="82" spans="1:7" x14ac:dyDescent="0.35">
      <c r="A82" s="185">
        <v>80</v>
      </c>
      <c r="B82" s="288" t="s">
        <v>1603</v>
      </c>
      <c r="C82" s="185" t="s">
        <v>1648</v>
      </c>
      <c r="D82" s="48" t="s">
        <v>1621</v>
      </c>
      <c r="E82" s="293">
        <v>2853</v>
      </c>
      <c r="F82" s="293">
        <v>12</v>
      </c>
      <c r="G82" s="187" t="str">
        <f t="shared" si="2"/>
        <v>FCU:(2853,12)</v>
      </c>
    </row>
  </sheetData>
  <autoFilter ref="A2:H82" xr:uid="{00000000-0001-0000-1600-000000000000}"/>
  <mergeCells count="1">
    <mergeCell ref="A1:B1"/>
  </mergeCells>
  <phoneticPr fontId="6" type="noConversion"/>
  <hyperlinks>
    <hyperlink ref="A1:B1" location="'控制器源地址&amp;跳转页面'!A1" display="返回目录" xr:uid="{F30F0044-E4A6-4F8A-9809-FCC6B6F03363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H37"/>
  <sheetViews>
    <sheetView zoomScale="115" zoomScaleNormal="115" workbookViewId="0">
      <selection sqref="A1:B1"/>
    </sheetView>
  </sheetViews>
  <sheetFormatPr defaultRowHeight="16.5" x14ac:dyDescent="0.15"/>
  <cols>
    <col min="1" max="3" width="9" style="248"/>
    <col min="4" max="4" width="36.875" style="248" bestFit="1" customWidth="1"/>
    <col min="5" max="6" width="9.5" style="248" bestFit="1" customWidth="1"/>
    <col min="7" max="7" width="51.25" style="248" bestFit="1" customWidth="1"/>
    <col min="8" max="8" width="28.125" style="248" bestFit="1" customWidth="1"/>
    <col min="9" max="9" width="28.375" style="248" customWidth="1"/>
    <col min="10" max="16384" width="9" style="248"/>
  </cols>
  <sheetData>
    <row r="1" spans="1:8" x14ac:dyDescent="0.15">
      <c r="A1" s="353" t="s">
        <v>1703</v>
      </c>
      <c r="B1" s="353"/>
    </row>
    <row r="2" spans="1:8" x14ac:dyDescent="0.15">
      <c r="A2" s="314" t="s">
        <v>1215</v>
      </c>
      <c r="B2" s="314" t="s">
        <v>1600</v>
      </c>
      <c r="C2" s="314" t="s">
        <v>1636</v>
      </c>
      <c r="D2" s="315" t="s">
        <v>2</v>
      </c>
      <c r="E2" s="315" t="s">
        <v>10</v>
      </c>
      <c r="F2" s="315" t="s">
        <v>3</v>
      </c>
      <c r="G2" s="316" t="s">
        <v>1216</v>
      </c>
      <c r="H2" s="300" t="s">
        <v>3357</v>
      </c>
    </row>
    <row r="3" spans="1:8" x14ac:dyDescent="0.35">
      <c r="A3" s="49">
        <v>1</v>
      </c>
      <c r="B3" s="119" t="s">
        <v>1603</v>
      </c>
      <c r="C3" s="49" t="s">
        <v>1650</v>
      </c>
      <c r="D3" s="48" t="s">
        <v>1217</v>
      </c>
      <c r="E3" s="124">
        <v>522040</v>
      </c>
      <c r="F3" s="124">
        <v>0</v>
      </c>
      <c r="G3" s="187" t="str">
        <f>"HMU"&amp;":"&amp;"("&amp;E3&amp;","&amp;F3&amp;")"</f>
        <v>HMU:(522040,0)</v>
      </c>
      <c r="H3" s="301"/>
    </row>
    <row r="4" spans="1:8" x14ac:dyDescent="0.35">
      <c r="A4" s="49">
        <v>2</v>
      </c>
      <c r="B4" s="302" t="s">
        <v>1608</v>
      </c>
      <c r="C4" s="49"/>
      <c r="D4" s="48" t="s">
        <v>1218</v>
      </c>
      <c r="E4" s="124">
        <v>522040</v>
      </c>
      <c r="F4" s="124">
        <v>16</v>
      </c>
      <c r="G4" s="187"/>
      <c r="H4" s="301"/>
    </row>
    <row r="5" spans="1:8" x14ac:dyDescent="0.35">
      <c r="A5" s="303">
        <v>3</v>
      </c>
      <c r="B5" s="304" t="s">
        <v>1603</v>
      </c>
      <c r="C5" s="303"/>
      <c r="D5" s="305" t="s">
        <v>1219</v>
      </c>
      <c r="E5" s="306">
        <v>522041</v>
      </c>
      <c r="F5" s="306">
        <v>1</v>
      </c>
      <c r="G5" s="187"/>
      <c r="H5" s="307" t="s">
        <v>1651</v>
      </c>
    </row>
    <row r="6" spans="1:8" x14ac:dyDescent="0.35">
      <c r="A6" s="49">
        <v>4</v>
      </c>
      <c r="B6" s="119" t="s">
        <v>1603</v>
      </c>
      <c r="C6" s="125"/>
      <c r="D6" s="50" t="s">
        <v>1220</v>
      </c>
      <c r="E6" s="49">
        <v>522041</v>
      </c>
      <c r="F6" s="49">
        <v>18</v>
      </c>
      <c r="G6" s="187" t="str">
        <f t="shared" ref="G6:G37" si="0">"HMU"&amp;":"&amp;"("&amp;E6&amp;","&amp;F6&amp;")"</f>
        <v>HMU:(522041,18)</v>
      </c>
      <c r="H6" s="301"/>
    </row>
    <row r="7" spans="1:8" x14ac:dyDescent="0.35">
      <c r="A7" s="49">
        <v>5</v>
      </c>
      <c r="B7" s="302" t="s">
        <v>1608</v>
      </c>
      <c r="C7" s="49"/>
      <c r="D7" s="48" t="s">
        <v>1221</v>
      </c>
      <c r="E7" s="124">
        <v>522042</v>
      </c>
      <c r="F7" s="124">
        <v>16</v>
      </c>
      <c r="G7" s="187"/>
      <c r="H7" s="301"/>
    </row>
    <row r="8" spans="1:8" x14ac:dyDescent="0.35">
      <c r="A8" s="49">
        <v>6</v>
      </c>
      <c r="B8" s="119" t="s">
        <v>1603</v>
      </c>
      <c r="C8" s="49" t="s">
        <v>1650</v>
      </c>
      <c r="D8" s="48" t="s">
        <v>1222</v>
      </c>
      <c r="E8" s="124">
        <v>522042</v>
      </c>
      <c r="F8" s="124">
        <v>0</v>
      </c>
      <c r="G8" s="187" t="str">
        <f t="shared" si="0"/>
        <v>HMU:(522042,0)</v>
      </c>
      <c r="H8" s="301"/>
    </row>
    <row r="9" spans="1:8" x14ac:dyDescent="0.35">
      <c r="A9" s="49">
        <v>7</v>
      </c>
      <c r="B9" s="302" t="s">
        <v>1608</v>
      </c>
      <c r="C9" s="49"/>
      <c r="D9" s="48" t="s">
        <v>1223</v>
      </c>
      <c r="E9" s="124">
        <v>522043</v>
      </c>
      <c r="F9" s="124">
        <v>18</v>
      </c>
      <c r="G9" s="187"/>
      <c r="H9" s="301"/>
    </row>
    <row r="10" spans="1:8" x14ac:dyDescent="0.35">
      <c r="A10" s="49">
        <v>8</v>
      </c>
      <c r="B10" s="119" t="s">
        <v>1603</v>
      </c>
      <c r="C10" s="49" t="s">
        <v>1650</v>
      </c>
      <c r="D10" s="48" t="s">
        <v>1224</v>
      </c>
      <c r="E10" s="124">
        <v>522043</v>
      </c>
      <c r="F10" s="124">
        <v>1</v>
      </c>
      <c r="G10" s="187" t="str">
        <f t="shared" si="0"/>
        <v>HMU:(522043,1)</v>
      </c>
      <c r="H10" s="301"/>
    </row>
    <row r="11" spans="1:8" x14ac:dyDescent="0.35">
      <c r="A11" s="49">
        <v>9</v>
      </c>
      <c r="B11" s="119" t="s">
        <v>1603</v>
      </c>
      <c r="C11" s="49" t="s">
        <v>1650</v>
      </c>
      <c r="D11" s="48" t="s">
        <v>1225</v>
      </c>
      <c r="E11" s="124">
        <v>522044</v>
      </c>
      <c r="F11" s="124">
        <v>0</v>
      </c>
      <c r="G11" s="187" t="str">
        <f t="shared" si="0"/>
        <v>HMU:(522044,0)</v>
      </c>
      <c r="H11" s="301"/>
    </row>
    <row r="12" spans="1:8" x14ac:dyDescent="0.35">
      <c r="A12" s="49">
        <v>10</v>
      </c>
      <c r="B12" s="302" t="s">
        <v>1608</v>
      </c>
      <c r="C12" s="49"/>
      <c r="D12" s="48" t="s">
        <v>1226</v>
      </c>
      <c r="E12" s="124">
        <v>522044</v>
      </c>
      <c r="F12" s="124">
        <v>16</v>
      </c>
      <c r="G12" s="187"/>
      <c r="H12" s="301"/>
    </row>
    <row r="13" spans="1:8" x14ac:dyDescent="0.35">
      <c r="A13" s="49">
        <v>11</v>
      </c>
      <c r="B13" s="119" t="s">
        <v>1603</v>
      </c>
      <c r="C13" s="49" t="s">
        <v>1652</v>
      </c>
      <c r="D13" s="48" t="s">
        <v>1227</v>
      </c>
      <c r="E13" s="124">
        <v>522045</v>
      </c>
      <c r="F13" s="124">
        <v>16</v>
      </c>
      <c r="G13" s="187" t="str">
        <f t="shared" si="0"/>
        <v>HMU:(522045,16)</v>
      </c>
      <c r="H13" s="301"/>
    </row>
    <row r="14" spans="1:8" x14ac:dyDescent="0.35">
      <c r="A14" s="245">
        <v>12</v>
      </c>
      <c r="B14" s="308" t="s">
        <v>1603</v>
      </c>
      <c r="C14" s="245" t="s">
        <v>1652</v>
      </c>
      <c r="D14" s="309" t="s">
        <v>1228</v>
      </c>
      <c r="E14" s="310">
        <v>522045</v>
      </c>
      <c r="F14" s="310">
        <v>15</v>
      </c>
      <c r="G14" s="187" t="str">
        <f t="shared" si="0"/>
        <v>HMU:(522045,15)</v>
      </c>
    </row>
    <row r="15" spans="1:8" x14ac:dyDescent="0.35">
      <c r="A15" s="49">
        <v>13</v>
      </c>
      <c r="B15" s="119" t="s">
        <v>1603</v>
      </c>
      <c r="C15" s="49" t="s">
        <v>1652</v>
      </c>
      <c r="D15" s="48" t="s">
        <v>1229</v>
      </c>
      <c r="E15" s="124">
        <v>522046</v>
      </c>
      <c r="F15" s="124">
        <v>11</v>
      </c>
      <c r="G15" s="187" t="str">
        <f t="shared" si="0"/>
        <v>HMU:(522046,11)</v>
      </c>
    </row>
    <row r="16" spans="1:8" x14ac:dyDescent="0.35">
      <c r="A16" s="49">
        <v>14</v>
      </c>
      <c r="B16" s="119" t="s">
        <v>1603</v>
      </c>
      <c r="C16" s="49" t="s">
        <v>1652</v>
      </c>
      <c r="D16" s="48" t="s">
        <v>1230</v>
      </c>
      <c r="E16" s="124">
        <v>522047</v>
      </c>
      <c r="F16" s="124">
        <v>11</v>
      </c>
      <c r="G16" s="187" t="str">
        <f t="shared" si="0"/>
        <v>HMU:(522047,11)</v>
      </c>
    </row>
    <row r="17" spans="1:7" x14ac:dyDescent="0.35">
      <c r="A17" s="49">
        <v>15</v>
      </c>
      <c r="B17" s="119" t="s">
        <v>1603</v>
      </c>
      <c r="C17" s="49" t="s">
        <v>1652</v>
      </c>
      <c r="D17" s="48" t="s">
        <v>1231</v>
      </c>
      <c r="E17" s="124">
        <v>522048</v>
      </c>
      <c r="F17" s="124">
        <v>11</v>
      </c>
      <c r="G17" s="187" t="str">
        <f t="shared" si="0"/>
        <v>HMU:(522048,11)</v>
      </c>
    </row>
    <row r="18" spans="1:7" x14ac:dyDescent="0.35">
      <c r="A18" s="49">
        <v>16</v>
      </c>
      <c r="B18" s="119" t="s">
        <v>1603</v>
      </c>
      <c r="C18" s="49" t="s">
        <v>1652</v>
      </c>
      <c r="D18" s="48" t="s">
        <v>1232</v>
      </c>
      <c r="E18" s="124">
        <v>522049</v>
      </c>
      <c r="F18" s="124">
        <v>11</v>
      </c>
      <c r="G18" s="187" t="str">
        <f t="shared" si="0"/>
        <v>HMU:(522049,11)</v>
      </c>
    </row>
    <row r="19" spans="1:7" x14ac:dyDescent="0.35">
      <c r="A19" s="49">
        <v>17</v>
      </c>
      <c r="B19" s="119" t="s">
        <v>1603</v>
      </c>
      <c r="C19" s="49" t="s">
        <v>1652</v>
      </c>
      <c r="D19" s="48" t="s">
        <v>1233</v>
      </c>
      <c r="E19" s="124">
        <v>522050</v>
      </c>
      <c r="F19" s="124">
        <v>11</v>
      </c>
      <c r="G19" s="187" t="str">
        <f t="shared" si="0"/>
        <v>HMU:(522050,11)</v>
      </c>
    </row>
    <row r="20" spans="1:7" x14ac:dyDescent="0.35">
      <c r="A20" s="49">
        <v>18</v>
      </c>
      <c r="B20" s="119" t="s">
        <v>1603</v>
      </c>
      <c r="C20" s="49" t="s">
        <v>1652</v>
      </c>
      <c r="D20" s="48" t="s">
        <v>1234</v>
      </c>
      <c r="E20" s="124">
        <v>2853</v>
      </c>
      <c r="F20" s="124">
        <v>19</v>
      </c>
      <c r="G20" s="187" t="str">
        <f t="shared" si="0"/>
        <v>HMU:(2853,19)</v>
      </c>
    </row>
    <row r="21" spans="1:7" x14ac:dyDescent="0.35">
      <c r="A21" s="49">
        <v>19</v>
      </c>
      <c r="B21" s="119" t="s">
        <v>1603</v>
      </c>
      <c r="C21" s="49" t="s">
        <v>1652</v>
      </c>
      <c r="D21" s="48" t="s">
        <v>1235</v>
      </c>
      <c r="E21" s="124">
        <v>522051</v>
      </c>
      <c r="F21" s="124">
        <v>11</v>
      </c>
      <c r="G21" s="187" t="str">
        <f t="shared" si="0"/>
        <v>HMU:(522051,11)</v>
      </c>
    </row>
    <row r="22" spans="1:7" x14ac:dyDescent="0.35">
      <c r="A22" s="49">
        <v>20</v>
      </c>
      <c r="B22" s="119" t="s">
        <v>1603</v>
      </c>
      <c r="C22" s="49" t="s">
        <v>1652</v>
      </c>
      <c r="D22" s="48" t="s">
        <v>1236</v>
      </c>
      <c r="E22" s="124">
        <v>522052</v>
      </c>
      <c r="F22" s="124">
        <v>11</v>
      </c>
      <c r="G22" s="187" t="str">
        <f t="shared" si="0"/>
        <v>HMU:(522052,11)</v>
      </c>
    </row>
    <row r="23" spans="1:7" x14ac:dyDescent="0.35">
      <c r="A23" s="49">
        <v>21</v>
      </c>
      <c r="B23" s="119" t="s">
        <v>1603</v>
      </c>
      <c r="C23" s="49" t="s">
        <v>1652</v>
      </c>
      <c r="D23" s="48" t="s">
        <v>1237</v>
      </c>
      <c r="E23" s="124">
        <v>522053</v>
      </c>
      <c r="F23" s="124">
        <v>11</v>
      </c>
      <c r="G23" s="187" t="str">
        <f t="shared" si="0"/>
        <v>HMU:(522053,11)</v>
      </c>
    </row>
    <row r="24" spans="1:7" x14ac:dyDescent="0.35">
      <c r="A24" s="49">
        <v>22</v>
      </c>
      <c r="B24" s="119" t="s">
        <v>1603</v>
      </c>
      <c r="C24" s="49" t="s">
        <v>1652</v>
      </c>
      <c r="D24" s="48" t="s">
        <v>1238</v>
      </c>
      <c r="E24" s="124">
        <v>522054</v>
      </c>
      <c r="F24" s="124">
        <v>11</v>
      </c>
      <c r="G24" s="187" t="str">
        <f t="shared" si="0"/>
        <v>HMU:(522054,11)</v>
      </c>
    </row>
    <row r="25" spans="1:7" x14ac:dyDescent="0.35">
      <c r="A25" s="49">
        <v>23</v>
      </c>
      <c r="B25" s="119" t="s">
        <v>1603</v>
      </c>
      <c r="C25" s="49" t="s">
        <v>1652</v>
      </c>
      <c r="D25" s="48" t="s">
        <v>1239</v>
      </c>
      <c r="E25" s="124">
        <v>522055</v>
      </c>
      <c r="F25" s="124">
        <v>11</v>
      </c>
      <c r="G25" s="187" t="str">
        <f t="shared" si="0"/>
        <v>HMU:(522055,11)</v>
      </c>
    </row>
    <row r="26" spans="1:7" x14ac:dyDescent="0.35">
      <c r="A26" s="49">
        <v>24</v>
      </c>
      <c r="B26" s="119" t="s">
        <v>1603</v>
      </c>
      <c r="C26" s="49" t="s">
        <v>1652</v>
      </c>
      <c r="D26" s="48" t="s">
        <v>1240</v>
      </c>
      <c r="E26" s="124">
        <v>522056</v>
      </c>
      <c r="F26" s="124">
        <v>11</v>
      </c>
      <c r="G26" s="187" t="str">
        <f t="shared" si="0"/>
        <v>HMU:(522056,11)</v>
      </c>
    </row>
    <row r="27" spans="1:7" x14ac:dyDescent="0.35">
      <c r="A27" s="49">
        <v>25</v>
      </c>
      <c r="B27" s="119" t="s">
        <v>1603</v>
      </c>
      <c r="C27" s="49" t="s">
        <v>1652</v>
      </c>
      <c r="D27" s="48" t="s">
        <v>1241</v>
      </c>
      <c r="E27" s="124">
        <v>522057</v>
      </c>
      <c r="F27" s="124">
        <v>11</v>
      </c>
      <c r="G27" s="187" t="str">
        <f t="shared" si="0"/>
        <v>HMU:(522057,11)</v>
      </c>
    </row>
    <row r="28" spans="1:7" x14ac:dyDescent="0.35">
      <c r="A28" s="49">
        <v>26</v>
      </c>
      <c r="B28" s="119" t="s">
        <v>1603</v>
      </c>
      <c r="C28" s="49" t="s">
        <v>1652</v>
      </c>
      <c r="D28" s="48" t="s">
        <v>1242</v>
      </c>
      <c r="E28" s="124">
        <v>522058</v>
      </c>
      <c r="F28" s="124">
        <v>11</v>
      </c>
      <c r="G28" s="187" t="str">
        <f t="shared" si="0"/>
        <v>HMU:(522058,11)</v>
      </c>
    </row>
    <row r="29" spans="1:7" x14ac:dyDescent="0.35">
      <c r="A29" s="49">
        <v>27</v>
      </c>
      <c r="B29" s="119" t="s">
        <v>1603</v>
      </c>
      <c r="C29" s="49" t="s">
        <v>1652</v>
      </c>
      <c r="D29" s="48" t="s">
        <v>1243</v>
      </c>
      <c r="E29" s="124">
        <v>522059</v>
      </c>
      <c r="F29" s="124">
        <v>11</v>
      </c>
      <c r="G29" s="187" t="str">
        <f t="shared" si="0"/>
        <v>HMU:(522059,11)</v>
      </c>
    </row>
    <row r="30" spans="1:7" x14ac:dyDescent="0.35">
      <c r="A30" s="49">
        <v>28</v>
      </c>
      <c r="B30" s="119" t="s">
        <v>1603</v>
      </c>
      <c r="C30" s="49" t="s">
        <v>1652</v>
      </c>
      <c r="D30" s="48" t="s">
        <v>1244</v>
      </c>
      <c r="E30" s="124">
        <v>522060</v>
      </c>
      <c r="F30" s="124">
        <v>11</v>
      </c>
      <c r="G30" s="187" t="str">
        <f t="shared" si="0"/>
        <v>HMU:(522060,11)</v>
      </c>
    </row>
    <row r="31" spans="1:7" x14ac:dyDescent="0.35">
      <c r="A31" s="49">
        <v>29</v>
      </c>
      <c r="B31" s="119" t="s">
        <v>1603</v>
      </c>
      <c r="C31" s="49" t="s">
        <v>1652</v>
      </c>
      <c r="D31" s="48" t="s">
        <v>1245</v>
      </c>
      <c r="E31" s="124">
        <v>522061</v>
      </c>
      <c r="F31" s="124">
        <v>11</v>
      </c>
      <c r="G31" s="187" t="str">
        <f t="shared" si="0"/>
        <v>HMU:(522061,11)</v>
      </c>
    </row>
    <row r="32" spans="1:7" x14ac:dyDescent="0.35">
      <c r="A32" s="49">
        <v>30</v>
      </c>
      <c r="B32" s="119" t="s">
        <v>1603</v>
      </c>
      <c r="C32" s="49" t="s">
        <v>1650</v>
      </c>
      <c r="D32" s="48" t="s">
        <v>1270</v>
      </c>
      <c r="E32" s="124">
        <v>522044</v>
      </c>
      <c r="F32" s="124">
        <v>1</v>
      </c>
      <c r="G32" s="187" t="str">
        <f t="shared" si="0"/>
        <v>HMU:(522044,1)</v>
      </c>
    </row>
    <row r="33" spans="1:8" x14ac:dyDescent="0.35">
      <c r="A33" s="49">
        <v>31</v>
      </c>
      <c r="B33" s="302" t="s">
        <v>1608</v>
      </c>
      <c r="C33" s="49"/>
      <c r="D33" s="48" t="s">
        <v>1270</v>
      </c>
      <c r="E33" s="124">
        <v>522044</v>
      </c>
      <c r="F33" s="124">
        <v>18</v>
      </c>
      <c r="G33" s="187"/>
    </row>
    <row r="34" spans="1:8" x14ac:dyDescent="0.35">
      <c r="A34" s="49">
        <v>32</v>
      </c>
      <c r="B34" s="311" t="s">
        <v>1601</v>
      </c>
      <c r="C34" s="49" t="s">
        <v>1650</v>
      </c>
      <c r="D34" s="48" t="s">
        <v>1268</v>
      </c>
      <c r="E34" s="124">
        <v>522045</v>
      </c>
      <c r="F34" s="124">
        <v>0</v>
      </c>
      <c r="G34" s="187" t="str">
        <f t="shared" si="0"/>
        <v>HMU:(522045,0)</v>
      </c>
    </row>
    <row r="35" spans="1:8" x14ac:dyDescent="0.35">
      <c r="A35" s="49">
        <v>33</v>
      </c>
      <c r="B35" s="119" t="s">
        <v>1603</v>
      </c>
      <c r="C35" s="49" t="s">
        <v>1652</v>
      </c>
      <c r="D35" s="48" t="s">
        <v>1269</v>
      </c>
      <c r="E35" s="124">
        <v>522079</v>
      </c>
      <c r="F35" s="124">
        <v>19</v>
      </c>
      <c r="G35" s="187" t="str">
        <f t="shared" si="0"/>
        <v>HMU:(522079,19)</v>
      </c>
    </row>
    <row r="36" spans="1:8" x14ac:dyDescent="0.35">
      <c r="A36" s="49">
        <v>34</v>
      </c>
      <c r="B36" s="119" t="s">
        <v>1603</v>
      </c>
      <c r="C36" s="49" t="s">
        <v>1650</v>
      </c>
      <c r="D36" s="48" t="s">
        <v>1271</v>
      </c>
      <c r="E36" s="124">
        <v>522079</v>
      </c>
      <c r="F36" s="124">
        <v>12</v>
      </c>
      <c r="G36" s="187" t="str">
        <f t="shared" si="0"/>
        <v>HMU:(522079,12)</v>
      </c>
    </row>
    <row r="37" spans="1:8" x14ac:dyDescent="0.35">
      <c r="A37" s="299">
        <v>35</v>
      </c>
      <c r="B37" s="119" t="s">
        <v>1603</v>
      </c>
      <c r="C37" s="299" t="s">
        <v>1650</v>
      </c>
      <c r="D37" s="312" t="s">
        <v>1653</v>
      </c>
      <c r="E37" s="313">
        <v>2853</v>
      </c>
      <c r="F37" s="313">
        <v>12</v>
      </c>
      <c r="G37" s="187" t="str">
        <f t="shared" si="0"/>
        <v>HMU:(2853,12)</v>
      </c>
      <c r="H37" s="283" t="s">
        <v>1646</v>
      </c>
    </row>
  </sheetData>
  <mergeCells count="1">
    <mergeCell ref="A1:B1"/>
  </mergeCells>
  <phoneticPr fontId="6" type="noConversion"/>
  <hyperlinks>
    <hyperlink ref="A1:B1" location="'控制器源地址&amp;跳转页面'!A1" display="返回目录" xr:uid="{AFBF24FE-2974-45A7-86BE-8392F6C1C53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G18"/>
  <sheetViews>
    <sheetView zoomScaleNormal="100" workbookViewId="0">
      <selection activeCell="E28" sqref="E28"/>
    </sheetView>
  </sheetViews>
  <sheetFormatPr defaultRowHeight="16.5" x14ac:dyDescent="0.15"/>
  <cols>
    <col min="1" max="1" width="5.5" style="225" bestFit="1" customWidth="1"/>
    <col min="2" max="2" width="19.375" style="132" bestFit="1" customWidth="1"/>
    <col min="3" max="3" width="13.875" style="132" customWidth="1"/>
    <col min="4" max="4" width="12.875" style="132" customWidth="1"/>
    <col min="5" max="5" width="33.625" style="132" bestFit="1" customWidth="1"/>
    <col min="6" max="6" width="14.5" style="132" customWidth="1"/>
    <col min="7" max="16384" width="9" style="132"/>
  </cols>
  <sheetData>
    <row r="1" spans="1:7" ht="21" customHeight="1" x14ac:dyDescent="0.15">
      <c r="A1" s="233" t="s">
        <v>1</v>
      </c>
      <c r="B1" s="234" t="s">
        <v>2</v>
      </c>
      <c r="C1" s="234" t="s">
        <v>10</v>
      </c>
      <c r="D1" s="234" t="s">
        <v>3</v>
      </c>
      <c r="E1" s="496" t="s">
        <v>1038</v>
      </c>
      <c r="F1" s="492"/>
      <c r="G1" s="492"/>
    </row>
    <row r="2" spans="1:7" x14ac:dyDescent="0.15">
      <c r="A2" s="487">
        <v>1</v>
      </c>
      <c r="B2" s="488" t="s">
        <v>1254</v>
      </c>
      <c r="C2" s="489">
        <v>522030</v>
      </c>
      <c r="D2" s="494">
        <v>16</v>
      </c>
      <c r="E2" s="187" t="str">
        <f>"FCU"&amp;":"&amp;"("&amp;C2&amp;","&amp;D2&amp;")"</f>
        <v>FCU:(522030,16)</v>
      </c>
      <c r="F2" s="493"/>
      <c r="G2" s="493"/>
    </row>
    <row r="3" spans="1:7" x14ac:dyDescent="0.15">
      <c r="A3" s="487">
        <v>2</v>
      </c>
      <c r="B3" s="488" t="s">
        <v>1246</v>
      </c>
      <c r="C3" s="489">
        <v>522030</v>
      </c>
      <c r="D3" s="494">
        <v>18</v>
      </c>
      <c r="E3" s="187" t="str">
        <f t="shared" ref="E3:E17" si="0">"FCU"&amp;":"&amp;"("&amp;C3&amp;","&amp;D3&amp;")"</f>
        <v>FCU:(522030,18)</v>
      </c>
      <c r="F3" s="493"/>
      <c r="G3" s="493"/>
    </row>
    <row r="4" spans="1:7" x14ac:dyDescent="0.15">
      <c r="A4" s="487">
        <v>3</v>
      </c>
      <c r="B4" s="488" t="s">
        <v>1247</v>
      </c>
      <c r="C4" s="489">
        <v>522031</v>
      </c>
      <c r="D4" s="494">
        <v>16</v>
      </c>
      <c r="E4" s="187" t="str">
        <f t="shared" si="0"/>
        <v>FCU:(522031,16)</v>
      </c>
      <c r="F4" s="493"/>
      <c r="G4" s="493"/>
    </row>
    <row r="5" spans="1:7" x14ac:dyDescent="0.15">
      <c r="A5" s="487">
        <v>4</v>
      </c>
      <c r="B5" s="488" t="s">
        <v>1248</v>
      </c>
      <c r="C5" s="489">
        <v>522032</v>
      </c>
      <c r="D5" s="494">
        <v>16</v>
      </c>
      <c r="E5" s="187" t="str">
        <f t="shared" si="0"/>
        <v>FCU:(522032,16)</v>
      </c>
      <c r="F5" s="493"/>
      <c r="G5" s="493"/>
    </row>
    <row r="6" spans="1:7" x14ac:dyDescent="0.15">
      <c r="A6" s="487">
        <v>5</v>
      </c>
      <c r="B6" s="488" t="s">
        <v>1249</v>
      </c>
      <c r="C6" s="489">
        <v>522032</v>
      </c>
      <c r="D6" s="494">
        <v>18</v>
      </c>
      <c r="E6" s="187" t="str">
        <f t="shared" si="0"/>
        <v>FCU:(522032,18)</v>
      </c>
      <c r="F6" s="493"/>
      <c r="G6" s="493"/>
    </row>
    <row r="7" spans="1:7" x14ac:dyDescent="0.15">
      <c r="A7" s="487">
        <v>6</v>
      </c>
      <c r="B7" s="488" t="s">
        <v>1250</v>
      </c>
      <c r="C7" s="489">
        <v>522033</v>
      </c>
      <c r="D7" s="494">
        <v>16</v>
      </c>
      <c r="E7" s="187" t="str">
        <f t="shared" si="0"/>
        <v>FCU:(522033,16)</v>
      </c>
      <c r="F7" s="493"/>
      <c r="G7" s="493"/>
    </row>
    <row r="8" spans="1:7" x14ac:dyDescent="0.15">
      <c r="A8" s="487">
        <v>7</v>
      </c>
      <c r="B8" s="488" t="s">
        <v>1251</v>
      </c>
      <c r="C8" s="489">
        <v>522034</v>
      </c>
      <c r="D8" s="494">
        <v>16</v>
      </c>
      <c r="E8" s="187" t="str">
        <f t="shared" si="0"/>
        <v>FCU:(522034,16)</v>
      </c>
      <c r="F8" s="493"/>
      <c r="G8" s="493"/>
    </row>
    <row r="9" spans="1:7" x14ac:dyDescent="0.15">
      <c r="A9" s="487">
        <v>8</v>
      </c>
      <c r="B9" s="488" t="s">
        <v>1252</v>
      </c>
      <c r="C9" s="489">
        <v>522035</v>
      </c>
      <c r="D9" s="494">
        <v>4</v>
      </c>
      <c r="E9" s="187" t="str">
        <f t="shared" si="0"/>
        <v>FCU:(522035,4)</v>
      </c>
      <c r="F9" s="493"/>
      <c r="G9" s="493"/>
    </row>
    <row r="10" spans="1:7" x14ac:dyDescent="0.15">
      <c r="A10" s="487">
        <v>9</v>
      </c>
      <c r="B10" s="488" t="s">
        <v>1253</v>
      </c>
      <c r="C10" s="489">
        <v>2853</v>
      </c>
      <c r="D10" s="494">
        <v>19</v>
      </c>
      <c r="E10" s="187" t="str">
        <f t="shared" si="0"/>
        <v>FCU:(2853,19)</v>
      </c>
      <c r="F10" s="493"/>
      <c r="G10" s="493"/>
    </row>
    <row r="11" spans="1:7" x14ac:dyDescent="0.3">
      <c r="A11" s="487">
        <v>10</v>
      </c>
      <c r="B11" s="490" t="s">
        <v>1281</v>
      </c>
      <c r="C11" s="491">
        <v>522030</v>
      </c>
      <c r="D11" s="495">
        <v>0</v>
      </c>
      <c r="E11" s="187" t="str">
        <f t="shared" si="0"/>
        <v>FCU:(522030,0)</v>
      </c>
      <c r="F11" s="493"/>
      <c r="G11" s="493"/>
    </row>
    <row r="12" spans="1:7" x14ac:dyDescent="0.3">
      <c r="A12" s="487">
        <v>11</v>
      </c>
      <c r="B12" s="490" t="s">
        <v>1246</v>
      </c>
      <c r="C12" s="491">
        <v>522030</v>
      </c>
      <c r="D12" s="495">
        <v>1</v>
      </c>
      <c r="E12" s="187" t="str">
        <f t="shared" si="0"/>
        <v>FCU:(522030,1)</v>
      </c>
      <c r="F12" s="493"/>
      <c r="G12" s="493"/>
    </row>
    <row r="13" spans="1:7" x14ac:dyDescent="0.3">
      <c r="A13" s="487">
        <v>12</v>
      </c>
      <c r="B13" s="490" t="s">
        <v>1247</v>
      </c>
      <c r="C13" s="491">
        <v>522031</v>
      </c>
      <c r="D13" s="495">
        <v>0</v>
      </c>
      <c r="E13" s="187" t="str">
        <f t="shared" si="0"/>
        <v>FCU:(522031,0)</v>
      </c>
      <c r="F13" s="493"/>
      <c r="G13" s="493"/>
    </row>
    <row r="14" spans="1:7" x14ac:dyDescent="0.3">
      <c r="A14" s="487">
        <v>13</v>
      </c>
      <c r="B14" s="490" t="s">
        <v>1248</v>
      </c>
      <c r="C14" s="491">
        <v>522032</v>
      </c>
      <c r="D14" s="495">
        <v>0</v>
      </c>
      <c r="E14" s="187" t="str">
        <f t="shared" si="0"/>
        <v>FCU:(522032,0)</v>
      </c>
      <c r="F14" s="493"/>
      <c r="G14" s="493"/>
    </row>
    <row r="15" spans="1:7" x14ac:dyDescent="0.3">
      <c r="A15" s="487">
        <v>14</v>
      </c>
      <c r="B15" s="490" t="s">
        <v>1249</v>
      </c>
      <c r="C15" s="491">
        <v>522032</v>
      </c>
      <c r="D15" s="495">
        <v>1</v>
      </c>
      <c r="E15" s="187" t="str">
        <f t="shared" si="0"/>
        <v>FCU:(522032,1)</v>
      </c>
      <c r="F15" s="493"/>
      <c r="G15" s="493"/>
    </row>
    <row r="16" spans="1:7" x14ac:dyDescent="0.3">
      <c r="A16" s="487">
        <v>15</v>
      </c>
      <c r="B16" s="490" t="s">
        <v>1250</v>
      </c>
      <c r="C16" s="491">
        <v>522033</v>
      </c>
      <c r="D16" s="495">
        <v>0</v>
      </c>
      <c r="E16" s="187" t="str">
        <f t="shared" si="0"/>
        <v>FCU:(522033,0)</v>
      </c>
      <c r="F16" s="493"/>
      <c r="G16" s="493"/>
    </row>
    <row r="17" spans="1:7" x14ac:dyDescent="0.3">
      <c r="A17" s="487">
        <v>16</v>
      </c>
      <c r="B17" s="490" t="s">
        <v>1251</v>
      </c>
      <c r="C17" s="491">
        <v>522034</v>
      </c>
      <c r="D17" s="495">
        <v>0</v>
      </c>
      <c r="E17" s="187" t="str">
        <f t="shared" si="0"/>
        <v>FCU:(522034,0)</v>
      </c>
      <c r="F17" s="492"/>
      <c r="G17" s="492"/>
    </row>
    <row r="18" spans="1:7" x14ac:dyDescent="0.3">
      <c r="A18" s="487">
        <v>17</v>
      </c>
      <c r="B18" s="490" t="s">
        <v>1282</v>
      </c>
      <c r="C18" s="491">
        <v>2853</v>
      </c>
      <c r="D18" s="495">
        <v>12</v>
      </c>
      <c r="E18" s="187" t="str">
        <f>"FCU"&amp;":"&amp;"("&amp;C18&amp;","&amp;D18&amp;")"</f>
        <v>FCU:(2853,12)</v>
      </c>
      <c r="F18" s="492"/>
      <c r="G18" s="492"/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I19"/>
  <sheetViews>
    <sheetView zoomScale="115" zoomScaleNormal="115" workbookViewId="0">
      <selection activeCell="H4" sqref="H4"/>
    </sheetView>
  </sheetViews>
  <sheetFormatPr defaultRowHeight="16.5" x14ac:dyDescent="0.15"/>
  <cols>
    <col min="1" max="1" width="5.5" style="248" bestFit="1" customWidth="1"/>
    <col min="2" max="2" width="8.5" style="248" bestFit="1" customWidth="1"/>
    <col min="3" max="3" width="8.5" style="248" customWidth="1"/>
    <col min="4" max="4" width="19.375" style="248" bestFit="1" customWidth="1"/>
    <col min="5" max="5" width="9.25" style="248" customWidth="1"/>
    <col min="6" max="6" width="7.125" style="248" bestFit="1" customWidth="1"/>
    <col min="7" max="7" width="9.5" style="248" bestFit="1" customWidth="1"/>
    <col min="8" max="8" width="24.875" style="248" customWidth="1"/>
    <col min="9" max="9" width="13.125" style="248" customWidth="1"/>
    <col min="10" max="16384" width="9" style="248"/>
  </cols>
  <sheetData>
    <row r="1" spans="1:9" x14ac:dyDescent="0.15">
      <c r="A1" s="354" t="s">
        <v>1532</v>
      </c>
      <c r="B1" s="354"/>
      <c r="C1" s="354"/>
      <c r="D1" s="354"/>
      <c r="E1" s="354"/>
      <c r="F1" s="354"/>
      <c r="G1" s="354"/>
      <c r="H1" s="354"/>
      <c r="I1" s="365" t="s">
        <v>1703</v>
      </c>
    </row>
    <row r="2" spans="1:9" ht="14.45" customHeight="1" x14ac:dyDescent="0.15">
      <c r="A2" s="356" t="s">
        <v>0</v>
      </c>
      <c r="B2" s="356" t="s">
        <v>1600</v>
      </c>
      <c r="C2" s="356" t="s">
        <v>1636</v>
      </c>
      <c r="D2" s="356" t="s">
        <v>2</v>
      </c>
      <c r="E2" s="356" t="s">
        <v>1255</v>
      </c>
      <c r="F2" s="276" t="s">
        <v>104</v>
      </c>
      <c r="G2" s="356" t="s">
        <v>1256</v>
      </c>
      <c r="H2" s="356" t="s">
        <v>1533</v>
      </c>
    </row>
    <row r="3" spans="1:9" x14ac:dyDescent="0.15">
      <c r="A3" s="356"/>
      <c r="B3" s="356"/>
      <c r="C3" s="356"/>
      <c r="D3" s="356"/>
      <c r="E3" s="356"/>
      <c r="F3" s="276" t="s">
        <v>1257</v>
      </c>
      <c r="G3" s="356"/>
      <c r="H3" s="356"/>
    </row>
    <row r="4" spans="1:9" x14ac:dyDescent="0.15">
      <c r="A4" s="277">
        <v>1</v>
      </c>
      <c r="B4" s="36" t="s">
        <v>1603</v>
      </c>
      <c r="C4" s="36" t="s">
        <v>1637</v>
      </c>
      <c r="D4" s="278" t="s">
        <v>1258</v>
      </c>
      <c r="E4" s="277">
        <v>9691</v>
      </c>
      <c r="F4" s="277">
        <v>12</v>
      </c>
      <c r="G4" s="277" t="s">
        <v>1259</v>
      </c>
      <c r="H4" s="131" t="str">
        <f>"ATS1"&amp;":"&amp;"("&amp;E4&amp;","&amp;F4&amp;")"</f>
        <v>ATS1:(9691,12)</v>
      </c>
    </row>
    <row r="5" spans="1:9" x14ac:dyDescent="0.15">
      <c r="A5" s="277">
        <v>2</v>
      </c>
      <c r="B5" s="36" t="s">
        <v>1603</v>
      </c>
      <c r="C5" s="36" t="s">
        <v>1637</v>
      </c>
      <c r="D5" s="279" t="s">
        <v>1260</v>
      </c>
      <c r="E5" s="277">
        <v>12836</v>
      </c>
      <c r="F5" s="277">
        <v>12</v>
      </c>
      <c r="G5" s="277" t="s">
        <v>1259</v>
      </c>
      <c r="H5" s="131" t="str">
        <f t="shared" ref="H5:H9" si="0">"ATS1"&amp;":"&amp;"("&amp;E5&amp;","&amp;F5&amp;")"</f>
        <v>ATS1:(12836,12)</v>
      </c>
    </row>
    <row r="6" spans="1:9" x14ac:dyDescent="0.15">
      <c r="A6" s="277">
        <v>3</v>
      </c>
      <c r="B6" s="36" t="s">
        <v>1603</v>
      </c>
      <c r="C6" s="36" t="s">
        <v>1637</v>
      </c>
      <c r="D6" s="279" t="s">
        <v>1261</v>
      </c>
      <c r="E6" s="277">
        <v>12837</v>
      </c>
      <c r="F6" s="277">
        <v>12</v>
      </c>
      <c r="G6" s="277" t="s">
        <v>1259</v>
      </c>
      <c r="H6" s="131" t="str">
        <f t="shared" si="0"/>
        <v>ATS1:(12837,12)</v>
      </c>
    </row>
    <row r="7" spans="1:9" x14ac:dyDescent="0.15">
      <c r="A7" s="277">
        <v>4</v>
      </c>
      <c r="B7" s="36" t="s">
        <v>1603</v>
      </c>
      <c r="C7" s="36" t="s">
        <v>1637</v>
      </c>
      <c r="D7" s="279" t="s">
        <v>1262</v>
      </c>
      <c r="E7" s="277">
        <v>12836</v>
      </c>
      <c r="F7" s="277">
        <v>5</v>
      </c>
      <c r="G7" s="277" t="s">
        <v>1259</v>
      </c>
      <c r="H7" s="131" t="str">
        <f t="shared" si="0"/>
        <v>ATS1:(12836,5)</v>
      </c>
    </row>
    <row r="8" spans="1:9" x14ac:dyDescent="0.15">
      <c r="A8" s="277">
        <v>5</v>
      </c>
      <c r="B8" s="36" t="s">
        <v>1603</v>
      </c>
      <c r="C8" s="36" t="s">
        <v>1637</v>
      </c>
      <c r="D8" s="279" t="s">
        <v>1263</v>
      </c>
      <c r="E8" s="277">
        <v>12837</v>
      </c>
      <c r="F8" s="277">
        <v>5</v>
      </c>
      <c r="G8" s="277" t="s">
        <v>1259</v>
      </c>
      <c r="H8" s="131" t="str">
        <f t="shared" si="0"/>
        <v>ATS1:(12837,5)</v>
      </c>
    </row>
    <row r="9" spans="1:9" x14ac:dyDescent="0.15">
      <c r="A9" s="284">
        <v>6</v>
      </c>
      <c r="B9" s="36" t="s">
        <v>1603</v>
      </c>
      <c r="C9" s="36" t="s">
        <v>1637</v>
      </c>
      <c r="D9" s="282" t="s">
        <v>1534</v>
      </c>
      <c r="E9" s="285">
        <v>639</v>
      </c>
      <c r="F9" s="285">
        <v>23</v>
      </c>
      <c r="G9" s="280" t="s">
        <v>1259</v>
      </c>
      <c r="H9" s="131" t="str">
        <f t="shared" si="0"/>
        <v>ATS1:(639,23)</v>
      </c>
      <c r="I9" s="248" t="s">
        <v>1539</v>
      </c>
    </row>
    <row r="11" spans="1:9" x14ac:dyDescent="0.15">
      <c r="A11" s="355" t="s">
        <v>1535</v>
      </c>
      <c r="B11" s="355"/>
      <c r="C11" s="355"/>
      <c r="D11" s="355"/>
      <c r="E11" s="355"/>
      <c r="F11" s="355"/>
      <c r="G11" s="355"/>
      <c r="H11" s="355"/>
    </row>
    <row r="12" spans="1:9" x14ac:dyDescent="0.15">
      <c r="A12" s="356" t="s">
        <v>0</v>
      </c>
      <c r="B12" s="356" t="s">
        <v>1600</v>
      </c>
      <c r="C12" s="356" t="s">
        <v>1636</v>
      </c>
      <c r="D12" s="356" t="s">
        <v>2</v>
      </c>
      <c r="E12" s="356" t="s">
        <v>1255</v>
      </c>
      <c r="F12" s="276" t="s">
        <v>104</v>
      </c>
      <c r="G12" s="356" t="s">
        <v>1256</v>
      </c>
      <c r="H12" s="356" t="s">
        <v>1264</v>
      </c>
    </row>
    <row r="13" spans="1:9" x14ac:dyDescent="0.15">
      <c r="A13" s="356"/>
      <c r="B13" s="356"/>
      <c r="C13" s="356"/>
      <c r="D13" s="356"/>
      <c r="E13" s="356"/>
      <c r="F13" s="276" t="s">
        <v>1257</v>
      </c>
      <c r="G13" s="356"/>
      <c r="H13" s="356"/>
    </row>
    <row r="14" spans="1:9" x14ac:dyDescent="0.15">
      <c r="A14" s="280">
        <v>1</v>
      </c>
      <c r="B14" s="36" t="s">
        <v>1603</v>
      </c>
      <c r="C14" s="36" t="s">
        <v>1637</v>
      </c>
      <c r="D14" s="281" t="s">
        <v>1258</v>
      </c>
      <c r="E14" s="280">
        <v>9691</v>
      </c>
      <c r="F14" s="280">
        <v>12</v>
      </c>
      <c r="G14" s="280" t="s">
        <v>1259</v>
      </c>
      <c r="H14" s="131" t="str">
        <f>"ATS2"&amp;":"&amp;"("&amp;E14&amp;","&amp;F14&amp;")"</f>
        <v>ATS2:(9691,12)</v>
      </c>
      <c r="I14" s="248" t="s">
        <v>1538</v>
      </c>
    </row>
    <row r="15" spans="1:9" x14ac:dyDescent="0.15">
      <c r="A15" s="280">
        <v>2</v>
      </c>
      <c r="B15" s="36" t="s">
        <v>1603</v>
      </c>
      <c r="C15" s="36" t="s">
        <v>1637</v>
      </c>
      <c r="D15" s="282" t="s">
        <v>1260</v>
      </c>
      <c r="E15" s="280">
        <v>12836</v>
      </c>
      <c r="F15" s="280">
        <v>12</v>
      </c>
      <c r="G15" s="280" t="s">
        <v>1259</v>
      </c>
      <c r="H15" s="131" t="str">
        <f t="shared" ref="H15:H19" si="1">"ATS2"&amp;":"&amp;"("&amp;E15&amp;","&amp;F15&amp;")"</f>
        <v>ATS2:(12836,12)</v>
      </c>
      <c r="I15" s="248" t="s">
        <v>1538</v>
      </c>
    </row>
    <row r="16" spans="1:9" x14ac:dyDescent="0.15">
      <c r="A16" s="280">
        <v>3</v>
      </c>
      <c r="B16" s="36" t="s">
        <v>1603</v>
      </c>
      <c r="C16" s="36" t="s">
        <v>1637</v>
      </c>
      <c r="D16" s="282" t="s">
        <v>1261</v>
      </c>
      <c r="E16" s="280">
        <v>12837</v>
      </c>
      <c r="F16" s="280">
        <v>12</v>
      </c>
      <c r="G16" s="280" t="s">
        <v>1259</v>
      </c>
      <c r="H16" s="131" t="str">
        <f t="shared" si="1"/>
        <v>ATS2:(12837,12)</v>
      </c>
      <c r="I16" s="248" t="s">
        <v>1538</v>
      </c>
    </row>
    <row r="17" spans="1:9" x14ac:dyDescent="0.15">
      <c r="A17" s="280">
        <v>4</v>
      </c>
      <c r="B17" s="36" t="s">
        <v>1603</v>
      </c>
      <c r="C17" s="36" t="s">
        <v>1637</v>
      </c>
      <c r="D17" s="282" t="s">
        <v>1262</v>
      </c>
      <c r="E17" s="280">
        <v>12836</v>
      </c>
      <c r="F17" s="280">
        <v>5</v>
      </c>
      <c r="G17" s="280" t="s">
        <v>1259</v>
      </c>
      <c r="H17" s="131" t="str">
        <f t="shared" si="1"/>
        <v>ATS2:(12836,5)</v>
      </c>
      <c r="I17" s="248" t="s">
        <v>1538</v>
      </c>
    </row>
    <row r="18" spans="1:9" x14ac:dyDescent="0.15">
      <c r="A18" s="280">
        <v>5</v>
      </c>
      <c r="B18" s="36" t="s">
        <v>1603</v>
      </c>
      <c r="C18" s="36" t="s">
        <v>1637</v>
      </c>
      <c r="D18" s="282" t="s">
        <v>1263</v>
      </c>
      <c r="E18" s="280">
        <v>12837</v>
      </c>
      <c r="F18" s="280">
        <v>5</v>
      </c>
      <c r="G18" s="280" t="s">
        <v>1259</v>
      </c>
      <c r="H18" s="131" t="str">
        <f t="shared" si="1"/>
        <v>ATS2:(12837,5)</v>
      </c>
      <c r="I18" s="248" t="s">
        <v>1538</v>
      </c>
    </row>
    <row r="19" spans="1:9" x14ac:dyDescent="0.15">
      <c r="A19" s="284">
        <v>6</v>
      </c>
      <c r="B19" s="36" t="s">
        <v>1603</v>
      </c>
      <c r="C19" s="36" t="s">
        <v>1637</v>
      </c>
      <c r="D19" s="282" t="s">
        <v>1534</v>
      </c>
      <c r="E19" s="285">
        <v>639</v>
      </c>
      <c r="F19" s="285">
        <v>23</v>
      </c>
      <c r="G19" s="280" t="s">
        <v>1259</v>
      </c>
      <c r="H19" s="131" t="str">
        <f t="shared" si="1"/>
        <v>ATS2:(639,23)</v>
      </c>
      <c r="I19" s="248" t="s">
        <v>1538</v>
      </c>
    </row>
  </sheetData>
  <mergeCells count="16">
    <mergeCell ref="A1:H1"/>
    <mergeCell ref="A11:H11"/>
    <mergeCell ref="A12:A13"/>
    <mergeCell ref="D12:D13"/>
    <mergeCell ref="E12:E13"/>
    <mergeCell ref="G12:G13"/>
    <mergeCell ref="H12:H13"/>
    <mergeCell ref="A2:A3"/>
    <mergeCell ref="D2:D3"/>
    <mergeCell ref="E2:E3"/>
    <mergeCell ref="G2:G3"/>
    <mergeCell ref="H2:H3"/>
    <mergeCell ref="B2:B3"/>
    <mergeCell ref="B12:B13"/>
    <mergeCell ref="C2:C3"/>
    <mergeCell ref="C12:C13"/>
  </mergeCells>
  <phoneticPr fontId="6" type="noConversion"/>
  <hyperlinks>
    <hyperlink ref="I1" location="'控制器源地址&amp;跳转页面'!A1" display="返回目录" xr:uid="{18AD6E02-902A-4023-B05F-E64D16B80C1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"/>
  <sheetViews>
    <sheetView zoomScale="85" zoomScaleNormal="85" workbookViewId="0">
      <selection activeCell="B1" sqref="B1"/>
    </sheetView>
  </sheetViews>
  <sheetFormatPr defaultColWidth="9" defaultRowHeight="13.5" x14ac:dyDescent="0.15"/>
  <cols>
    <col min="1" max="1" width="5.25" customWidth="1"/>
    <col min="2" max="2" width="46.75" style="2" customWidth="1"/>
    <col min="3" max="4" width="9.5" customWidth="1"/>
    <col min="5" max="5" width="74.125" customWidth="1"/>
    <col min="6" max="6" width="11.5" customWidth="1"/>
    <col min="7" max="7" width="9.375" customWidth="1"/>
  </cols>
  <sheetData>
    <row r="1" spans="2:2" ht="27" x14ac:dyDescent="0.15">
      <c r="B1" s="2" t="s">
        <v>1377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</sheetPr>
  <dimension ref="A1:F12"/>
  <sheetViews>
    <sheetView workbookViewId="0">
      <selection activeCell="F2" sqref="F2"/>
    </sheetView>
  </sheetViews>
  <sheetFormatPr defaultRowHeight="16.5" x14ac:dyDescent="0.15"/>
  <cols>
    <col min="1" max="1" width="7.5" style="132" customWidth="1"/>
    <col min="2" max="4" width="9" style="132"/>
    <col min="5" max="5" width="13.375" style="132" customWidth="1"/>
    <col min="6" max="6" width="36.5" style="132" customWidth="1"/>
    <col min="7" max="16384" width="9" style="132"/>
  </cols>
  <sheetData>
    <row r="1" spans="1:6" ht="27" customHeight="1" x14ac:dyDescent="0.15">
      <c r="A1" s="497" t="s">
        <v>0</v>
      </c>
      <c r="B1" s="498" t="s">
        <v>1303</v>
      </c>
      <c r="C1" s="497" t="s">
        <v>103</v>
      </c>
      <c r="D1" s="497" t="s">
        <v>104</v>
      </c>
      <c r="E1" s="497" t="s">
        <v>1256</v>
      </c>
      <c r="F1" s="497" t="s">
        <v>1309</v>
      </c>
    </row>
    <row r="2" spans="1:6" ht="33" x14ac:dyDescent="0.15">
      <c r="A2" s="125">
        <v>1</v>
      </c>
      <c r="B2" s="271" t="s">
        <v>1312</v>
      </c>
      <c r="C2" s="125">
        <v>521600</v>
      </c>
      <c r="D2" s="125">
        <v>0</v>
      </c>
      <c r="E2" s="125" t="s">
        <v>1304</v>
      </c>
      <c r="F2" s="131" t="str">
        <f>"外挂DCDC"&amp;":"&amp;"("&amp;C2&amp;","&amp;D2&amp;")"</f>
        <v>外挂DCDC:(521600,0)</v>
      </c>
    </row>
    <row r="3" spans="1:6" x14ac:dyDescent="0.15">
      <c r="A3" s="125">
        <v>2</v>
      </c>
      <c r="B3" s="271" t="s">
        <v>1305</v>
      </c>
      <c r="C3" s="125">
        <v>521600</v>
      </c>
      <c r="D3" s="125">
        <v>16</v>
      </c>
      <c r="E3" s="125" t="s">
        <v>1306</v>
      </c>
      <c r="F3" s="131" t="str">
        <f t="shared" ref="F3:F12" si="0">"外挂DCDC"&amp;":"&amp;"("&amp;C3&amp;","&amp;D3&amp;")"</f>
        <v>外挂DCDC:(521600,16)</v>
      </c>
    </row>
    <row r="4" spans="1:6" x14ac:dyDescent="0.15">
      <c r="A4" s="125">
        <v>3</v>
      </c>
      <c r="B4" s="271" t="s">
        <v>1313</v>
      </c>
      <c r="C4" s="125">
        <v>521601</v>
      </c>
      <c r="D4" s="125">
        <v>0</v>
      </c>
      <c r="E4" s="125" t="s">
        <v>1304</v>
      </c>
      <c r="F4" s="131" t="str">
        <f t="shared" si="0"/>
        <v>外挂DCDC:(521601,0)</v>
      </c>
    </row>
    <row r="5" spans="1:6" x14ac:dyDescent="0.15">
      <c r="A5" s="125">
        <v>4</v>
      </c>
      <c r="B5" s="271" t="s">
        <v>1314</v>
      </c>
      <c r="C5" s="125">
        <v>521602</v>
      </c>
      <c r="D5" s="125">
        <v>7</v>
      </c>
      <c r="E5" s="125" t="s">
        <v>1306</v>
      </c>
      <c r="F5" s="131" t="str">
        <f t="shared" si="0"/>
        <v>外挂DCDC:(521602,7)</v>
      </c>
    </row>
    <row r="6" spans="1:6" x14ac:dyDescent="0.15">
      <c r="A6" s="125">
        <v>5</v>
      </c>
      <c r="B6" s="271" t="s">
        <v>1315</v>
      </c>
      <c r="C6" s="125">
        <v>521603</v>
      </c>
      <c r="D6" s="125">
        <v>0</v>
      </c>
      <c r="E6" s="125" t="s">
        <v>1304</v>
      </c>
      <c r="F6" s="131" t="str">
        <f t="shared" si="0"/>
        <v>外挂DCDC:(521603,0)</v>
      </c>
    </row>
    <row r="7" spans="1:6" x14ac:dyDescent="0.15">
      <c r="A7" s="125">
        <v>6</v>
      </c>
      <c r="B7" s="271" t="s">
        <v>1316</v>
      </c>
      <c r="C7" s="125">
        <v>521604</v>
      </c>
      <c r="D7" s="125">
        <v>4</v>
      </c>
      <c r="E7" s="125" t="s">
        <v>1304</v>
      </c>
      <c r="F7" s="131" t="str">
        <f t="shared" si="0"/>
        <v>外挂DCDC:(521604,4)</v>
      </c>
    </row>
    <row r="8" spans="1:6" x14ac:dyDescent="0.15">
      <c r="A8" s="125">
        <v>7</v>
      </c>
      <c r="B8" s="271" t="s">
        <v>1307</v>
      </c>
      <c r="C8" s="125">
        <v>521605</v>
      </c>
      <c r="D8" s="125">
        <v>3</v>
      </c>
      <c r="E8" s="125" t="s">
        <v>1306</v>
      </c>
      <c r="F8" s="131" t="str">
        <f t="shared" si="0"/>
        <v>外挂DCDC:(521605,3)</v>
      </c>
    </row>
    <row r="9" spans="1:6" x14ac:dyDescent="0.15">
      <c r="A9" s="125">
        <v>8</v>
      </c>
      <c r="B9" s="271" t="s">
        <v>1317</v>
      </c>
      <c r="C9" s="125">
        <v>521606</v>
      </c>
      <c r="D9" s="125">
        <v>1</v>
      </c>
      <c r="E9" s="125" t="s">
        <v>1304</v>
      </c>
      <c r="F9" s="131" t="str">
        <f t="shared" si="0"/>
        <v>外挂DCDC:(521606,1)</v>
      </c>
    </row>
    <row r="10" spans="1:6" x14ac:dyDescent="0.15">
      <c r="A10" s="125">
        <v>9</v>
      </c>
      <c r="B10" s="271" t="s">
        <v>1318</v>
      </c>
      <c r="C10" s="125">
        <v>521607</v>
      </c>
      <c r="D10" s="125">
        <v>12</v>
      </c>
      <c r="E10" s="125" t="s">
        <v>1306</v>
      </c>
      <c r="F10" s="131" t="str">
        <f t="shared" si="0"/>
        <v>外挂DCDC:(521607,12)</v>
      </c>
    </row>
    <row r="11" spans="1:6" x14ac:dyDescent="0.15">
      <c r="A11" s="125">
        <v>10</v>
      </c>
      <c r="B11" s="260" t="s">
        <v>1308</v>
      </c>
      <c r="C11" s="125">
        <v>521608</v>
      </c>
      <c r="D11" s="125">
        <v>11</v>
      </c>
      <c r="E11" s="125" t="s">
        <v>1304</v>
      </c>
      <c r="F11" s="131" t="str">
        <f t="shared" si="0"/>
        <v>外挂DCDC:(521608,11)</v>
      </c>
    </row>
    <row r="12" spans="1:6" x14ac:dyDescent="0.15">
      <c r="A12" s="125">
        <v>11</v>
      </c>
      <c r="B12" s="271" t="s">
        <v>1319</v>
      </c>
      <c r="C12" s="125">
        <v>521609</v>
      </c>
      <c r="D12" s="125">
        <v>1</v>
      </c>
      <c r="E12" s="125" t="s">
        <v>1304</v>
      </c>
      <c r="F12" s="131" t="str">
        <f t="shared" si="0"/>
        <v>外挂DCDC:(521609,1)</v>
      </c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000"/>
  </sheetPr>
  <dimension ref="A1:F12"/>
  <sheetViews>
    <sheetView workbookViewId="0">
      <selection activeCell="F2" sqref="F2"/>
    </sheetView>
  </sheetViews>
  <sheetFormatPr defaultRowHeight="13.5" x14ac:dyDescent="0.15"/>
  <cols>
    <col min="1" max="1" width="6" customWidth="1"/>
    <col min="2" max="2" width="16" customWidth="1"/>
    <col min="3" max="3" width="10.25" style="1" customWidth="1"/>
    <col min="4" max="4" width="9.75" style="1" customWidth="1"/>
    <col min="5" max="5" width="17.5" customWidth="1"/>
    <col min="6" max="6" width="37" customWidth="1"/>
    <col min="7" max="7" width="8.875" customWidth="1"/>
  </cols>
  <sheetData>
    <row r="1" spans="1:6" ht="20.25" customHeight="1" x14ac:dyDescent="0.15">
      <c r="A1" s="497" t="s">
        <v>0</v>
      </c>
      <c r="B1" s="498" t="s">
        <v>1303</v>
      </c>
      <c r="C1" s="497" t="s">
        <v>103</v>
      </c>
      <c r="D1" s="497" t="s">
        <v>104</v>
      </c>
      <c r="E1" s="497" t="s">
        <v>1310</v>
      </c>
      <c r="F1" s="497" t="s">
        <v>1311</v>
      </c>
    </row>
    <row r="2" spans="1:6" ht="16.5" x14ac:dyDescent="0.15">
      <c r="A2" s="125">
        <v>1</v>
      </c>
      <c r="B2" s="271" t="s">
        <v>1312</v>
      </c>
      <c r="C2" s="125">
        <v>521600</v>
      </c>
      <c r="D2" s="125">
        <v>0</v>
      </c>
      <c r="E2" s="125" t="s">
        <v>1304</v>
      </c>
      <c r="F2" s="131" t="str">
        <f>"外挂DCDC2"&amp;":"&amp;"("&amp;C2&amp;","&amp;D2&amp;")"</f>
        <v>外挂DCDC2:(521600,0)</v>
      </c>
    </row>
    <row r="3" spans="1:6" ht="16.5" x14ac:dyDescent="0.15">
      <c r="A3" s="125">
        <v>2</v>
      </c>
      <c r="B3" s="271" t="s">
        <v>1305</v>
      </c>
      <c r="C3" s="125">
        <v>521600</v>
      </c>
      <c r="D3" s="125">
        <v>16</v>
      </c>
      <c r="E3" s="125" t="s">
        <v>1306</v>
      </c>
      <c r="F3" s="131" t="str">
        <f t="shared" ref="F3:F12" si="0">"外挂DCDC2"&amp;":"&amp;"("&amp;C3&amp;","&amp;D3&amp;")"</f>
        <v>外挂DCDC2:(521600,16)</v>
      </c>
    </row>
    <row r="4" spans="1:6" ht="16.5" x14ac:dyDescent="0.15">
      <c r="A4" s="125">
        <v>3</v>
      </c>
      <c r="B4" s="271" t="s">
        <v>1313</v>
      </c>
      <c r="C4" s="125">
        <v>521601</v>
      </c>
      <c r="D4" s="125">
        <v>0</v>
      </c>
      <c r="E4" s="125" t="s">
        <v>1304</v>
      </c>
      <c r="F4" s="131" t="str">
        <f t="shared" si="0"/>
        <v>外挂DCDC2:(521601,0)</v>
      </c>
    </row>
    <row r="5" spans="1:6" ht="16.5" x14ac:dyDescent="0.15">
      <c r="A5" s="125">
        <v>4</v>
      </c>
      <c r="B5" s="271" t="s">
        <v>1314</v>
      </c>
      <c r="C5" s="125">
        <v>521602</v>
      </c>
      <c r="D5" s="125">
        <v>7</v>
      </c>
      <c r="E5" s="125" t="s">
        <v>1306</v>
      </c>
      <c r="F5" s="131" t="str">
        <f t="shared" si="0"/>
        <v>外挂DCDC2:(521602,7)</v>
      </c>
    </row>
    <row r="6" spans="1:6" ht="16.5" x14ac:dyDescent="0.15">
      <c r="A6" s="125">
        <v>5</v>
      </c>
      <c r="B6" s="271" t="s">
        <v>1315</v>
      </c>
      <c r="C6" s="125">
        <v>521603</v>
      </c>
      <c r="D6" s="125">
        <v>0</v>
      </c>
      <c r="E6" s="125" t="s">
        <v>1304</v>
      </c>
      <c r="F6" s="131" t="str">
        <f t="shared" si="0"/>
        <v>外挂DCDC2:(521603,0)</v>
      </c>
    </row>
    <row r="7" spans="1:6" ht="16.5" x14ac:dyDescent="0.15">
      <c r="A7" s="125">
        <v>6</v>
      </c>
      <c r="B7" s="271" t="s">
        <v>1316</v>
      </c>
      <c r="C7" s="125">
        <v>521604</v>
      </c>
      <c r="D7" s="125">
        <v>4</v>
      </c>
      <c r="E7" s="125" t="s">
        <v>1304</v>
      </c>
      <c r="F7" s="131" t="str">
        <f t="shared" si="0"/>
        <v>外挂DCDC2:(521604,4)</v>
      </c>
    </row>
    <row r="8" spans="1:6" ht="16.5" x14ac:dyDescent="0.15">
      <c r="A8" s="125">
        <v>7</v>
      </c>
      <c r="B8" s="271" t="s">
        <v>1307</v>
      </c>
      <c r="C8" s="125">
        <v>521605</v>
      </c>
      <c r="D8" s="125">
        <v>3</v>
      </c>
      <c r="E8" s="125" t="s">
        <v>1306</v>
      </c>
      <c r="F8" s="131" t="str">
        <f t="shared" si="0"/>
        <v>外挂DCDC2:(521605,3)</v>
      </c>
    </row>
    <row r="9" spans="1:6" ht="16.5" x14ac:dyDescent="0.15">
      <c r="A9" s="125">
        <v>8</v>
      </c>
      <c r="B9" s="271" t="s">
        <v>1317</v>
      </c>
      <c r="C9" s="125">
        <v>521606</v>
      </c>
      <c r="D9" s="125">
        <v>1</v>
      </c>
      <c r="E9" s="125" t="s">
        <v>1304</v>
      </c>
      <c r="F9" s="131" t="str">
        <f t="shared" si="0"/>
        <v>外挂DCDC2:(521606,1)</v>
      </c>
    </row>
    <row r="10" spans="1:6" ht="16.5" x14ac:dyDescent="0.15">
      <c r="A10" s="125">
        <v>9</v>
      </c>
      <c r="B10" s="271" t="s">
        <v>1318</v>
      </c>
      <c r="C10" s="125">
        <v>521607</v>
      </c>
      <c r="D10" s="125">
        <v>12</v>
      </c>
      <c r="E10" s="125" t="s">
        <v>1306</v>
      </c>
      <c r="F10" s="131" t="str">
        <f t="shared" si="0"/>
        <v>外挂DCDC2:(521607,12)</v>
      </c>
    </row>
    <row r="11" spans="1:6" ht="15.6" customHeight="1" x14ac:dyDescent="0.15">
      <c r="A11" s="125">
        <v>10</v>
      </c>
      <c r="B11" s="260" t="s">
        <v>1308</v>
      </c>
      <c r="C11" s="125">
        <v>521608</v>
      </c>
      <c r="D11" s="125">
        <v>11</v>
      </c>
      <c r="E11" s="125" t="s">
        <v>1304</v>
      </c>
      <c r="F11" s="131" t="str">
        <f t="shared" si="0"/>
        <v>外挂DCDC2:(521608,11)</v>
      </c>
    </row>
    <row r="12" spans="1:6" ht="16.5" x14ac:dyDescent="0.15">
      <c r="A12" s="125">
        <v>11</v>
      </c>
      <c r="B12" s="271" t="s">
        <v>1319</v>
      </c>
      <c r="C12" s="125">
        <v>521609</v>
      </c>
      <c r="D12" s="125">
        <v>1</v>
      </c>
      <c r="E12" s="125" t="s">
        <v>1304</v>
      </c>
      <c r="F12" s="131" t="str">
        <f t="shared" si="0"/>
        <v>外挂DCDC2:(521609,1)</v>
      </c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154-531C-41AF-811D-10091363AFDC}">
  <sheetPr>
    <tabColor rgb="FFFFC000"/>
  </sheetPr>
  <dimension ref="A1:HT799"/>
  <sheetViews>
    <sheetView zoomScaleNormal="100" workbookViewId="0"/>
  </sheetViews>
  <sheetFormatPr defaultColWidth="8.875" defaultRowHeight="13.5" x14ac:dyDescent="0.15"/>
  <cols>
    <col min="1" max="1" width="10.125" style="82" bestFit="1" customWidth="1"/>
    <col min="2" max="2" width="14.625" style="81" customWidth="1"/>
    <col min="3" max="3" width="15.125" style="81" customWidth="1"/>
    <col min="4" max="4" width="49.875" style="80" customWidth="1"/>
    <col min="5" max="16384" width="8.875" style="80"/>
  </cols>
  <sheetData>
    <row r="1" spans="1:4" ht="16.5" x14ac:dyDescent="0.15">
      <c r="A1" s="89" t="s">
        <v>2691</v>
      </c>
      <c r="B1" s="90"/>
      <c r="C1" s="90"/>
      <c r="D1" s="91"/>
    </row>
    <row r="2" spans="1:4" ht="27.95" customHeight="1" x14ac:dyDescent="0.15">
      <c r="A2" s="512" t="s">
        <v>2671</v>
      </c>
      <c r="B2" s="512" t="s">
        <v>103</v>
      </c>
      <c r="C2" s="512" t="s">
        <v>104</v>
      </c>
      <c r="D2" s="513" t="s">
        <v>2668</v>
      </c>
    </row>
    <row r="3" spans="1:4" ht="16.5" x14ac:dyDescent="0.15">
      <c r="A3" s="92">
        <v>1</v>
      </c>
      <c r="B3" s="92">
        <v>158</v>
      </c>
      <c r="C3" s="92">
        <v>10</v>
      </c>
      <c r="D3" s="93" t="s">
        <v>1416</v>
      </c>
    </row>
    <row r="4" spans="1:4" ht="16.5" x14ac:dyDescent="0.15">
      <c r="A4" s="92">
        <v>2</v>
      </c>
      <c r="B4" s="92">
        <v>158</v>
      </c>
      <c r="C4" s="92">
        <v>3</v>
      </c>
      <c r="D4" s="93" t="s">
        <v>1417</v>
      </c>
    </row>
    <row r="5" spans="1:4" ht="16.5" x14ac:dyDescent="0.15">
      <c r="A5" s="92">
        <v>3</v>
      </c>
      <c r="B5" s="92">
        <v>168</v>
      </c>
      <c r="C5" s="92">
        <v>0</v>
      </c>
      <c r="D5" s="93" t="s">
        <v>1418</v>
      </c>
    </row>
    <row r="6" spans="1:4" ht="16.5" x14ac:dyDescent="0.15">
      <c r="A6" s="92">
        <v>4</v>
      </c>
      <c r="B6" s="92">
        <v>168</v>
      </c>
      <c r="C6" s="92">
        <v>1</v>
      </c>
      <c r="D6" s="93" t="s">
        <v>1419</v>
      </c>
    </row>
    <row r="7" spans="1:4" ht="16.5" x14ac:dyDescent="0.15">
      <c r="A7" s="92">
        <v>5</v>
      </c>
      <c r="B7" s="92">
        <v>168</v>
      </c>
      <c r="C7" s="92">
        <v>12</v>
      </c>
      <c r="D7" s="93" t="s">
        <v>1420</v>
      </c>
    </row>
    <row r="8" spans="1:4" ht="16.5" x14ac:dyDescent="0.15">
      <c r="A8" s="92">
        <v>6</v>
      </c>
      <c r="B8" s="92">
        <v>168</v>
      </c>
      <c r="C8" s="92">
        <v>5</v>
      </c>
      <c r="D8" s="93" t="s">
        <v>1421</v>
      </c>
    </row>
    <row r="9" spans="1:4" ht="16.5" x14ac:dyDescent="0.15">
      <c r="A9" s="92">
        <v>7</v>
      </c>
      <c r="B9" s="92">
        <v>3132</v>
      </c>
      <c r="C9" s="92">
        <v>3</v>
      </c>
      <c r="D9" s="93" t="s">
        <v>1422</v>
      </c>
    </row>
    <row r="10" spans="1:4" ht="16.5" x14ac:dyDescent="0.15">
      <c r="A10" s="92">
        <v>8</v>
      </c>
      <c r="B10" s="92">
        <v>3132</v>
      </c>
      <c r="C10" s="92">
        <v>4</v>
      </c>
      <c r="D10" s="93" t="s">
        <v>1423</v>
      </c>
    </row>
    <row r="11" spans="1:4" ht="16.5" x14ac:dyDescent="0.15">
      <c r="A11" s="92">
        <v>9</v>
      </c>
      <c r="B11" s="92">
        <v>3132</v>
      </c>
      <c r="C11" s="92">
        <v>5</v>
      </c>
      <c r="D11" s="93" t="s">
        <v>1424</v>
      </c>
    </row>
    <row r="12" spans="1:4" ht="16.5" x14ac:dyDescent="0.15">
      <c r="A12" s="92">
        <v>10</v>
      </c>
      <c r="B12" s="92">
        <v>3136</v>
      </c>
      <c r="C12" s="92">
        <v>0</v>
      </c>
      <c r="D12" s="93" t="s">
        <v>1425</v>
      </c>
    </row>
    <row r="13" spans="1:4" ht="16.5" x14ac:dyDescent="0.15">
      <c r="A13" s="92">
        <v>11</v>
      </c>
      <c r="B13" s="92">
        <v>617</v>
      </c>
      <c r="C13" s="92">
        <v>7</v>
      </c>
      <c r="D13" s="93" t="s">
        <v>1426</v>
      </c>
    </row>
    <row r="14" spans="1:4" ht="16.5" x14ac:dyDescent="0.15">
      <c r="A14" s="92">
        <v>12</v>
      </c>
      <c r="B14" s="92">
        <v>618</v>
      </c>
      <c r="C14" s="92">
        <v>7</v>
      </c>
      <c r="D14" s="93" t="s">
        <v>1427</v>
      </c>
    </row>
    <row r="15" spans="1:4" ht="16.5" x14ac:dyDescent="0.15">
      <c r="A15" s="92">
        <v>13</v>
      </c>
      <c r="B15" s="92">
        <v>619</v>
      </c>
      <c r="C15" s="92">
        <v>14</v>
      </c>
      <c r="D15" s="93" t="s">
        <v>1428</v>
      </c>
    </row>
    <row r="16" spans="1:4" ht="16.5" x14ac:dyDescent="0.15">
      <c r="A16" s="92">
        <v>14</v>
      </c>
      <c r="B16" s="92">
        <v>619</v>
      </c>
      <c r="C16" s="92">
        <v>7</v>
      </c>
      <c r="D16" s="93" t="s">
        <v>1429</v>
      </c>
    </row>
    <row r="17" spans="1:4" ht="16.5" x14ac:dyDescent="0.15">
      <c r="A17" s="92">
        <v>15</v>
      </c>
      <c r="B17" s="92">
        <v>629</v>
      </c>
      <c r="C17" s="92">
        <v>13</v>
      </c>
      <c r="D17" s="94" t="s">
        <v>1430</v>
      </c>
    </row>
    <row r="18" spans="1:4" ht="16.5" x14ac:dyDescent="0.15">
      <c r="A18" s="92">
        <v>16</v>
      </c>
      <c r="B18" s="92">
        <v>629</v>
      </c>
      <c r="C18" s="92">
        <v>2</v>
      </c>
      <c r="D18" s="93" t="s">
        <v>1431</v>
      </c>
    </row>
    <row r="19" spans="1:4" ht="16.5" x14ac:dyDescent="0.15">
      <c r="A19" s="92">
        <v>17</v>
      </c>
      <c r="B19" s="92">
        <v>629</v>
      </c>
      <c r="C19" s="92">
        <v>9</v>
      </c>
      <c r="D19" s="93" t="s">
        <v>1432</v>
      </c>
    </row>
    <row r="20" spans="1:4" ht="16.5" x14ac:dyDescent="0.15">
      <c r="A20" s="92">
        <v>18</v>
      </c>
      <c r="B20" s="92">
        <v>630</v>
      </c>
      <c r="C20" s="92">
        <v>13</v>
      </c>
      <c r="D20" s="94" t="s">
        <v>1433</v>
      </c>
    </row>
    <row r="21" spans="1:4" ht="16.5" x14ac:dyDescent="0.15">
      <c r="A21" s="92">
        <v>19</v>
      </c>
      <c r="B21" s="92">
        <v>630</v>
      </c>
      <c r="C21" s="92">
        <v>2</v>
      </c>
      <c r="D21" s="93" t="s">
        <v>1434</v>
      </c>
    </row>
    <row r="22" spans="1:4" ht="16.5" x14ac:dyDescent="0.15">
      <c r="A22" s="92">
        <v>20</v>
      </c>
      <c r="B22" s="92">
        <v>193</v>
      </c>
      <c r="C22" s="92">
        <v>9</v>
      </c>
      <c r="D22" s="95" t="s">
        <v>2690</v>
      </c>
    </row>
    <row r="23" spans="1:4" ht="16.5" x14ac:dyDescent="0.15">
      <c r="A23" s="92">
        <v>21</v>
      </c>
      <c r="B23" s="92">
        <v>4289</v>
      </c>
      <c r="C23" s="92">
        <v>5</v>
      </c>
      <c r="D23" s="95" t="s">
        <v>2689</v>
      </c>
    </row>
    <row r="24" spans="1:4" ht="16.5" x14ac:dyDescent="0.15">
      <c r="A24" s="92">
        <v>22</v>
      </c>
      <c r="B24" s="92">
        <v>12370</v>
      </c>
      <c r="C24" s="92">
        <v>3</v>
      </c>
      <c r="D24" s="95" t="s">
        <v>2688</v>
      </c>
    </row>
    <row r="25" spans="1:4" ht="16.5" x14ac:dyDescent="0.15">
      <c r="A25" s="92">
        <v>23</v>
      </c>
      <c r="B25" s="92">
        <v>12370</v>
      </c>
      <c r="C25" s="92">
        <v>5</v>
      </c>
      <c r="D25" s="95" t="s">
        <v>2687</v>
      </c>
    </row>
    <row r="26" spans="1:4" ht="16.5" x14ac:dyDescent="0.15">
      <c r="A26" s="92">
        <v>24</v>
      </c>
      <c r="B26" s="92">
        <v>12370</v>
      </c>
      <c r="C26" s="92">
        <v>6</v>
      </c>
      <c r="D26" s="95" t="s">
        <v>2686</v>
      </c>
    </row>
    <row r="27" spans="1:4" ht="16.5" x14ac:dyDescent="0.15">
      <c r="A27" s="92">
        <v>25</v>
      </c>
      <c r="B27" s="92">
        <v>13138</v>
      </c>
      <c r="C27" s="92">
        <v>3</v>
      </c>
      <c r="D27" s="95" t="s">
        <v>2685</v>
      </c>
    </row>
    <row r="28" spans="1:4" ht="16.5" x14ac:dyDescent="0.15">
      <c r="A28" s="92">
        <v>26</v>
      </c>
      <c r="B28" s="92">
        <v>13138</v>
      </c>
      <c r="C28" s="92">
        <v>4</v>
      </c>
      <c r="D28" s="95" t="s">
        <v>2684</v>
      </c>
    </row>
    <row r="29" spans="1:4" ht="16.5" x14ac:dyDescent="0.15">
      <c r="A29" s="92">
        <v>27</v>
      </c>
      <c r="B29" s="92">
        <v>13138</v>
      </c>
      <c r="C29" s="92">
        <v>5</v>
      </c>
      <c r="D29" s="95" t="s">
        <v>2683</v>
      </c>
    </row>
    <row r="30" spans="1:4" ht="16.5" x14ac:dyDescent="0.15">
      <c r="A30" s="92">
        <v>28</v>
      </c>
      <c r="B30" s="92">
        <v>13394</v>
      </c>
      <c r="C30" s="92">
        <v>3</v>
      </c>
      <c r="D30" s="95" t="s">
        <v>2682</v>
      </c>
    </row>
    <row r="31" spans="1:4" ht="16.5" x14ac:dyDescent="0.15">
      <c r="A31" s="92">
        <v>29</v>
      </c>
      <c r="B31" s="92">
        <v>13394</v>
      </c>
      <c r="C31" s="92">
        <v>5</v>
      </c>
      <c r="D31" s="95" t="s">
        <v>2681</v>
      </c>
    </row>
    <row r="32" spans="1:4" ht="16.5" x14ac:dyDescent="0.15">
      <c r="A32" s="92">
        <v>30</v>
      </c>
      <c r="B32" s="92">
        <v>13394</v>
      </c>
      <c r="C32" s="92">
        <v>6</v>
      </c>
      <c r="D32" s="95" t="s">
        <v>2680</v>
      </c>
    </row>
    <row r="33" spans="1:4" ht="16.5" x14ac:dyDescent="0.15">
      <c r="A33" s="92">
        <v>31</v>
      </c>
      <c r="B33" s="92">
        <v>13906</v>
      </c>
      <c r="C33" s="92">
        <v>3</v>
      </c>
      <c r="D33" s="95" t="s">
        <v>2679</v>
      </c>
    </row>
    <row r="34" spans="1:4" ht="16.5" x14ac:dyDescent="0.15">
      <c r="A34" s="92">
        <v>32</v>
      </c>
      <c r="B34" s="92">
        <v>13906</v>
      </c>
      <c r="C34" s="92">
        <v>5</v>
      </c>
      <c r="D34" s="95" t="s">
        <v>2678</v>
      </c>
    </row>
    <row r="35" spans="1:4" ht="16.5" x14ac:dyDescent="0.15">
      <c r="A35" s="92">
        <v>33</v>
      </c>
      <c r="B35" s="92">
        <v>13906</v>
      </c>
      <c r="C35" s="92">
        <v>6</v>
      </c>
      <c r="D35" s="95" t="s">
        <v>2677</v>
      </c>
    </row>
    <row r="36" spans="1:4" ht="16.5" x14ac:dyDescent="0.15">
      <c r="A36" s="92">
        <v>34</v>
      </c>
      <c r="B36" s="92">
        <v>14162</v>
      </c>
      <c r="C36" s="92">
        <v>3</v>
      </c>
      <c r="D36" s="95" t="s">
        <v>2676</v>
      </c>
    </row>
    <row r="37" spans="1:4" ht="16.5" x14ac:dyDescent="0.15">
      <c r="A37" s="92">
        <v>35</v>
      </c>
      <c r="B37" s="92">
        <v>14418</v>
      </c>
      <c r="C37" s="92">
        <v>11</v>
      </c>
      <c r="D37" s="95" t="s">
        <v>2675</v>
      </c>
    </row>
    <row r="38" spans="1:4" ht="16.5" x14ac:dyDescent="0.15">
      <c r="A38" s="92">
        <v>36</v>
      </c>
      <c r="B38" s="92">
        <v>14674</v>
      </c>
      <c r="C38" s="92">
        <v>11</v>
      </c>
      <c r="D38" s="95" t="s">
        <v>2674</v>
      </c>
    </row>
    <row r="39" spans="1:4" ht="16.5" x14ac:dyDescent="0.15">
      <c r="A39" s="92">
        <v>37</v>
      </c>
      <c r="B39" s="92">
        <v>14930</v>
      </c>
      <c r="C39" s="92">
        <v>11</v>
      </c>
      <c r="D39" s="95" t="s">
        <v>2673</v>
      </c>
    </row>
    <row r="40" spans="1:4" ht="16.5" x14ac:dyDescent="0.15">
      <c r="A40" s="96"/>
      <c r="B40" s="90"/>
      <c r="C40" s="90"/>
      <c r="D40" s="91"/>
    </row>
    <row r="157" spans="2:3" x14ac:dyDescent="0.15">
      <c r="B157" s="88"/>
      <c r="C157" s="87"/>
    </row>
    <row r="304" spans="2:3" x14ac:dyDescent="0.15">
      <c r="B304" s="85"/>
      <c r="C304" s="85"/>
    </row>
    <row r="305" spans="2:3" x14ac:dyDescent="0.15">
      <c r="B305" s="86"/>
      <c r="C305" s="85"/>
    </row>
    <row r="306" spans="2:3" x14ac:dyDescent="0.15">
      <c r="B306" s="86"/>
      <c r="C306" s="85"/>
    </row>
    <row r="307" spans="2:3" x14ac:dyDescent="0.15">
      <c r="B307" s="86"/>
      <c r="C307" s="85"/>
    </row>
    <row r="308" spans="2:3" x14ac:dyDescent="0.15">
      <c r="B308" s="86"/>
      <c r="C308" s="85"/>
    </row>
    <row r="309" spans="2:3" x14ac:dyDescent="0.15">
      <c r="B309" s="86"/>
      <c r="C309" s="85"/>
    </row>
    <row r="310" spans="2:3" x14ac:dyDescent="0.15">
      <c r="B310" s="86"/>
      <c r="C310" s="85"/>
    </row>
    <row r="311" spans="2:3" x14ac:dyDescent="0.15">
      <c r="B311" s="86"/>
      <c r="C311" s="85"/>
    </row>
    <row r="312" spans="2:3" x14ac:dyDescent="0.15">
      <c r="B312" s="86"/>
      <c r="C312" s="85"/>
    </row>
    <row r="313" spans="2:3" x14ac:dyDescent="0.15">
      <c r="B313" s="86"/>
      <c r="C313" s="85"/>
    </row>
    <row r="314" spans="2:3" x14ac:dyDescent="0.15">
      <c r="B314" s="86"/>
      <c r="C314" s="85"/>
    </row>
    <row r="315" spans="2:3" x14ac:dyDescent="0.15">
      <c r="B315" s="86"/>
      <c r="C315" s="85"/>
    </row>
    <row r="316" spans="2:3" x14ac:dyDescent="0.15">
      <c r="B316" s="86"/>
      <c r="C316" s="85"/>
    </row>
    <row r="317" spans="2:3" x14ac:dyDescent="0.15">
      <c r="B317" s="86"/>
      <c r="C317" s="85"/>
    </row>
    <row r="318" spans="2:3" x14ac:dyDescent="0.15">
      <c r="B318" s="86"/>
      <c r="C318" s="85"/>
    </row>
    <row r="319" spans="2:3" x14ac:dyDescent="0.15">
      <c r="B319" s="86"/>
      <c r="C319" s="85"/>
    </row>
    <row r="320" spans="2:3" x14ac:dyDescent="0.15">
      <c r="B320" s="86"/>
      <c r="C320" s="85"/>
    </row>
    <row r="321" spans="2:3" x14ac:dyDescent="0.15">
      <c r="B321" s="86"/>
      <c r="C321" s="85"/>
    </row>
    <row r="322" spans="2:3" x14ac:dyDescent="0.15">
      <c r="B322" s="86"/>
      <c r="C322" s="85"/>
    </row>
    <row r="323" spans="2:3" x14ac:dyDescent="0.15">
      <c r="B323" s="86"/>
      <c r="C323" s="85"/>
    </row>
    <row r="324" spans="2:3" x14ac:dyDescent="0.15">
      <c r="B324" s="86"/>
      <c r="C324" s="85"/>
    </row>
    <row r="325" spans="2:3" x14ac:dyDescent="0.15">
      <c r="B325" s="86"/>
      <c r="C325" s="85"/>
    </row>
    <row r="326" spans="2:3" x14ac:dyDescent="0.15">
      <c r="B326" s="86"/>
      <c r="C326" s="85"/>
    </row>
    <row r="327" spans="2:3" x14ac:dyDescent="0.15">
      <c r="B327" s="86"/>
      <c r="C327" s="85"/>
    </row>
    <row r="328" spans="2:3" x14ac:dyDescent="0.15">
      <c r="B328" s="86"/>
      <c r="C328" s="85"/>
    </row>
    <row r="329" spans="2:3" x14ac:dyDescent="0.15">
      <c r="B329" s="86"/>
      <c r="C329" s="85"/>
    </row>
    <row r="330" spans="2:3" x14ac:dyDescent="0.15">
      <c r="B330" s="86"/>
      <c r="C330" s="85"/>
    </row>
    <row r="331" spans="2:3" x14ac:dyDescent="0.15">
      <c r="B331" s="86"/>
      <c r="C331" s="85"/>
    </row>
    <row r="332" spans="2:3" x14ac:dyDescent="0.15">
      <c r="B332" s="86"/>
      <c r="C332" s="85"/>
    </row>
    <row r="333" spans="2:3" x14ac:dyDescent="0.15">
      <c r="B333" s="86"/>
      <c r="C333" s="85"/>
    </row>
    <row r="334" spans="2:3" x14ac:dyDescent="0.15">
      <c r="B334" s="86"/>
      <c r="C334" s="85"/>
    </row>
    <row r="335" spans="2:3" x14ac:dyDescent="0.15">
      <c r="B335" s="86"/>
      <c r="C335" s="85"/>
    </row>
    <row r="336" spans="2:3" x14ac:dyDescent="0.15">
      <c r="B336" s="86"/>
      <c r="C336" s="85"/>
    </row>
    <row r="337" spans="2:3" x14ac:dyDescent="0.15">
      <c r="B337" s="86"/>
      <c r="C337" s="85"/>
    </row>
    <row r="338" spans="2:3" x14ac:dyDescent="0.15">
      <c r="B338" s="86"/>
      <c r="C338" s="85"/>
    </row>
    <row r="339" spans="2:3" x14ac:dyDescent="0.15">
      <c r="B339" s="86"/>
      <c r="C339" s="85"/>
    </row>
    <row r="340" spans="2:3" x14ac:dyDescent="0.15">
      <c r="B340" s="86"/>
      <c r="C340" s="85"/>
    </row>
    <row r="341" spans="2:3" x14ac:dyDescent="0.15">
      <c r="B341" s="86"/>
      <c r="C341" s="85"/>
    </row>
    <row r="342" spans="2:3" x14ac:dyDescent="0.15">
      <c r="B342" s="86"/>
      <c r="C342" s="85"/>
    </row>
    <row r="343" spans="2:3" x14ac:dyDescent="0.15">
      <c r="B343" s="86"/>
      <c r="C343" s="85"/>
    </row>
    <row r="344" spans="2:3" x14ac:dyDescent="0.15">
      <c r="B344" s="86"/>
      <c r="C344" s="85"/>
    </row>
    <row r="345" spans="2:3" x14ac:dyDescent="0.15">
      <c r="B345" s="86"/>
      <c r="C345" s="85"/>
    </row>
    <row r="346" spans="2:3" x14ac:dyDescent="0.15">
      <c r="B346" s="86"/>
      <c r="C346" s="85"/>
    </row>
    <row r="347" spans="2:3" x14ac:dyDescent="0.15">
      <c r="B347" s="86"/>
      <c r="C347" s="85"/>
    </row>
    <row r="348" spans="2:3" x14ac:dyDescent="0.15">
      <c r="B348" s="86"/>
      <c r="C348" s="85"/>
    </row>
    <row r="349" spans="2:3" x14ac:dyDescent="0.15">
      <c r="B349" s="86"/>
      <c r="C349" s="85"/>
    </row>
    <row r="350" spans="2:3" x14ac:dyDescent="0.15">
      <c r="B350" s="86"/>
      <c r="C350" s="85"/>
    </row>
    <row r="351" spans="2:3" x14ac:dyDescent="0.15">
      <c r="B351" s="86"/>
      <c r="C351" s="85"/>
    </row>
    <row r="736" spans="1:3" s="84" customFormat="1" x14ac:dyDescent="0.15">
      <c r="A736" s="82"/>
      <c r="B736" s="81"/>
      <c r="C736" s="81"/>
    </row>
    <row r="737" spans="1:3" s="84" customFormat="1" x14ac:dyDescent="0.15">
      <c r="A737" s="82"/>
      <c r="B737" s="81"/>
      <c r="C737" s="81"/>
    </row>
    <row r="738" spans="1:3" s="84" customFormat="1" x14ac:dyDescent="0.15">
      <c r="A738" s="82"/>
      <c r="B738" s="81"/>
      <c r="C738" s="81"/>
    </row>
    <row r="739" spans="1:3" s="84" customFormat="1" x14ac:dyDescent="0.15">
      <c r="A739" s="82"/>
      <c r="B739" s="81"/>
      <c r="C739" s="81"/>
    </row>
    <row r="740" spans="1:3" s="84" customFormat="1" x14ac:dyDescent="0.15">
      <c r="A740" s="82"/>
      <c r="B740" s="81"/>
      <c r="C740" s="81"/>
    </row>
    <row r="741" spans="1:3" s="84" customFormat="1" x14ac:dyDescent="0.15">
      <c r="A741" s="82"/>
      <c r="B741" s="81"/>
      <c r="C741" s="81"/>
    </row>
    <row r="742" spans="1:3" s="84" customFormat="1" x14ac:dyDescent="0.15">
      <c r="A742" s="82"/>
      <c r="B742" s="81"/>
      <c r="C742" s="81"/>
    </row>
    <row r="743" spans="1:3" s="84" customFormat="1" x14ac:dyDescent="0.15">
      <c r="A743" s="82"/>
      <c r="B743" s="81"/>
      <c r="C743" s="81"/>
    </row>
    <row r="744" spans="1:3" s="84" customFormat="1" x14ac:dyDescent="0.15">
      <c r="A744" s="82"/>
      <c r="B744" s="81"/>
      <c r="C744" s="81"/>
    </row>
    <row r="745" spans="1:3" s="84" customFormat="1" x14ac:dyDescent="0.15">
      <c r="A745" s="82"/>
      <c r="B745" s="81"/>
      <c r="C745" s="81"/>
    </row>
    <row r="746" spans="1:3" s="84" customFormat="1" x14ac:dyDescent="0.15">
      <c r="A746" s="82"/>
      <c r="B746" s="81"/>
      <c r="C746" s="81"/>
    </row>
    <row r="747" spans="1:3" s="84" customFormat="1" x14ac:dyDescent="0.15">
      <c r="A747" s="82"/>
      <c r="B747" s="81"/>
      <c r="C747" s="81"/>
    </row>
    <row r="748" spans="1:3" s="84" customFormat="1" x14ac:dyDescent="0.15">
      <c r="A748" s="82"/>
      <c r="B748" s="81"/>
      <c r="C748" s="81"/>
    </row>
    <row r="749" spans="1:3" s="84" customFormat="1" x14ac:dyDescent="0.15">
      <c r="A749" s="82"/>
      <c r="B749" s="81"/>
      <c r="C749" s="81"/>
    </row>
    <row r="750" spans="1:3" s="84" customFormat="1" x14ac:dyDescent="0.15">
      <c r="A750" s="82"/>
      <c r="B750" s="81"/>
      <c r="C750" s="81"/>
    </row>
    <row r="751" spans="1:3" s="84" customFormat="1" x14ac:dyDescent="0.15">
      <c r="A751" s="82"/>
      <c r="B751" s="81"/>
      <c r="C751" s="81"/>
    </row>
    <row r="752" spans="1:3" s="84" customFormat="1" x14ac:dyDescent="0.15">
      <c r="A752" s="82"/>
      <c r="B752" s="81"/>
      <c r="C752" s="81"/>
    </row>
    <row r="753" spans="1:3" s="84" customFormat="1" x14ac:dyDescent="0.15">
      <c r="A753" s="82"/>
      <c r="B753" s="81"/>
      <c r="C753" s="81"/>
    </row>
    <row r="769" spans="1:228" x14ac:dyDescent="0.15"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  <c r="FU769" s="83"/>
      <c r="FV769" s="83"/>
      <c r="FW769" s="83"/>
      <c r="FX769" s="83"/>
      <c r="FY769" s="83"/>
      <c r="FZ769" s="83"/>
      <c r="GA769" s="83"/>
      <c r="GB769" s="83"/>
      <c r="GC769" s="83"/>
      <c r="GD769" s="83"/>
      <c r="GE769" s="83"/>
      <c r="GF769" s="83"/>
      <c r="GG769" s="83"/>
      <c r="GH769" s="83"/>
      <c r="GI769" s="83"/>
      <c r="GJ769" s="83"/>
      <c r="GK769" s="83"/>
      <c r="GL769" s="83"/>
      <c r="GM769" s="83"/>
      <c r="GN769" s="83"/>
      <c r="GO769" s="83"/>
      <c r="GP769" s="83"/>
      <c r="GQ769" s="83"/>
      <c r="GR769" s="83"/>
      <c r="GS769" s="83"/>
      <c r="GT769" s="83"/>
      <c r="GU769" s="83"/>
      <c r="GV769" s="83"/>
      <c r="GW769" s="83"/>
      <c r="GX769" s="83"/>
      <c r="GY769" s="83"/>
      <c r="GZ769" s="83"/>
      <c r="HA769" s="83"/>
      <c r="HB769" s="83"/>
      <c r="HC769" s="83"/>
      <c r="HD769" s="83"/>
      <c r="HE769" s="83"/>
      <c r="HF769" s="83"/>
      <c r="HG769" s="83"/>
      <c r="HH769" s="83"/>
      <c r="HI769" s="83"/>
      <c r="HJ769" s="83"/>
      <c r="HK769" s="83"/>
      <c r="HL769" s="83"/>
      <c r="HM769" s="83"/>
      <c r="HN769" s="83"/>
      <c r="HO769" s="83"/>
      <c r="HP769" s="83"/>
      <c r="HQ769" s="83"/>
      <c r="HR769" s="83"/>
      <c r="HS769" s="83"/>
      <c r="HT769" s="83"/>
    </row>
    <row r="770" spans="1:228" x14ac:dyDescent="0.15"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  <c r="FU770" s="83"/>
      <c r="FV770" s="83"/>
      <c r="FW770" s="83"/>
      <c r="FX770" s="83"/>
      <c r="FY770" s="83"/>
      <c r="FZ770" s="83"/>
      <c r="GA770" s="83"/>
      <c r="GB770" s="83"/>
      <c r="GC770" s="83"/>
      <c r="GD770" s="83"/>
      <c r="GE770" s="83"/>
      <c r="GF770" s="83"/>
      <c r="GG770" s="83"/>
      <c r="GH770" s="83"/>
      <c r="GI770" s="83"/>
      <c r="GJ770" s="83"/>
      <c r="GK770" s="83"/>
      <c r="GL770" s="83"/>
      <c r="GM770" s="83"/>
      <c r="GN770" s="83"/>
      <c r="GO770" s="83"/>
      <c r="GP770" s="83"/>
      <c r="GQ770" s="83"/>
      <c r="GR770" s="83"/>
      <c r="GS770" s="83"/>
      <c r="GT770" s="83"/>
      <c r="GU770" s="83"/>
      <c r="GV770" s="83"/>
      <c r="GW770" s="83"/>
      <c r="GX770" s="83"/>
      <c r="GY770" s="83"/>
      <c r="GZ770" s="83"/>
      <c r="HA770" s="83"/>
      <c r="HB770" s="83"/>
      <c r="HC770" s="83"/>
      <c r="HD770" s="83"/>
      <c r="HE770" s="83"/>
      <c r="HF770" s="83"/>
      <c r="HG770" s="83"/>
      <c r="HH770" s="83"/>
      <c r="HI770" s="83"/>
      <c r="HJ770" s="83"/>
      <c r="HK770" s="83"/>
      <c r="HL770" s="83"/>
      <c r="HM770" s="83"/>
      <c r="HN770" s="83"/>
      <c r="HO770" s="83"/>
      <c r="HP770" s="83"/>
      <c r="HQ770" s="83"/>
      <c r="HR770" s="83"/>
      <c r="HS770" s="83"/>
      <c r="HT770" s="83"/>
    </row>
    <row r="771" spans="1:228" x14ac:dyDescent="0.15"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  <c r="FU771" s="83"/>
      <c r="FV771" s="83"/>
      <c r="FW771" s="83"/>
      <c r="FX771" s="83"/>
      <c r="FY771" s="83"/>
      <c r="FZ771" s="83"/>
      <c r="GA771" s="83"/>
      <c r="GB771" s="83"/>
      <c r="GC771" s="83"/>
      <c r="GD771" s="83"/>
      <c r="GE771" s="83"/>
      <c r="GF771" s="83"/>
      <c r="GG771" s="83"/>
      <c r="GH771" s="83"/>
      <c r="GI771" s="83"/>
      <c r="GJ771" s="83"/>
      <c r="GK771" s="83"/>
      <c r="GL771" s="83"/>
      <c r="GM771" s="83"/>
      <c r="GN771" s="83"/>
      <c r="GO771" s="83"/>
      <c r="GP771" s="83"/>
      <c r="GQ771" s="83"/>
      <c r="GR771" s="83"/>
      <c r="GS771" s="83"/>
      <c r="GT771" s="83"/>
      <c r="GU771" s="83"/>
      <c r="GV771" s="83"/>
      <c r="GW771" s="83"/>
      <c r="GX771" s="83"/>
      <c r="GY771" s="83"/>
      <c r="GZ771" s="83"/>
      <c r="HA771" s="83"/>
      <c r="HB771" s="83"/>
      <c r="HC771" s="83"/>
      <c r="HD771" s="83"/>
      <c r="HE771" s="83"/>
      <c r="HF771" s="83"/>
      <c r="HG771" s="83"/>
      <c r="HH771" s="83"/>
      <c r="HI771" s="83"/>
      <c r="HJ771" s="83"/>
      <c r="HK771" s="83"/>
      <c r="HL771" s="83"/>
      <c r="HM771" s="83"/>
      <c r="HN771" s="83"/>
      <c r="HO771" s="83"/>
      <c r="HP771" s="83"/>
      <c r="HQ771" s="83"/>
      <c r="HR771" s="83"/>
      <c r="HS771" s="83"/>
      <c r="HT771" s="83"/>
    </row>
    <row r="772" spans="1:228" s="84" customFormat="1" x14ac:dyDescent="0.15">
      <c r="A772" s="82"/>
      <c r="B772" s="81"/>
      <c r="C772" s="81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  <c r="FU772" s="83"/>
      <c r="FV772" s="83"/>
      <c r="FW772" s="83"/>
      <c r="FX772" s="83"/>
      <c r="FY772" s="83"/>
      <c r="FZ772" s="83"/>
      <c r="GA772" s="83"/>
      <c r="GB772" s="83"/>
      <c r="GC772" s="83"/>
      <c r="GD772" s="83"/>
      <c r="GE772" s="83"/>
      <c r="GF772" s="83"/>
      <c r="GG772" s="83"/>
      <c r="GH772" s="83"/>
      <c r="GI772" s="83"/>
      <c r="GJ772" s="83"/>
      <c r="GK772" s="83"/>
      <c r="GL772" s="83"/>
      <c r="GM772" s="83"/>
      <c r="GN772" s="83"/>
      <c r="GO772" s="83"/>
      <c r="GP772" s="83"/>
      <c r="GQ772" s="83"/>
      <c r="GR772" s="83"/>
      <c r="GS772" s="83"/>
      <c r="GT772" s="83"/>
      <c r="GU772" s="83"/>
      <c r="GV772" s="83"/>
      <c r="GW772" s="83"/>
      <c r="GX772" s="83"/>
      <c r="GY772" s="83"/>
      <c r="GZ772" s="83"/>
      <c r="HA772" s="83"/>
      <c r="HB772" s="83"/>
      <c r="HC772" s="83"/>
      <c r="HD772" s="83"/>
      <c r="HE772" s="83"/>
      <c r="HF772" s="83"/>
      <c r="HG772" s="83"/>
      <c r="HH772" s="83"/>
      <c r="HI772" s="83"/>
      <c r="HJ772" s="83"/>
      <c r="HK772" s="83"/>
      <c r="HL772" s="83"/>
      <c r="HM772" s="83"/>
      <c r="HN772" s="83"/>
      <c r="HO772" s="83"/>
      <c r="HP772" s="83"/>
      <c r="HQ772" s="83"/>
      <c r="HR772" s="83"/>
      <c r="HS772" s="83"/>
      <c r="HT772" s="83"/>
    </row>
    <row r="773" spans="1:228" s="84" customFormat="1" x14ac:dyDescent="0.15">
      <c r="A773" s="82"/>
      <c r="B773" s="81"/>
      <c r="C773" s="81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  <c r="FU773" s="83"/>
      <c r="FV773" s="83"/>
      <c r="FW773" s="83"/>
      <c r="FX773" s="83"/>
      <c r="FY773" s="83"/>
      <c r="FZ773" s="83"/>
      <c r="GA773" s="83"/>
      <c r="GB773" s="83"/>
      <c r="GC773" s="83"/>
      <c r="GD773" s="83"/>
      <c r="GE773" s="83"/>
      <c r="GF773" s="83"/>
      <c r="GG773" s="83"/>
      <c r="GH773" s="83"/>
      <c r="GI773" s="83"/>
      <c r="GJ773" s="83"/>
      <c r="GK773" s="83"/>
      <c r="GL773" s="83"/>
      <c r="GM773" s="83"/>
      <c r="GN773" s="83"/>
      <c r="GO773" s="83"/>
      <c r="GP773" s="83"/>
      <c r="GQ773" s="83"/>
      <c r="GR773" s="83"/>
      <c r="GS773" s="83"/>
      <c r="GT773" s="83"/>
      <c r="GU773" s="83"/>
      <c r="GV773" s="83"/>
      <c r="GW773" s="83"/>
      <c r="GX773" s="83"/>
      <c r="GY773" s="83"/>
      <c r="GZ773" s="83"/>
      <c r="HA773" s="83"/>
      <c r="HB773" s="83"/>
      <c r="HC773" s="83"/>
      <c r="HD773" s="83"/>
      <c r="HE773" s="83"/>
      <c r="HF773" s="83"/>
      <c r="HG773" s="83"/>
      <c r="HH773" s="83"/>
      <c r="HI773" s="83"/>
      <c r="HJ773" s="83"/>
      <c r="HK773" s="83"/>
      <c r="HL773" s="83"/>
      <c r="HM773" s="83"/>
      <c r="HN773" s="83"/>
      <c r="HO773" s="83"/>
      <c r="HP773" s="83"/>
      <c r="HQ773" s="83"/>
      <c r="HR773" s="83"/>
      <c r="HS773" s="83"/>
      <c r="HT773" s="83"/>
    </row>
    <row r="774" spans="1:228" s="84" customFormat="1" x14ac:dyDescent="0.15">
      <c r="A774" s="82"/>
      <c r="B774" s="81"/>
      <c r="C774" s="81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  <c r="FU774" s="83"/>
      <c r="FV774" s="83"/>
      <c r="FW774" s="83"/>
      <c r="FX774" s="83"/>
      <c r="FY774" s="83"/>
      <c r="FZ774" s="83"/>
      <c r="GA774" s="83"/>
      <c r="GB774" s="83"/>
      <c r="GC774" s="83"/>
      <c r="GD774" s="83"/>
      <c r="GE774" s="83"/>
      <c r="GF774" s="83"/>
      <c r="GG774" s="83"/>
      <c r="GH774" s="83"/>
      <c r="GI774" s="83"/>
      <c r="GJ774" s="83"/>
      <c r="GK774" s="83"/>
      <c r="GL774" s="83"/>
      <c r="GM774" s="83"/>
      <c r="GN774" s="83"/>
      <c r="GO774" s="83"/>
      <c r="GP774" s="83"/>
      <c r="GQ774" s="83"/>
      <c r="GR774" s="83"/>
      <c r="GS774" s="83"/>
      <c r="GT774" s="83"/>
      <c r="GU774" s="83"/>
      <c r="GV774" s="83"/>
      <c r="GW774" s="83"/>
      <c r="GX774" s="83"/>
      <c r="GY774" s="83"/>
      <c r="GZ774" s="83"/>
      <c r="HA774" s="83"/>
      <c r="HB774" s="83"/>
      <c r="HC774" s="83"/>
      <c r="HD774" s="83"/>
      <c r="HE774" s="83"/>
      <c r="HF774" s="83"/>
      <c r="HG774" s="83"/>
      <c r="HH774" s="83"/>
      <c r="HI774" s="83"/>
      <c r="HJ774" s="83"/>
      <c r="HK774" s="83"/>
      <c r="HL774" s="83"/>
      <c r="HM774" s="83"/>
      <c r="HN774" s="83"/>
      <c r="HO774" s="83"/>
      <c r="HP774" s="83"/>
      <c r="HQ774" s="83"/>
      <c r="HR774" s="83"/>
      <c r="HS774" s="83"/>
      <c r="HT774" s="83"/>
    </row>
    <row r="775" spans="1:228" s="84" customFormat="1" x14ac:dyDescent="0.15">
      <c r="A775" s="82"/>
      <c r="B775" s="81"/>
      <c r="C775" s="81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  <c r="FU775" s="83"/>
      <c r="FV775" s="83"/>
      <c r="FW775" s="83"/>
      <c r="FX775" s="83"/>
      <c r="FY775" s="83"/>
      <c r="FZ775" s="83"/>
      <c r="GA775" s="83"/>
      <c r="GB775" s="83"/>
      <c r="GC775" s="83"/>
      <c r="GD775" s="83"/>
      <c r="GE775" s="83"/>
      <c r="GF775" s="83"/>
      <c r="GG775" s="83"/>
      <c r="GH775" s="83"/>
      <c r="GI775" s="83"/>
      <c r="GJ775" s="83"/>
      <c r="GK775" s="83"/>
      <c r="GL775" s="83"/>
      <c r="GM775" s="83"/>
      <c r="GN775" s="83"/>
      <c r="GO775" s="83"/>
      <c r="GP775" s="83"/>
      <c r="GQ775" s="83"/>
      <c r="GR775" s="83"/>
      <c r="GS775" s="83"/>
      <c r="GT775" s="83"/>
      <c r="GU775" s="83"/>
      <c r="GV775" s="83"/>
      <c r="GW775" s="83"/>
      <c r="GX775" s="83"/>
      <c r="GY775" s="83"/>
      <c r="GZ775" s="83"/>
      <c r="HA775" s="83"/>
      <c r="HB775" s="83"/>
      <c r="HC775" s="83"/>
      <c r="HD775" s="83"/>
      <c r="HE775" s="83"/>
      <c r="HF775" s="83"/>
      <c r="HG775" s="83"/>
      <c r="HH775" s="83"/>
      <c r="HI775" s="83"/>
      <c r="HJ775" s="83"/>
      <c r="HK775" s="83"/>
      <c r="HL775" s="83"/>
      <c r="HM775" s="83"/>
      <c r="HN775" s="83"/>
      <c r="HO775" s="83"/>
      <c r="HP775" s="83"/>
      <c r="HQ775" s="83"/>
      <c r="HR775" s="83"/>
      <c r="HS775" s="83"/>
      <c r="HT775" s="83"/>
    </row>
    <row r="776" spans="1:228" s="84" customFormat="1" x14ac:dyDescent="0.15">
      <c r="A776" s="82"/>
      <c r="B776" s="81"/>
      <c r="C776" s="81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  <c r="FU776" s="83"/>
      <c r="FV776" s="83"/>
      <c r="FW776" s="83"/>
      <c r="FX776" s="83"/>
      <c r="FY776" s="83"/>
      <c r="FZ776" s="83"/>
      <c r="GA776" s="83"/>
      <c r="GB776" s="83"/>
      <c r="GC776" s="83"/>
      <c r="GD776" s="83"/>
      <c r="GE776" s="83"/>
      <c r="GF776" s="83"/>
      <c r="GG776" s="83"/>
      <c r="GH776" s="83"/>
      <c r="GI776" s="83"/>
      <c r="GJ776" s="83"/>
      <c r="GK776" s="83"/>
      <c r="GL776" s="83"/>
      <c r="GM776" s="83"/>
      <c r="GN776" s="83"/>
      <c r="GO776" s="83"/>
      <c r="GP776" s="83"/>
      <c r="GQ776" s="83"/>
      <c r="GR776" s="83"/>
      <c r="GS776" s="83"/>
      <c r="GT776" s="83"/>
      <c r="GU776" s="83"/>
      <c r="GV776" s="83"/>
      <c r="GW776" s="83"/>
      <c r="GX776" s="83"/>
      <c r="GY776" s="83"/>
      <c r="GZ776" s="83"/>
      <c r="HA776" s="83"/>
      <c r="HB776" s="83"/>
      <c r="HC776" s="83"/>
      <c r="HD776" s="83"/>
      <c r="HE776" s="83"/>
      <c r="HF776" s="83"/>
      <c r="HG776" s="83"/>
      <c r="HH776" s="83"/>
      <c r="HI776" s="83"/>
      <c r="HJ776" s="83"/>
      <c r="HK776" s="83"/>
      <c r="HL776" s="83"/>
      <c r="HM776" s="83"/>
      <c r="HN776" s="83"/>
      <c r="HO776" s="83"/>
      <c r="HP776" s="83"/>
      <c r="HQ776" s="83"/>
      <c r="HR776" s="83"/>
      <c r="HS776" s="83"/>
      <c r="HT776" s="83"/>
    </row>
    <row r="777" spans="1:228" s="84" customFormat="1" x14ac:dyDescent="0.15">
      <c r="A777" s="82"/>
      <c r="B777" s="81"/>
      <c r="C777" s="81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  <c r="FU777" s="83"/>
      <c r="FV777" s="83"/>
      <c r="FW777" s="83"/>
      <c r="FX777" s="83"/>
      <c r="FY777" s="83"/>
      <c r="FZ777" s="83"/>
      <c r="GA777" s="83"/>
      <c r="GB777" s="83"/>
      <c r="GC777" s="83"/>
      <c r="GD777" s="83"/>
      <c r="GE777" s="83"/>
      <c r="GF777" s="83"/>
      <c r="GG777" s="83"/>
      <c r="GH777" s="83"/>
      <c r="GI777" s="83"/>
      <c r="GJ777" s="83"/>
      <c r="GK777" s="83"/>
      <c r="GL777" s="83"/>
      <c r="GM777" s="83"/>
      <c r="GN777" s="83"/>
      <c r="GO777" s="83"/>
      <c r="GP777" s="83"/>
      <c r="GQ777" s="83"/>
      <c r="GR777" s="83"/>
      <c r="GS777" s="83"/>
      <c r="GT777" s="83"/>
      <c r="GU777" s="83"/>
      <c r="GV777" s="83"/>
      <c r="GW777" s="83"/>
      <c r="GX777" s="83"/>
      <c r="GY777" s="83"/>
      <c r="GZ777" s="83"/>
      <c r="HA777" s="83"/>
      <c r="HB777" s="83"/>
      <c r="HC777" s="83"/>
      <c r="HD777" s="83"/>
      <c r="HE777" s="83"/>
      <c r="HF777" s="83"/>
      <c r="HG777" s="83"/>
      <c r="HH777" s="83"/>
      <c r="HI777" s="83"/>
      <c r="HJ777" s="83"/>
      <c r="HK777" s="83"/>
      <c r="HL777" s="83"/>
      <c r="HM777" s="83"/>
      <c r="HN777" s="83"/>
      <c r="HO777" s="83"/>
      <c r="HP777" s="83"/>
      <c r="HQ777" s="83"/>
      <c r="HR777" s="83"/>
      <c r="HS777" s="83"/>
      <c r="HT777" s="83"/>
    </row>
    <row r="778" spans="1:228" s="84" customFormat="1" x14ac:dyDescent="0.15">
      <c r="A778" s="82"/>
      <c r="B778" s="81"/>
      <c r="C778" s="81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  <c r="FU778" s="83"/>
      <c r="FV778" s="83"/>
      <c r="FW778" s="83"/>
      <c r="FX778" s="83"/>
      <c r="FY778" s="83"/>
      <c r="FZ778" s="83"/>
      <c r="GA778" s="83"/>
      <c r="GB778" s="83"/>
      <c r="GC778" s="83"/>
      <c r="GD778" s="83"/>
      <c r="GE778" s="83"/>
      <c r="GF778" s="83"/>
      <c r="GG778" s="83"/>
      <c r="GH778" s="83"/>
      <c r="GI778" s="83"/>
      <c r="GJ778" s="83"/>
      <c r="GK778" s="83"/>
      <c r="GL778" s="83"/>
      <c r="GM778" s="83"/>
      <c r="GN778" s="83"/>
      <c r="GO778" s="83"/>
      <c r="GP778" s="83"/>
      <c r="GQ778" s="83"/>
      <c r="GR778" s="83"/>
      <c r="GS778" s="83"/>
      <c r="GT778" s="83"/>
      <c r="GU778" s="83"/>
      <c r="GV778" s="83"/>
      <c r="GW778" s="83"/>
      <c r="GX778" s="83"/>
      <c r="GY778" s="83"/>
      <c r="GZ778" s="83"/>
      <c r="HA778" s="83"/>
      <c r="HB778" s="83"/>
      <c r="HC778" s="83"/>
      <c r="HD778" s="83"/>
      <c r="HE778" s="83"/>
      <c r="HF778" s="83"/>
      <c r="HG778" s="83"/>
      <c r="HH778" s="83"/>
      <c r="HI778" s="83"/>
      <c r="HJ778" s="83"/>
      <c r="HK778" s="83"/>
      <c r="HL778" s="83"/>
      <c r="HM778" s="83"/>
      <c r="HN778" s="83"/>
      <c r="HO778" s="83"/>
      <c r="HP778" s="83"/>
      <c r="HQ778" s="83"/>
      <c r="HR778" s="83"/>
      <c r="HS778" s="83"/>
      <c r="HT778" s="83"/>
    </row>
    <row r="779" spans="1:228" s="84" customFormat="1" x14ac:dyDescent="0.15">
      <c r="A779" s="82"/>
      <c r="B779" s="81"/>
      <c r="C779" s="81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  <c r="FU779" s="83"/>
      <c r="FV779" s="83"/>
      <c r="FW779" s="83"/>
      <c r="FX779" s="83"/>
      <c r="FY779" s="83"/>
      <c r="FZ779" s="83"/>
      <c r="GA779" s="83"/>
      <c r="GB779" s="83"/>
      <c r="GC779" s="83"/>
      <c r="GD779" s="83"/>
      <c r="GE779" s="83"/>
      <c r="GF779" s="83"/>
      <c r="GG779" s="83"/>
      <c r="GH779" s="83"/>
      <c r="GI779" s="83"/>
      <c r="GJ779" s="83"/>
      <c r="GK779" s="83"/>
      <c r="GL779" s="83"/>
      <c r="GM779" s="83"/>
      <c r="GN779" s="83"/>
      <c r="GO779" s="83"/>
      <c r="GP779" s="83"/>
      <c r="GQ779" s="83"/>
      <c r="GR779" s="83"/>
      <c r="GS779" s="83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/>
      <c r="HN779" s="83"/>
      <c r="HO779" s="83"/>
      <c r="HP779" s="83"/>
      <c r="HQ779" s="83"/>
      <c r="HR779" s="83"/>
      <c r="HS779" s="83"/>
      <c r="HT779" s="83"/>
    </row>
    <row r="780" spans="1:228" s="84" customFormat="1" x14ac:dyDescent="0.15">
      <c r="A780" s="82"/>
      <c r="B780" s="81"/>
      <c r="C780" s="81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  <c r="FU780" s="83"/>
      <c r="FV780" s="83"/>
      <c r="FW780" s="83"/>
      <c r="FX780" s="83"/>
      <c r="FY780" s="83"/>
      <c r="FZ780" s="83"/>
      <c r="GA780" s="83"/>
      <c r="GB780" s="83"/>
      <c r="GC780" s="83"/>
      <c r="GD780" s="83"/>
      <c r="GE780" s="83"/>
      <c r="GF780" s="83"/>
      <c r="GG780" s="83"/>
      <c r="GH780" s="83"/>
      <c r="GI780" s="83"/>
      <c r="GJ780" s="83"/>
      <c r="GK780" s="83"/>
      <c r="GL780" s="83"/>
      <c r="GM780" s="83"/>
      <c r="GN780" s="83"/>
      <c r="GO780" s="83"/>
      <c r="GP780" s="83"/>
      <c r="GQ780" s="83"/>
      <c r="GR780" s="83"/>
      <c r="GS780" s="83"/>
      <c r="GT780" s="83"/>
      <c r="GU780" s="83"/>
      <c r="GV780" s="83"/>
      <c r="GW780" s="83"/>
      <c r="GX780" s="83"/>
      <c r="GY780" s="83"/>
      <c r="GZ780" s="83"/>
      <c r="HA780" s="83"/>
      <c r="HB780" s="83"/>
      <c r="HC780" s="83"/>
      <c r="HD780" s="83"/>
      <c r="HE780" s="83"/>
      <c r="HF780" s="83"/>
      <c r="HG780" s="83"/>
      <c r="HH780" s="83"/>
      <c r="HI780" s="83"/>
      <c r="HJ780" s="83"/>
      <c r="HK780" s="83"/>
      <c r="HL780" s="83"/>
      <c r="HM780" s="83"/>
      <c r="HN780" s="83"/>
      <c r="HO780" s="83"/>
      <c r="HP780" s="83"/>
      <c r="HQ780" s="83"/>
      <c r="HR780" s="83"/>
      <c r="HS780" s="83"/>
      <c r="HT780" s="83"/>
    </row>
    <row r="781" spans="1:228" s="84" customFormat="1" x14ac:dyDescent="0.15">
      <c r="A781" s="82"/>
      <c r="B781" s="81"/>
      <c r="C781" s="81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  <c r="FU781" s="83"/>
      <c r="FV781" s="83"/>
      <c r="FW781" s="83"/>
      <c r="FX781" s="83"/>
      <c r="FY781" s="83"/>
      <c r="FZ781" s="83"/>
      <c r="GA781" s="83"/>
      <c r="GB781" s="83"/>
      <c r="GC781" s="83"/>
      <c r="GD781" s="83"/>
      <c r="GE781" s="83"/>
      <c r="GF781" s="83"/>
      <c r="GG781" s="83"/>
      <c r="GH781" s="83"/>
      <c r="GI781" s="83"/>
      <c r="GJ781" s="83"/>
      <c r="GK781" s="83"/>
      <c r="GL781" s="83"/>
      <c r="GM781" s="83"/>
      <c r="GN781" s="83"/>
      <c r="GO781" s="83"/>
      <c r="GP781" s="83"/>
      <c r="GQ781" s="83"/>
      <c r="GR781" s="83"/>
      <c r="GS781" s="83"/>
      <c r="GT781" s="83"/>
      <c r="GU781" s="83"/>
      <c r="GV781" s="83"/>
      <c r="GW781" s="83"/>
      <c r="GX781" s="83"/>
      <c r="GY781" s="83"/>
      <c r="GZ781" s="83"/>
      <c r="HA781" s="83"/>
      <c r="HB781" s="83"/>
      <c r="HC781" s="83"/>
      <c r="HD781" s="83"/>
      <c r="HE781" s="83"/>
      <c r="HF781" s="83"/>
      <c r="HG781" s="83"/>
      <c r="HH781" s="83"/>
      <c r="HI781" s="83"/>
      <c r="HJ781" s="83"/>
      <c r="HK781" s="83"/>
      <c r="HL781" s="83"/>
      <c r="HM781" s="83"/>
      <c r="HN781" s="83"/>
      <c r="HO781" s="83"/>
      <c r="HP781" s="83"/>
      <c r="HQ781" s="83"/>
      <c r="HR781" s="83"/>
      <c r="HS781" s="83"/>
      <c r="HT781" s="83"/>
    </row>
    <row r="782" spans="1:228" s="84" customFormat="1" x14ac:dyDescent="0.15">
      <c r="A782" s="82"/>
      <c r="B782" s="81"/>
      <c r="C782" s="81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  <c r="FU782" s="83"/>
      <c r="FV782" s="83"/>
      <c r="FW782" s="83"/>
      <c r="FX782" s="83"/>
      <c r="FY782" s="83"/>
      <c r="FZ782" s="83"/>
      <c r="GA782" s="83"/>
      <c r="GB782" s="83"/>
      <c r="GC782" s="83"/>
      <c r="GD782" s="83"/>
      <c r="GE782" s="83"/>
      <c r="GF782" s="83"/>
      <c r="GG782" s="83"/>
      <c r="GH782" s="83"/>
      <c r="GI782" s="83"/>
      <c r="GJ782" s="83"/>
      <c r="GK782" s="83"/>
      <c r="GL782" s="83"/>
      <c r="GM782" s="83"/>
      <c r="GN782" s="83"/>
      <c r="GO782" s="83"/>
      <c r="GP782" s="83"/>
      <c r="GQ782" s="83"/>
      <c r="GR782" s="83"/>
      <c r="GS782" s="83"/>
      <c r="GT782" s="83"/>
      <c r="GU782" s="83"/>
      <c r="GV782" s="83"/>
      <c r="GW782" s="83"/>
      <c r="GX782" s="83"/>
      <c r="GY782" s="83"/>
      <c r="GZ782" s="83"/>
      <c r="HA782" s="83"/>
      <c r="HB782" s="83"/>
      <c r="HC782" s="83"/>
      <c r="HD782" s="83"/>
      <c r="HE782" s="83"/>
      <c r="HF782" s="83"/>
      <c r="HG782" s="83"/>
      <c r="HH782" s="83"/>
      <c r="HI782" s="83"/>
      <c r="HJ782" s="83"/>
      <c r="HK782" s="83"/>
      <c r="HL782" s="83"/>
      <c r="HM782" s="83"/>
      <c r="HN782" s="83"/>
      <c r="HO782" s="83"/>
      <c r="HP782" s="83"/>
      <c r="HQ782" s="83"/>
      <c r="HR782" s="83"/>
      <c r="HS782" s="83"/>
      <c r="HT782" s="83"/>
    </row>
    <row r="783" spans="1:228" s="84" customFormat="1" x14ac:dyDescent="0.15">
      <c r="A783" s="82"/>
      <c r="B783" s="81"/>
      <c r="C783" s="81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  <c r="FU783" s="83"/>
      <c r="FV783" s="83"/>
      <c r="FW783" s="83"/>
      <c r="FX783" s="83"/>
      <c r="FY783" s="83"/>
      <c r="FZ783" s="83"/>
      <c r="GA783" s="83"/>
      <c r="GB783" s="83"/>
      <c r="GC783" s="83"/>
      <c r="GD783" s="83"/>
      <c r="GE783" s="83"/>
      <c r="GF783" s="83"/>
      <c r="GG783" s="83"/>
      <c r="GH783" s="83"/>
      <c r="GI783" s="83"/>
      <c r="GJ783" s="83"/>
      <c r="GK783" s="83"/>
      <c r="GL783" s="83"/>
      <c r="GM783" s="83"/>
      <c r="GN783" s="83"/>
      <c r="GO783" s="83"/>
      <c r="GP783" s="83"/>
      <c r="GQ783" s="83"/>
      <c r="GR783" s="83"/>
      <c r="GS783" s="83"/>
      <c r="GT783" s="83"/>
      <c r="GU783" s="83"/>
      <c r="GV783" s="83"/>
      <c r="GW783" s="83"/>
      <c r="GX783" s="83"/>
      <c r="GY783" s="83"/>
      <c r="GZ783" s="83"/>
      <c r="HA783" s="83"/>
      <c r="HB783" s="83"/>
      <c r="HC783" s="83"/>
      <c r="HD783" s="83"/>
      <c r="HE783" s="83"/>
      <c r="HF783" s="83"/>
      <c r="HG783" s="83"/>
      <c r="HH783" s="83"/>
      <c r="HI783" s="83"/>
      <c r="HJ783" s="83"/>
      <c r="HK783" s="83"/>
      <c r="HL783" s="83"/>
      <c r="HM783" s="83"/>
      <c r="HN783" s="83"/>
      <c r="HO783" s="83"/>
      <c r="HP783" s="83"/>
      <c r="HQ783" s="83"/>
      <c r="HR783" s="83"/>
      <c r="HS783" s="83"/>
      <c r="HT783" s="83"/>
    </row>
    <row r="784" spans="1:228" s="84" customFormat="1" x14ac:dyDescent="0.15">
      <c r="A784" s="82"/>
      <c r="B784" s="81"/>
      <c r="C784" s="81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  <c r="FU784" s="83"/>
      <c r="FV784" s="83"/>
      <c r="FW784" s="83"/>
      <c r="FX784" s="83"/>
      <c r="FY784" s="83"/>
      <c r="FZ784" s="83"/>
      <c r="GA784" s="83"/>
      <c r="GB784" s="83"/>
      <c r="GC784" s="83"/>
      <c r="GD784" s="83"/>
      <c r="GE784" s="83"/>
      <c r="GF784" s="83"/>
      <c r="GG784" s="83"/>
      <c r="GH784" s="83"/>
      <c r="GI784" s="83"/>
      <c r="GJ784" s="83"/>
      <c r="GK784" s="83"/>
      <c r="GL784" s="83"/>
      <c r="GM784" s="83"/>
      <c r="GN784" s="83"/>
      <c r="GO784" s="83"/>
      <c r="GP784" s="83"/>
      <c r="GQ784" s="83"/>
      <c r="GR784" s="83"/>
      <c r="GS784" s="83"/>
      <c r="GT784" s="83"/>
      <c r="GU784" s="83"/>
      <c r="GV784" s="83"/>
      <c r="GW784" s="83"/>
      <c r="GX784" s="83"/>
      <c r="GY784" s="83"/>
      <c r="GZ784" s="83"/>
      <c r="HA784" s="83"/>
      <c r="HB784" s="83"/>
      <c r="HC784" s="83"/>
      <c r="HD784" s="83"/>
      <c r="HE784" s="83"/>
      <c r="HF784" s="83"/>
      <c r="HG784" s="83"/>
      <c r="HH784" s="83"/>
      <c r="HI784" s="83"/>
      <c r="HJ784" s="83"/>
      <c r="HK784" s="83"/>
      <c r="HL784" s="83"/>
      <c r="HM784" s="83"/>
      <c r="HN784" s="83"/>
      <c r="HO784" s="83"/>
      <c r="HP784" s="83"/>
      <c r="HQ784" s="83"/>
      <c r="HR784" s="83"/>
      <c r="HS784" s="83"/>
      <c r="HT784" s="83"/>
    </row>
    <row r="785" spans="1:228" s="84" customFormat="1" x14ac:dyDescent="0.15">
      <c r="A785" s="82"/>
      <c r="B785" s="81"/>
      <c r="C785" s="81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  <c r="FU785" s="83"/>
      <c r="FV785" s="83"/>
      <c r="FW785" s="83"/>
      <c r="FX785" s="83"/>
      <c r="FY785" s="83"/>
      <c r="FZ785" s="83"/>
      <c r="GA785" s="83"/>
      <c r="GB785" s="83"/>
      <c r="GC785" s="83"/>
      <c r="GD785" s="83"/>
      <c r="GE785" s="83"/>
      <c r="GF785" s="83"/>
      <c r="GG785" s="83"/>
      <c r="GH785" s="83"/>
      <c r="GI785" s="83"/>
      <c r="GJ785" s="83"/>
      <c r="GK785" s="83"/>
      <c r="GL785" s="83"/>
      <c r="GM785" s="83"/>
      <c r="GN785" s="83"/>
      <c r="GO785" s="83"/>
      <c r="GP785" s="83"/>
      <c r="GQ785" s="83"/>
      <c r="GR785" s="83"/>
      <c r="GS785" s="83"/>
      <c r="GT785" s="83"/>
      <c r="GU785" s="83"/>
      <c r="GV785" s="83"/>
      <c r="GW785" s="83"/>
      <c r="GX785" s="83"/>
      <c r="GY785" s="83"/>
      <c r="GZ785" s="83"/>
      <c r="HA785" s="83"/>
      <c r="HB785" s="83"/>
      <c r="HC785" s="83"/>
      <c r="HD785" s="83"/>
      <c r="HE785" s="83"/>
      <c r="HF785" s="83"/>
      <c r="HG785" s="83"/>
      <c r="HH785" s="83"/>
      <c r="HI785" s="83"/>
      <c r="HJ785" s="83"/>
      <c r="HK785" s="83"/>
      <c r="HL785" s="83"/>
      <c r="HM785" s="83"/>
      <c r="HN785" s="83"/>
      <c r="HO785" s="83"/>
      <c r="HP785" s="83"/>
      <c r="HQ785" s="83"/>
      <c r="HR785" s="83"/>
      <c r="HS785" s="83"/>
      <c r="HT785" s="83"/>
    </row>
    <row r="786" spans="1:228" s="84" customFormat="1" x14ac:dyDescent="0.15">
      <c r="A786" s="82"/>
      <c r="B786" s="81"/>
      <c r="C786" s="81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  <c r="FU786" s="83"/>
      <c r="FV786" s="83"/>
      <c r="FW786" s="83"/>
      <c r="FX786" s="83"/>
      <c r="FY786" s="83"/>
      <c r="FZ786" s="83"/>
      <c r="GA786" s="83"/>
      <c r="GB786" s="83"/>
      <c r="GC786" s="83"/>
      <c r="GD786" s="83"/>
      <c r="GE786" s="83"/>
      <c r="GF786" s="83"/>
      <c r="GG786" s="83"/>
      <c r="GH786" s="83"/>
      <c r="GI786" s="83"/>
      <c r="GJ786" s="83"/>
      <c r="GK786" s="83"/>
      <c r="GL786" s="83"/>
      <c r="GM786" s="83"/>
      <c r="GN786" s="83"/>
      <c r="GO786" s="83"/>
      <c r="GP786" s="83"/>
      <c r="GQ786" s="83"/>
      <c r="GR786" s="83"/>
      <c r="GS786" s="83"/>
      <c r="GT786" s="83"/>
      <c r="GU786" s="83"/>
      <c r="GV786" s="83"/>
      <c r="GW786" s="83"/>
      <c r="GX786" s="83"/>
      <c r="GY786" s="83"/>
      <c r="GZ786" s="83"/>
      <c r="HA786" s="83"/>
      <c r="HB786" s="83"/>
      <c r="HC786" s="83"/>
      <c r="HD786" s="83"/>
      <c r="HE786" s="83"/>
      <c r="HF786" s="83"/>
      <c r="HG786" s="83"/>
      <c r="HH786" s="83"/>
      <c r="HI786" s="83"/>
      <c r="HJ786" s="83"/>
      <c r="HK786" s="83"/>
      <c r="HL786" s="83"/>
      <c r="HM786" s="83"/>
      <c r="HN786" s="83"/>
      <c r="HO786" s="83"/>
      <c r="HP786" s="83"/>
      <c r="HQ786" s="83"/>
      <c r="HR786" s="83"/>
      <c r="HS786" s="83"/>
      <c r="HT786" s="83"/>
    </row>
    <row r="787" spans="1:228" s="84" customFormat="1" x14ac:dyDescent="0.15">
      <c r="A787" s="82"/>
      <c r="B787" s="81"/>
      <c r="C787" s="81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  <c r="FU787" s="83"/>
      <c r="FV787" s="83"/>
      <c r="FW787" s="83"/>
      <c r="FX787" s="83"/>
      <c r="FY787" s="83"/>
      <c r="FZ787" s="83"/>
      <c r="GA787" s="83"/>
      <c r="GB787" s="83"/>
      <c r="GC787" s="83"/>
      <c r="GD787" s="83"/>
      <c r="GE787" s="83"/>
      <c r="GF787" s="83"/>
      <c r="GG787" s="83"/>
      <c r="GH787" s="83"/>
      <c r="GI787" s="83"/>
      <c r="GJ787" s="83"/>
      <c r="GK787" s="83"/>
      <c r="GL787" s="83"/>
      <c r="GM787" s="83"/>
      <c r="GN787" s="83"/>
      <c r="GO787" s="83"/>
      <c r="GP787" s="83"/>
      <c r="GQ787" s="83"/>
      <c r="GR787" s="83"/>
      <c r="GS787" s="83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3"/>
      <c r="HE787" s="83"/>
      <c r="HF787" s="83"/>
      <c r="HG787" s="83"/>
      <c r="HH787" s="83"/>
      <c r="HI787" s="83"/>
      <c r="HJ787" s="83"/>
      <c r="HK787" s="83"/>
      <c r="HL787" s="83"/>
      <c r="HM787" s="83"/>
      <c r="HN787" s="83"/>
      <c r="HO787" s="83"/>
      <c r="HP787" s="83"/>
      <c r="HQ787" s="83"/>
      <c r="HR787" s="83"/>
      <c r="HS787" s="83"/>
      <c r="HT787" s="83"/>
    </row>
    <row r="788" spans="1:228" s="84" customFormat="1" x14ac:dyDescent="0.15">
      <c r="A788" s="82"/>
      <c r="B788" s="81"/>
      <c r="C788" s="81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  <c r="FU788" s="83"/>
      <c r="FV788" s="83"/>
      <c r="FW788" s="83"/>
      <c r="FX788" s="83"/>
      <c r="FY788" s="83"/>
      <c r="FZ788" s="83"/>
      <c r="GA788" s="83"/>
      <c r="GB788" s="83"/>
      <c r="GC788" s="83"/>
      <c r="GD788" s="83"/>
      <c r="GE788" s="83"/>
      <c r="GF788" s="83"/>
      <c r="GG788" s="83"/>
      <c r="GH788" s="83"/>
      <c r="GI788" s="83"/>
      <c r="GJ788" s="83"/>
      <c r="GK788" s="83"/>
      <c r="GL788" s="83"/>
      <c r="GM788" s="83"/>
      <c r="GN788" s="83"/>
      <c r="GO788" s="83"/>
      <c r="GP788" s="83"/>
      <c r="GQ788" s="83"/>
      <c r="GR788" s="83"/>
      <c r="GS788" s="83"/>
      <c r="GT788" s="83"/>
      <c r="GU788" s="83"/>
      <c r="GV788" s="83"/>
      <c r="GW788" s="83"/>
      <c r="GX788" s="83"/>
      <c r="GY788" s="83"/>
      <c r="GZ788" s="83"/>
      <c r="HA788" s="83"/>
      <c r="HB788" s="83"/>
      <c r="HC788" s="83"/>
      <c r="HD788" s="83"/>
      <c r="HE788" s="83"/>
      <c r="HF788" s="83"/>
      <c r="HG788" s="83"/>
      <c r="HH788" s="83"/>
      <c r="HI788" s="83"/>
      <c r="HJ788" s="83"/>
      <c r="HK788" s="83"/>
      <c r="HL788" s="83"/>
      <c r="HM788" s="83"/>
      <c r="HN788" s="83"/>
      <c r="HO788" s="83"/>
      <c r="HP788" s="83"/>
      <c r="HQ788" s="83"/>
      <c r="HR788" s="83"/>
      <c r="HS788" s="83"/>
      <c r="HT788" s="83"/>
    </row>
    <row r="789" spans="1:228" s="84" customFormat="1" x14ac:dyDescent="0.15">
      <c r="A789" s="82"/>
      <c r="B789" s="81"/>
      <c r="C789" s="81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  <c r="FU789" s="83"/>
      <c r="FV789" s="83"/>
      <c r="FW789" s="83"/>
      <c r="FX789" s="83"/>
      <c r="FY789" s="83"/>
      <c r="FZ789" s="83"/>
      <c r="GA789" s="83"/>
      <c r="GB789" s="83"/>
      <c r="GC789" s="83"/>
      <c r="GD789" s="83"/>
      <c r="GE789" s="83"/>
      <c r="GF789" s="83"/>
      <c r="GG789" s="83"/>
      <c r="GH789" s="83"/>
      <c r="GI789" s="83"/>
      <c r="GJ789" s="83"/>
      <c r="GK789" s="83"/>
      <c r="GL789" s="83"/>
      <c r="GM789" s="83"/>
      <c r="GN789" s="83"/>
      <c r="GO789" s="83"/>
      <c r="GP789" s="83"/>
      <c r="GQ789" s="83"/>
      <c r="GR789" s="83"/>
      <c r="GS789" s="83"/>
      <c r="GT789" s="83"/>
      <c r="GU789" s="83"/>
      <c r="GV789" s="83"/>
      <c r="GW789" s="83"/>
      <c r="GX789" s="83"/>
      <c r="GY789" s="83"/>
      <c r="GZ789" s="83"/>
      <c r="HA789" s="83"/>
      <c r="HB789" s="83"/>
      <c r="HC789" s="83"/>
      <c r="HD789" s="83"/>
      <c r="HE789" s="83"/>
      <c r="HF789" s="83"/>
      <c r="HG789" s="83"/>
      <c r="HH789" s="83"/>
      <c r="HI789" s="83"/>
      <c r="HJ789" s="83"/>
      <c r="HK789" s="83"/>
      <c r="HL789" s="83"/>
      <c r="HM789" s="83"/>
      <c r="HN789" s="83"/>
      <c r="HO789" s="83"/>
      <c r="HP789" s="83"/>
      <c r="HQ789" s="83"/>
      <c r="HR789" s="83"/>
      <c r="HS789" s="83"/>
      <c r="HT789" s="83"/>
    </row>
    <row r="790" spans="1:228" s="84" customFormat="1" x14ac:dyDescent="0.15">
      <c r="A790" s="83"/>
      <c r="B790" s="82"/>
      <c r="C790" s="82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  <c r="FU790" s="83"/>
      <c r="FV790" s="83"/>
      <c r="FW790" s="83"/>
      <c r="FX790" s="83"/>
      <c r="FY790" s="83"/>
      <c r="FZ790" s="83"/>
      <c r="GA790" s="83"/>
      <c r="GB790" s="83"/>
      <c r="GC790" s="83"/>
      <c r="GD790" s="83"/>
      <c r="GE790" s="83"/>
      <c r="GF790" s="83"/>
      <c r="GG790" s="83"/>
      <c r="GH790" s="83"/>
      <c r="GI790" s="83"/>
      <c r="GJ790" s="83"/>
      <c r="GK790" s="83"/>
      <c r="GL790" s="83"/>
      <c r="GM790" s="83"/>
      <c r="GN790" s="83"/>
      <c r="GO790" s="83"/>
      <c r="GP790" s="83"/>
      <c r="GQ790" s="83"/>
      <c r="GR790" s="83"/>
      <c r="GS790" s="83"/>
      <c r="GT790" s="83"/>
      <c r="GU790" s="83"/>
      <c r="GV790" s="83"/>
      <c r="GW790" s="83"/>
      <c r="GX790" s="83"/>
      <c r="GY790" s="83"/>
      <c r="GZ790" s="83"/>
      <c r="HA790" s="83"/>
      <c r="HB790" s="83"/>
      <c r="HC790" s="83"/>
      <c r="HD790" s="83"/>
      <c r="HE790" s="83"/>
      <c r="HF790" s="83"/>
      <c r="HG790" s="83"/>
      <c r="HH790" s="83"/>
      <c r="HI790" s="83"/>
      <c r="HJ790" s="83"/>
      <c r="HK790" s="83"/>
      <c r="HL790" s="83"/>
      <c r="HM790" s="83"/>
      <c r="HN790" s="83"/>
      <c r="HO790" s="83"/>
      <c r="HP790" s="83"/>
      <c r="HQ790" s="83"/>
      <c r="HR790" s="83"/>
      <c r="HS790" s="83"/>
      <c r="HT790" s="83"/>
    </row>
    <row r="791" spans="1:228" x14ac:dyDescent="0.15">
      <c r="B791" s="82"/>
      <c r="C791" s="82"/>
      <c r="D791" s="83"/>
    </row>
    <row r="792" spans="1:228" x14ac:dyDescent="0.15">
      <c r="B792" s="82"/>
      <c r="C792" s="82"/>
      <c r="D792" s="83"/>
    </row>
    <row r="793" spans="1:228" x14ac:dyDescent="0.15">
      <c r="B793" s="82"/>
      <c r="C793" s="82"/>
      <c r="D793" s="83"/>
    </row>
    <row r="794" spans="1:228" x14ac:dyDescent="0.15">
      <c r="B794" s="82"/>
      <c r="C794" s="82"/>
      <c r="D794" s="83"/>
    </row>
    <row r="795" spans="1:228" x14ac:dyDescent="0.15">
      <c r="B795" s="82"/>
      <c r="C795" s="82"/>
      <c r="D795" s="83"/>
    </row>
    <row r="796" spans="1:228" x14ac:dyDescent="0.15">
      <c r="B796" s="82"/>
      <c r="C796" s="82"/>
      <c r="D796" s="83"/>
    </row>
    <row r="797" spans="1:228" x14ac:dyDescent="0.15">
      <c r="B797" s="82"/>
      <c r="C797" s="82"/>
      <c r="D797" s="83"/>
    </row>
    <row r="798" spans="1:228" x14ac:dyDescent="0.15">
      <c r="B798" s="82"/>
      <c r="C798" s="82"/>
      <c r="D798" s="83"/>
    </row>
    <row r="799" spans="1:228" x14ac:dyDescent="0.15">
      <c r="B799" s="82"/>
      <c r="C799" s="82"/>
      <c r="D799" s="83"/>
    </row>
  </sheetData>
  <phoneticPr fontId="6" type="noConversion"/>
  <hyperlinks>
    <hyperlink ref="A1" location="'控制器源地址&amp;跳转页面'!A1" display="返回" xr:uid="{A48BA13C-5641-4D19-ACA7-F5232452EFA9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</sheetPr>
  <dimension ref="A1:G65"/>
  <sheetViews>
    <sheetView zoomScale="90" zoomScaleNormal="90" workbookViewId="0">
      <selection activeCell="M31" sqref="M31"/>
    </sheetView>
  </sheetViews>
  <sheetFormatPr defaultColWidth="8.875" defaultRowHeight="16.5" x14ac:dyDescent="0.15"/>
  <cols>
    <col min="1" max="2" width="8.25" style="226" bestFit="1" customWidth="1"/>
    <col min="3" max="3" width="12.75" style="226" customWidth="1"/>
    <col min="4" max="4" width="19.25" style="132" customWidth="1"/>
    <col min="5" max="5" width="50.625" style="132" bestFit="1" customWidth="1"/>
    <col min="6" max="6" width="24.375" style="132" customWidth="1"/>
    <col min="7" max="16384" width="8.875" style="132"/>
  </cols>
  <sheetData>
    <row r="1" spans="1:7" ht="25.5" customHeight="1" x14ac:dyDescent="0.15">
      <c r="A1" s="504" t="s">
        <v>2671</v>
      </c>
      <c r="B1" s="504" t="s">
        <v>1541</v>
      </c>
      <c r="C1" s="504" t="s">
        <v>103</v>
      </c>
      <c r="D1" s="504" t="s">
        <v>104</v>
      </c>
      <c r="E1" s="505" t="s">
        <v>1519</v>
      </c>
      <c r="F1" s="506" t="s">
        <v>2668</v>
      </c>
      <c r="G1" s="74" t="s">
        <v>1703</v>
      </c>
    </row>
    <row r="2" spans="1:7" ht="18" customHeight="1" x14ac:dyDescent="0.15">
      <c r="A2" s="500">
        <v>1</v>
      </c>
      <c r="B2" s="500" t="s">
        <v>1589</v>
      </c>
      <c r="C2" s="500">
        <v>629</v>
      </c>
      <c r="D2" s="500">
        <v>11</v>
      </c>
      <c r="E2" s="501" t="s">
        <v>1451</v>
      </c>
      <c r="F2" s="500" t="s">
        <v>3416</v>
      </c>
    </row>
    <row r="3" spans="1:7" ht="18" customHeight="1" x14ac:dyDescent="0.15">
      <c r="A3" s="500">
        <v>2</v>
      </c>
      <c r="B3" s="500" t="s">
        <v>1589</v>
      </c>
      <c r="C3" s="500">
        <v>629</v>
      </c>
      <c r="D3" s="500">
        <v>14</v>
      </c>
      <c r="E3" s="501" t="s">
        <v>3417</v>
      </c>
      <c r="F3" s="500" t="s">
        <v>3418</v>
      </c>
    </row>
    <row r="4" spans="1:7" ht="18" customHeight="1" x14ac:dyDescent="0.15">
      <c r="A4" s="500">
        <v>3</v>
      </c>
      <c r="B4" s="500" t="s">
        <v>1589</v>
      </c>
      <c r="C4" s="502" t="s">
        <v>3419</v>
      </c>
      <c r="D4" s="500">
        <v>2</v>
      </c>
      <c r="E4" s="501" t="s">
        <v>1452</v>
      </c>
      <c r="F4" s="500" t="s">
        <v>3420</v>
      </c>
    </row>
    <row r="5" spans="1:7" ht="18" customHeight="1" x14ac:dyDescent="0.15">
      <c r="A5" s="500">
        <v>4</v>
      </c>
      <c r="B5" s="500" t="s">
        <v>1589</v>
      </c>
      <c r="C5" s="500">
        <v>1635</v>
      </c>
      <c r="D5" s="500">
        <v>12</v>
      </c>
      <c r="E5" s="501" t="s">
        <v>1453</v>
      </c>
      <c r="F5" s="500" t="s">
        <v>3421</v>
      </c>
    </row>
    <row r="6" spans="1:7" ht="18" customHeight="1" x14ac:dyDescent="0.15">
      <c r="A6" s="500">
        <v>5</v>
      </c>
      <c r="B6" s="500" t="s">
        <v>1589</v>
      </c>
      <c r="C6" s="500">
        <v>629</v>
      </c>
      <c r="D6" s="500">
        <v>12</v>
      </c>
      <c r="E6" s="501" t="s">
        <v>1454</v>
      </c>
      <c r="F6" s="500" t="s">
        <v>3422</v>
      </c>
    </row>
    <row r="7" spans="1:7" ht="18" customHeight="1" x14ac:dyDescent="0.15">
      <c r="A7" s="500">
        <v>6</v>
      </c>
      <c r="B7" s="500" t="s">
        <v>1589</v>
      </c>
      <c r="C7" s="500">
        <v>629</v>
      </c>
      <c r="D7" s="500">
        <v>10</v>
      </c>
      <c r="E7" s="501" t="s">
        <v>1455</v>
      </c>
      <c r="F7" s="500" t="s">
        <v>3423</v>
      </c>
    </row>
    <row r="8" spans="1:7" ht="18" customHeight="1" x14ac:dyDescent="0.15">
      <c r="A8" s="500">
        <v>7</v>
      </c>
      <c r="B8" s="500" t="s">
        <v>1589</v>
      </c>
      <c r="C8" s="500">
        <v>234</v>
      </c>
      <c r="D8" s="500">
        <v>12</v>
      </c>
      <c r="E8" s="501" t="s">
        <v>1456</v>
      </c>
      <c r="F8" s="500" t="s">
        <v>3424</v>
      </c>
    </row>
    <row r="9" spans="1:7" ht="18" customHeight="1" x14ac:dyDescent="0.15">
      <c r="A9" s="500">
        <v>8</v>
      </c>
      <c r="B9" s="500" t="s">
        <v>1589</v>
      </c>
      <c r="C9" s="500">
        <v>234</v>
      </c>
      <c r="D9" s="500">
        <v>1</v>
      </c>
      <c r="E9" s="501" t="s">
        <v>1457</v>
      </c>
      <c r="F9" s="500" t="s">
        <v>3425</v>
      </c>
    </row>
    <row r="10" spans="1:7" ht="18" customHeight="1" x14ac:dyDescent="0.15">
      <c r="A10" s="500">
        <v>9</v>
      </c>
      <c r="B10" s="500" t="s">
        <v>1589</v>
      </c>
      <c r="C10" s="500">
        <v>234</v>
      </c>
      <c r="D10" s="500">
        <v>2</v>
      </c>
      <c r="E10" s="501" t="s">
        <v>1458</v>
      </c>
      <c r="F10" s="500" t="s">
        <v>3426</v>
      </c>
    </row>
    <row r="11" spans="1:7" ht="18" customHeight="1" x14ac:dyDescent="0.15">
      <c r="A11" s="500">
        <v>10</v>
      </c>
      <c r="B11" s="500" t="s">
        <v>1589</v>
      </c>
      <c r="C11" s="500">
        <v>630</v>
      </c>
      <c r="D11" s="500">
        <v>12</v>
      </c>
      <c r="E11" s="501" t="s">
        <v>1459</v>
      </c>
      <c r="F11" s="500" t="s">
        <v>3427</v>
      </c>
    </row>
    <row r="12" spans="1:7" ht="18" customHeight="1" x14ac:dyDescent="0.15">
      <c r="A12" s="500">
        <v>11</v>
      </c>
      <c r="B12" s="500" t="s">
        <v>1589</v>
      </c>
      <c r="C12" s="500">
        <v>630</v>
      </c>
      <c r="D12" s="500">
        <v>2</v>
      </c>
      <c r="E12" s="501" t="s">
        <v>1460</v>
      </c>
      <c r="F12" s="500" t="s">
        <v>3428</v>
      </c>
    </row>
    <row r="13" spans="1:7" ht="18" customHeight="1" x14ac:dyDescent="0.15">
      <c r="A13" s="500">
        <v>12</v>
      </c>
      <c r="B13" s="500" t="s">
        <v>1589</v>
      </c>
      <c r="C13" s="500">
        <v>627</v>
      </c>
      <c r="D13" s="500">
        <v>3</v>
      </c>
      <c r="E13" s="501" t="s">
        <v>1461</v>
      </c>
      <c r="F13" s="500" t="s">
        <v>3429</v>
      </c>
    </row>
    <row r="14" spans="1:7" ht="18" customHeight="1" x14ac:dyDescent="0.15">
      <c r="A14" s="500">
        <v>13</v>
      </c>
      <c r="B14" s="500" t="s">
        <v>1589</v>
      </c>
      <c r="C14" s="500">
        <v>627</v>
      </c>
      <c r="D14" s="500">
        <v>4</v>
      </c>
      <c r="E14" s="501" t="s">
        <v>1462</v>
      </c>
      <c r="F14" s="500" t="s">
        <v>3430</v>
      </c>
    </row>
    <row r="15" spans="1:7" ht="18" customHeight="1" x14ac:dyDescent="0.15">
      <c r="A15" s="500">
        <v>14</v>
      </c>
      <c r="B15" s="500" t="s">
        <v>1589</v>
      </c>
      <c r="C15" s="500">
        <v>627</v>
      </c>
      <c r="D15" s="500">
        <v>5</v>
      </c>
      <c r="E15" s="501" t="s">
        <v>1463</v>
      </c>
      <c r="F15" s="500" t="s">
        <v>3431</v>
      </c>
    </row>
    <row r="16" spans="1:7" ht="18" customHeight="1" x14ac:dyDescent="0.15">
      <c r="A16" s="500">
        <v>15</v>
      </c>
      <c r="B16" s="500" t="s">
        <v>1589</v>
      </c>
      <c r="C16" s="500">
        <v>3509</v>
      </c>
      <c r="D16" s="500">
        <v>13</v>
      </c>
      <c r="E16" s="501" t="s">
        <v>1464</v>
      </c>
      <c r="F16" s="500" t="s">
        <v>3432</v>
      </c>
    </row>
    <row r="17" spans="1:6" ht="18" customHeight="1" x14ac:dyDescent="0.15">
      <c r="A17" s="500">
        <v>16</v>
      </c>
      <c r="B17" s="500" t="s">
        <v>1589</v>
      </c>
      <c r="C17" s="500">
        <v>3509</v>
      </c>
      <c r="D17" s="500">
        <v>4</v>
      </c>
      <c r="E17" s="501" t="s">
        <v>1465</v>
      </c>
      <c r="F17" s="500" t="s">
        <v>3433</v>
      </c>
    </row>
    <row r="18" spans="1:6" ht="18" customHeight="1" x14ac:dyDescent="0.15">
      <c r="A18" s="500">
        <v>17</v>
      </c>
      <c r="B18" s="500" t="s">
        <v>1589</v>
      </c>
      <c r="C18" s="500">
        <v>3509</v>
      </c>
      <c r="D18" s="500">
        <v>3</v>
      </c>
      <c r="E18" s="501" t="s">
        <v>1466</v>
      </c>
      <c r="F18" s="500" t="s">
        <v>3434</v>
      </c>
    </row>
    <row r="19" spans="1:6" ht="18" customHeight="1" x14ac:dyDescent="0.15">
      <c r="A19" s="500">
        <v>18</v>
      </c>
      <c r="B19" s="500" t="s">
        <v>1589</v>
      </c>
      <c r="C19" s="500">
        <v>701</v>
      </c>
      <c r="D19" s="500">
        <v>4</v>
      </c>
      <c r="E19" s="501" t="s">
        <v>1467</v>
      </c>
      <c r="F19" s="500" t="s">
        <v>3435</v>
      </c>
    </row>
    <row r="20" spans="1:6" ht="18" customHeight="1" x14ac:dyDescent="0.15">
      <c r="A20" s="500">
        <v>19</v>
      </c>
      <c r="B20" s="500" t="s">
        <v>1589</v>
      </c>
      <c r="C20" s="500">
        <v>701</v>
      </c>
      <c r="D20" s="500">
        <v>3</v>
      </c>
      <c r="E20" s="501" t="s">
        <v>1468</v>
      </c>
      <c r="F20" s="500" t="s">
        <v>3436</v>
      </c>
    </row>
    <row r="21" spans="1:6" ht="18" customHeight="1" x14ac:dyDescent="0.15">
      <c r="A21" s="500">
        <v>20</v>
      </c>
      <c r="B21" s="500" t="s">
        <v>1589</v>
      </c>
      <c r="C21" s="500">
        <v>701</v>
      </c>
      <c r="D21" s="500">
        <v>5</v>
      </c>
      <c r="E21" s="501" t="s">
        <v>1469</v>
      </c>
      <c r="F21" s="500" t="s">
        <v>3437</v>
      </c>
    </row>
    <row r="22" spans="1:6" ht="18" customHeight="1" x14ac:dyDescent="0.15">
      <c r="A22" s="500">
        <v>21</v>
      </c>
      <c r="B22" s="500" t="s">
        <v>1589</v>
      </c>
      <c r="C22" s="500">
        <v>701</v>
      </c>
      <c r="D22" s="500">
        <v>1</v>
      </c>
      <c r="E22" s="501" t="s">
        <v>1470</v>
      </c>
      <c r="F22" s="500" t="s">
        <v>3438</v>
      </c>
    </row>
    <row r="23" spans="1:6" ht="18" customHeight="1" x14ac:dyDescent="0.15">
      <c r="A23" s="500">
        <v>22</v>
      </c>
      <c r="B23" s="500" t="s">
        <v>1589</v>
      </c>
      <c r="C23" s="500">
        <v>702</v>
      </c>
      <c r="D23" s="500">
        <v>4</v>
      </c>
      <c r="E23" s="501" t="s">
        <v>1471</v>
      </c>
      <c r="F23" s="500" t="s">
        <v>3439</v>
      </c>
    </row>
    <row r="24" spans="1:6" ht="18" customHeight="1" x14ac:dyDescent="0.15">
      <c r="A24" s="500">
        <v>23</v>
      </c>
      <c r="B24" s="500" t="s">
        <v>1589</v>
      </c>
      <c r="C24" s="500">
        <v>702</v>
      </c>
      <c r="D24" s="500">
        <v>3</v>
      </c>
      <c r="E24" s="501" t="s">
        <v>1472</v>
      </c>
      <c r="F24" s="500" t="s">
        <v>3440</v>
      </c>
    </row>
    <row r="25" spans="1:6" ht="18" customHeight="1" x14ac:dyDescent="0.15">
      <c r="A25" s="500">
        <v>24</v>
      </c>
      <c r="B25" s="500" t="s">
        <v>1589</v>
      </c>
      <c r="C25" s="500">
        <v>702</v>
      </c>
      <c r="D25" s="500">
        <v>5</v>
      </c>
      <c r="E25" s="501" t="s">
        <v>1473</v>
      </c>
      <c r="F25" s="500" t="s">
        <v>3441</v>
      </c>
    </row>
    <row r="26" spans="1:6" ht="18" customHeight="1" x14ac:dyDescent="0.15">
      <c r="A26" s="500">
        <v>25</v>
      </c>
      <c r="B26" s="500" t="s">
        <v>1589</v>
      </c>
      <c r="C26" s="500">
        <v>702</v>
      </c>
      <c r="D26" s="500">
        <v>1</v>
      </c>
      <c r="E26" s="501" t="s">
        <v>1474</v>
      </c>
      <c r="F26" s="500" t="s">
        <v>3442</v>
      </c>
    </row>
    <row r="27" spans="1:6" ht="18" customHeight="1" x14ac:dyDescent="0.15">
      <c r="A27" s="500">
        <v>26</v>
      </c>
      <c r="B27" s="500" t="s">
        <v>1589</v>
      </c>
      <c r="C27" s="500">
        <v>703</v>
      </c>
      <c r="D27" s="500">
        <v>4</v>
      </c>
      <c r="E27" s="501" t="s">
        <v>1467</v>
      </c>
      <c r="F27" s="500" t="s">
        <v>3443</v>
      </c>
    </row>
    <row r="28" spans="1:6" ht="18" customHeight="1" x14ac:dyDescent="0.15">
      <c r="A28" s="500">
        <v>27</v>
      </c>
      <c r="B28" s="500" t="s">
        <v>1589</v>
      </c>
      <c r="C28" s="500">
        <v>703</v>
      </c>
      <c r="D28" s="500">
        <v>3</v>
      </c>
      <c r="E28" s="501" t="s">
        <v>1468</v>
      </c>
      <c r="F28" s="500" t="s">
        <v>3444</v>
      </c>
    </row>
    <row r="29" spans="1:6" ht="18" customHeight="1" x14ac:dyDescent="0.15">
      <c r="A29" s="500">
        <v>28</v>
      </c>
      <c r="B29" s="500" t="s">
        <v>1589</v>
      </c>
      <c r="C29" s="500">
        <v>703</v>
      </c>
      <c r="D29" s="500">
        <v>5</v>
      </c>
      <c r="E29" s="501" t="s">
        <v>1469</v>
      </c>
      <c r="F29" s="500" t="s">
        <v>3445</v>
      </c>
    </row>
    <row r="30" spans="1:6" ht="18" customHeight="1" x14ac:dyDescent="0.15">
      <c r="A30" s="500">
        <v>29</v>
      </c>
      <c r="B30" s="500" t="s">
        <v>1589</v>
      </c>
      <c r="C30" s="500">
        <v>703</v>
      </c>
      <c r="D30" s="500">
        <v>1</v>
      </c>
      <c r="E30" s="501" t="s">
        <v>1470</v>
      </c>
      <c r="F30" s="500" t="s">
        <v>3446</v>
      </c>
    </row>
    <row r="31" spans="1:6" ht="18" customHeight="1" x14ac:dyDescent="0.15">
      <c r="A31" s="500">
        <v>30</v>
      </c>
      <c r="B31" s="500" t="s">
        <v>1589</v>
      </c>
      <c r="C31" s="500">
        <v>713</v>
      </c>
      <c r="D31" s="500">
        <v>4</v>
      </c>
      <c r="E31" s="501" t="s">
        <v>1475</v>
      </c>
      <c r="F31" s="500" t="s">
        <v>3447</v>
      </c>
    </row>
    <row r="32" spans="1:6" ht="18" customHeight="1" x14ac:dyDescent="0.15">
      <c r="A32" s="500">
        <v>31</v>
      </c>
      <c r="B32" s="500" t="s">
        <v>1589</v>
      </c>
      <c r="C32" s="500">
        <v>713</v>
      </c>
      <c r="D32" s="500">
        <v>3</v>
      </c>
      <c r="E32" s="501" t="s">
        <v>1476</v>
      </c>
      <c r="F32" s="500" t="s">
        <v>3448</v>
      </c>
    </row>
    <row r="33" spans="1:6" ht="18" customHeight="1" x14ac:dyDescent="0.15">
      <c r="A33" s="500">
        <v>32</v>
      </c>
      <c r="B33" s="500" t="s">
        <v>1589</v>
      </c>
      <c r="C33" s="500">
        <v>713</v>
      </c>
      <c r="D33" s="500">
        <v>5</v>
      </c>
      <c r="E33" s="501" t="s">
        <v>1477</v>
      </c>
      <c r="F33" s="500" t="s">
        <v>3449</v>
      </c>
    </row>
    <row r="34" spans="1:6" ht="18" customHeight="1" x14ac:dyDescent="0.15">
      <c r="A34" s="500">
        <v>33</v>
      </c>
      <c r="B34" s="500" t="s">
        <v>1589</v>
      </c>
      <c r="C34" s="500">
        <v>713</v>
      </c>
      <c r="D34" s="500">
        <v>11</v>
      </c>
      <c r="E34" s="501" t="s">
        <v>1478</v>
      </c>
      <c r="F34" s="500" t="s">
        <v>3450</v>
      </c>
    </row>
    <row r="35" spans="1:6" ht="18" customHeight="1" x14ac:dyDescent="0.15">
      <c r="A35" s="500">
        <v>34</v>
      </c>
      <c r="B35" s="500" t="s">
        <v>1589</v>
      </c>
      <c r="C35" s="500">
        <v>3840</v>
      </c>
      <c r="D35" s="500">
        <v>11</v>
      </c>
      <c r="E35" s="501" t="s">
        <v>3451</v>
      </c>
      <c r="F35" s="500" t="s">
        <v>3452</v>
      </c>
    </row>
    <row r="36" spans="1:6" ht="18" customHeight="1" x14ac:dyDescent="0.15">
      <c r="A36" s="500">
        <v>35</v>
      </c>
      <c r="B36" s="500" t="s">
        <v>1589</v>
      </c>
      <c r="C36" s="500">
        <v>3840</v>
      </c>
      <c r="D36" s="500">
        <v>13</v>
      </c>
      <c r="E36" s="501" t="s">
        <v>3453</v>
      </c>
      <c r="F36" s="500" t="s">
        <v>3454</v>
      </c>
    </row>
    <row r="37" spans="1:6" ht="18" customHeight="1" x14ac:dyDescent="0.15">
      <c r="A37" s="500">
        <v>36</v>
      </c>
      <c r="B37" s="500" t="s">
        <v>1589</v>
      </c>
      <c r="C37" s="500">
        <v>3840</v>
      </c>
      <c r="D37" s="500">
        <v>12</v>
      </c>
      <c r="E37" s="501" t="s">
        <v>3455</v>
      </c>
      <c r="F37" s="500" t="s">
        <v>3456</v>
      </c>
    </row>
    <row r="38" spans="1:6" ht="18" customHeight="1" x14ac:dyDescent="0.15">
      <c r="A38" s="500">
        <v>37</v>
      </c>
      <c r="B38" s="500" t="s">
        <v>1589</v>
      </c>
      <c r="C38" s="500">
        <v>3842</v>
      </c>
      <c r="D38" s="500">
        <v>11</v>
      </c>
      <c r="E38" s="501" t="s">
        <v>3457</v>
      </c>
      <c r="F38" s="500" t="s">
        <v>3458</v>
      </c>
    </row>
    <row r="39" spans="1:6" ht="18" customHeight="1" x14ac:dyDescent="0.15">
      <c r="A39" s="500">
        <v>38</v>
      </c>
      <c r="B39" s="500" t="s">
        <v>1589</v>
      </c>
      <c r="C39" s="500">
        <v>3842</v>
      </c>
      <c r="D39" s="500">
        <v>13</v>
      </c>
      <c r="E39" s="501" t="s">
        <v>3459</v>
      </c>
      <c r="F39" s="500" t="s">
        <v>3460</v>
      </c>
    </row>
    <row r="40" spans="1:6" ht="18" customHeight="1" x14ac:dyDescent="0.15">
      <c r="A40" s="500">
        <v>39</v>
      </c>
      <c r="B40" s="500" t="s">
        <v>1589</v>
      </c>
      <c r="C40" s="500">
        <v>3842</v>
      </c>
      <c r="D40" s="500">
        <v>12</v>
      </c>
      <c r="E40" s="501" t="s">
        <v>3461</v>
      </c>
      <c r="F40" s="500" t="s">
        <v>3462</v>
      </c>
    </row>
    <row r="41" spans="1:6" ht="18" customHeight="1" x14ac:dyDescent="0.15">
      <c r="A41" s="500">
        <v>40</v>
      </c>
      <c r="B41" s="500" t="s">
        <v>1589</v>
      </c>
      <c r="C41" s="500">
        <v>523880</v>
      </c>
      <c r="D41" s="500">
        <v>2</v>
      </c>
      <c r="E41" s="501" t="s">
        <v>1479</v>
      </c>
      <c r="F41" s="500" t="s">
        <v>3463</v>
      </c>
    </row>
    <row r="42" spans="1:6" ht="18" customHeight="1" x14ac:dyDescent="0.15">
      <c r="A42" s="503"/>
      <c r="B42" s="503"/>
      <c r="C42" s="503"/>
      <c r="D42" s="492"/>
      <c r="E42" s="492"/>
    </row>
    <row r="43" spans="1:6" ht="18" customHeight="1" x14ac:dyDescent="0.15">
      <c r="A43" s="503"/>
      <c r="B43" s="503"/>
      <c r="C43" s="503"/>
      <c r="D43" s="492"/>
      <c r="E43" s="492"/>
    </row>
    <row r="44" spans="1:6" ht="18" customHeight="1" x14ac:dyDescent="0.15">
      <c r="A44" s="503"/>
      <c r="B44" s="503"/>
      <c r="C44" s="503"/>
      <c r="D44" s="492"/>
      <c r="E44" s="492"/>
    </row>
    <row r="45" spans="1:6" ht="18" customHeight="1" x14ac:dyDescent="0.15">
      <c r="A45" s="503"/>
      <c r="B45" s="503"/>
      <c r="C45" s="503"/>
      <c r="D45" s="492"/>
      <c r="E45" s="492"/>
    </row>
    <row r="46" spans="1:6" ht="18" customHeight="1" x14ac:dyDescent="0.15">
      <c r="A46" s="503"/>
      <c r="B46" s="503"/>
      <c r="C46" s="503"/>
      <c r="D46" s="492"/>
      <c r="E46" s="492"/>
    </row>
    <row r="47" spans="1:6" ht="18" customHeight="1" x14ac:dyDescent="0.15">
      <c r="A47" s="503"/>
      <c r="B47" s="503"/>
      <c r="C47" s="503"/>
      <c r="D47" s="492"/>
      <c r="E47" s="492"/>
    </row>
    <row r="48" spans="1:6" ht="18" customHeight="1" x14ac:dyDescent="0.15">
      <c r="A48" s="503"/>
      <c r="B48" s="503"/>
      <c r="C48" s="503"/>
      <c r="D48" s="492"/>
      <c r="E48" s="492"/>
    </row>
    <row r="49" spans="1:5" ht="18" customHeight="1" x14ac:dyDescent="0.15">
      <c r="A49" s="503"/>
      <c r="B49" s="503"/>
      <c r="C49" s="503"/>
      <c r="D49" s="492"/>
      <c r="E49" s="492"/>
    </row>
    <row r="50" spans="1:5" ht="18" customHeight="1" x14ac:dyDescent="0.15">
      <c r="A50" s="503"/>
      <c r="B50" s="503"/>
      <c r="C50" s="503"/>
      <c r="D50" s="492"/>
      <c r="E50" s="492"/>
    </row>
    <row r="51" spans="1:5" ht="18" customHeight="1" x14ac:dyDescent="0.15">
      <c r="A51" s="503"/>
      <c r="B51" s="503"/>
      <c r="C51" s="503"/>
      <c r="D51" s="492"/>
      <c r="E51" s="492"/>
    </row>
    <row r="52" spans="1:5" ht="18" customHeight="1" x14ac:dyDescent="0.15">
      <c r="A52" s="503"/>
      <c r="B52" s="503"/>
      <c r="C52" s="503"/>
      <c r="D52" s="492"/>
      <c r="E52" s="492"/>
    </row>
    <row r="53" spans="1:5" ht="18" customHeight="1" x14ac:dyDescent="0.15">
      <c r="A53" s="503"/>
      <c r="B53" s="503"/>
      <c r="C53" s="503"/>
      <c r="D53" s="492"/>
      <c r="E53" s="492"/>
    </row>
    <row r="54" spans="1:5" ht="18" customHeight="1" x14ac:dyDescent="0.15">
      <c r="A54" s="503"/>
      <c r="B54" s="503"/>
      <c r="C54" s="503"/>
      <c r="D54" s="492"/>
      <c r="E54" s="492"/>
    </row>
    <row r="55" spans="1:5" ht="18" customHeight="1" x14ac:dyDescent="0.15">
      <c r="A55" s="503"/>
      <c r="B55" s="503"/>
      <c r="C55" s="503"/>
      <c r="D55" s="492"/>
      <c r="E55" s="492"/>
    </row>
    <row r="56" spans="1:5" ht="18" customHeight="1" x14ac:dyDescent="0.15">
      <c r="A56" s="503"/>
      <c r="B56" s="503"/>
      <c r="C56" s="503"/>
      <c r="D56" s="492"/>
      <c r="E56" s="492"/>
    </row>
    <row r="57" spans="1:5" ht="18" customHeight="1" x14ac:dyDescent="0.15">
      <c r="A57" s="503"/>
      <c r="B57" s="503"/>
      <c r="C57" s="503"/>
      <c r="D57" s="492"/>
      <c r="E57" s="492"/>
    </row>
    <row r="58" spans="1:5" ht="18" customHeight="1" x14ac:dyDescent="0.15">
      <c r="A58" s="503"/>
      <c r="B58" s="503"/>
      <c r="C58" s="503"/>
      <c r="D58" s="492"/>
      <c r="E58" s="492"/>
    </row>
    <row r="59" spans="1:5" ht="18" customHeight="1" x14ac:dyDescent="0.15">
      <c r="A59" s="503"/>
      <c r="B59" s="503"/>
      <c r="C59" s="503"/>
      <c r="D59" s="492"/>
      <c r="E59" s="492"/>
    </row>
    <row r="60" spans="1:5" ht="18" customHeight="1" x14ac:dyDescent="0.15">
      <c r="A60" s="503"/>
      <c r="B60" s="503"/>
      <c r="C60" s="503"/>
      <c r="D60" s="492"/>
      <c r="E60" s="492"/>
    </row>
    <row r="61" spans="1:5" ht="18" customHeight="1" x14ac:dyDescent="0.15">
      <c r="A61" s="503"/>
      <c r="B61" s="503"/>
      <c r="C61" s="503"/>
      <c r="D61" s="492"/>
      <c r="E61" s="492"/>
    </row>
    <row r="62" spans="1:5" ht="18" customHeight="1" x14ac:dyDescent="0.15">
      <c r="A62" s="503"/>
      <c r="B62" s="503"/>
      <c r="C62" s="503"/>
      <c r="D62" s="492"/>
      <c r="E62" s="492"/>
    </row>
    <row r="63" spans="1:5" ht="18" customHeight="1" x14ac:dyDescent="0.15">
      <c r="A63" s="503"/>
      <c r="B63" s="503"/>
      <c r="C63" s="503"/>
      <c r="D63" s="492"/>
      <c r="E63" s="492"/>
    </row>
    <row r="64" spans="1:5" ht="18" customHeight="1" x14ac:dyDescent="0.15">
      <c r="A64" s="503"/>
      <c r="B64" s="503"/>
      <c r="C64" s="503"/>
      <c r="D64" s="492"/>
      <c r="E64" s="492"/>
    </row>
    <row r="65" spans="1:5" ht="18" customHeight="1" x14ac:dyDescent="0.15">
      <c r="A65" s="503"/>
      <c r="B65" s="503"/>
      <c r="C65" s="503"/>
      <c r="D65" s="492"/>
      <c r="E65" s="492"/>
    </row>
  </sheetData>
  <phoneticPr fontId="6" type="noConversion"/>
  <hyperlinks>
    <hyperlink ref="G1" location="'控制器源地址&amp;跳转页面'!A1" display="返回目录" xr:uid="{49781EE0-96E9-44CA-A0DD-B5DDDF49F06A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</sheetPr>
  <dimension ref="A1:F62"/>
  <sheetViews>
    <sheetView topLeftCell="A16" workbookViewId="0">
      <selection activeCell="F31" sqref="F31"/>
    </sheetView>
  </sheetViews>
  <sheetFormatPr defaultRowHeight="13.5" x14ac:dyDescent="0.15"/>
  <cols>
    <col min="1" max="1" width="8.875" style="3"/>
    <col min="2" max="2" width="12.625" style="3" customWidth="1"/>
    <col min="3" max="3" width="10.5" style="3" customWidth="1"/>
    <col min="4" max="4" width="10.375" style="3" customWidth="1"/>
    <col min="5" max="5" width="50.125" style="3" bestFit="1" customWidth="1"/>
    <col min="6" max="6" width="27.25" customWidth="1"/>
  </cols>
  <sheetData>
    <row r="1" spans="1:6" ht="15" x14ac:dyDescent="0.15">
      <c r="A1" s="507" t="s">
        <v>1</v>
      </c>
      <c r="B1" s="507" t="s">
        <v>1541</v>
      </c>
      <c r="C1" s="507" t="s">
        <v>1043</v>
      </c>
      <c r="D1" s="508" t="s">
        <v>1044</v>
      </c>
      <c r="E1" s="507" t="s">
        <v>1519</v>
      </c>
      <c r="F1" s="509" t="s">
        <v>2668</v>
      </c>
    </row>
    <row r="2" spans="1:6" ht="16.5" x14ac:dyDescent="0.15">
      <c r="A2" s="510">
        <v>1</v>
      </c>
      <c r="B2" s="510" t="s">
        <v>1589</v>
      </c>
      <c r="C2" s="510">
        <v>274430</v>
      </c>
      <c r="D2" s="510">
        <v>11</v>
      </c>
      <c r="E2" s="511" t="s">
        <v>1480</v>
      </c>
      <c r="F2" s="511" t="s">
        <v>3464</v>
      </c>
    </row>
    <row r="3" spans="1:6" ht="16.5" x14ac:dyDescent="0.15">
      <c r="A3" s="510">
        <v>2</v>
      </c>
      <c r="B3" s="510" t="s">
        <v>1589</v>
      </c>
      <c r="C3" s="510">
        <v>274430</v>
      </c>
      <c r="D3" s="510">
        <v>2</v>
      </c>
      <c r="E3" s="511" t="s">
        <v>1481</v>
      </c>
      <c r="F3" s="511" t="s">
        <v>3465</v>
      </c>
    </row>
    <row r="4" spans="1:6" ht="16.5" x14ac:dyDescent="0.15">
      <c r="A4" s="510">
        <v>3</v>
      </c>
      <c r="B4" s="510" t="s">
        <v>1589</v>
      </c>
      <c r="C4" s="510">
        <v>274210</v>
      </c>
      <c r="D4" s="510">
        <v>3</v>
      </c>
      <c r="E4" s="511" t="s">
        <v>1482</v>
      </c>
      <c r="F4" s="511" t="s">
        <v>3466</v>
      </c>
    </row>
    <row r="5" spans="1:6" ht="16.5" x14ac:dyDescent="0.15">
      <c r="A5" s="510">
        <v>4</v>
      </c>
      <c r="B5" s="510" t="s">
        <v>1589</v>
      </c>
      <c r="C5" s="510">
        <v>274210</v>
      </c>
      <c r="D5" s="510">
        <v>6</v>
      </c>
      <c r="E5" s="511" t="s">
        <v>1483</v>
      </c>
      <c r="F5" s="511" t="s">
        <v>3467</v>
      </c>
    </row>
    <row r="6" spans="1:6" ht="16.5" x14ac:dyDescent="0.15">
      <c r="A6" s="510">
        <v>5</v>
      </c>
      <c r="B6" s="510" t="s">
        <v>1589</v>
      </c>
      <c r="C6" s="510">
        <v>274223</v>
      </c>
      <c r="D6" s="510">
        <v>3</v>
      </c>
      <c r="E6" s="511" t="s">
        <v>1484</v>
      </c>
      <c r="F6" s="511" t="s">
        <v>3468</v>
      </c>
    </row>
    <row r="7" spans="1:6" ht="16.5" x14ac:dyDescent="0.15">
      <c r="A7" s="510">
        <v>6</v>
      </c>
      <c r="B7" s="510" t="s">
        <v>1589</v>
      </c>
      <c r="C7" s="510">
        <v>274224</v>
      </c>
      <c r="D7" s="510">
        <v>3</v>
      </c>
      <c r="E7" s="511" t="s">
        <v>1485</v>
      </c>
      <c r="F7" s="511" t="s">
        <v>3469</v>
      </c>
    </row>
    <row r="8" spans="1:6" ht="16.5" x14ac:dyDescent="0.15">
      <c r="A8" s="510">
        <v>7</v>
      </c>
      <c r="B8" s="510" t="s">
        <v>1589</v>
      </c>
      <c r="C8" s="510">
        <v>274192</v>
      </c>
      <c r="D8" s="510">
        <v>6</v>
      </c>
      <c r="E8" s="511" t="s">
        <v>1486</v>
      </c>
      <c r="F8" s="511" t="s">
        <v>3470</v>
      </c>
    </row>
    <row r="9" spans="1:6" ht="16.5" x14ac:dyDescent="0.15">
      <c r="A9" s="510">
        <v>8</v>
      </c>
      <c r="B9" s="510" t="s">
        <v>1589</v>
      </c>
      <c r="C9" s="510">
        <v>274192</v>
      </c>
      <c r="D9" s="510">
        <v>5</v>
      </c>
      <c r="E9" s="511" t="s">
        <v>1487</v>
      </c>
      <c r="F9" s="511" t="s">
        <v>3471</v>
      </c>
    </row>
    <row r="10" spans="1:6" ht="16.5" x14ac:dyDescent="0.15">
      <c r="A10" s="510">
        <v>9</v>
      </c>
      <c r="B10" s="510" t="s">
        <v>1589</v>
      </c>
      <c r="C10" s="510">
        <v>274192</v>
      </c>
      <c r="D10" s="510">
        <v>4</v>
      </c>
      <c r="E10" s="511" t="s">
        <v>1488</v>
      </c>
      <c r="F10" s="511" t="s">
        <v>3472</v>
      </c>
    </row>
    <row r="11" spans="1:6" ht="16.5" x14ac:dyDescent="0.15">
      <c r="A11" s="510">
        <v>10</v>
      </c>
      <c r="B11" s="510" t="s">
        <v>1589</v>
      </c>
      <c r="C11" s="510">
        <v>274195</v>
      </c>
      <c r="D11" s="510">
        <v>6</v>
      </c>
      <c r="E11" s="511" t="s">
        <v>1489</v>
      </c>
      <c r="F11" s="511" t="s">
        <v>3473</v>
      </c>
    </row>
    <row r="12" spans="1:6" ht="16.5" x14ac:dyDescent="0.15">
      <c r="A12" s="510">
        <v>11</v>
      </c>
      <c r="B12" s="510" t="s">
        <v>1589</v>
      </c>
      <c r="C12" s="510">
        <v>274195</v>
      </c>
      <c r="D12" s="510">
        <v>5</v>
      </c>
      <c r="E12" s="511" t="s">
        <v>1490</v>
      </c>
      <c r="F12" s="511" t="s">
        <v>3474</v>
      </c>
    </row>
    <row r="13" spans="1:6" ht="16.5" x14ac:dyDescent="0.15">
      <c r="A13" s="510">
        <v>12</v>
      </c>
      <c r="B13" s="510" t="s">
        <v>1589</v>
      </c>
      <c r="C13" s="510">
        <v>274195</v>
      </c>
      <c r="D13" s="510">
        <v>4</v>
      </c>
      <c r="E13" s="511" t="s">
        <v>1491</v>
      </c>
      <c r="F13" s="511" t="s">
        <v>3475</v>
      </c>
    </row>
    <row r="14" spans="1:6" ht="16.5" x14ac:dyDescent="0.15">
      <c r="A14" s="510">
        <v>13</v>
      </c>
      <c r="B14" s="510" t="s">
        <v>1589</v>
      </c>
      <c r="C14" s="510">
        <v>274194</v>
      </c>
      <c r="D14" s="510">
        <v>6</v>
      </c>
      <c r="E14" s="511" t="s">
        <v>1492</v>
      </c>
      <c r="F14" s="511" t="s">
        <v>3476</v>
      </c>
    </row>
    <row r="15" spans="1:6" ht="16.5" x14ac:dyDescent="0.15">
      <c r="A15" s="510">
        <v>14</v>
      </c>
      <c r="B15" s="510" t="s">
        <v>1589</v>
      </c>
      <c r="C15" s="510">
        <v>274194</v>
      </c>
      <c r="D15" s="510">
        <v>5</v>
      </c>
      <c r="E15" s="511" t="s">
        <v>1493</v>
      </c>
      <c r="F15" s="511" t="s">
        <v>3477</v>
      </c>
    </row>
    <row r="16" spans="1:6" ht="16.5" x14ac:dyDescent="0.15">
      <c r="A16" s="510">
        <v>15</v>
      </c>
      <c r="B16" s="510" t="s">
        <v>1589</v>
      </c>
      <c r="C16" s="510">
        <v>274194</v>
      </c>
      <c r="D16" s="510">
        <v>4</v>
      </c>
      <c r="E16" s="511" t="s">
        <v>1494</v>
      </c>
      <c r="F16" s="511" t="s">
        <v>3478</v>
      </c>
    </row>
    <row r="17" spans="1:6" ht="16.5" x14ac:dyDescent="0.15">
      <c r="A17" s="510">
        <v>16</v>
      </c>
      <c r="B17" s="510" t="s">
        <v>1589</v>
      </c>
      <c r="C17" s="510">
        <v>274177</v>
      </c>
      <c r="D17" s="510">
        <v>6</v>
      </c>
      <c r="E17" s="511" t="s">
        <v>1495</v>
      </c>
      <c r="F17" s="511" t="s">
        <v>3479</v>
      </c>
    </row>
    <row r="18" spans="1:6" ht="16.5" x14ac:dyDescent="0.15">
      <c r="A18" s="510">
        <v>17</v>
      </c>
      <c r="B18" s="510" t="s">
        <v>1589</v>
      </c>
      <c r="C18" s="510">
        <v>274177</v>
      </c>
      <c r="D18" s="510">
        <v>3</v>
      </c>
      <c r="E18" s="511" t="s">
        <v>1496</v>
      </c>
      <c r="F18" s="511" t="s">
        <v>3480</v>
      </c>
    </row>
    <row r="19" spans="1:6" ht="16.5" x14ac:dyDescent="0.15">
      <c r="A19" s="510">
        <v>18</v>
      </c>
      <c r="B19" s="510" t="s">
        <v>1589</v>
      </c>
      <c r="C19" s="510">
        <v>274177</v>
      </c>
      <c r="D19" s="510">
        <v>5</v>
      </c>
      <c r="E19" s="511" t="s">
        <v>1497</v>
      </c>
      <c r="F19" s="511" t="s">
        <v>3481</v>
      </c>
    </row>
    <row r="20" spans="1:6" ht="16.5" x14ac:dyDescent="0.15">
      <c r="A20" s="510">
        <v>19</v>
      </c>
      <c r="B20" s="510" t="s">
        <v>1589</v>
      </c>
      <c r="C20" s="510">
        <v>274180</v>
      </c>
      <c r="D20" s="510">
        <v>6</v>
      </c>
      <c r="E20" s="511" t="s">
        <v>1498</v>
      </c>
      <c r="F20" s="511" t="s">
        <v>3482</v>
      </c>
    </row>
    <row r="21" spans="1:6" ht="16.5" x14ac:dyDescent="0.15">
      <c r="A21" s="510">
        <v>20</v>
      </c>
      <c r="B21" s="510" t="s">
        <v>1589</v>
      </c>
      <c r="C21" s="510">
        <v>274180</v>
      </c>
      <c r="D21" s="510">
        <v>3</v>
      </c>
      <c r="E21" s="511" t="s">
        <v>1499</v>
      </c>
      <c r="F21" s="511" t="s">
        <v>3483</v>
      </c>
    </row>
    <row r="22" spans="1:6" ht="16.5" x14ac:dyDescent="0.15">
      <c r="A22" s="510">
        <v>21</v>
      </c>
      <c r="B22" s="510" t="s">
        <v>1589</v>
      </c>
      <c r="C22" s="510">
        <v>274180</v>
      </c>
      <c r="D22" s="510">
        <v>5</v>
      </c>
      <c r="E22" s="511" t="s">
        <v>1500</v>
      </c>
      <c r="F22" s="511" t="s">
        <v>3484</v>
      </c>
    </row>
    <row r="23" spans="1:6" ht="16.5" x14ac:dyDescent="0.15">
      <c r="A23" s="510">
        <v>22</v>
      </c>
      <c r="B23" s="510" t="s">
        <v>1589</v>
      </c>
      <c r="C23" s="510">
        <v>274183</v>
      </c>
      <c r="D23" s="510">
        <v>6</v>
      </c>
      <c r="E23" s="511" t="s">
        <v>1501</v>
      </c>
      <c r="F23" s="511" t="s">
        <v>3485</v>
      </c>
    </row>
    <row r="24" spans="1:6" ht="16.5" x14ac:dyDescent="0.15">
      <c r="A24" s="510">
        <v>23</v>
      </c>
      <c r="B24" s="510" t="s">
        <v>1589</v>
      </c>
      <c r="C24" s="510">
        <v>274183</v>
      </c>
      <c r="D24" s="510">
        <v>3</v>
      </c>
      <c r="E24" s="511" t="s">
        <v>1502</v>
      </c>
      <c r="F24" s="511" t="s">
        <v>3486</v>
      </c>
    </row>
    <row r="25" spans="1:6" ht="16.5" x14ac:dyDescent="0.15">
      <c r="A25" s="510">
        <v>24</v>
      </c>
      <c r="B25" s="510" t="s">
        <v>1589</v>
      </c>
      <c r="C25" s="510">
        <v>274183</v>
      </c>
      <c r="D25" s="510">
        <v>5</v>
      </c>
      <c r="E25" s="511" t="s">
        <v>1503</v>
      </c>
      <c r="F25" s="511" t="s">
        <v>3487</v>
      </c>
    </row>
    <row r="26" spans="1:6" ht="16.5" x14ac:dyDescent="0.15">
      <c r="A26" s="510">
        <v>25</v>
      </c>
      <c r="B26" s="510" t="s">
        <v>1589</v>
      </c>
      <c r="C26" s="510">
        <v>274179</v>
      </c>
      <c r="D26" s="510">
        <v>6</v>
      </c>
      <c r="E26" s="511" t="s">
        <v>1504</v>
      </c>
      <c r="F26" s="511" t="s">
        <v>3488</v>
      </c>
    </row>
    <row r="27" spans="1:6" ht="16.5" x14ac:dyDescent="0.15">
      <c r="A27" s="510">
        <v>26</v>
      </c>
      <c r="B27" s="510" t="s">
        <v>1589</v>
      </c>
      <c r="C27" s="510">
        <v>274179</v>
      </c>
      <c r="D27" s="510">
        <v>3</v>
      </c>
      <c r="E27" s="511" t="s">
        <v>1505</v>
      </c>
      <c r="F27" s="511" t="s">
        <v>3489</v>
      </c>
    </row>
    <row r="28" spans="1:6" ht="16.5" x14ac:dyDescent="0.15">
      <c r="A28" s="510">
        <v>27</v>
      </c>
      <c r="B28" s="510" t="s">
        <v>1589</v>
      </c>
      <c r="C28" s="510">
        <v>274179</v>
      </c>
      <c r="D28" s="510">
        <v>5</v>
      </c>
      <c r="E28" s="511" t="s">
        <v>1506</v>
      </c>
      <c r="F28" s="511" t="s">
        <v>3490</v>
      </c>
    </row>
    <row r="29" spans="1:6" ht="16.5" x14ac:dyDescent="0.15">
      <c r="A29" s="510">
        <v>28</v>
      </c>
      <c r="B29" s="510" t="s">
        <v>1589</v>
      </c>
      <c r="C29" s="510">
        <v>274182</v>
      </c>
      <c r="D29" s="510">
        <v>6</v>
      </c>
      <c r="E29" s="511" t="s">
        <v>1507</v>
      </c>
      <c r="F29" s="511" t="s">
        <v>3491</v>
      </c>
    </row>
    <row r="30" spans="1:6" ht="16.5" x14ac:dyDescent="0.15">
      <c r="A30" s="510">
        <v>29</v>
      </c>
      <c r="B30" s="510" t="s">
        <v>1589</v>
      </c>
      <c r="C30" s="510">
        <v>274182</v>
      </c>
      <c r="D30" s="510">
        <v>3</v>
      </c>
      <c r="E30" s="511" t="s">
        <v>1508</v>
      </c>
      <c r="F30" s="511" t="s">
        <v>3492</v>
      </c>
    </row>
    <row r="31" spans="1:6" ht="16.5" x14ac:dyDescent="0.15">
      <c r="A31" s="510">
        <v>30</v>
      </c>
      <c r="B31" s="510" t="s">
        <v>1589</v>
      </c>
      <c r="C31" s="510">
        <v>274182</v>
      </c>
      <c r="D31" s="510">
        <v>5</v>
      </c>
      <c r="E31" s="511" t="s">
        <v>1509</v>
      </c>
      <c r="F31" s="511" t="s">
        <v>3493</v>
      </c>
    </row>
    <row r="32" spans="1:6" ht="16.5" x14ac:dyDescent="0.15">
      <c r="A32" s="510">
        <v>31</v>
      </c>
      <c r="B32" s="510" t="s">
        <v>1589</v>
      </c>
      <c r="C32" s="510">
        <v>274181</v>
      </c>
      <c r="D32" s="510">
        <v>6</v>
      </c>
      <c r="E32" s="511" t="s">
        <v>1510</v>
      </c>
      <c r="F32" s="511" t="s">
        <v>3494</v>
      </c>
    </row>
    <row r="33" spans="1:6" ht="16.5" x14ac:dyDescent="0.15">
      <c r="A33" s="510">
        <v>32</v>
      </c>
      <c r="B33" s="510" t="s">
        <v>1589</v>
      </c>
      <c r="C33" s="510">
        <v>274181</v>
      </c>
      <c r="D33" s="510">
        <v>3</v>
      </c>
      <c r="E33" s="511" t="s">
        <v>1511</v>
      </c>
      <c r="F33" s="511" t="s">
        <v>3495</v>
      </c>
    </row>
    <row r="34" spans="1:6" ht="16.5" x14ac:dyDescent="0.15">
      <c r="A34" s="510">
        <v>33</v>
      </c>
      <c r="B34" s="510" t="s">
        <v>1589</v>
      </c>
      <c r="C34" s="510">
        <v>274181</v>
      </c>
      <c r="D34" s="510">
        <v>5</v>
      </c>
      <c r="E34" s="511" t="s">
        <v>1512</v>
      </c>
      <c r="F34" s="511" t="s">
        <v>3496</v>
      </c>
    </row>
    <row r="35" spans="1:6" ht="16.5" x14ac:dyDescent="0.15">
      <c r="A35" s="510">
        <v>34</v>
      </c>
      <c r="B35" s="510" t="s">
        <v>1589</v>
      </c>
      <c r="C35" s="510">
        <v>274219</v>
      </c>
      <c r="D35" s="510">
        <v>6</v>
      </c>
      <c r="E35" s="511" t="s">
        <v>1513</v>
      </c>
      <c r="F35" s="511" t="s">
        <v>3497</v>
      </c>
    </row>
    <row r="36" spans="1:6" ht="16.5" x14ac:dyDescent="0.15">
      <c r="A36" s="510">
        <v>35</v>
      </c>
      <c r="B36" s="510" t="s">
        <v>1589</v>
      </c>
      <c r="C36" s="510">
        <v>274219</v>
      </c>
      <c r="D36" s="510">
        <v>3</v>
      </c>
      <c r="E36" s="511" t="s">
        <v>1514</v>
      </c>
      <c r="F36" s="511" t="s">
        <v>3498</v>
      </c>
    </row>
    <row r="37" spans="1:6" ht="16.5" x14ac:dyDescent="0.15">
      <c r="A37" s="510">
        <v>36</v>
      </c>
      <c r="B37" s="510" t="s">
        <v>1589</v>
      </c>
      <c r="C37" s="510">
        <v>274219</v>
      </c>
      <c r="D37" s="510">
        <v>5</v>
      </c>
      <c r="E37" s="511" t="s">
        <v>1515</v>
      </c>
      <c r="F37" s="511" t="s">
        <v>3499</v>
      </c>
    </row>
    <row r="38" spans="1:6" ht="16.5" x14ac:dyDescent="0.15">
      <c r="A38" s="510">
        <v>37</v>
      </c>
      <c r="B38" s="510" t="s">
        <v>1589</v>
      </c>
      <c r="C38" s="510">
        <v>274186</v>
      </c>
      <c r="D38" s="510">
        <v>6</v>
      </c>
      <c r="E38" s="511" t="s">
        <v>1516</v>
      </c>
      <c r="F38" s="511" t="s">
        <v>3500</v>
      </c>
    </row>
    <row r="39" spans="1:6" ht="16.5" x14ac:dyDescent="0.15">
      <c r="A39" s="510">
        <v>38</v>
      </c>
      <c r="B39" s="510" t="s">
        <v>1589</v>
      </c>
      <c r="C39" s="510">
        <v>274186</v>
      </c>
      <c r="D39" s="510">
        <v>3</v>
      </c>
      <c r="E39" s="511" t="s">
        <v>1517</v>
      </c>
      <c r="F39" s="511" t="s">
        <v>3501</v>
      </c>
    </row>
    <row r="40" spans="1:6" ht="16.5" x14ac:dyDescent="0.15">
      <c r="A40" s="510">
        <v>39</v>
      </c>
      <c r="B40" s="510" t="s">
        <v>1589</v>
      </c>
      <c r="C40" s="510">
        <v>274186</v>
      </c>
      <c r="D40" s="510">
        <v>5</v>
      </c>
      <c r="E40" s="511" t="s">
        <v>1518</v>
      </c>
      <c r="F40" s="511" t="s">
        <v>3502</v>
      </c>
    </row>
    <row r="41" spans="1:6" x14ac:dyDescent="0.15">
      <c r="A41" s="499"/>
      <c r="B41" s="499"/>
      <c r="C41" s="499"/>
      <c r="D41" s="499"/>
      <c r="E41" s="499"/>
    </row>
    <row r="42" spans="1:6" x14ac:dyDescent="0.15">
      <c r="A42" s="499"/>
      <c r="B42" s="499"/>
      <c r="C42" s="499"/>
      <c r="D42" s="499"/>
      <c r="E42" s="499"/>
    </row>
    <row r="43" spans="1:6" x14ac:dyDescent="0.15">
      <c r="A43" s="499"/>
      <c r="B43" s="499"/>
      <c r="C43" s="499"/>
      <c r="D43" s="499"/>
      <c r="E43" s="499"/>
    </row>
    <row r="44" spans="1:6" x14ac:dyDescent="0.15">
      <c r="A44" s="499"/>
      <c r="B44" s="499"/>
      <c r="C44" s="499"/>
      <c r="D44" s="499"/>
      <c r="E44" s="499"/>
    </row>
    <row r="45" spans="1:6" x14ac:dyDescent="0.15">
      <c r="A45" s="499"/>
      <c r="B45" s="499"/>
      <c r="C45" s="499"/>
      <c r="D45" s="499"/>
      <c r="E45" s="499"/>
    </row>
    <row r="46" spans="1:6" x14ac:dyDescent="0.15">
      <c r="A46" s="499"/>
      <c r="B46" s="499"/>
      <c r="C46" s="499"/>
      <c r="D46" s="499"/>
      <c r="E46" s="499"/>
    </row>
    <row r="47" spans="1:6" x14ac:dyDescent="0.15">
      <c r="A47" s="499"/>
      <c r="B47" s="499"/>
      <c r="C47" s="499"/>
      <c r="D47" s="499"/>
      <c r="E47" s="499"/>
    </row>
    <row r="48" spans="1:6" x14ac:dyDescent="0.15">
      <c r="A48" s="499"/>
      <c r="B48" s="499"/>
      <c r="C48" s="499"/>
      <c r="D48" s="499"/>
      <c r="E48" s="499"/>
    </row>
    <row r="49" spans="1:5" x14ac:dyDescent="0.15">
      <c r="A49" s="499"/>
      <c r="B49" s="499"/>
      <c r="C49" s="499"/>
      <c r="D49" s="499"/>
      <c r="E49" s="499"/>
    </row>
    <row r="50" spans="1:5" x14ac:dyDescent="0.15">
      <c r="A50" s="499"/>
      <c r="B50" s="499"/>
      <c r="C50" s="499"/>
      <c r="D50" s="499"/>
      <c r="E50" s="499"/>
    </row>
    <row r="51" spans="1:5" x14ac:dyDescent="0.15">
      <c r="A51" s="499"/>
      <c r="B51" s="499"/>
      <c r="C51" s="499"/>
      <c r="D51" s="499"/>
      <c r="E51" s="499"/>
    </row>
    <row r="52" spans="1:5" x14ac:dyDescent="0.15">
      <c r="A52" s="499"/>
      <c r="B52" s="499"/>
      <c r="C52" s="499"/>
      <c r="D52" s="499"/>
      <c r="E52" s="499"/>
    </row>
    <row r="53" spans="1:5" x14ac:dyDescent="0.15">
      <c r="A53" s="499"/>
      <c r="B53" s="499"/>
      <c r="C53" s="499"/>
      <c r="D53" s="499"/>
      <c r="E53" s="499"/>
    </row>
    <row r="54" spans="1:5" x14ac:dyDescent="0.15">
      <c r="A54" s="499"/>
      <c r="B54" s="499"/>
      <c r="C54" s="499"/>
      <c r="D54" s="499"/>
      <c r="E54" s="499"/>
    </row>
    <row r="55" spans="1:5" x14ac:dyDescent="0.15">
      <c r="A55" s="499"/>
      <c r="B55" s="499"/>
      <c r="C55" s="499"/>
      <c r="D55" s="499"/>
      <c r="E55" s="499"/>
    </row>
    <row r="56" spans="1:5" x14ac:dyDescent="0.15">
      <c r="A56" s="499"/>
      <c r="B56" s="499"/>
      <c r="C56" s="499"/>
      <c r="D56" s="499"/>
      <c r="E56" s="499"/>
    </row>
    <row r="57" spans="1:5" x14ac:dyDescent="0.15">
      <c r="A57" s="499"/>
      <c r="B57" s="499"/>
      <c r="C57" s="499"/>
      <c r="D57" s="499"/>
      <c r="E57" s="499"/>
    </row>
    <row r="58" spans="1:5" x14ac:dyDescent="0.15">
      <c r="A58" s="499"/>
      <c r="B58" s="499"/>
      <c r="C58" s="499"/>
      <c r="D58" s="499"/>
      <c r="E58" s="499"/>
    </row>
    <row r="59" spans="1:5" x14ac:dyDescent="0.15">
      <c r="A59" s="499"/>
      <c r="B59" s="499"/>
      <c r="C59" s="499"/>
      <c r="D59" s="499"/>
      <c r="E59" s="499"/>
    </row>
    <row r="60" spans="1:5" x14ac:dyDescent="0.15">
      <c r="A60" s="499"/>
      <c r="B60" s="499"/>
      <c r="C60" s="499"/>
      <c r="D60" s="499"/>
      <c r="E60" s="499"/>
    </row>
    <row r="61" spans="1:5" x14ac:dyDescent="0.15">
      <c r="A61" s="499"/>
      <c r="B61" s="499"/>
      <c r="C61" s="499"/>
      <c r="D61" s="499"/>
      <c r="E61" s="499"/>
    </row>
    <row r="62" spans="1:5" x14ac:dyDescent="0.15">
      <c r="A62" s="499"/>
      <c r="B62" s="499"/>
      <c r="C62" s="499"/>
      <c r="D62" s="499"/>
      <c r="E62" s="499"/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</sheetPr>
  <dimension ref="A1:H25"/>
  <sheetViews>
    <sheetView zoomScale="115" zoomScaleNormal="115" workbookViewId="0">
      <selection activeCell="F15" sqref="F15"/>
    </sheetView>
  </sheetViews>
  <sheetFormatPr defaultRowHeight="16.5" x14ac:dyDescent="0.15"/>
  <cols>
    <col min="1" max="1" width="9" style="248"/>
    <col min="2" max="2" width="30.75" style="248" customWidth="1"/>
    <col min="3" max="3" width="11.625" style="248" customWidth="1"/>
    <col min="4" max="5" width="9" style="248"/>
    <col min="6" max="6" width="28.5" style="248" customWidth="1"/>
    <col min="7" max="7" width="15.375" style="248" customWidth="1"/>
    <col min="8" max="8" width="12.375" style="248" customWidth="1"/>
    <col min="9" max="16384" width="9" style="248"/>
  </cols>
  <sheetData>
    <row r="1" spans="1:8" x14ac:dyDescent="0.15">
      <c r="B1" s="317" t="s">
        <v>1703</v>
      </c>
    </row>
    <row r="2" spans="1:8" ht="28.9" customHeight="1" x14ac:dyDescent="0.15">
      <c r="A2" s="323" t="s">
        <v>1</v>
      </c>
      <c r="B2" s="323" t="s">
        <v>1519</v>
      </c>
      <c r="C2" s="323" t="s">
        <v>1600</v>
      </c>
      <c r="D2" s="323" t="s">
        <v>1043</v>
      </c>
      <c r="E2" s="276" t="s">
        <v>1044</v>
      </c>
      <c r="F2" s="276" t="s">
        <v>1520</v>
      </c>
      <c r="G2" s="318" t="s">
        <v>1703</v>
      </c>
      <c r="H2" s="50" t="s">
        <v>2832</v>
      </c>
    </row>
    <row r="3" spans="1:8" ht="16.899999999999999" customHeight="1" x14ac:dyDescent="0.15">
      <c r="A3" s="49">
        <v>1</v>
      </c>
      <c r="B3" s="357" t="s">
        <v>1156</v>
      </c>
      <c r="C3" s="242"/>
      <c r="D3" s="262">
        <v>522241</v>
      </c>
      <c r="E3" s="262">
        <v>15</v>
      </c>
      <c r="F3" s="187"/>
      <c r="G3" s="50" t="s">
        <v>1625</v>
      </c>
      <c r="H3" s="50"/>
    </row>
    <row r="4" spans="1:8" ht="29.25" customHeight="1" x14ac:dyDescent="0.15">
      <c r="A4" s="49">
        <v>2</v>
      </c>
      <c r="B4" s="357"/>
      <c r="C4" s="126" t="s">
        <v>1603</v>
      </c>
      <c r="D4" s="205">
        <v>522241</v>
      </c>
      <c r="E4" s="205">
        <v>16</v>
      </c>
      <c r="F4" s="187" t="str">
        <f>"PECU"&amp;":"&amp;"("&amp;D4&amp;","&amp;E4&amp;")"</f>
        <v>PECU:(522241,16)</v>
      </c>
      <c r="G4" s="50" t="s">
        <v>1651</v>
      </c>
      <c r="H4" s="127" t="s">
        <v>3361</v>
      </c>
    </row>
    <row r="5" spans="1:8" ht="16.899999999999999" customHeight="1" x14ac:dyDescent="0.15">
      <c r="A5" s="49">
        <v>3</v>
      </c>
      <c r="B5" s="357"/>
      <c r="C5" s="242"/>
      <c r="D5" s="205">
        <v>522241</v>
      </c>
      <c r="E5" s="205">
        <v>0</v>
      </c>
      <c r="F5" s="187"/>
      <c r="G5" s="50" t="s">
        <v>1625</v>
      </c>
      <c r="H5" s="50"/>
    </row>
    <row r="6" spans="1:8" ht="29.25" customHeight="1" x14ac:dyDescent="0.15">
      <c r="A6" s="49">
        <v>4</v>
      </c>
      <c r="B6" s="320" t="s">
        <v>1522</v>
      </c>
      <c r="C6" s="267" t="s">
        <v>1601</v>
      </c>
      <c r="D6" s="205">
        <v>522242</v>
      </c>
      <c r="E6" s="205">
        <v>5</v>
      </c>
      <c r="F6" s="187" t="str">
        <f t="shared" ref="F6:F24" si="0">"PECU"&amp;":"&amp;"("&amp;D6&amp;","&amp;E6&amp;")"</f>
        <v>PECU:(522242,5)</v>
      </c>
      <c r="G6" s="50" t="s">
        <v>1651</v>
      </c>
      <c r="H6" s="127" t="s">
        <v>3361</v>
      </c>
    </row>
    <row r="7" spans="1:8" ht="16.899999999999999" customHeight="1" x14ac:dyDescent="0.15">
      <c r="A7" s="49">
        <v>5</v>
      </c>
      <c r="B7" s="358" t="s">
        <v>1158</v>
      </c>
      <c r="C7" s="267" t="s">
        <v>1601</v>
      </c>
      <c r="D7" s="205">
        <v>522243</v>
      </c>
      <c r="E7" s="205">
        <v>5</v>
      </c>
      <c r="F7" s="187" t="str">
        <f t="shared" si="0"/>
        <v>PECU:(522243,5)</v>
      </c>
      <c r="G7" s="50" t="s">
        <v>1651</v>
      </c>
      <c r="H7" s="127" t="s">
        <v>3361</v>
      </c>
    </row>
    <row r="8" spans="1:8" ht="16.899999999999999" customHeight="1" x14ac:dyDescent="0.15">
      <c r="A8" s="49">
        <v>6</v>
      </c>
      <c r="B8" s="358"/>
      <c r="C8" s="322" t="s">
        <v>1608</v>
      </c>
      <c r="D8" s="262">
        <v>522243</v>
      </c>
      <c r="E8" s="262">
        <v>15</v>
      </c>
      <c r="F8" s="187"/>
      <c r="G8" s="50"/>
      <c r="H8" s="50"/>
    </row>
    <row r="9" spans="1:8" ht="16.899999999999999" customHeight="1" x14ac:dyDescent="0.15">
      <c r="A9" s="49">
        <v>7</v>
      </c>
      <c r="B9" s="358"/>
      <c r="C9" s="322" t="s">
        <v>1608</v>
      </c>
      <c r="D9" s="205">
        <v>522243</v>
      </c>
      <c r="E9" s="205">
        <v>16</v>
      </c>
      <c r="F9" s="187"/>
      <c r="G9" s="50"/>
      <c r="H9" s="50"/>
    </row>
    <row r="10" spans="1:8" ht="16.899999999999999" customHeight="1" x14ac:dyDescent="0.15">
      <c r="A10" s="49">
        <v>8</v>
      </c>
      <c r="B10" s="358"/>
      <c r="C10" s="322" t="s">
        <v>1608</v>
      </c>
      <c r="D10" s="205">
        <v>522243</v>
      </c>
      <c r="E10" s="205">
        <v>0</v>
      </c>
      <c r="F10" s="187"/>
      <c r="G10" s="50"/>
      <c r="H10" s="50"/>
    </row>
    <row r="11" spans="1:8" ht="16.899999999999999" customHeight="1" x14ac:dyDescent="0.15">
      <c r="A11" s="49">
        <v>9</v>
      </c>
      <c r="B11" s="358" t="s">
        <v>1523</v>
      </c>
      <c r="C11" s="321"/>
      <c r="D11" s="205">
        <v>522244</v>
      </c>
      <c r="E11" s="205">
        <v>2</v>
      </c>
      <c r="F11" s="187"/>
      <c r="G11" s="50" t="s">
        <v>1625</v>
      </c>
      <c r="H11" s="50"/>
    </row>
    <row r="12" spans="1:8" ht="16.899999999999999" customHeight="1" x14ac:dyDescent="0.15">
      <c r="A12" s="49">
        <v>10</v>
      </c>
      <c r="B12" s="358"/>
      <c r="C12" s="126" t="s">
        <v>1603</v>
      </c>
      <c r="D12" s="205">
        <v>522244</v>
      </c>
      <c r="E12" s="205">
        <v>5</v>
      </c>
      <c r="F12" s="187" t="str">
        <f t="shared" si="0"/>
        <v>PECU:(522244,5)</v>
      </c>
      <c r="G12" s="50" t="s">
        <v>1625</v>
      </c>
      <c r="H12" s="127" t="s">
        <v>3361</v>
      </c>
    </row>
    <row r="13" spans="1:8" ht="16.899999999999999" customHeight="1" x14ac:dyDescent="0.15">
      <c r="A13" s="49">
        <v>11</v>
      </c>
      <c r="B13" s="358"/>
      <c r="C13" s="321"/>
      <c r="D13" s="205">
        <v>522244</v>
      </c>
      <c r="E13" s="205">
        <v>6</v>
      </c>
      <c r="F13" s="187"/>
      <c r="G13" s="50" t="s">
        <v>1625</v>
      </c>
      <c r="H13" s="50"/>
    </row>
    <row r="14" spans="1:8" ht="16.899999999999999" customHeight="1" x14ac:dyDescent="0.15">
      <c r="A14" s="49">
        <v>12</v>
      </c>
      <c r="B14" s="321" t="s">
        <v>3360</v>
      </c>
      <c r="C14" s="267" t="s">
        <v>1601</v>
      </c>
      <c r="D14" s="257">
        <v>522245</v>
      </c>
      <c r="E14" s="257">
        <v>9</v>
      </c>
      <c r="F14" s="187" t="str">
        <f t="shared" si="0"/>
        <v>PECU:(522245,9)</v>
      </c>
      <c r="G14" s="50" t="s">
        <v>1651</v>
      </c>
      <c r="H14" s="127" t="s">
        <v>3361</v>
      </c>
    </row>
    <row r="15" spans="1:8" ht="16.899999999999999" customHeight="1" x14ac:dyDescent="0.15">
      <c r="A15" s="49">
        <v>13</v>
      </c>
      <c r="B15" s="320" t="s">
        <v>1524</v>
      </c>
      <c r="C15" s="320"/>
      <c r="D15" s="205">
        <v>522239</v>
      </c>
      <c r="E15" s="205">
        <v>12</v>
      </c>
      <c r="F15" s="187"/>
      <c r="G15" s="50" t="s">
        <v>1625</v>
      </c>
      <c r="H15" s="50"/>
    </row>
    <row r="16" spans="1:8" ht="16.899999999999999" customHeight="1" x14ac:dyDescent="0.15">
      <c r="A16" s="49">
        <v>14</v>
      </c>
      <c r="B16" s="320" t="s">
        <v>1525</v>
      </c>
      <c r="C16" s="320"/>
      <c r="D16" s="205">
        <v>522238</v>
      </c>
      <c r="E16" s="205">
        <v>13</v>
      </c>
      <c r="F16" s="187"/>
      <c r="G16" s="50" t="s">
        <v>1625</v>
      </c>
      <c r="H16" s="50"/>
    </row>
    <row r="17" spans="1:8" ht="16.899999999999999" customHeight="1" x14ac:dyDescent="0.15">
      <c r="A17" s="49">
        <v>15</v>
      </c>
      <c r="B17" s="320" t="s">
        <v>1526</v>
      </c>
      <c r="C17" s="320"/>
      <c r="D17" s="205">
        <v>522237</v>
      </c>
      <c r="E17" s="205">
        <v>12</v>
      </c>
      <c r="F17" s="187"/>
      <c r="G17" s="50" t="s">
        <v>1625</v>
      </c>
      <c r="H17" s="50"/>
    </row>
    <row r="18" spans="1:8" ht="16.899999999999999" customHeight="1" x14ac:dyDescent="0.15">
      <c r="A18" s="49">
        <v>16</v>
      </c>
      <c r="B18" s="320" t="s">
        <v>1527</v>
      </c>
      <c r="C18" s="320"/>
      <c r="D18" s="205">
        <v>522235</v>
      </c>
      <c r="E18" s="205">
        <v>12</v>
      </c>
      <c r="F18" s="187"/>
      <c r="G18" s="50" t="s">
        <v>1625</v>
      </c>
      <c r="H18" s="50"/>
    </row>
    <row r="19" spans="1:8" ht="16.899999999999999" customHeight="1" x14ac:dyDescent="0.15">
      <c r="A19" s="49">
        <v>17</v>
      </c>
      <c r="B19" s="320" t="s">
        <v>1528</v>
      </c>
      <c r="C19" s="320"/>
      <c r="D19" s="205">
        <v>522234</v>
      </c>
      <c r="E19" s="205">
        <v>7</v>
      </c>
      <c r="F19" s="187"/>
      <c r="G19" s="50" t="s">
        <v>1625</v>
      </c>
      <c r="H19" s="50"/>
    </row>
    <row r="20" spans="1:8" ht="16.899999999999999" customHeight="1" x14ac:dyDescent="0.15">
      <c r="A20" s="49">
        <v>18</v>
      </c>
      <c r="B20" s="320" t="s">
        <v>1529</v>
      </c>
      <c r="C20" s="320"/>
      <c r="D20" s="205">
        <v>522233</v>
      </c>
      <c r="E20" s="205">
        <v>7</v>
      </c>
      <c r="F20" s="187"/>
      <c r="G20" s="50" t="s">
        <v>1625</v>
      </c>
      <c r="H20" s="50"/>
    </row>
    <row r="21" spans="1:8" ht="16.899999999999999" customHeight="1" x14ac:dyDescent="0.15">
      <c r="A21" s="49">
        <v>19</v>
      </c>
      <c r="B21" s="242" t="s">
        <v>1530</v>
      </c>
      <c r="C21" s="125"/>
      <c r="D21" s="205">
        <v>522232</v>
      </c>
      <c r="E21" s="205">
        <v>23</v>
      </c>
      <c r="F21" s="187"/>
      <c r="G21" s="50" t="s">
        <v>1625</v>
      </c>
      <c r="H21" s="50"/>
    </row>
    <row r="22" spans="1:8" x14ac:dyDescent="0.15">
      <c r="A22" s="49">
        <v>20</v>
      </c>
      <c r="B22" s="242" t="s">
        <v>1624</v>
      </c>
      <c r="C22" s="319" t="s">
        <v>1603</v>
      </c>
      <c r="D22" s="205">
        <v>522240</v>
      </c>
      <c r="E22" s="205">
        <v>5</v>
      </c>
      <c r="F22" s="187" t="str">
        <f t="shared" si="0"/>
        <v>PECU:(522240,5)</v>
      </c>
      <c r="G22" s="50" t="s">
        <v>1651</v>
      </c>
      <c r="H22" s="127" t="s">
        <v>3361</v>
      </c>
    </row>
    <row r="23" spans="1:8" x14ac:dyDescent="0.15">
      <c r="A23" s="49">
        <v>21</v>
      </c>
      <c r="B23" s="242" t="s">
        <v>1623</v>
      </c>
      <c r="C23" s="319" t="s">
        <v>1603</v>
      </c>
      <c r="D23" s="205">
        <v>522240</v>
      </c>
      <c r="E23" s="205">
        <v>12</v>
      </c>
      <c r="F23" s="187"/>
      <c r="G23" s="50" t="s">
        <v>1651</v>
      </c>
      <c r="H23" s="50"/>
    </row>
    <row r="24" spans="1:8" x14ac:dyDescent="0.15">
      <c r="A24" s="49">
        <v>22</v>
      </c>
      <c r="B24" s="242" t="s">
        <v>1156</v>
      </c>
      <c r="C24" s="267" t="s">
        <v>1601</v>
      </c>
      <c r="D24" s="205">
        <v>522244</v>
      </c>
      <c r="E24" s="205">
        <v>0</v>
      </c>
      <c r="F24" s="187" t="str">
        <f t="shared" si="0"/>
        <v>PECU:(522244,0)</v>
      </c>
      <c r="G24" s="50" t="s">
        <v>1651</v>
      </c>
      <c r="H24" s="127" t="s">
        <v>3361</v>
      </c>
    </row>
    <row r="25" spans="1:8" x14ac:dyDescent="0.15">
      <c r="A25" s="49">
        <v>23</v>
      </c>
      <c r="B25" s="242" t="s">
        <v>1626</v>
      </c>
      <c r="C25" s="319" t="s">
        <v>1603</v>
      </c>
      <c r="D25" s="205">
        <v>522244</v>
      </c>
      <c r="E25" s="205">
        <v>5</v>
      </c>
      <c r="F25" s="187"/>
      <c r="G25" s="50" t="s">
        <v>1651</v>
      </c>
      <c r="H25" s="50"/>
    </row>
  </sheetData>
  <mergeCells count="3">
    <mergeCell ref="B3:B5"/>
    <mergeCell ref="B7:B10"/>
    <mergeCell ref="B11:B13"/>
  </mergeCells>
  <phoneticPr fontId="6" type="noConversion"/>
  <hyperlinks>
    <hyperlink ref="G2" location="'控制器源地址&amp;跳转页面'!A1" display="返回目录" xr:uid="{533583EA-305E-45F7-A4DB-B6AEC359B16A}"/>
    <hyperlink ref="B1" location="'控制器源地址&amp;跳转页面'!A1" display="返回目录" xr:uid="{D1E28AAE-ECE5-4983-9C7E-48F1F1B0E34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G13"/>
  <sheetViews>
    <sheetView zoomScale="115" zoomScaleNormal="115" workbookViewId="0">
      <selection activeCell="F3" sqref="F3"/>
    </sheetView>
  </sheetViews>
  <sheetFormatPr defaultRowHeight="13.5" x14ac:dyDescent="0.15"/>
  <cols>
    <col min="5" max="5" width="20.75" customWidth="1"/>
    <col min="6" max="6" width="24.75" customWidth="1"/>
    <col min="7" max="7" width="16.5" customWidth="1"/>
  </cols>
  <sheetData>
    <row r="1" spans="1:7" ht="19.899999999999999" customHeight="1" x14ac:dyDescent="0.15">
      <c r="A1" s="359" t="s">
        <v>1707</v>
      </c>
      <c r="B1" s="359"/>
      <c r="C1" s="359"/>
      <c r="D1" s="359"/>
      <c r="E1" s="359"/>
      <c r="F1" s="359"/>
      <c r="G1" s="74" t="s">
        <v>1703</v>
      </c>
    </row>
    <row r="2" spans="1:7" ht="24" customHeight="1" x14ac:dyDescent="0.15">
      <c r="A2" s="129" t="s">
        <v>0</v>
      </c>
      <c r="B2" s="129" t="s">
        <v>1600</v>
      </c>
      <c r="C2" s="129" t="s">
        <v>1536</v>
      </c>
      <c r="D2" s="130" t="s">
        <v>1537</v>
      </c>
      <c r="E2" s="180" t="s">
        <v>1265</v>
      </c>
      <c r="F2" s="131" t="s">
        <v>1038</v>
      </c>
    </row>
    <row r="3" spans="1:7" ht="16.5" x14ac:dyDescent="0.15">
      <c r="A3" s="129">
        <v>1</v>
      </c>
      <c r="B3" s="178" t="s">
        <v>1603</v>
      </c>
      <c r="C3" s="49">
        <v>9691</v>
      </c>
      <c r="D3" s="49">
        <v>12</v>
      </c>
      <c r="E3" s="50" t="s">
        <v>3345</v>
      </c>
      <c r="F3" s="187" t="str">
        <f>"FTS"&amp;":"&amp;"("&amp;C3&amp;","&amp;D3&amp;")"</f>
        <v>FTS:(9691,12)</v>
      </c>
    </row>
    <row r="4" spans="1:7" ht="16.5" x14ac:dyDescent="0.15">
      <c r="A4" s="129">
        <v>2</v>
      </c>
      <c r="B4" s="178" t="s">
        <v>1603</v>
      </c>
      <c r="C4" s="49">
        <v>12838</v>
      </c>
      <c r="D4" s="49">
        <v>12</v>
      </c>
      <c r="E4" s="50" t="s">
        <v>3346</v>
      </c>
      <c r="F4" s="187" t="str">
        <f t="shared" ref="F4:F13" si="0">"FTS"&amp;":"&amp;"("&amp;C4&amp;","&amp;D4&amp;")"</f>
        <v>FTS:(12838,12)</v>
      </c>
    </row>
    <row r="5" spans="1:7" ht="16.5" x14ac:dyDescent="0.15">
      <c r="A5" s="129">
        <v>3</v>
      </c>
      <c r="B5" s="178" t="s">
        <v>1603</v>
      </c>
      <c r="C5" s="49">
        <v>12839</v>
      </c>
      <c r="D5" s="49">
        <v>12</v>
      </c>
      <c r="E5" s="50" t="s">
        <v>3347</v>
      </c>
      <c r="F5" s="187" t="str">
        <f t="shared" si="0"/>
        <v>FTS:(12839,12)</v>
      </c>
    </row>
    <row r="6" spans="1:7" ht="16.5" x14ac:dyDescent="0.15">
      <c r="A6" s="129">
        <v>4</v>
      </c>
      <c r="B6" s="178" t="s">
        <v>1603</v>
      </c>
      <c r="C6" s="49">
        <v>12840</v>
      </c>
      <c r="D6" s="49">
        <v>12</v>
      </c>
      <c r="E6" s="50" t="s">
        <v>3348</v>
      </c>
      <c r="F6" s="187" t="str">
        <f t="shared" si="0"/>
        <v>FTS:(12840,12)</v>
      </c>
    </row>
    <row r="7" spans="1:7" ht="16.5" x14ac:dyDescent="0.15">
      <c r="A7" s="129">
        <v>5</v>
      </c>
      <c r="B7" s="178" t="s">
        <v>1603</v>
      </c>
      <c r="C7" s="49">
        <v>12841</v>
      </c>
      <c r="D7" s="49">
        <v>12</v>
      </c>
      <c r="E7" s="50" t="s">
        <v>3349</v>
      </c>
      <c r="F7" s="187" t="str">
        <f t="shared" si="0"/>
        <v>FTS:(12841,12)</v>
      </c>
    </row>
    <row r="8" spans="1:7" ht="16.5" x14ac:dyDescent="0.15">
      <c r="A8" s="129">
        <v>6</v>
      </c>
      <c r="B8" s="178" t="s">
        <v>1603</v>
      </c>
      <c r="C8" s="49">
        <v>12836</v>
      </c>
      <c r="D8" s="49">
        <v>12</v>
      </c>
      <c r="E8" s="50" t="s">
        <v>3350</v>
      </c>
      <c r="F8" s="187" t="str">
        <f t="shared" si="0"/>
        <v>FTS:(12836,12)</v>
      </c>
    </row>
    <row r="9" spans="1:7" ht="16.5" x14ac:dyDescent="0.15">
      <c r="A9" s="129">
        <v>7</v>
      </c>
      <c r="B9" s="178" t="s">
        <v>1638</v>
      </c>
      <c r="C9" s="49">
        <v>12837</v>
      </c>
      <c r="D9" s="49">
        <v>12</v>
      </c>
      <c r="E9" s="50" t="s">
        <v>3351</v>
      </c>
      <c r="F9" s="187" t="str">
        <f t="shared" si="0"/>
        <v>FTS:(12837,12)</v>
      </c>
    </row>
    <row r="10" spans="1:7" ht="16.5" x14ac:dyDescent="0.15">
      <c r="A10" s="129">
        <v>8</v>
      </c>
      <c r="B10" s="178" t="s">
        <v>1603</v>
      </c>
      <c r="C10" s="49">
        <v>12836</v>
      </c>
      <c r="D10" s="49">
        <v>5</v>
      </c>
      <c r="E10" s="50" t="s">
        <v>1262</v>
      </c>
      <c r="F10" s="187" t="str">
        <f t="shared" si="0"/>
        <v>FTS:(12836,5)</v>
      </c>
    </row>
    <row r="11" spans="1:7" ht="16.5" x14ac:dyDescent="0.15">
      <c r="A11" s="129">
        <v>9</v>
      </c>
      <c r="B11" s="178" t="s">
        <v>1603</v>
      </c>
      <c r="C11" s="49">
        <v>12837</v>
      </c>
      <c r="D11" s="49">
        <v>5</v>
      </c>
      <c r="E11" s="50" t="s">
        <v>1263</v>
      </c>
      <c r="F11" s="187" t="str">
        <f t="shared" si="0"/>
        <v>FTS:(12837,5)</v>
      </c>
    </row>
    <row r="12" spans="1:7" ht="16.5" x14ac:dyDescent="0.15">
      <c r="A12" s="129">
        <v>10</v>
      </c>
      <c r="B12" s="178" t="s">
        <v>1603</v>
      </c>
      <c r="C12" s="49">
        <v>2430</v>
      </c>
      <c r="D12" s="49">
        <v>12</v>
      </c>
      <c r="E12" s="50" t="s">
        <v>3352</v>
      </c>
      <c r="F12" s="286" t="s">
        <v>3353</v>
      </c>
    </row>
    <row r="13" spans="1:7" ht="16.5" x14ac:dyDescent="0.15">
      <c r="A13" s="129">
        <v>11</v>
      </c>
      <c r="B13" s="178" t="s">
        <v>1603</v>
      </c>
      <c r="C13" s="49">
        <v>639</v>
      </c>
      <c r="D13" s="49">
        <v>23</v>
      </c>
      <c r="E13" s="50" t="s">
        <v>3020</v>
      </c>
      <c r="F13" s="187" t="str">
        <f t="shared" si="0"/>
        <v>FTS:(639,23)</v>
      </c>
    </row>
  </sheetData>
  <mergeCells count="1">
    <mergeCell ref="A1:F1"/>
  </mergeCells>
  <phoneticPr fontId="6" type="noConversion"/>
  <hyperlinks>
    <hyperlink ref="G1" location="'控制器源地址&amp;跳转页面'!A1" display="返回目录" xr:uid="{3CD96023-3B17-417C-A79D-0C61370F779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6E60-F6F6-4131-A419-4C381201BBC2}">
  <dimension ref="A1:G28"/>
  <sheetViews>
    <sheetView workbookViewId="0">
      <selection activeCell="G34" sqref="G34"/>
    </sheetView>
  </sheetViews>
  <sheetFormatPr defaultRowHeight="13.5" x14ac:dyDescent="0.15"/>
  <cols>
    <col min="1" max="1" width="9.375" customWidth="1"/>
    <col min="5" max="5" width="42.375" customWidth="1"/>
    <col min="6" max="6" width="31.75" customWidth="1"/>
    <col min="7" max="7" width="20" customWidth="1"/>
  </cols>
  <sheetData>
    <row r="1" spans="1:7" x14ac:dyDescent="0.15">
      <c r="A1" s="74" t="s">
        <v>1703</v>
      </c>
    </row>
    <row r="2" spans="1:7" ht="16.5" x14ac:dyDescent="0.15">
      <c r="A2" s="102" t="s">
        <v>0</v>
      </c>
      <c r="B2" s="102" t="s">
        <v>1600</v>
      </c>
      <c r="C2" s="102" t="s">
        <v>1043</v>
      </c>
      <c r="D2" s="102" t="s">
        <v>1044</v>
      </c>
      <c r="E2" s="103" t="s">
        <v>1265</v>
      </c>
      <c r="F2" s="104" t="s">
        <v>1102</v>
      </c>
      <c r="G2" s="105" t="s">
        <v>2752</v>
      </c>
    </row>
    <row r="3" spans="1:7" ht="16.5" x14ac:dyDescent="0.15">
      <c r="A3" s="102">
        <v>1</v>
      </c>
      <c r="B3" s="106" t="s">
        <v>2758</v>
      </c>
      <c r="C3" s="107">
        <v>520192</v>
      </c>
      <c r="D3" s="107">
        <v>12</v>
      </c>
      <c r="E3" s="108" t="s">
        <v>2728</v>
      </c>
      <c r="F3" s="100" t="str">
        <f>"EHPS：("&amp;C3&amp;","&amp;D3&amp;"）"</f>
        <v>EHPS：(520192,12）</v>
      </c>
      <c r="G3" s="360" t="s">
        <v>2764</v>
      </c>
    </row>
    <row r="4" spans="1:7" ht="16.5" x14ac:dyDescent="0.15">
      <c r="A4" s="102">
        <v>2</v>
      </c>
      <c r="B4" s="106" t="s">
        <v>2758</v>
      </c>
      <c r="C4" s="107">
        <v>520234</v>
      </c>
      <c r="D4" s="107">
        <v>31</v>
      </c>
      <c r="E4" s="108" t="s">
        <v>2729</v>
      </c>
      <c r="F4" s="100" t="str">
        <f>"EHPS：("&amp;C4&amp;","&amp;D4&amp;"）"</f>
        <v>EHPS：(520234,31）</v>
      </c>
      <c r="G4" s="361"/>
    </row>
    <row r="5" spans="1:7" ht="16.5" x14ac:dyDescent="0.15">
      <c r="A5" s="115">
        <v>3</v>
      </c>
      <c r="B5" s="116" t="s">
        <v>2759</v>
      </c>
      <c r="C5" s="117">
        <v>520235</v>
      </c>
      <c r="D5" s="117">
        <v>31</v>
      </c>
      <c r="E5" s="118" t="s">
        <v>2730</v>
      </c>
      <c r="F5" s="118" t="s">
        <v>2756</v>
      </c>
      <c r="G5" s="361"/>
    </row>
    <row r="6" spans="1:7" ht="16.5" x14ac:dyDescent="0.15">
      <c r="A6" s="102">
        <v>4</v>
      </c>
      <c r="B6" s="106" t="s">
        <v>2758</v>
      </c>
      <c r="C6" s="107">
        <v>520196</v>
      </c>
      <c r="D6" s="107">
        <v>31</v>
      </c>
      <c r="E6" s="108" t="s">
        <v>2731</v>
      </c>
      <c r="F6" s="100" t="str">
        <f>"EHPS：("&amp;C6&amp;","&amp;D6&amp;"）"</f>
        <v>EHPS：(520196,31）</v>
      </c>
      <c r="G6" s="361"/>
    </row>
    <row r="7" spans="1:7" ht="16.5" x14ac:dyDescent="0.15">
      <c r="A7" s="102">
        <v>5</v>
      </c>
      <c r="B7" s="106" t="s">
        <v>2758</v>
      </c>
      <c r="C7" s="107">
        <v>520202</v>
      </c>
      <c r="D7" s="107">
        <v>31</v>
      </c>
      <c r="E7" s="108" t="s">
        <v>2732</v>
      </c>
      <c r="F7" s="100" t="str">
        <f t="shared" ref="F7:F8" si="0">"EHPS：("&amp;C7&amp;","&amp;D7&amp;"）"</f>
        <v>EHPS：(520202,31）</v>
      </c>
      <c r="G7" s="361"/>
    </row>
    <row r="8" spans="1:7" ht="16.5" x14ac:dyDescent="0.15">
      <c r="A8" s="102">
        <v>6</v>
      </c>
      <c r="B8" s="106" t="s">
        <v>2758</v>
      </c>
      <c r="C8" s="107">
        <v>520236</v>
      </c>
      <c r="D8" s="107">
        <v>2</v>
      </c>
      <c r="E8" s="108" t="s">
        <v>2733</v>
      </c>
      <c r="F8" s="100" t="str">
        <f t="shared" si="0"/>
        <v>EHPS：(520236,2）</v>
      </c>
      <c r="G8" s="361"/>
    </row>
    <row r="9" spans="1:7" ht="16.5" x14ac:dyDescent="0.15">
      <c r="A9" s="115">
        <v>7</v>
      </c>
      <c r="B9" s="116" t="s">
        <v>2759</v>
      </c>
      <c r="C9" s="117">
        <v>520237</v>
      </c>
      <c r="D9" s="117">
        <v>2</v>
      </c>
      <c r="E9" s="118" t="s">
        <v>2734</v>
      </c>
      <c r="F9" s="118" t="s">
        <v>2756</v>
      </c>
      <c r="G9" s="361"/>
    </row>
    <row r="10" spans="1:7" ht="16.5" x14ac:dyDescent="0.15">
      <c r="A10" s="102">
        <v>8</v>
      </c>
      <c r="B10" s="106" t="s">
        <v>2758</v>
      </c>
      <c r="C10" s="107">
        <v>520238</v>
      </c>
      <c r="D10" s="107">
        <v>31</v>
      </c>
      <c r="E10" s="108" t="s">
        <v>2735</v>
      </c>
      <c r="F10" s="100" t="str">
        <f>"EHPS：("&amp;C10&amp;","&amp;D10&amp;"）"</f>
        <v>EHPS：(520238,31）</v>
      </c>
      <c r="G10" s="361"/>
    </row>
    <row r="11" spans="1:7" ht="16.5" x14ac:dyDescent="0.15">
      <c r="A11" s="102">
        <v>9</v>
      </c>
      <c r="B11" s="106" t="s">
        <v>2758</v>
      </c>
      <c r="C11" s="107">
        <v>520208</v>
      </c>
      <c r="D11" s="107">
        <v>13</v>
      </c>
      <c r="E11" s="108" t="s">
        <v>2736</v>
      </c>
      <c r="F11" s="100" t="s">
        <v>2757</v>
      </c>
      <c r="G11" s="361"/>
    </row>
    <row r="12" spans="1:7" ht="16.5" x14ac:dyDescent="0.15">
      <c r="A12" s="115">
        <v>10</v>
      </c>
      <c r="B12" s="116" t="s">
        <v>2760</v>
      </c>
      <c r="C12" s="117">
        <v>520239</v>
      </c>
      <c r="D12" s="117">
        <v>2</v>
      </c>
      <c r="E12" s="118" t="s">
        <v>2737</v>
      </c>
      <c r="F12" s="118" t="s">
        <v>2756</v>
      </c>
      <c r="G12" s="361"/>
    </row>
    <row r="13" spans="1:7" ht="16.5" x14ac:dyDescent="0.15">
      <c r="A13" s="102">
        <v>11</v>
      </c>
      <c r="B13" s="106" t="s">
        <v>2758</v>
      </c>
      <c r="C13" s="107">
        <v>520210</v>
      </c>
      <c r="D13" s="107">
        <v>31</v>
      </c>
      <c r="E13" s="108" t="s">
        <v>2738</v>
      </c>
      <c r="F13" s="100" t="str">
        <f>"EHPS：("&amp;C13&amp;","&amp;D13&amp;"）"</f>
        <v>EHPS：(520210,31）</v>
      </c>
      <c r="G13" s="361"/>
    </row>
    <row r="14" spans="1:7" ht="16.5" x14ac:dyDescent="0.15">
      <c r="A14" s="102">
        <v>12</v>
      </c>
      <c r="B14" s="106" t="s">
        <v>2758</v>
      </c>
      <c r="C14" s="107">
        <v>168</v>
      </c>
      <c r="D14" s="107">
        <v>0</v>
      </c>
      <c r="E14" s="108" t="s">
        <v>2739</v>
      </c>
      <c r="F14" s="100" t="str">
        <f t="shared" ref="F14:F15" si="1">"EHPS：("&amp;C14&amp;","&amp;D14&amp;"）"</f>
        <v>EHPS：(168,0）</v>
      </c>
      <c r="G14" s="361"/>
    </row>
    <row r="15" spans="1:7" ht="16.5" x14ac:dyDescent="0.15">
      <c r="A15" s="102">
        <v>13</v>
      </c>
      <c r="B15" s="106" t="s">
        <v>2758</v>
      </c>
      <c r="C15" s="107">
        <v>168</v>
      </c>
      <c r="D15" s="107">
        <v>1</v>
      </c>
      <c r="E15" s="108" t="s">
        <v>2740</v>
      </c>
      <c r="F15" s="100" t="str">
        <f t="shared" si="1"/>
        <v>EHPS：(168,1）</v>
      </c>
      <c r="G15" s="361"/>
    </row>
    <row r="16" spans="1:7" ht="16.5" x14ac:dyDescent="0.15">
      <c r="A16" s="115">
        <v>14</v>
      </c>
      <c r="B16" s="116" t="s">
        <v>2759</v>
      </c>
      <c r="C16" s="117">
        <v>168</v>
      </c>
      <c r="D16" s="117">
        <v>15</v>
      </c>
      <c r="E16" s="118" t="s">
        <v>2741</v>
      </c>
      <c r="F16" s="118" t="s">
        <v>2756</v>
      </c>
      <c r="G16" s="361"/>
    </row>
    <row r="17" spans="1:7" ht="16.5" x14ac:dyDescent="0.15">
      <c r="A17" s="115">
        <v>15</v>
      </c>
      <c r="B17" s="116" t="s">
        <v>2759</v>
      </c>
      <c r="C17" s="117">
        <v>168</v>
      </c>
      <c r="D17" s="117">
        <v>17</v>
      </c>
      <c r="E17" s="118" t="s">
        <v>2742</v>
      </c>
      <c r="F17" s="118" t="s">
        <v>2756</v>
      </c>
      <c r="G17" s="361"/>
    </row>
    <row r="18" spans="1:7" ht="16.5" x14ac:dyDescent="0.15">
      <c r="A18" s="102">
        <v>16</v>
      </c>
      <c r="B18" s="106" t="s">
        <v>2758</v>
      </c>
      <c r="C18" s="107">
        <v>520240</v>
      </c>
      <c r="D18" s="107">
        <v>2</v>
      </c>
      <c r="E18" s="108" t="s">
        <v>2743</v>
      </c>
      <c r="F18" s="100" t="str">
        <f>"EHPS：("&amp;C18&amp;","&amp;D18&amp;"）"</f>
        <v>EHPS：(520240,2）</v>
      </c>
      <c r="G18" s="361"/>
    </row>
    <row r="19" spans="1:7" ht="16.5" x14ac:dyDescent="0.15">
      <c r="A19" s="102">
        <v>17</v>
      </c>
      <c r="B19" s="106" t="s">
        <v>2758</v>
      </c>
      <c r="C19" s="107">
        <v>520241</v>
      </c>
      <c r="D19" s="107">
        <v>12</v>
      </c>
      <c r="E19" s="108" t="s">
        <v>2744</v>
      </c>
      <c r="F19" s="100" t="str">
        <f>"EHPS：("&amp;C19&amp;","&amp;D19&amp;"）"</f>
        <v>EHPS：(520241,12）</v>
      </c>
      <c r="G19" s="361"/>
    </row>
    <row r="20" spans="1:7" ht="16.5" x14ac:dyDescent="0.15">
      <c r="A20" s="115">
        <v>18</v>
      </c>
      <c r="B20" s="116" t="s">
        <v>2760</v>
      </c>
      <c r="C20" s="117">
        <v>1624</v>
      </c>
      <c r="D20" s="117">
        <v>9</v>
      </c>
      <c r="E20" s="118" t="s">
        <v>2745</v>
      </c>
      <c r="F20" s="118" t="s">
        <v>2756</v>
      </c>
      <c r="G20" s="361"/>
    </row>
    <row r="21" spans="1:7" ht="16.5" x14ac:dyDescent="0.15">
      <c r="A21" s="115">
        <v>19</v>
      </c>
      <c r="B21" s="116" t="s">
        <v>2760</v>
      </c>
      <c r="C21" s="117">
        <v>1624</v>
      </c>
      <c r="D21" s="117">
        <v>19</v>
      </c>
      <c r="E21" s="118" t="s">
        <v>2746</v>
      </c>
      <c r="F21" s="118" t="s">
        <v>2756</v>
      </c>
      <c r="G21" s="361"/>
    </row>
    <row r="22" spans="1:7" ht="16.5" x14ac:dyDescent="0.15">
      <c r="A22" s="115">
        <v>20</v>
      </c>
      <c r="B22" s="116" t="s">
        <v>2760</v>
      </c>
      <c r="C22" s="117">
        <v>190</v>
      </c>
      <c r="D22" s="117">
        <v>9</v>
      </c>
      <c r="E22" s="118" t="s">
        <v>2747</v>
      </c>
      <c r="F22" s="118" t="s">
        <v>2756</v>
      </c>
      <c r="G22" s="361"/>
    </row>
    <row r="23" spans="1:7" ht="16.5" x14ac:dyDescent="0.15">
      <c r="A23" s="115">
        <v>21</v>
      </c>
      <c r="B23" s="116" t="s">
        <v>2760</v>
      </c>
      <c r="C23" s="117">
        <v>190</v>
      </c>
      <c r="D23" s="117">
        <v>19</v>
      </c>
      <c r="E23" s="118" t="s">
        <v>2748</v>
      </c>
      <c r="F23" s="118" t="s">
        <v>2756</v>
      </c>
      <c r="G23" s="361"/>
    </row>
    <row r="24" spans="1:7" ht="16.5" x14ac:dyDescent="0.15">
      <c r="A24" s="115">
        <v>22</v>
      </c>
      <c r="B24" s="116" t="s">
        <v>2760</v>
      </c>
      <c r="C24" s="117">
        <v>917</v>
      </c>
      <c r="D24" s="117">
        <v>9</v>
      </c>
      <c r="E24" s="118" t="s">
        <v>2749</v>
      </c>
      <c r="F24" s="118" t="s">
        <v>2756</v>
      </c>
      <c r="G24" s="361"/>
    </row>
    <row r="25" spans="1:7" ht="16.5" x14ac:dyDescent="0.15">
      <c r="A25" s="115">
        <v>23</v>
      </c>
      <c r="B25" s="116" t="s">
        <v>2760</v>
      </c>
      <c r="C25" s="117">
        <v>917</v>
      </c>
      <c r="D25" s="117">
        <v>19</v>
      </c>
      <c r="E25" s="118" t="s">
        <v>2750</v>
      </c>
      <c r="F25" s="118" t="s">
        <v>2756</v>
      </c>
      <c r="G25" s="361"/>
    </row>
    <row r="26" spans="1:7" ht="16.5" x14ac:dyDescent="0.3">
      <c r="A26" s="102">
        <v>24</v>
      </c>
      <c r="B26" s="106" t="s">
        <v>2758</v>
      </c>
      <c r="C26" s="109">
        <v>5585</v>
      </c>
      <c r="D26" s="109">
        <v>9</v>
      </c>
      <c r="E26" s="110" t="s">
        <v>2753</v>
      </c>
      <c r="F26" s="100" t="str">
        <f>"EHPS：("&amp;C26&amp;","&amp;D26&amp;"）"</f>
        <v>EHPS：(5585,9）</v>
      </c>
      <c r="G26" s="361"/>
    </row>
    <row r="27" spans="1:7" ht="16.5" x14ac:dyDescent="0.3">
      <c r="A27" s="102">
        <v>25</v>
      </c>
      <c r="B27" s="106" t="s">
        <v>2758</v>
      </c>
      <c r="C27" s="109">
        <v>5585</v>
      </c>
      <c r="D27" s="109">
        <v>19</v>
      </c>
      <c r="E27" s="110" t="s">
        <v>2754</v>
      </c>
      <c r="F27" s="100" t="str">
        <f t="shared" ref="F27:F28" si="2">"EHPS：("&amp;C27&amp;","&amp;D27&amp;"）"</f>
        <v>EHPS：(5585,19）</v>
      </c>
      <c r="G27" s="361"/>
    </row>
    <row r="28" spans="1:7" ht="16.5" x14ac:dyDescent="0.3">
      <c r="A28" s="102">
        <v>26</v>
      </c>
      <c r="B28" s="106" t="s">
        <v>2758</v>
      </c>
      <c r="C28" s="109">
        <v>454656</v>
      </c>
      <c r="D28" s="109">
        <v>30</v>
      </c>
      <c r="E28" s="110" t="s">
        <v>2755</v>
      </c>
      <c r="F28" s="100" t="str">
        <f t="shared" si="2"/>
        <v>EHPS：(454656,30）</v>
      </c>
      <c r="G28" s="362"/>
    </row>
  </sheetData>
  <mergeCells count="1">
    <mergeCell ref="G3:G28"/>
  </mergeCells>
  <phoneticPr fontId="6" type="noConversion"/>
  <hyperlinks>
    <hyperlink ref="A1" location="'控制器源地址&amp;跳转页面'!A1" display="返回目录" xr:uid="{641C3EB0-185C-4128-BB3A-F8CEF6901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版本记录</vt:lpstr>
      <vt:lpstr>控制器源地址&amp;跳转页面</vt:lpstr>
      <vt:lpstr>屏蔽故障码列表</vt:lpstr>
      <vt:lpstr>HCU故障代码31, D0-PCAN</vt:lpstr>
      <vt:lpstr>热管理温控集成机组(TMS)82-PCAN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 EF_PCAN</vt:lpstr>
      <vt:lpstr>空压机（ACU）故障代码表30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KNORR&amp;科密瑞立(KB)EPB 合并（50) PCAN</vt:lpstr>
      <vt:lpstr>Knorr  ECAS（2F）BCAN</vt:lpstr>
      <vt:lpstr>瑞立ECAS（2F）</vt:lpstr>
      <vt:lpstr>换电系统（0xDB）</vt:lpstr>
      <vt:lpstr>燃料电池冷却系统(FTS)8F-PCAN</vt:lpstr>
      <vt:lpstr>电液转向机（13）PCAN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上官彤(DFCV东风商用车技术中心电控开发部EEA及整车电控开发室)</cp:lastModifiedBy>
  <dcterms:created xsi:type="dcterms:W3CDTF">2018-01-16T06:21:57Z</dcterms:created>
  <dcterms:modified xsi:type="dcterms:W3CDTF">2024-08-20T07:04:21Z</dcterms:modified>
</cp:coreProperties>
</file>