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45" tabRatio="816" firstSheet="29" activeTab="36"/>
  </bookViews>
  <sheets>
    <sheet name="版本记录" sheetId="13" r:id="rId1"/>
    <sheet name="控制器源地址&amp;跳转页面" sheetId="41" r:id="rId2"/>
    <sheet name="屏蔽故障码列表" sheetId="15" r:id="rId3"/>
    <sheet name="HCU故障代码31PCAN" sheetId="24" r:id="rId4"/>
    <sheet name="电池冷却系统(TMS)82-PCAN" sheetId="25" r:id="rId5"/>
    <sheet name="低压转向(LSCU)4D-BCAN" sheetId="26" r:id="rId6"/>
    <sheet name="高压转向故障代码表(HSCU)2E BCAN" sheetId="7" r:id="rId7"/>
    <sheet name="IC" sheetId="20" r:id="rId8"/>
    <sheet name="SCU 05 PCAN" sheetId="27" r:id="rId9"/>
    <sheet name="再生制动故障代码表(ABS焦作博瑞克BPCAN" sheetId="9" r:id="rId10"/>
    <sheet name="电池管理系统（BMS）故障代码表F4 PCAN" sheetId="2" r:id="rId11"/>
    <sheet name="电机故障代码表EF_PCAN" sheetId="14" r:id="rId12"/>
    <sheet name="空压机故障代码表30 BCAN" sheetId="4" r:id="rId13"/>
    <sheet name="自动变速箱故障代码表03 PCAN" sheetId="5" r:id="rId14"/>
    <sheet name="DCDC故障代码表（1A）BCAN" sheetId="6" r:id="rId15"/>
    <sheet name="高压配电盒故障代码表1E BCAN" sheetId="8" r:id="rId16"/>
    <sheet name="ABS KNORR故障码 ）0B PCAN" sheetId="16" r:id="rId17"/>
    <sheet name="新EBS(KNORR) 0B PCAN" sheetId="48" r:id="rId18"/>
    <sheet name="BCM（32） BCAN" sheetId="18" r:id="rId19"/>
    <sheet name="DCM （EC）BCAN" sheetId="19" r:id="rId20"/>
    <sheet name="TPMS(SENSATA)33  BCAN" sheetId="21" r:id="rId21"/>
    <sheet name="环景影像41BCAN" sheetId="22" r:id="rId22"/>
    <sheet name="疲劳驾驶E7 BCAN" sheetId="23" r:id="rId23"/>
    <sheet name="FCU故障码（F5）PCAN" sheetId="28" r:id="rId24"/>
    <sheet name="氢系统故障（F6）PCAN" sheetId="29" r:id="rId25"/>
    <sheet name="燃电DCDC（F5）" sheetId="30" r:id="rId26"/>
    <sheet name="冷却系统故障ATS(A7和A8)-pcan" sheetId="31" r:id="rId27"/>
    <sheet name="电机2故障代码表F0-PCAN" sheetId="32" r:id="rId28"/>
    <sheet name="外挂DCDC（84）PCAN" sheetId="33" r:id="rId29"/>
    <sheet name="外挂DCDC2（85）PCAN" sheetId="34" r:id="rId30"/>
    <sheet name="Knorr EPB（50）PCAN" sheetId="42" r:id="rId31"/>
    <sheet name="科密瑞立(KB)EPB (50) PCAN" sheetId="49" r:id="rId32"/>
    <sheet name="Knorr  ECAS（2F）BCAN" sheetId="37" r:id="rId33"/>
    <sheet name="瑞立ECAS（2F）" sheetId="38" r:id="rId34"/>
    <sheet name="换电系统（0xDB）" sheetId="39" r:id="rId35"/>
    <sheet name="燃料电池冷却系统(FTS)8F-PCAN" sheetId="40" r:id="rId36"/>
    <sheet name="电液转向机（13）PCAN" sheetId="50" r:id="rId37"/>
  </sheets>
  <definedNames>
    <definedName name="_xlnm._FilterDatabase" localSheetId="10" hidden="1">'电池管理系统（BMS）故障代码表F4 PCAN'!$A$1:$L$136</definedName>
    <definedName name="_xlnm._FilterDatabase" localSheetId="13" hidden="1">'自动变速箱故障代码表03 PCAN'!$A$2:$I$113</definedName>
    <definedName name="_xlnm._FilterDatabase" localSheetId="23" hidden="1">'FCU故障码（F5）PCAN'!$A$1:$J$81</definedName>
    <definedName name="_xlnm._FilterDatabase" localSheetId="16" hidden="1">'ABS KNORR故障码 ）0B PCAN'!$A$1:$C$211</definedName>
    <definedName name="_xlnm._FilterDatabase" localSheetId="18" hidden="1">'BCM（32） BCAN'!$A$2:$C$87</definedName>
    <definedName name="_xlnm._FilterDatabase" localSheetId="19" hidden="1">'DCM （EC）BCAN'!$A$1:$I$27</definedName>
    <definedName name="_xlnm._FilterDatabase" localSheetId="3" hidden="1">HCU故障代码31PCAN!$A$1:$F$67</definedName>
    <definedName name="_xlnm._FilterDatabase" localSheetId="7" hidden="1">IC!$A$2:$G$46</definedName>
    <definedName name="_xlnm._FilterDatabase" localSheetId="20" hidden="1">'TPMS(SENSATA)33  BCAN'!$A$2:$G$38</definedName>
    <definedName name="_xlnm._FilterDatabase" localSheetId="17" hidden="1">'新EBS(KNORR) 0B PCAN'!$F$2:$G$29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历史故障使用</t>
        </r>
      </text>
    </comment>
  </commentList>
</comments>
</file>

<file path=xl/comments2.xml><?xml version="1.0" encoding="utf-8"?>
<comments xmlns="http://schemas.openxmlformats.org/spreadsheetml/2006/main">
  <authors>
    <author>GU Ye 顾晔(DFCV技术中心客车开发部车型室)</author>
  </authors>
  <commentList>
    <comment ref="D15" authorId="0">
      <text>
        <r>
          <rPr>
            <b/>
            <sz val="9"/>
            <rFont val="宋体"/>
            <charset val="134"/>
          </rPr>
          <t>GU Ye 顾晔(DFCV技术中心客车开发部车型室):</t>
        </r>
        <r>
          <rPr>
            <sz val="9"/>
            <rFont val="宋体"/>
            <charset val="134"/>
          </rPr>
          <t xml:space="preserve">
有使能信号丢失</t>
        </r>
      </text>
    </comment>
  </commentList>
</comments>
</file>

<file path=xl/sharedStrings.xml><?xml version="1.0" encoding="utf-8"?>
<sst xmlns="http://schemas.openxmlformats.org/spreadsheetml/2006/main" count="7152" uniqueCount="4125">
  <si>
    <t>版本</t>
  </si>
  <si>
    <t>日期</t>
  </si>
  <si>
    <t>设计</t>
  </si>
  <si>
    <t>更改记录</t>
  </si>
  <si>
    <t>V1.0</t>
  </si>
  <si>
    <t xml:space="preserve"> </t>
  </si>
  <si>
    <t>原始版本</t>
  </si>
  <si>
    <t>V1.1</t>
  </si>
  <si>
    <t>“仪表：环境温度传感器短路到电源或开路（171,3）”改为“仪表：环境温度传感器或线路故障(171,3)”</t>
  </si>
  <si>
    <t>V1.2</t>
  </si>
  <si>
    <t>电机故障码增加3个，同时更改超速报警描述</t>
  </si>
  <si>
    <t>V1.3</t>
  </si>
  <si>
    <t>电机故障描述更改，“保护”改为“停机”等</t>
  </si>
  <si>
    <t>V1.4</t>
  </si>
  <si>
    <t>氢系统故障码描述更改</t>
  </si>
  <si>
    <t>V1.5</t>
  </si>
  <si>
    <t>电池冷却系统(TMS)源地址改为0x82.
BMS系统故障码更新，更改描述和新增故障。</t>
  </si>
  <si>
    <t>V1.6</t>
  </si>
  <si>
    <t>“电机转速超速报警保护”和“电机转速超速停机保护”两个故障增加蜂鸣</t>
  </si>
  <si>
    <t>V1.7</t>
  </si>
  <si>
    <t>根据便函DM22041306，电机控制器、高压配电盒、高压转向、电动空压机、DCDC故障清单增加故障。见故障列表后面备注。高压转向缩写更新，由“HSST”改为“HSCU”，低压转向由“LSST”改为“LSCU”。</t>
  </si>
  <si>
    <t>V1.8</t>
  </si>
  <si>
    <t>BMS中增加三个换电系统故障，便函DM22052520</t>
  </si>
  <si>
    <t>V1.9</t>
  </si>
  <si>
    <t>BMS中增加换电系统故障，赵鹏辉邮件20220429；
自动变速箱故障更新；普刚邮件20220610
增加瑞立EPB故障清单；</t>
  </si>
  <si>
    <t>V1.10</t>
  </si>
  <si>
    <t>1、增加Knorr和瑞立ECAS故障清单。
2、DCDC故障清单中v1.7新增故障有误，重新更改。
3、电机系统新增7个故障。DM22070514。
4、自动变速箱故障清单有误，修正。DM22070520
5、增加换电系统故障清单，源地址0xDB</t>
  </si>
  <si>
    <t>V1.11</t>
  </si>
  <si>
    <t xml:space="preserve">新能源仪表净化：
根据便函DM22102706，删除BMS热管理机组故障522240-12，故障清单更新，仪表故障暂不删除
根据便函DM22101803，删除电机控制器故障521718-11，故障清单更新，仪表故障暂不删除。
DM22102707，删除原有油泵控制器过温故障；删除原有气泵控制器过温故障。
DM22102811，TMS故障清单更新、ATS故障清单更新、新增FTS故障清单。
FCU故障码（F5）
DM22102513，FCU故障码（F5）系统删除故障，仪表暂不处理；氢系统故障（F6）系统删除故障，仪表暂不处理。
</t>
  </si>
  <si>
    <t>V1.12</t>
  </si>
  <si>
    <t>仅针对KT1D车型，AMT故障码清单更新.胡蜜DM22120917</t>
  </si>
  <si>
    <t>V1.13</t>
  </si>
  <si>
    <t>针对10×4车型，IC故障码清单更新</t>
  </si>
  <si>
    <t>V1.14</t>
  </si>
  <si>
    <t>1.新能源故障码净化（DM23030203）故障等级A、B显示，C、D仪表不显示
2.补充EBS故障码列表 新增785-792行（2022.11.01已通知）</t>
  </si>
  <si>
    <t>V1.15</t>
  </si>
  <si>
    <t>新增科密瑞立EPB故障码清单(徐冕 20230323邮件)，原瑞立EPB更新为Knorr EPB</t>
  </si>
  <si>
    <t>V1.16</t>
  </si>
  <si>
    <t>新能源仪表净化：
1.定义故障等级C、D类
  仪表不进行点灯（DM1报文有点灯要求也不响应）
2.定义故障等级A、B类
  仪表响应点灯，Stop/Warning/Amber
  如A、B等级Light列没有标注点灯，则DM1报文有点灯要求也不响应
3.定义“B提示类”
  仪表仅显示文字提醒（文字显示位置同故障码显示位置），不显示（SPN，FMI）</t>
  </si>
  <si>
    <t>V1.17</t>
  </si>
  <si>
    <t>Knorr EPB故障码净化</t>
  </si>
  <si>
    <t>V1.18</t>
  </si>
  <si>
    <t>新增 焦作博瑞克ABS故障码 DM23060803</t>
  </si>
  <si>
    <t>V1.19</t>
  </si>
  <si>
    <t>新增 KT1D改制-集成热管理系统 王贝贝邮件20230703</t>
  </si>
  <si>
    <t>V1.20</t>
  </si>
  <si>
    <t>新增 AMT油温传感器故障-胡蜜邮件20230828
更新 博瑞克ABS故障码 - DM23060803</t>
  </si>
  <si>
    <t>V1.21</t>
  </si>
  <si>
    <t>更新 KT1D改制-集成热管理系统 王贝贝邮件20230831</t>
  </si>
  <si>
    <t>V1.22</t>
  </si>
  <si>
    <t>更新 空压机故障码 潘峰微信20230920 DM补</t>
  </si>
  <si>
    <t>V1.23</t>
  </si>
  <si>
    <t>更新 KNORR EBS 故障码净化 参照 EBS故障清单20230309
更新 科密瑞立 EPB 故障码净化 参照 EPB故障清单20230517
更新 KNORR ABS 故障码净化 参照 11_ABS系统故障码清单V1.1_20230309
删除 博瑞克ABS 故障码 参照11_ABS系统故障码清单V1.1_20230309</t>
  </si>
  <si>
    <t>V1.24</t>
  </si>
  <si>
    <t>上官彤</t>
  </si>
  <si>
    <t>更新 AMT故障码（绿控）DM23082811，胡蜜邮件20231117</t>
  </si>
  <si>
    <t>V1.25</t>
  </si>
  <si>
    <t>AMT故障码分类更新，刘鑫邮件20231208</t>
  </si>
  <si>
    <t>V1.26</t>
  </si>
  <si>
    <t>新增 玖隆电液转向机故障码，窦桂忠邮件20240510</t>
  </si>
  <si>
    <t>控制器</t>
  </si>
  <si>
    <t>源地址</t>
  </si>
  <si>
    <t>can通道</t>
  </si>
  <si>
    <t>整车控制器（HCU）</t>
  </si>
  <si>
    <t>0x31</t>
  </si>
  <si>
    <t>PCAN</t>
  </si>
  <si>
    <t>电池冷却系统(TMS)</t>
  </si>
  <si>
    <t>0x82</t>
  </si>
  <si>
    <t>低压转向(LSCU)</t>
  </si>
  <si>
    <t>0x4D</t>
  </si>
  <si>
    <t>BCAN</t>
  </si>
  <si>
    <t>Stop</t>
  </si>
  <si>
    <t>高压转向故障代码表(HSCU)</t>
  </si>
  <si>
    <t>0x2E</t>
  </si>
  <si>
    <t>组合仪表（IC）</t>
  </si>
  <si>
    <t>0x17</t>
  </si>
  <si>
    <t>SCU</t>
  </si>
  <si>
    <t>0x05</t>
  </si>
  <si>
    <t>再生制动(ABS焦作博瑞克)</t>
  </si>
  <si>
    <t>0x0B</t>
  </si>
  <si>
    <t>电池管理系统（BMS）
换电系统（PECU）</t>
  </si>
  <si>
    <t xml:space="preserve">0xF4 </t>
  </si>
  <si>
    <t>电机控制器（MCU）</t>
  </si>
  <si>
    <t>0xEF 0xF0</t>
  </si>
  <si>
    <t>空压机</t>
  </si>
  <si>
    <t xml:space="preserve">0x30 </t>
  </si>
  <si>
    <t>自动变速箱（AMT）</t>
  </si>
  <si>
    <t>0x03</t>
  </si>
  <si>
    <t>DCDC</t>
  </si>
  <si>
    <t>0x1A</t>
  </si>
  <si>
    <t>高压配电盒（PDU）</t>
  </si>
  <si>
    <t>0x1E</t>
  </si>
  <si>
    <t>ABS KNORR</t>
  </si>
  <si>
    <t>EBS KNORR</t>
  </si>
  <si>
    <t>BCM</t>
  </si>
  <si>
    <t>0x32</t>
  </si>
  <si>
    <t>DCM</t>
  </si>
  <si>
    <t>0xEC</t>
  </si>
  <si>
    <t>TPMS</t>
  </si>
  <si>
    <t>0x33</t>
  </si>
  <si>
    <t>环景影像（HJYX）</t>
  </si>
  <si>
    <t>0x41</t>
  </si>
  <si>
    <t>疲劳驾驶（DFMS）</t>
  </si>
  <si>
    <t>0xE7</t>
  </si>
  <si>
    <t>燃料电池控制器（FCU）</t>
  </si>
  <si>
    <t>0xF5</t>
  </si>
  <si>
    <t>氢管理系统（HMS）</t>
  </si>
  <si>
    <t>0xF6</t>
  </si>
  <si>
    <t>燃电DCDC</t>
  </si>
  <si>
    <t>冷却系统（ATS）</t>
  </si>
  <si>
    <t>0xA7 0xA8</t>
  </si>
  <si>
    <t>外挂DCDC</t>
  </si>
  <si>
    <t>0x84 0x85</t>
  </si>
  <si>
    <t>Knorr EPB</t>
  </si>
  <si>
    <t>0x50</t>
  </si>
  <si>
    <t>科密瑞立EPB</t>
  </si>
  <si>
    <t>V1.15新增</t>
  </si>
  <si>
    <t>空气悬架（ECAS）KNORR/瑞立</t>
  </si>
  <si>
    <t>0x2F</t>
  </si>
  <si>
    <t>换电系统</t>
  </si>
  <si>
    <t>0xDB</t>
  </si>
  <si>
    <t>燃料电池冷却系统（FTS）</t>
  </si>
  <si>
    <t>0x8F</t>
  </si>
  <si>
    <t>电液转向机（EHPS）</t>
  </si>
  <si>
    <t>0x13</t>
  </si>
  <si>
    <t>序号</t>
  </si>
  <si>
    <t>电控系统</t>
  </si>
  <si>
    <t>故障描述</t>
  </si>
  <si>
    <t>SPN</t>
  </si>
  <si>
    <t>FMI</t>
  </si>
  <si>
    <t>BMS</t>
  </si>
  <si>
    <t>单体温度轻微低</t>
  </si>
  <si>
    <t xml:space="preserve"> BMS</t>
  </si>
  <si>
    <t>电池总电压轻微高</t>
  </si>
  <si>
    <t>单体轻微过压</t>
  </si>
  <si>
    <t>单体压差轻微大</t>
  </si>
  <si>
    <t>充电电流轻微大</t>
  </si>
  <si>
    <t>TCU</t>
  </si>
  <si>
    <t>换挡数据或离合器数据错误</t>
  </si>
  <si>
    <t>变速箱其他故障</t>
  </si>
  <si>
    <t>故障等级</t>
  </si>
  <si>
    <t>Light</t>
  </si>
  <si>
    <t>SPN(DEC)</t>
  </si>
  <si>
    <t>FMI(DEC)</t>
  </si>
  <si>
    <t>菜单中显示</t>
  </si>
  <si>
    <t>仪表界面显示</t>
  </si>
  <si>
    <t>C</t>
  </si>
  <si>
    <t>HCU:蓄电池电压信号超上限(168,16)</t>
  </si>
  <si>
    <t>A</t>
  </si>
  <si>
    <t>STOP</t>
  </si>
  <si>
    <t xml:space="preserve">HCU:蓄电池电压信号超下限(168,18)          </t>
  </si>
  <si>
    <t>HCU:蓄电池电压信号超下限(168,18)       </t>
  </si>
  <si>
    <t>HCU:蓄电池电压信号不合理(168,2)</t>
  </si>
  <si>
    <t>HCU:DC/DC输出电压信号超上限(169,16)</t>
  </si>
  <si>
    <t xml:space="preserve">HCU:DC/DC输出电压信号超下限(169,18)          </t>
  </si>
  <si>
    <t>HCU:DC/DC输出电压信号不合理(169,2)</t>
  </si>
  <si>
    <t>HCU:T15信号电压故障-过高(158,16)</t>
  </si>
  <si>
    <t>B</t>
  </si>
  <si>
    <t>Warn</t>
  </si>
  <si>
    <t>HCU:T15信号电压故障-过低(158,18)</t>
  </si>
  <si>
    <t>HCU:T15信号电压故障-合理性(158,2)</t>
  </si>
  <si>
    <t>9E</t>
  </si>
  <si>
    <t>HCU:制动灯开关故障-合理性(597,2)</t>
  </si>
  <si>
    <t>HCU:CAN2通讯故障(21003,12)</t>
  </si>
  <si>
    <t>520B</t>
  </si>
  <si>
    <t>HCU:CAN1通讯故障(21004,12)</t>
  </si>
  <si>
    <t>520C</t>
  </si>
  <si>
    <t>HCU:ABS制动灯继电器对地短路(21005,4)</t>
  </si>
  <si>
    <t>HCU:ABS制动灯继电器对电源短路(21005,3)</t>
  </si>
  <si>
    <t>HCU:ABS制动灯继电器控制线路故障-超温(21005,6)</t>
  </si>
  <si>
    <t>HCU:ABS制动灯继电器控制线路故障(21005,6)</t>
  </si>
  <si>
    <t>HCU:制动踏板行程传感器2 5V电源故障-过高(21006,16)</t>
  </si>
  <si>
    <t>HCU:制动踏板传感器电源故障(21006,16)</t>
  </si>
  <si>
    <t>HCU:制动踏板行程传感器2 5V电源故障-过低(21006,18)</t>
  </si>
  <si>
    <t>HCU:制动踏板传感器电源故障(21006,18)</t>
  </si>
  <si>
    <t>HCU:制动踏板行程传感器2 5V电源故障-开路(21006,5)</t>
  </si>
  <si>
    <t>HCU:制动踏板传感器电源故障(21006,5)</t>
  </si>
  <si>
    <t>520E</t>
  </si>
  <si>
    <t>HCU:制动踏板行程传感器2 5V电源故障-对地短路(21006,6)</t>
  </si>
  <si>
    <t>HCU:制动踏板传感器电源故障(21006,6)</t>
  </si>
  <si>
    <r>
      <rPr>
        <sz val="11"/>
        <color rgb="FF000000"/>
        <rFont val="宋体"/>
        <charset val="134"/>
        <scheme val="minor"/>
      </rPr>
      <t>HCU:</t>
    </r>
    <r>
      <rPr>
        <sz val="11"/>
        <color rgb="FF000000"/>
        <rFont val="宋体"/>
        <charset val="134"/>
        <scheme val="minor"/>
      </rPr>
      <t>制动踏板行程传感器</t>
    </r>
    <r>
      <rPr>
        <sz val="11"/>
        <color rgb="FF000000"/>
        <rFont val="Arial"/>
        <charset val="134"/>
      </rPr>
      <t>2</t>
    </r>
    <r>
      <rPr>
        <sz val="11"/>
        <color rgb="FF000000"/>
        <rFont val="宋体"/>
        <charset val="134"/>
        <scheme val="minor"/>
      </rPr>
      <t>信号故障</t>
    </r>
    <r>
      <rPr>
        <sz val="11"/>
        <color rgb="FF000000"/>
        <rFont val="Arial"/>
        <charset val="134"/>
      </rPr>
      <t>-</t>
    </r>
    <r>
      <rPr>
        <sz val="11"/>
        <color rgb="FF000000"/>
        <rFont val="宋体"/>
        <charset val="134"/>
        <scheme val="minor"/>
      </rPr>
      <t>超量程最大值</t>
    </r>
    <r>
      <rPr>
        <sz val="11"/>
        <color rgb="FF000000"/>
        <rFont val="宋体"/>
        <charset val="134"/>
        <scheme val="minor"/>
      </rPr>
      <t>(21007,16)</t>
    </r>
  </si>
  <si>
    <r>
      <rPr>
        <sz val="11"/>
        <color rgb="FF000000"/>
        <rFont val="宋体"/>
        <charset val="134"/>
        <scheme val="minor"/>
      </rPr>
      <t>HCU:</t>
    </r>
    <r>
      <rPr>
        <sz val="11"/>
        <color rgb="FF000000"/>
        <rFont val="宋体"/>
        <charset val="134"/>
        <scheme val="minor"/>
      </rPr>
      <t>制动踏板传感器</t>
    </r>
    <r>
      <rPr>
        <sz val="11"/>
        <color rgb="FF000000"/>
        <rFont val="宋体"/>
        <charset val="134"/>
        <scheme val="minor"/>
      </rPr>
      <t>故障</t>
    </r>
    <r>
      <rPr>
        <sz val="11"/>
        <color rgb="FF000000"/>
        <rFont val="宋体"/>
        <charset val="134"/>
        <scheme val="minor"/>
      </rPr>
      <t>(21007,16)</t>
    </r>
  </si>
  <si>
    <t>520F</t>
  </si>
  <si>
    <t>HCU:制动踏板行程传感器2信号故障-超量程最小值(21007,18)</t>
  </si>
  <si>
    <t>HCU:制动踏板传感器故障(21007,18)</t>
  </si>
  <si>
    <t>HCU:电源线开路或信号线短路到地(21007,5)</t>
  </si>
  <si>
    <t>这条为新增请注意</t>
  </si>
  <si>
    <t>2020.03.07</t>
  </si>
  <si>
    <t>仪表软件未增加</t>
  </si>
  <si>
    <t>HCU:制动踏板行程传感器2信号故障-合理性(21007,2)</t>
  </si>
  <si>
    <t>HCU:制动踏板传感器故障(21007,2)</t>
  </si>
  <si>
    <t>HCU:电子加速踏板1电源5V电源故障-过高(21008,16)</t>
  </si>
  <si>
    <t>HCU:电子加速踏板电源故障(21008,16)</t>
  </si>
  <si>
    <t>HCU:电子加速踏板1电源5V电源故障-过低(21008,18)</t>
  </si>
  <si>
    <t>HCU:电子加速踏板电源故障(21008,18)</t>
  </si>
  <si>
    <t>HCU:电子加速踏板1电源5V电源故障-开路(21008,5)</t>
  </si>
  <si>
    <t>HCU:电子加速踏板电源故障(21008,5)</t>
  </si>
  <si>
    <t>HCU:电子加速踏板1电源5V电源故障-对地短路(21008,6)</t>
  </si>
  <si>
    <t>HCU:电子加速踏板电源故障(21008,6)</t>
  </si>
  <si>
    <r>
      <rPr>
        <sz val="11"/>
        <color rgb="FF000000"/>
        <rFont val="宋体"/>
        <charset val="134"/>
        <scheme val="minor"/>
      </rPr>
      <t>HCU:</t>
    </r>
    <r>
      <rPr>
        <sz val="11"/>
        <color rgb="FF000000"/>
        <rFont val="宋体"/>
        <charset val="134"/>
        <scheme val="minor"/>
      </rPr>
      <t>电子加速踏板</t>
    </r>
    <r>
      <rPr>
        <sz val="11"/>
        <color rgb="FF000000"/>
        <rFont val="Arial"/>
        <charset val="134"/>
      </rPr>
      <t>1</t>
    </r>
    <r>
      <rPr>
        <sz val="11"/>
        <color rgb="FF000000"/>
        <rFont val="宋体"/>
        <charset val="134"/>
        <scheme val="minor"/>
      </rPr>
      <t>信号故障</t>
    </r>
    <r>
      <rPr>
        <sz val="11"/>
        <color rgb="FF000000"/>
        <rFont val="Arial"/>
        <charset val="134"/>
      </rPr>
      <t>-</t>
    </r>
    <r>
      <rPr>
        <sz val="11"/>
        <color rgb="FF000000"/>
        <rFont val="宋体"/>
        <charset val="134"/>
        <scheme val="minor"/>
      </rPr>
      <t>超量程最大值</t>
    </r>
    <r>
      <rPr>
        <sz val="11"/>
        <color rgb="FF000000"/>
        <rFont val="宋体"/>
        <charset val="134"/>
        <scheme val="minor"/>
      </rPr>
      <t>(91,16)</t>
    </r>
  </si>
  <si>
    <r>
      <rPr>
        <sz val="11"/>
        <color rgb="FF000000"/>
        <rFont val="宋体"/>
        <charset val="134"/>
        <scheme val="minor"/>
      </rPr>
      <t>HCU:</t>
    </r>
    <r>
      <rPr>
        <sz val="11"/>
        <color rgb="FF000000"/>
        <rFont val="宋体"/>
        <charset val="134"/>
        <scheme val="minor"/>
      </rPr>
      <t>电子加速踏板</t>
    </r>
    <r>
      <rPr>
        <sz val="11"/>
        <color rgb="FF000000"/>
        <rFont val="宋体"/>
        <charset val="134"/>
        <scheme val="minor"/>
      </rPr>
      <t>信号故障</t>
    </r>
    <r>
      <rPr>
        <sz val="11"/>
        <color rgb="FF000000"/>
        <rFont val="宋体"/>
        <charset val="134"/>
        <scheme val="minor"/>
      </rPr>
      <t>(91,16)</t>
    </r>
  </si>
  <si>
    <t>HCU:电子加速踏板1信号故障-超量程最小值(91,18)</t>
  </si>
  <si>
    <t>HCU:电子加速踏板信号故障(91,18)</t>
  </si>
  <si>
    <t>HCU:电子加速踏板1信号故障-合理性(91,2)</t>
  </si>
  <si>
    <t>HCU:电子加速踏板信号故障(91,2)</t>
  </si>
  <si>
    <t>HCU:电子加速踏板2电源5V电源故障-过高(21009,16)</t>
  </si>
  <si>
    <t>HCU:电子加速踏板电源故障(21009,16)</t>
  </si>
  <si>
    <t>HCU:电子加速踏板2电源5V电源故障-过低(21009,18)</t>
  </si>
  <si>
    <t>HCU:电子加速踏板电源故障(21009,18)</t>
  </si>
  <si>
    <t>HCU:电子加速踏板2电源5V电源故障-开路(21009,5)</t>
  </si>
  <si>
    <t>HCU:电子加速踏板电源故障(21009,5)</t>
  </si>
  <si>
    <t>HCU:电子加速踏板2电源5V电源故障-对地短路(21009,6)</t>
  </si>
  <si>
    <t>HCU:电子加速踏板电源故障(21009,6)</t>
  </si>
  <si>
    <r>
      <rPr>
        <sz val="11"/>
        <color rgb="FF000000"/>
        <rFont val="宋体"/>
        <charset val="134"/>
        <scheme val="minor"/>
      </rPr>
      <t>HCU:</t>
    </r>
    <r>
      <rPr>
        <sz val="11"/>
        <color rgb="FF000000"/>
        <rFont val="宋体"/>
        <charset val="134"/>
        <scheme val="minor"/>
      </rPr>
      <t>电子加速踏板</t>
    </r>
    <r>
      <rPr>
        <sz val="11"/>
        <color rgb="FF000000"/>
        <rFont val="Arial"/>
        <charset val="134"/>
      </rPr>
      <t>2</t>
    </r>
    <r>
      <rPr>
        <sz val="11"/>
        <color rgb="FF000000"/>
        <rFont val="宋体"/>
        <charset val="134"/>
        <scheme val="minor"/>
      </rPr>
      <t>信号故障</t>
    </r>
    <r>
      <rPr>
        <sz val="11"/>
        <color rgb="FF000000"/>
        <rFont val="Arial"/>
        <charset val="134"/>
      </rPr>
      <t>-</t>
    </r>
    <r>
      <rPr>
        <sz val="11"/>
        <color rgb="FF000000"/>
        <rFont val="宋体"/>
        <charset val="134"/>
        <scheme val="minor"/>
      </rPr>
      <t>超量程最大值</t>
    </r>
    <r>
      <rPr>
        <sz val="11"/>
        <color rgb="FF000000"/>
        <rFont val="宋体"/>
        <charset val="134"/>
        <scheme val="minor"/>
      </rPr>
      <t>(29,16)</t>
    </r>
  </si>
  <si>
    <r>
      <rPr>
        <sz val="11"/>
        <color rgb="FF000000"/>
        <rFont val="宋体"/>
        <charset val="134"/>
        <scheme val="minor"/>
      </rPr>
      <t>HCU:</t>
    </r>
    <r>
      <rPr>
        <sz val="11"/>
        <color rgb="FF000000"/>
        <rFont val="宋体"/>
        <charset val="134"/>
        <scheme val="minor"/>
      </rPr>
      <t>电子加速踏板</t>
    </r>
    <r>
      <rPr>
        <sz val="11"/>
        <color rgb="FF000000"/>
        <rFont val="宋体"/>
        <charset val="134"/>
        <scheme val="minor"/>
      </rPr>
      <t>信号故障</t>
    </r>
    <r>
      <rPr>
        <sz val="11"/>
        <color rgb="FF000000"/>
        <rFont val="宋体"/>
        <charset val="134"/>
        <scheme val="minor"/>
      </rPr>
      <t>(29,16)</t>
    </r>
  </si>
  <si>
    <t>HCU:电子加速踏板2信号故障-超量程最小值(29,18)</t>
  </si>
  <si>
    <t>HCU:电子加速踏板信号故障(29,18)</t>
  </si>
  <si>
    <t>HCU:电子加速踏板2信号故障-合理性(29,2)</t>
  </si>
  <si>
    <t>HCU:电子加速踏板信号故障(29,2)</t>
  </si>
  <si>
    <t>HCU:DCDC使能信号对地短路(21012,4)</t>
  </si>
  <si>
    <t>HCU:DCDC使能信号对电短路(21012,3)</t>
  </si>
  <si>
    <t>HCU:DCDC使能信号控制线路故障-超温(21012,6)</t>
  </si>
  <si>
    <t>HCU:DCDC使能信号控制线路故障(21012,6)</t>
  </si>
  <si>
    <t>HCU:空调使能继电器对地短路(21013,4)</t>
  </si>
  <si>
    <t>HCU:空调使能继电器对电短路(21013,3)</t>
  </si>
  <si>
    <t>HCU:空调使能继电器控制线路故障-超温(21013,6)</t>
  </si>
  <si>
    <t>HCU:空调使能继电器控制线路故障(21013,6)</t>
  </si>
  <si>
    <t>HCU:PTC使能继电器对地短路(21014,4)</t>
  </si>
  <si>
    <t>HCU:PTC使能继电器对电短路(21014,3)</t>
  </si>
  <si>
    <t>HCU:PTC使能继电器控制线路故障-超温(21014,6)</t>
  </si>
  <si>
    <t>HCU:PTC使能继电器控制线路故障(21014,6)</t>
  </si>
  <si>
    <t>HCU:紧急切断继电器对地短路(21015,4)</t>
  </si>
  <si>
    <t>HCU:紧急切断继电器对电短路(21015,3)</t>
  </si>
  <si>
    <t>HCU:紧急切断继电器控制线路故障-超温(21015,6)</t>
  </si>
  <si>
    <t>HCU:紧急切断继电器控制线路故障(21015,6)</t>
  </si>
  <si>
    <t>HCU:下电数据不能保存(630,12)</t>
  </si>
  <si>
    <t>HCU:静态RAM检测不能通过(21016,12)</t>
  </si>
  <si>
    <t>HCU:非正常复位发生(21017,12)</t>
  </si>
  <si>
    <t>HCU:内部SPI通讯故障(21018,12)</t>
  </si>
  <si>
    <t>HCU:高压配电盒正极继电器使能信号对地短路(21019,4)</t>
  </si>
  <si>
    <t>HCU:PDU正极继电器使能信号对地短路(21019,4)</t>
  </si>
  <si>
    <t>HCU:高压配电盒正极继电器使能信号对电短路(21019,3)</t>
  </si>
  <si>
    <t>HCU:PDU正极继电器使能信号对电短路(21019,3)</t>
  </si>
  <si>
    <t>HCU:高压配电盒正极继电器使能信号控制线路故障-超温(21019,6)</t>
  </si>
  <si>
    <t>HCU:PDU正极继电器线路故障(21019,6)</t>
  </si>
  <si>
    <t>HCU:倒车灯输出对地短路或者过温(21022,4)</t>
  </si>
  <si>
    <t>HCU:倒车灯输出对电短路或者开路(21022,3)</t>
  </si>
  <si>
    <t>HCU:倒车灯输出控制线路故障-超温(21022,6)</t>
  </si>
  <si>
    <t>HCU:倒车灯输出控制线路故障(21022,6)</t>
  </si>
  <si>
    <t>HCU:制动踏板行程传感器1 5V电源故障-过高(21056,16)</t>
  </si>
  <si>
    <t>HCU:制动踏板传感器电源故障21056,16)</t>
  </si>
  <si>
    <t>HCU:制动踏板行程传感器1 5V电源故障-过低(21056,18)</t>
  </si>
  <si>
    <t>HCU:制动踏板传感器电源故障(21056,18)</t>
  </si>
  <si>
    <t>HCU:制动踏板行程传感器1 5V电源故障-开路(21056,5)</t>
  </si>
  <si>
    <t>HCU:制动踏板传感器电源故障(21056,5)</t>
  </si>
  <si>
    <t>HCU:制动踏板行程传感器1 5V电源故障-对地短路(21056,6)</t>
  </si>
  <si>
    <t>HCU:制动踏板传感器电源故障(21056,6)</t>
  </si>
  <si>
    <r>
      <rPr>
        <sz val="11"/>
        <color rgb="FF000000"/>
        <rFont val="宋体"/>
        <charset val="134"/>
        <scheme val="minor"/>
      </rPr>
      <t>HCU:</t>
    </r>
    <r>
      <rPr>
        <sz val="11"/>
        <color rgb="FF000000"/>
        <rFont val="宋体"/>
        <charset val="134"/>
        <scheme val="minor"/>
      </rPr>
      <t>制动踏板行程传感器</t>
    </r>
    <r>
      <rPr>
        <sz val="11"/>
        <color rgb="FF000000"/>
        <rFont val="Arial"/>
        <charset val="134"/>
      </rPr>
      <t>1</t>
    </r>
    <r>
      <rPr>
        <sz val="11"/>
        <color rgb="FF000000"/>
        <rFont val="宋体"/>
        <charset val="134"/>
        <scheme val="minor"/>
      </rPr>
      <t>信号故障</t>
    </r>
    <r>
      <rPr>
        <sz val="11"/>
        <color rgb="FF000000"/>
        <rFont val="Arial"/>
        <charset val="134"/>
      </rPr>
      <t>-</t>
    </r>
    <r>
      <rPr>
        <sz val="11"/>
        <color rgb="FF000000"/>
        <rFont val="宋体"/>
        <charset val="134"/>
        <scheme val="minor"/>
      </rPr>
      <t>超量程最大值</t>
    </r>
    <r>
      <rPr>
        <sz val="11"/>
        <color rgb="FF000000"/>
        <rFont val="宋体"/>
        <charset val="134"/>
        <scheme val="minor"/>
      </rPr>
      <t>(21067,16)</t>
    </r>
  </si>
  <si>
    <r>
      <rPr>
        <sz val="11"/>
        <color rgb="FF000000"/>
        <rFont val="宋体"/>
        <charset val="134"/>
        <scheme val="minor"/>
      </rPr>
      <t>HCU:</t>
    </r>
    <r>
      <rPr>
        <sz val="11"/>
        <color rgb="FF000000"/>
        <rFont val="宋体"/>
        <charset val="134"/>
        <scheme val="minor"/>
      </rPr>
      <t>制动踏板传感器</t>
    </r>
    <r>
      <rPr>
        <sz val="11"/>
        <color rgb="FF000000"/>
        <rFont val="宋体"/>
        <charset val="134"/>
        <scheme val="minor"/>
      </rPr>
      <t>信号故障</t>
    </r>
    <r>
      <rPr>
        <sz val="11"/>
        <color rgb="FF000000"/>
        <rFont val="宋体"/>
        <charset val="134"/>
        <scheme val="minor"/>
      </rPr>
      <t>(21067,16)</t>
    </r>
  </si>
  <si>
    <t>HCU:制动踏板行程传感器1信号故障-超量程最小值(21067,18)</t>
  </si>
  <si>
    <t>HCU:制动踏板传感器信号故障(21067,18)</t>
  </si>
  <si>
    <t>HCU:制动踏板行程传感器1信号故障-合理性(21067,2)</t>
  </si>
  <si>
    <t>HCU:制动踏板传感器信号故障(21067,2)</t>
  </si>
  <si>
    <t>B提示类</t>
  </si>
  <si>
    <t>请加电机冷却液</t>
  </si>
  <si>
    <t>HCU:电机冷却液液位低（522111,18）</t>
  </si>
  <si>
    <t>HCU:电机冷却液液位低（522111,19）</t>
  </si>
  <si>
    <t>V1.14新增</t>
  </si>
  <si>
    <t>请加电池冷却液</t>
  </si>
  <si>
    <t>HCU:电池冷却液液位低（522112,18）</t>
  </si>
  <si>
    <t>HCU:空调压缩机故障（522115,12）</t>
  </si>
  <si>
    <t>HCU:四通阀故障（522116,12）</t>
  </si>
  <si>
    <t>HCU:三通阀故障（522117,12）</t>
  </si>
  <si>
    <t>HCU:电机冷却回水温度传感器故障（522119,5）</t>
  </si>
  <si>
    <t>HCU:电机冷却回水温度传感器故障（522119,4）</t>
  </si>
  <si>
    <t>HCU:HCU与Tbox间通讯异常（1746,9）</t>
  </si>
  <si>
    <t>HCU:车辆监管、即将激活限速限扭（1746,2）</t>
  </si>
  <si>
    <t>HCU:干燥器压力开关信号不合理（21068,2）</t>
  </si>
  <si>
    <t>HCU:整车气路或空压机漏气（21069,2）</t>
  </si>
  <si>
    <t>HCU:冷媒压力高（522113,16）</t>
  </si>
  <si>
    <t>V1.14新增，先不做</t>
  </si>
  <si>
    <t>HCU:冷媒压力低（522114,18）</t>
  </si>
  <si>
    <t>HCU:空调压缩机排气温度高（522118,16）</t>
  </si>
  <si>
    <t>仪表显示内容</t>
  </si>
  <si>
    <t>TMS：通讯异常(521400,23)</t>
  </si>
  <si>
    <t>源地址：0x4E改为0x82</t>
  </si>
  <si>
    <t>TMS：PTC1级故障(521401,5)</t>
  </si>
  <si>
    <t>TMS：PTC1级故障(521401,1)</t>
  </si>
  <si>
    <t>V1.11新增</t>
  </si>
  <si>
    <t>TMS：PTC1级故障(521401,0)</t>
  </si>
  <si>
    <t>TMS：PTC1级故障(521401,25)</t>
  </si>
  <si>
    <t>TMS：PTC1级故障(521401,20)</t>
  </si>
  <si>
    <t>TMS：PTC2级故障(521401,12)</t>
  </si>
  <si>
    <t>TMS：PTC2级故障(521401,19)</t>
  </si>
  <si>
    <t>TMS：PTC2级故障(521401,16)</t>
  </si>
  <si>
    <t>TMS：PTC2级故障(521401,6)</t>
  </si>
  <si>
    <t>TMS：PTC2级故障(521401,3)</t>
  </si>
  <si>
    <t>TMS：PTC2级故障(521401,4)</t>
  </si>
  <si>
    <t>TMS：PTC2级故障(521401,26)</t>
  </si>
  <si>
    <t>TMS：PTC2级故障(521401,21)</t>
  </si>
  <si>
    <t>TMS：PTC2级故障(521401,22)</t>
  </si>
  <si>
    <t>TMS：压缩机故障(521402,12)</t>
  </si>
  <si>
    <t>TMS：压缩机故障(521402,6)</t>
  </si>
  <si>
    <t>TMS：压缩机故障(521402,3)</t>
  </si>
  <si>
    <t>TMS：压缩机故障(521402,4)</t>
  </si>
  <si>
    <t>TMS：压缩机故障(521402,19)</t>
  </si>
  <si>
    <t>TMS：压缩机故障(521402,16)</t>
  </si>
  <si>
    <t>TMS：压缩机故障(521402,20)</t>
  </si>
  <si>
    <t>TMS：压缩机故障(521402,15)</t>
  </si>
  <si>
    <t>TMS：压缩机故障(521402,10)</t>
  </si>
  <si>
    <t>TMS：冷凝风扇故障(521403,12)</t>
  </si>
  <si>
    <t>TMS：高压传感器故障(521404,12)</t>
  </si>
  <si>
    <t>TMS：低压传感器故障(521405,12)</t>
  </si>
  <si>
    <t>TMS：机组进水温度传感器故障(521406,12)</t>
  </si>
  <si>
    <t>V1.11删除</t>
  </si>
  <si>
    <t>V1.14恢复显示</t>
  </si>
  <si>
    <t>TMS：机组出水温度传感器故障(521407,12)</t>
  </si>
  <si>
    <t>TMS：预留(521408,)</t>
  </si>
  <si>
    <t>TMS：冷却液温度异常(521408,18)</t>
  </si>
  <si>
    <t>TMS：冷却液温度异常(521408,28)</t>
  </si>
  <si>
    <t>TMS：水泵故障(521409,12)</t>
  </si>
  <si>
    <t>TMS：水泵故障(521409,6)</t>
  </si>
  <si>
    <t>TMS：水泵故障(521409,3)</t>
  </si>
  <si>
    <t>TMS：水泵故障(521409,4)</t>
  </si>
  <si>
    <t>TMS：水泵故障(521409,16)</t>
  </si>
  <si>
    <t>TMS：水泵故障(521409,21)</t>
  </si>
  <si>
    <t>TMS：水泵故障(521409,22)</t>
  </si>
  <si>
    <t>电池冷却液液位低，请添加冷却液</t>
  </si>
  <si>
    <t>TMS：水位传感器故障(521410,12)</t>
  </si>
  <si>
    <t>TMS：PTC出水温度传感器故障(521411,12)</t>
  </si>
  <si>
    <t>TMS：高压预充故障(521412,0)</t>
  </si>
  <si>
    <t>TMS：预充接触器1级故障(521413,0)</t>
  </si>
  <si>
    <t>V1.11修改</t>
  </si>
  <si>
    <t>TMS：DCDC故障(521414,0)</t>
  </si>
  <si>
    <t>TMS：从机组1一级故障(521415,0)</t>
  </si>
  <si>
    <t>TMS：从机组1二级故障(521415,1)</t>
  </si>
  <si>
    <t>TMS：从机组1丢失(521415,23)</t>
  </si>
  <si>
    <t>TMS：从机组2一 级故障(521416,0)</t>
  </si>
  <si>
    <t>TMS：从机组2二级故障(521416,1)</t>
  </si>
  <si>
    <t>TMS：从机组2丢失(521416,23)</t>
  </si>
  <si>
    <t>TMS：低压供电故障(521417,1)</t>
  </si>
  <si>
    <t>TMS：高压总回路接触器1级故障(521418,0)</t>
  </si>
  <si>
    <t>TMS：排气温度传感器2级故障(521419,12)</t>
  </si>
  <si>
    <t>TMS：DCDC通讯故障(521414,19)</t>
  </si>
  <si>
    <t>TMS：DCDC过电流(521414,6)</t>
  </si>
  <si>
    <t>TMS：DCDC输入过电压(521414,3)</t>
  </si>
  <si>
    <t>TMS：DCDC输入欠电压(521414,4)</t>
  </si>
  <si>
    <t>TMS：DCDC输出过压(521414,16)</t>
  </si>
  <si>
    <t>TMS：DCDC输出欠压(521414,18)</t>
  </si>
  <si>
    <t>TMS：DCDC低压输入电压过高(521414,23)</t>
  </si>
  <si>
    <t>TMS：DCDC低压输入电压过低(521414,24)</t>
  </si>
  <si>
    <t>TMS：DCDC 2级故障（521414，12）</t>
  </si>
  <si>
    <t>（注：当DCDC只能反馈有故障时，FMI码定义为12）</t>
  </si>
  <si>
    <t>V1.16新增</t>
  </si>
  <si>
    <t>以下为本次新增故障码</t>
  </si>
  <si>
    <t>TMS: CAN通讯异常(522080,12)</t>
  </si>
  <si>
    <t>V1.19新增</t>
  </si>
  <si>
    <t>TMS: CAN通讯异常(522080,2)</t>
  </si>
  <si>
    <t>V1.21删除</t>
  </si>
  <si>
    <t>TMS: 电池冷却水泵故障(522081,6)</t>
  </si>
  <si>
    <t>TMS: 电池冷却水泵故障(522081,21)</t>
  </si>
  <si>
    <t>V1.21新增</t>
  </si>
  <si>
    <t>TMS: 电池冷却水泵1故障(522082,6)</t>
  </si>
  <si>
    <t>TMS: 电池冷却水泵1故障(522082,21)</t>
  </si>
  <si>
    <t>TMS: 电机风扇故障(522085,5)</t>
  </si>
  <si>
    <t>TMS: 电机冷却进水温度传感器故障(522093,5)</t>
  </si>
  <si>
    <t>TMS: 电机冷却进水温度传感器故障(522093,4)</t>
  </si>
  <si>
    <t>TMS: 电机冷却进水温度传感器故障(522093,3)</t>
  </si>
  <si>
    <t>TMS: 电机冷却回水温度传感器故障(522094,5)</t>
  </si>
  <si>
    <t>TMS: 电机冷却回水温度传感器故障(522094,4)</t>
  </si>
  <si>
    <t>TMS: 电机冷却回水温度传感器故障(522094,3)</t>
  </si>
  <si>
    <t>TMS: 电池冷却进水温度传感器故障(522095,5)</t>
  </si>
  <si>
    <t>TMS: 电池冷却进水温度传感器故障(522095,4)</t>
  </si>
  <si>
    <t>TMS: 电池冷却进水温度传感器故障(522095,3)</t>
  </si>
  <si>
    <t>TMS: 电池冷却回水温度传感器故障(522096,5)</t>
  </si>
  <si>
    <t>TMS: 电池冷却回水温度传感器故障(522096,4)</t>
  </si>
  <si>
    <t>TMS: 电池冷却回水温度传感器故障(522096,3)</t>
  </si>
  <si>
    <t>TMS: 燃料电池冷却进水温度传感器故障(522097,5)</t>
  </si>
  <si>
    <t>TMS: 燃料电池冷却进水温度传感器故障(522097,4)</t>
  </si>
  <si>
    <t>TMS: 燃料电池冷却进水温度传感器故障(522097,3)</t>
  </si>
  <si>
    <t>TMS: 电机冷却液位传感器故障(522099,5)</t>
  </si>
  <si>
    <t>TMS: 电机冷却液位传感器故障(522099,4)</t>
  </si>
  <si>
    <t>TMS: 电机冷却液位传感器故障(522099,3)</t>
  </si>
  <si>
    <t>TMS: 电池冷却液位传感器故障(522099,5)</t>
  </si>
  <si>
    <t>TMS: 电池冷却液位传感器故障(522099,4)</t>
  </si>
  <si>
    <t>TMS: 电池冷却液位传感器故障(522099,3)</t>
  </si>
  <si>
    <t>TMS: 冷媒高压压力传感器故障(522102,5)</t>
  </si>
  <si>
    <t>TMS: 冷媒高压压力传感器故障(522102,4)</t>
  </si>
  <si>
    <t>TMS: 冷媒高压压力传感器故障(522102,3)</t>
  </si>
  <si>
    <t>TMS: 冷媒低压压力传感器故障(522103,5)</t>
  </si>
  <si>
    <t>TMS: 冷媒低压压力传感器故障(522103,4)</t>
  </si>
  <si>
    <t>TMS: 冷媒低压压力传感器故障(522103,3)</t>
  </si>
  <si>
    <t>TMS: 冷媒温度传感器故障(522104,5)</t>
  </si>
  <si>
    <t>TMS: 冷媒温度传感器故障(522104,4)</t>
  </si>
  <si>
    <t>TMS: 冷媒温度传感器故障(522104,3)</t>
  </si>
  <si>
    <t>TMS: 制冷电磁阀故障(522106,5)</t>
  </si>
  <si>
    <t>TMS: 制冷电磁阀故障(522106,4)</t>
  </si>
  <si>
    <t>TMS: 制冷电磁阀故障(522106,3)</t>
  </si>
  <si>
    <t>TMS: 车身暖风电磁阀故障(522107,5)</t>
  </si>
  <si>
    <t>TMS: 车身暖风电磁阀故障(522107,7)</t>
  </si>
  <si>
    <t>TMS: 车身暖风电磁阀故障(522107,4)</t>
  </si>
  <si>
    <t>V1.21修改等级</t>
  </si>
  <si>
    <t>TMS: 车身暖风电磁阀故障(522107,3)</t>
  </si>
  <si>
    <t>TMS: 车身暖风电磁阀故障(522107,12)</t>
  </si>
  <si>
    <t>TMS: 车身暖风电磁阀故障(522107,13)</t>
  </si>
  <si>
    <t>TMS: 车身暖风电磁阀故障(522107,2)</t>
  </si>
  <si>
    <t>TMS: 车身暖风电磁阀故障(522107,21)</t>
  </si>
  <si>
    <t>TMS: 三通阀故障(522108,7)</t>
  </si>
  <si>
    <t>TMS: 三通阀故障(522108,5)</t>
  </si>
  <si>
    <t>TMS: 三通阀故障(522108,4)</t>
  </si>
  <si>
    <t>TMS: 三通阀故障(522108,3)</t>
  </si>
  <si>
    <t>TMS: 三通阀故障(522108,20)</t>
  </si>
  <si>
    <t>TMS: 三通阀故障(522108,21)</t>
  </si>
  <si>
    <t>TMS: 三通阀故障(522108,12)</t>
  </si>
  <si>
    <t>TMS: 三通阀故障(522108,13)</t>
  </si>
  <si>
    <t>TMS: 三通阀故障(522108,2)</t>
  </si>
  <si>
    <t>TMS: 四通阀故障(522109,7)</t>
  </si>
  <si>
    <t>TMS: 四通阀故障(522109,5)</t>
  </si>
  <si>
    <t>TMS: 四通阀故障(522109,4)</t>
  </si>
  <si>
    <t>TMS: 四通阀故障(522109,3)</t>
  </si>
  <si>
    <t>TMS: 四通阀故障(522109,20)</t>
  </si>
  <si>
    <t>TMS: 四通阀故障(522109,21)</t>
  </si>
  <si>
    <t>TMS: 四通阀故障(522109,12)</t>
  </si>
  <si>
    <t>TMS: 四通阀故障(522109,13)</t>
  </si>
  <si>
    <t>TMS: 四通阀故障(522109,2)</t>
  </si>
  <si>
    <t>TMS: 电子膨胀阀故障(522110,5)</t>
  </si>
  <si>
    <t>TMS: 电子膨胀阀故障(522110,4)</t>
  </si>
  <si>
    <t>TMS: 电子膨胀阀故障(522110,3)</t>
  </si>
  <si>
    <t>TMS: 电机冷却液液位低(522124,18)</t>
  </si>
  <si>
    <t>TMS: 电池冷却液液位低(522125,18)</t>
  </si>
  <si>
    <t>TMS: 冷媒压力高(522126,18)</t>
  </si>
  <si>
    <t>TMS: 冷媒压力低(522127,18)</t>
  </si>
  <si>
    <t>TMS: 空调压缩机故障(522128,19)</t>
  </si>
  <si>
    <t>TMS: 空调压缩机故障(522128,16)</t>
  </si>
  <si>
    <t>TMS: 空调压缩机故障(522128,24)</t>
  </si>
  <si>
    <t>TMS: 空调压缩机故障(522128,10)</t>
  </si>
  <si>
    <t>返回目录</t>
  </si>
  <si>
    <t>输入欠压</t>
  </si>
  <si>
    <t>V1.7_20220419“LSST”改为“LSCU”</t>
  </si>
  <si>
    <t>输入过压</t>
  </si>
  <si>
    <t>EEPROM故障</t>
  </si>
  <si>
    <t>过流故障</t>
  </si>
  <si>
    <t>过温故障</t>
  </si>
  <si>
    <t>过载故障</t>
  </si>
  <si>
    <t>输出缺相</t>
  </si>
  <si>
    <t>CAN通讯中断故障</t>
  </si>
  <si>
    <t>CAN通讯超时故障</t>
  </si>
  <si>
    <t>电机过载故障</t>
  </si>
  <si>
    <t>电机过温故障</t>
  </si>
  <si>
    <t>Red</t>
  </si>
  <si>
    <r>
      <rPr>
        <sz val="10"/>
        <rFont val="宋体"/>
        <charset val="134"/>
      </rPr>
      <t>输入欠压</t>
    </r>
    <r>
      <rPr>
        <sz val="10"/>
        <rFont val="Arial"/>
        <charset val="134"/>
      </rPr>
      <t xml:space="preserve"> </t>
    </r>
  </si>
  <si>
    <t xml:space="preserve">Red </t>
  </si>
  <si>
    <r>
      <rPr>
        <sz val="10"/>
        <rFont val="宋体"/>
        <charset val="134"/>
      </rPr>
      <t>输入过压</t>
    </r>
    <r>
      <rPr>
        <sz val="10"/>
        <rFont val="Arial"/>
        <charset val="134"/>
      </rPr>
      <t xml:space="preserve"> </t>
    </r>
  </si>
  <si>
    <r>
      <rPr>
        <sz val="10"/>
        <rFont val="Arial"/>
        <charset val="134"/>
      </rPr>
      <t>EEPROM</t>
    </r>
    <r>
      <rPr>
        <sz val="10"/>
        <rFont val="宋体"/>
        <charset val="134"/>
      </rPr>
      <t>故障</t>
    </r>
    <r>
      <rPr>
        <sz val="10"/>
        <rFont val="Arial"/>
        <charset val="134"/>
      </rPr>
      <t xml:space="preserve"> </t>
    </r>
  </si>
  <si>
    <r>
      <rPr>
        <sz val="10"/>
        <rFont val="宋体"/>
        <charset val="134"/>
      </rPr>
      <t>过流故障</t>
    </r>
    <r>
      <rPr>
        <sz val="10"/>
        <rFont val="Arial"/>
        <charset val="134"/>
      </rPr>
      <t xml:space="preserve"> </t>
    </r>
  </si>
  <si>
    <t>D</t>
  </si>
  <si>
    <r>
      <rPr>
        <sz val="10"/>
        <rFont val="宋体"/>
        <charset val="134"/>
      </rPr>
      <t>过温故障</t>
    </r>
    <r>
      <rPr>
        <sz val="10"/>
        <rFont val="Arial"/>
        <charset val="134"/>
      </rPr>
      <t xml:space="preserve"> </t>
    </r>
  </si>
  <si>
    <t>过温报警</t>
  </si>
  <si>
    <r>
      <rPr>
        <sz val="10"/>
        <rFont val="宋体"/>
        <charset val="134"/>
      </rPr>
      <t>控制器过载故障</t>
    </r>
    <r>
      <rPr>
        <sz val="10"/>
        <rFont val="Arial"/>
        <charset val="134"/>
      </rPr>
      <t xml:space="preserve"> </t>
    </r>
  </si>
  <si>
    <r>
      <rPr>
        <sz val="10"/>
        <rFont val="宋体"/>
        <charset val="134"/>
      </rPr>
      <t>输出缺相</t>
    </r>
    <r>
      <rPr>
        <sz val="10"/>
        <rFont val="Arial"/>
        <charset val="134"/>
      </rPr>
      <t xml:space="preserve"> </t>
    </r>
  </si>
  <si>
    <t>Amber</t>
  </si>
  <si>
    <r>
      <rPr>
        <sz val="10"/>
        <rFont val="Arial"/>
        <charset val="134"/>
      </rPr>
      <t xml:space="preserve">CAN </t>
    </r>
    <r>
      <rPr>
        <sz val="10"/>
        <rFont val="宋体"/>
        <charset val="134"/>
      </rPr>
      <t>通讯中断故障</t>
    </r>
    <r>
      <rPr>
        <sz val="10"/>
        <rFont val="Arial"/>
        <charset val="134"/>
      </rPr>
      <t xml:space="preserve"> </t>
    </r>
  </si>
  <si>
    <r>
      <rPr>
        <sz val="10"/>
        <rFont val="Arial"/>
        <charset val="134"/>
      </rPr>
      <t xml:space="preserve">CAN </t>
    </r>
    <r>
      <rPr>
        <sz val="10"/>
        <rFont val="宋体"/>
        <charset val="134"/>
      </rPr>
      <t>通讯超时故障</t>
    </r>
    <r>
      <rPr>
        <sz val="10"/>
        <rFont val="Arial"/>
        <charset val="134"/>
      </rPr>
      <t xml:space="preserve"> </t>
    </r>
  </si>
  <si>
    <r>
      <rPr>
        <sz val="10"/>
        <rFont val="宋体"/>
        <charset val="134"/>
      </rPr>
      <t>电机过载故障</t>
    </r>
    <r>
      <rPr>
        <sz val="10"/>
        <rFont val="Arial"/>
        <charset val="134"/>
      </rPr>
      <t xml:space="preserve"> </t>
    </r>
  </si>
  <si>
    <t>电流检测（零漂）故障</t>
  </si>
  <si>
    <t>V1.7_20220419新增故障</t>
  </si>
  <si>
    <r>
      <rPr>
        <sz val="10"/>
        <rFont val="宋体"/>
        <charset val="134"/>
      </rPr>
      <t>控制器过温故障</t>
    </r>
    <r>
      <rPr>
        <sz val="10"/>
        <rFont val="Arial"/>
        <charset val="134"/>
      </rPr>
      <t xml:space="preserve"> </t>
    </r>
  </si>
  <si>
    <r>
      <rPr>
        <sz val="10"/>
        <rFont val="宋体"/>
        <charset val="134"/>
      </rPr>
      <t>转速偏差过大</t>
    </r>
    <r>
      <rPr>
        <sz val="10"/>
        <rFont val="Arial"/>
        <charset val="134"/>
      </rPr>
      <t xml:space="preserve"> </t>
    </r>
  </si>
  <si>
    <t>控制器过温报警</t>
  </si>
  <si>
    <r>
      <rPr>
        <sz val="10"/>
        <rFont val="Arial"/>
        <charset val="134"/>
      </rPr>
      <t xml:space="preserve">PT100 </t>
    </r>
    <r>
      <rPr>
        <sz val="10"/>
        <rFont val="宋体"/>
        <charset val="134"/>
      </rPr>
      <t>短路</t>
    </r>
    <r>
      <rPr>
        <sz val="10"/>
        <rFont val="Arial"/>
        <charset val="134"/>
      </rPr>
      <t xml:space="preserve"> </t>
    </r>
  </si>
  <si>
    <r>
      <rPr>
        <sz val="10"/>
        <rFont val="Arial"/>
        <charset val="134"/>
      </rPr>
      <t xml:space="preserve">PT100 </t>
    </r>
    <r>
      <rPr>
        <sz val="10"/>
        <rFont val="宋体"/>
        <charset val="134"/>
      </rPr>
      <t>开路</t>
    </r>
    <r>
      <rPr>
        <sz val="10"/>
        <rFont val="Arial"/>
        <charset val="134"/>
      </rPr>
      <t xml:space="preserve"> </t>
    </r>
  </si>
  <si>
    <t>超速故障</t>
  </si>
  <si>
    <t>相间短路故障</t>
  </si>
  <si>
    <t>失调故障</t>
  </si>
  <si>
    <t>硬件故障</t>
  </si>
  <si>
    <t xml:space="preserve">Amber </t>
  </si>
  <si>
    <t>控制器温度传感器断路故障</t>
  </si>
  <si>
    <t>控制器温度传感器短路故障</t>
  </si>
  <si>
    <t>辅助电源欠压</t>
  </si>
  <si>
    <t>辅助电源过压</t>
  </si>
  <si>
    <t>DTC</t>
  </si>
  <si>
    <t>原始故障描述</t>
  </si>
  <si>
    <t>仪表主页简化故障描述</t>
  </si>
  <si>
    <t>故障策略/备注</t>
  </si>
  <si>
    <t>仪表:车速传感器电压高或短路到电源</t>
  </si>
  <si>
    <t>仪表:车速传感器电压高(523000,3)</t>
  </si>
  <si>
    <t>仪表:车速传感器电压低或短路到地</t>
  </si>
  <si>
    <t>仪表:车速传感器电压低(523000,4)</t>
  </si>
  <si>
    <t>仪表:前桥回路气压传感器电压高或短路到电源</t>
  </si>
  <si>
    <t>仪表:前桥回路气压传感器电压高(523004,3)</t>
  </si>
  <si>
    <t>前面你做成了提示信息，将提示信息去掉，做成故障码</t>
  </si>
  <si>
    <t>仪表:前桥回路气压传感器电压低或短路到地</t>
  </si>
  <si>
    <t>仪表:前桥回路气压传感器电压低(523004,4)</t>
  </si>
  <si>
    <t>仪表:后桥回路气压传感器电压高或短路到电源</t>
  </si>
  <si>
    <t>仪表:后桥回路气压传感器电压高(523005,3)</t>
  </si>
  <si>
    <t>仪表:后桥回路气压传感器电压低或短路到地</t>
  </si>
  <si>
    <t>仪表:后桥回路气压传感器电压低(523005,4)</t>
  </si>
  <si>
    <t>仪表:仪表内部故障</t>
  </si>
  <si>
    <t>仪表:内部故障(523007,12)</t>
  </si>
  <si>
    <t>仪表:仪表实时时钟故障</t>
  </si>
  <si>
    <t>仪表:内部故障(523034,8)</t>
  </si>
  <si>
    <t>仪表:CAN 1 bus off</t>
  </si>
  <si>
    <t>仪表:CAN 1总线故障(523008,8)</t>
  </si>
  <si>
    <t>仪表:CAN 2 bus off</t>
  </si>
  <si>
    <t>仪表:CAN 2总线故障(523009,8)</t>
  </si>
  <si>
    <t>仪表:BCM CAN报文超时</t>
  </si>
  <si>
    <t>仪表:BCM报文超时(523010,8)</t>
  </si>
  <si>
    <t>仪表:水温过高指示灯故障</t>
  </si>
  <si>
    <t>仪表:水温过高指示灯故障(523020,12)</t>
  </si>
  <si>
    <t>屏蔽</t>
  </si>
  <si>
    <t>仪表:门开报警灯故障</t>
  </si>
  <si>
    <t>仪表:门开报警灯故障(523022,12)</t>
  </si>
  <si>
    <t>仪表:第一桥左轮摩擦片磨损</t>
  </si>
  <si>
    <t>仪表:第一桥左轮摩擦片磨损(523023,12)</t>
  </si>
  <si>
    <t>仪表:第一桥右轮摩擦片磨损</t>
  </si>
  <si>
    <t>仪表:第一桥右轮摩擦片磨损(523024,12)</t>
  </si>
  <si>
    <t>仪表:第二桥左轮摩擦片磨损</t>
  </si>
  <si>
    <t>仪表:第二桥左轮摩擦片磨损(523025,12)</t>
  </si>
  <si>
    <t>仪表:第二桥右轮摩擦片磨损</t>
  </si>
  <si>
    <t>仪表:第二桥右轮摩擦片磨损(523026,12)</t>
  </si>
  <si>
    <t>仪表:第三桥左轮摩擦片磨损</t>
  </si>
  <si>
    <t>仪表:第三桥左轮摩擦片磨损(523027,12)</t>
  </si>
  <si>
    <t>仪表:第三桥右轮摩擦片磨损</t>
  </si>
  <si>
    <t>仪表:第三桥右轮摩擦片磨损(523028,12)</t>
  </si>
  <si>
    <t>仪表:第四桥左轮摩擦片磨损</t>
  </si>
  <si>
    <t>仪表:第四桥左轮摩擦片磨损(523029,12)</t>
  </si>
  <si>
    <t>仪表:第四桥右轮摩擦片磨损</t>
  </si>
  <si>
    <t>仪表:第四桥右轮摩擦片磨损(523030,12)</t>
  </si>
  <si>
    <t>仪表:第五桥左轮摩擦片磨损</t>
  </si>
  <si>
    <t>仪表:第五桥左轮摩擦片磨损（523031，12）</t>
  </si>
  <si>
    <t>10×4车</t>
  </si>
  <si>
    <t>仪表:第五桥右轮摩擦片磨损</t>
  </si>
  <si>
    <t>仪表:第五桥右轮摩擦片磨损（523032，12）</t>
  </si>
  <si>
    <t>AMT:离合器磨损</t>
  </si>
  <si>
    <t>AMT:离合器磨损(523031,0)</t>
  </si>
  <si>
    <t>18FF8503报文中离合器磨损为1时,仪表显示该故障,并向总线发出该故障代码</t>
  </si>
  <si>
    <t>AMT:空气压力过低</t>
  </si>
  <si>
    <t>AMT:空气压力过低(523032,0)</t>
  </si>
  <si>
    <t>18FF8503报文中空气压力过低为1时,仪表显示该故障,并向总线发出该故障代码</t>
  </si>
  <si>
    <t>仪表:TPMS CAN报文超时</t>
  </si>
  <si>
    <t>仪表:TPMS CAN报文超时(523033,8)</t>
  </si>
  <si>
    <t>仪表:ABS CAN报文超时</t>
  </si>
  <si>
    <t>仪表:ABS CAN报文超时(523036,8)</t>
  </si>
  <si>
    <t>配置ABS系统的车辆,若ABS系统完全失效(总线无0B源地址报文)；
仪表点亮ABS黄色指示灯,同时仪表LCD显示:ABS系统失效</t>
  </si>
  <si>
    <t>仪表:EBS CAN报文超时</t>
  </si>
  <si>
    <t>仪表:EBS CAN报文超时(523037,8)</t>
  </si>
  <si>
    <t>配置EBS系统的车辆,若EBS系统完全失效(总线无0B源地址报文)；
仪表点亮EBS红色指示灯,同时仪表LCD显示:EBS系统失效</t>
  </si>
  <si>
    <t>仪表:环境温度传感器信号异常</t>
  </si>
  <si>
    <t>仪表:环境温度传感器信号异常(171,2)</t>
  </si>
  <si>
    <t>报该故障时,环境温度发0xFE00</t>
  </si>
  <si>
    <t>仪表:环境温度传感器电压高或短路到电源或开路</t>
  </si>
  <si>
    <t>仪表:环境温度传感器电压高（171,3）改成
仪表：环境温度传感器或线路故障(171,3)</t>
  </si>
  <si>
    <r>
      <rPr>
        <sz val="12"/>
        <color rgb="FFFF0000"/>
        <rFont val="宋体"/>
        <charset val="134"/>
      </rPr>
      <t>持续诊断3s才判断故障，在这3内发前一状态的温度，如果是上电就线路问题，默认发25℃</t>
    </r>
    <r>
      <rPr>
        <sz val="12"/>
        <color theme="2" tint="-0.899990844447157"/>
        <rFont val="宋体"/>
        <charset val="134"/>
      </rPr>
      <t>，报该故障时,环境温度发0xFE00</t>
    </r>
  </si>
  <si>
    <t>仪表:环境温度传感器短路到地</t>
  </si>
  <si>
    <t>仪表:环境温度传感器电压低(171,4)</t>
  </si>
  <si>
    <r>
      <rPr>
        <sz val="12"/>
        <color rgb="FFFF0000"/>
        <rFont val="宋体"/>
        <charset val="134"/>
      </rPr>
      <t>持续诊断3s才判断故障，在这3内发前一状态的温度，如果是上电就线路问题，默认发25℃，</t>
    </r>
    <r>
      <rPr>
        <sz val="12"/>
        <color theme="2" tint="-0.899990844447157"/>
        <rFont val="宋体"/>
        <charset val="134"/>
      </rPr>
      <t>报该故障时,环境温度发0xFE00</t>
    </r>
  </si>
  <si>
    <t>仪表:变速箱油温传感器电压高或短路到电源或开路</t>
  </si>
  <si>
    <t>仪表:变速箱油温传感器电压高(177,3)</t>
  </si>
  <si>
    <t>仪表:变速箱油温传感器短路到地</t>
  </si>
  <si>
    <t>仪表:变速箱油温传感器电压低(177,4)</t>
  </si>
  <si>
    <t>仪表:不充电指示灯故障</t>
  </si>
  <si>
    <t>仪表:不充电指示灯故障(523038,12)</t>
  </si>
  <si>
    <t>仪表:驻车制动指示灯故障</t>
  </si>
  <si>
    <t>仪表:驻车制动指示灯故障(523039,12)</t>
  </si>
  <si>
    <t>仪表:安全带指示灯故障</t>
  </si>
  <si>
    <t>仪表:安全带指示灯故障(523040,12)</t>
  </si>
  <si>
    <t>仪表:空气压力过低</t>
  </si>
  <si>
    <t>仪表：空气压力过低（523041,1）</t>
  </si>
  <si>
    <t>仪表点亮气压过低报警灯时报此故障</t>
  </si>
  <si>
    <t>仪表:AMT CAN报文超时</t>
  </si>
  <si>
    <t>仪表:AMT CAN报文超时(523042,8)</t>
  </si>
  <si>
    <t>所有报报文超时的都按自检完成后（3s）后，以5倍周期报报文超时，收不到0CEF3103且收不到18F00503</t>
  </si>
  <si>
    <t>仪表:SCU CAN报文超时</t>
  </si>
  <si>
    <t>仪表:SCU CAN报文超时(523043,8)</t>
  </si>
  <si>
    <t>仪表:Ret CAN报文超时</t>
  </si>
  <si>
    <t>仪表:Ret CAN报文超时(523044,8)</t>
  </si>
  <si>
    <t>仪表:ECAS CAN报文超时</t>
  </si>
  <si>
    <t>仪表:ECAS CAN报文超时(523045,8)</t>
  </si>
  <si>
    <t>仪表:ACM CAN报文超时</t>
  </si>
  <si>
    <t>仪表:ACM CAN报文超时(523046,8)</t>
  </si>
  <si>
    <t>仪表:LDWS CAN报文超时</t>
  </si>
  <si>
    <t>仪表:LDWS CAN报文超时(523047,8)</t>
  </si>
  <si>
    <t>仪表:AEBS CAN报文超时</t>
  </si>
  <si>
    <t>仪表:AEBS CAN报文超时(523048,8)</t>
  </si>
  <si>
    <t>LDWS:车道偏离系统标定未完成</t>
  </si>
  <si>
    <t>不用显示SPN和FMI</t>
  </si>
  <si>
    <t>FCWS:前方碰撞系统故障</t>
  </si>
  <si>
    <t>FCWS:前方碰撞系统前视相机未标定</t>
  </si>
  <si>
    <t>FCWS:前方碰撞系统前视相机故障</t>
  </si>
  <si>
    <t>LDWS:车道偏离系统故障</t>
  </si>
  <si>
    <t>LDWS:车道偏离系统前视相机未标定</t>
  </si>
  <si>
    <t>LDWS:车道偏离系统前视相机故障</t>
  </si>
  <si>
    <t>BSD:右盲区探测系统标定未完成</t>
  </si>
  <si>
    <t>BSD:右盲区探测系统未标定</t>
  </si>
  <si>
    <t>BSD:右盲区探测系统相机故障</t>
  </si>
  <si>
    <t>SCU供电电压过高</t>
  </si>
  <si>
    <t>SCU：供电电压过高(524000,0)</t>
  </si>
  <si>
    <t>7FEE0</t>
  </si>
  <si>
    <t>SCU供电电压过低</t>
  </si>
  <si>
    <t>SCU：供电电压过低(524000,1)</t>
  </si>
  <si>
    <t>SCU CAN故障</t>
  </si>
  <si>
    <t>SCU：总线故障(524001,19)</t>
  </si>
  <si>
    <t>旋钮开关异常1</t>
  </si>
  <si>
    <t>SCU：换挡旋钮开关信号异常(524002,3)</t>
  </si>
  <si>
    <t>旋钮开关异常2</t>
  </si>
  <si>
    <t>SCU：换挡旋钮开关信号异常(524002,4)</t>
  </si>
  <si>
    <t>A/M开关信号异常</t>
  </si>
  <si>
    <t>SCU：A/M开关信号异常(524003,3)</t>
  </si>
  <si>
    <t>A/M开关对地短路或卡滞</t>
  </si>
  <si>
    <t>SCU：A/M开关对地短路或卡滞(524003,4)</t>
  </si>
  <si>
    <t>M+开关信号异常</t>
  </si>
  <si>
    <t>SCU：M+开关信号异常(524004,3)</t>
  </si>
  <si>
    <t>7FEE4</t>
  </si>
  <si>
    <t>M-开关信号异常</t>
  </si>
  <si>
    <t>SCU：M-开关信号异常(524005,3)</t>
  </si>
  <si>
    <t>7FEE5</t>
  </si>
  <si>
    <t>E/P开关信号异常</t>
  </si>
  <si>
    <t>SCU：E/P开关信号异常(524006,3)</t>
  </si>
  <si>
    <t>7FEE6</t>
  </si>
  <si>
    <t>E/P开关对地短路或卡滞</t>
  </si>
  <si>
    <t>SCU：E/P开关对地短路或卡滞(524006,4)</t>
  </si>
  <si>
    <t>故障信息</t>
  </si>
  <si>
    <t>1轴左轮速传感器无传感器信号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</si>
  <si>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：前桥左轮速传感器或线路故障(789,8)</t>
    </r>
  </si>
  <si>
    <t>V1.20_20230828更新</t>
  </si>
  <si>
    <t>1轴左轮速传感器传感器短路或断路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</si>
  <si>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：前桥左轮速传感器或线路故障(789,12)</t>
    </r>
  </si>
  <si>
    <t>1轴右轮速传感器无传感器信号</t>
  </si>
  <si>
    <r>
      <rPr>
        <sz val="11"/>
        <color rgb="FFFF0000"/>
        <rFont val="宋体"/>
        <charset val="134"/>
        <scheme val="minor"/>
      </rPr>
      <t>ABS：</t>
    </r>
    <r>
      <rPr>
        <sz val="11"/>
        <color theme="1"/>
        <rFont val="宋体"/>
        <charset val="134"/>
        <scheme val="minor"/>
      </rPr>
      <t>前桥右轮速传感器或线路故障(790,8)</t>
    </r>
  </si>
  <si>
    <t>1轴右轮速传感器传感器短路或断路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</si>
  <si>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：前桥右轮速传感器或线路故障(790,12)</t>
    </r>
  </si>
  <si>
    <t>2轴左轮速传感器无传感器信号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</si>
  <si>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：后桥左轮速传感器或线路故障(791,8)</t>
    </r>
  </si>
  <si>
    <t>2轴左轮速传感器传感器短路或断路</t>
  </si>
  <si>
    <r>
      <rPr>
        <sz val="11"/>
        <color rgb="FFFF0000"/>
        <rFont val="宋体"/>
        <charset val="134"/>
        <scheme val="minor"/>
      </rPr>
      <t>ABS：</t>
    </r>
    <r>
      <rPr>
        <sz val="11"/>
        <color theme="1"/>
        <rFont val="宋体"/>
        <charset val="134"/>
        <scheme val="minor"/>
      </rPr>
      <t>后桥左轮速传感器或线路故障(791,12)</t>
    </r>
  </si>
  <si>
    <t>2轴右轮速传感器无传感器信号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</si>
  <si>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：后桥右轮速传感器或线路故障(792,8)</t>
    </r>
  </si>
  <si>
    <t>2轴右轮速传感器传感器短路或断路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</si>
  <si>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：后桥右轮速传感器或线路故障(792,12)</t>
    </r>
  </si>
  <si>
    <t>1轴左压力调节阀电磁阀短路或接地</t>
  </si>
  <si>
    <r>
      <rPr>
        <sz val="11"/>
        <color rgb="FFFF0000"/>
        <rFont val="宋体"/>
        <charset val="134"/>
        <scheme val="minor"/>
      </rPr>
      <t>ABS：</t>
    </r>
    <r>
      <rPr>
        <sz val="11"/>
        <rFont val="宋体"/>
        <charset val="134"/>
        <scheme val="minor"/>
      </rPr>
      <t>前</t>
    </r>
    <r>
      <rPr>
        <sz val="11"/>
        <color theme="1"/>
        <rFont val="宋体"/>
        <charset val="134"/>
        <scheme val="minor"/>
      </rPr>
      <t>桥左电磁阀或线路故障(795,4)</t>
    </r>
  </si>
  <si>
    <t>1轴左压力调节阀电磁阀断路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</si>
  <si>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：前桥左电磁阀或线路故障(795,5)</t>
    </r>
  </si>
  <si>
    <t>1轴右压力调节阀电磁阀短路或接地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</si>
  <si>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：前桥右电磁阀或线路故障(796,4)</t>
    </r>
  </si>
  <si>
    <t>1轴右压力调节阀电磁阀断路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</si>
  <si>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：前桥右电磁阀或线路故障(796,5)</t>
    </r>
  </si>
  <si>
    <t>2轴左压力调节阀电磁阀短路或接地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</si>
  <si>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：后桥左电磁阀或线路故障(797,4)</t>
    </r>
  </si>
  <si>
    <t>2轴左压力调节阀电磁阀断路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</si>
  <si>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：后桥左电磁阀或线路故障(797,5)</t>
    </r>
  </si>
  <si>
    <t>2轴右压力调节阀电磁阀短路或接地</t>
  </si>
  <si>
    <r>
      <rPr>
        <sz val="11"/>
        <color rgb="FFFF0000"/>
        <rFont val="宋体"/>
        <charset val="134"/>
        <scheme val="minor"/>
      </rPr>
      <t>ABS：</t>
    </r>
    <r>
      <rPr>
        <sz val="11"/>
        <color theme="1"/>
        <rFont val="宋体"/>
        <charset val="134"/>
        <scheme val="minor"/>
      </rPr>
      <t>后桥右电磁阀或线路故障(798,4)</t>
    </r>
  </si>
  <si>
    <t>2轴右压力调节阀电磁阀断路</t>
  </si>
  <si>
    <r>
      <rPr>
        <sz val="11"/>
        <color rgb="FFFF0000"/>
        <rFont val="宋体"/>
        <charset val="134"/>
        <scheme val="minor"/>
      </rPr>
      <t>ABS：</t>
    </r>
    <r>
      <rPr>
        <sz val="11"/>
        <color theme="1"/>
        <rFont val="宋体"/>
        <charset val="134"/>
        <scheme val="minor"/>
      </rPr>
      <t>后桥右电磁阀或线路故障(798,5)</t>
    </r>
  </si>
  <si>
    <r>
      <rPr>
        <sz val="11"/>
        <color theme="1"/>
        <rFont val="宋体"/>
        <charset val="134"/>
      </rPr>
      <t>电源电压过</t>
    </r>
    <r>
      <rPr>
        <strike/>
        <sz val="11"/>
        <color theme="1"/>
        <rFont val="宋体"/>
        <charset val="134"/>
      </rPr>
      <t>低</t>
    </r>
    <r>
      <rPr>
        <sz val="11"/>
        <color theme="1"/>
        <rFont val="宋体"/>
        <charset val="134"/>
      </rPr>
      <t>高</t>
    </r>
  </si>
  <si>
    <r>
      <rPr>
        <sz val="11"/>
        <color rgb="FFFF0000"/>
        <rFont val="宋体"/>
        <charset val="134"/>
        <scheme val="minor"/>
      </rPr>
      <t>ABS：</t>
    </r>
    <r>
      <rPr>
        <sz val="11"/>
        <color theme="1"/>
        <rFont val="宋体"/>
        <charset val="134"/>
        <scheme val="minor"/>
      </rPr>
      <t>供电电压异常(627,3)</t>
    </r>
  </si>
  <si>
    <t>V1.20_20230828纠正</t>
  </si>
  <si>
    <r>
      <rPr>
        <sz val="11"/>
        <color theme="1"/>
        <rFont val="宋体"/>
        <charset val="134"/>
      </rPr>
      <t>电源电压过</t>
    </r>
    <r>
      <rPr>
        <strike/>
        <sz val="11"/>
        <color theme="1"/>
        <rFont val="宋体"/>
        <charset val="134"/>
      </rPr>
      <t>高</t>
    </r>
    <r>
      <rPr>
        <sz val="11"/>
        <color theme="1"/>
        <rFont val="宋体"/>
        <charset val="134"/>
      </rPr>
      <t>低</t>
    </r>
  </si>
  <si>
    <r>
      <rPr>
        <sz val="11"/>
        <color rgb="FFFF0000"/>
        <rFont val="宋体"/>
        <charset val="134"/>
        <scheme val="minor"/>
      </rPr>
      <t>ABS：</t>
    </r>
    <r>
      <rPr>
        <sz val="11"/>
        <color theme="1"/>
        <rFont val="宋体"/>
        <charset val="134"/>
        <scheme val="minor"/>
      </rPr>
      <t>供电电压异常(627,4)</t>
    </r>
  </si>
  <si>
    <r>
      <rPr>
        <sz val="11"/>
        <color theme="1"/>
        <rFont val="Times New Roman"/>
        <charset val="134"/>
      </rPr>
      <t>E2PROM</t>
    </r>
    <r>
      <rPr>
        <sz val="11"/>
        <color theme="1"/>
        <rFont val="宋体"/>
        <charset val="134"/>
      </rPr>
      <t>校验错误</t>
    </r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</si>
  <si>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：控制器或线路故障(629,12)</t>
    </r>
  </si>
  <si>
    <r>
      <rPr>
        <strike/>
        <sz val="11"/>
        <color rgb="FFFF0000"/>
        <rFont val="Times New Roman"/>
        <charset val="134"/>
      </rPr>
      <t>ASR</t>
    </r>
    <r>
      <rPr>
        <strike/>
        <sz val="11"/>
        <color rgb="FFFF0000"/>
        <rFont val="宋体"/>
        <charset val="134"/>
      </rPr>
      <t>电磁阀断路</t>
    </r>
  </si>
  <si>
    <r>
      <rPr>
        <strike/>
        <sz val="11"/>
        <color rgb="FFFF0000"/>
        <rFont val="宋体"/>
        <charset val="134"/>
        <scheme val="minor"/>
      </rPr>
      <t>ABS：</t>
    </r>
    <r>
      <rPr>
        <strike/>
        <sz val="11"/>
        <color rgb="FFFF0000"/>
        <rFont val="宋体"/>
        <charset val="134"/>
        <scheme val="minor"/>
      </rPr>
      <t>ASR电磁阀断路(806,4)</t>
    </r>
  </si>
  <si>
    <t>V1.18删除</t>
  </si>
  <si>
    <t>左制动气室压力传感器断路</t>
  </si>
  <si>
    <r>
      <rPr>
        <sz val="11"/>
        <color rgb="FFFF0000"/>
        <rFont val="宋体"/>
        <charset val="134"/>
        <scheme val="minor"/>
      </rPr>
      <t>ABS：</t>
    </r>
    <r>
      <rPr>
        <sz val="11"/>
        <color theme="1"/>
        <rFont val="宋体"/>
        <charset val="134"/>
        <scheme val="minor"/>
      </rPr>
      <t>左气室压力传感器或线路故障(116,4)</t>
    </r>
  </si>
  <si>
    <t>右制动气室压力传感器断路</t>
  </si>
  <si>
    <r>
      <rPr>
        <sz val="11"/>
        <color rgb="FFFF0000"/>
        <rFont val="宋体"/>
        <charset val="134"/>
        <scheme val="minor"/>
      </rPr>
      <t>ABS：</t>
    </r>
    <r>
      <rPr>
        <sz val="11"/>
        <color theme="1"/>
        <rFont val="宋体"/>
        <charset val="134"/>
        <scheme val="minor"/>
      </rPr>
      <t>右气室压力传感器或线路故障(117,4)</t>
    </r>
  </si>
  <si>
    <t>左制动气室压力传感器失效</t>
  </si>
  <si>
    <t>ABS：左制动气室压力传感器失效(116,5)</t>
  </si>
  <si>
    <t>右制动气室压力传感器失效</t>
  </si>
  <si>
    <t>ABS：右制动气室压力传感器失效(117,5)</t>
  </si>
  <si>
    <t>ABS通讯故障</t>
  </si>
  <si>
    <r>
      <rPr>
        <sz val="11"/>
        <color rgb="FFFF0000"/>
        <rFont val="宋体"/>
        <charset val="134"/>
        <scheme val="minor"/>
      </rPr>
      <t>ABS：</t>
    </r>
    <r>
      <rPr>
        <sz val="11"/>
        <rFont val="宋体"/>
        <charset val="134"/>
        <scheme val="minor"/>
      </rPr>
      <t>通讯线路故障（639，4）</t>
    </r>
  </si>
  <si>
    <t>V1.18新增</t>
  </si>
  <si>
    <r>
      <rPr>
        <sz val="11"/>
        <color rgb="FFFF0000"/>
        <rFont val="宋体"/>
        <charset val="134"/>
        <scheme val="minor"/>
      </rPr>
      <t>ABS</t>
    </r>
    <r>
      <rPr>
        <sz val="11"/>
        <color theme="1"/>
        <rFont val="宋体"/>
        <charset val="134"/>
        <scheme val="minor"/>
      </rPr>
      <t>：未接收HCU报文（639，5）</t>
    </r>
  </si>
  <si>
    <t>系统类别</t>
  </si>
  <si>
    <t>SPN（DEC）</t>
  </si>
  <si>
    <t>备注</t>
  </si>
  <si>
    <t>修改后</t>
  </si>
  <si>
    <t>黄色报警灯+电池故障灯</t>
  </si>
  <si>
    <t>BMS:绝缘电阻轻微低</t>
  </si>
  <si>
    <t>BMS:绝缘电阻轻微低（521300,17)</t>
  </si>
  <si>
    <t>红色STOP灯+电池故障灯</t>
  </si>
  <si>
    <t>BMS:绝缘电阻一般低</t>
  </si>
  <si>
    <t>BMS:绝缘电阻一般低（521300,18)</t>
  </si>
  <si>
    <t>BMS:绝缘电阻严重低</t>
  </si>
  <si>
    <t>BMS:绝缘电阻严重低（521300,1)</t>
  </si>
  <si>
    <t>电池故障灯</t>
  </si>
  <si>
    <t>BMS:单体温度轻微高</t>
  </si>
  <si>
    <t>BMS:单体温度轻微高（521301,15)</t>
  </si>
  <si>
    <t>BMS:单体温度一般高</t>
  </si>
  <si>
    <t>BMS:单体温度一般高（521301,16)</t>
  </si>
  <si>
    <t>BMS:单体温度严重高</t>
  </si>
  <si>
    <t>BMS:单体温度严重高（521301,0)</t>
  </si>
  <si>
    <t>BMS:单体温度轻微低</t>
  </si>
  <si>
    <t>BMS:单体温度轻微低（521301,17)</t>
  </si>
  <si>
    <t>V1.16删除</t>
  </si>
  <si>
    <t>BMS:单体温度一般低</t>
  </si>
  <si>
    <t>BMS:单体温度一般低（521301,18)</t>
  </si>
  <si>
    <t>黄色报警灯+电池故障灯+文字提示 “请挪车至温暖场合，如无效，请联系服务站保养”</t>
  </si>
  <si>
    <t>BMS:单体温度严重低</t>
  </si>
  <si>
    <t>BMS:单体温度严重低（521301,1)</t>
  </si>
  <si>
    <t>BMS:温差轻微大</t>
  </si>
  <si>
    <t>BMS:温差轻微大（521302,15)</t>
  </si>
  <si>
    <t>BMS:温差一般大</t>
  </si>
  <si>
    <t>BMS:温差一般大（521302,16)</t>
  </si>
  <si>
    <t>BMS:温差严重大</t>
  </si>
  <si>
    <t>BMS:温差严重大（521302,0)</t>
  </si>
  <si>
    <t>BMS:均温高</t>
  </si>
  <si>
    <t>BMS:均温高（521303,0)</t>
  </si>
  <si>
    <t>BMS:均温低</t>
  </si>
  <si>
    <t>BMS:均温低（521303,1)</t>
  </si>
  <si>
    <t>BMS:电池总电压轻微高</t>
  </si>
  <si>
    <t>BMS:电池总电压轻微高（521304,15)</t>
  </si>
  <si>
    <t>BMS:电池总电压一般高</t>
  </si>
  <si>
    <t>BMS:电池总电压一般高（521304,16)</t>
  </si>
  <si>
    <t>BMS:电池总电压严重高</t>
  </si>
  <si>
    <t>BMS:电池总电压严重高（521304,0)</t>
  </si>
  <si>
    <t>BMS:电池总电压轻微低</t>
  </si>
  <si>
    <t>BMS:电池总电压轻微低（521304,17)</t>
  </si>
  <si>
    <t>BMS:电池总电压一般低</t>
  </si>
  <si>
    <t>BMS:电池总电压一般低（521304,18)</t>
  </si>
  <si>
    <t>BMS:电池总电压严重低</t>
  </si>
  <si>
    <t>BMS:电池总电压严重低（521304,1)</t>
  </si>
  <si>
    <t>BMS:可充电储能系统不匹配故障</t>
  </si>
  <si>
    <t>BMS:可充电储能系统不匹配故障（521304,23)</t>
  </si>
  <si>
    <t>BMS:单体轻微过压</t>
  </si>
  <si>
    <t>BMS:单体轻微过压（521305,15)</t>
  </si>
  <si>
    <t>BMS:单体一般过压</t>
  </si>
  <si>
    <t>BMS:单体一般过压（521305,16)</t>
  </si>
  <si>
    <t>BMS:单体严重过压</t>
  </si>
  <si>
    <t>BMS:单体严重过压（521305,0)</t>
  </si>
  <si>
    <t>BMS:单体轻微欠压</t>
  </si>
  <si>
    <t>BMS:单体轻微欠压（521305,17)</t>
  </si>
  <si>
    <t>BMS:单体一般欠压</t>
  </si>
  <si>
    <t>BMS:单体一般欠压（521305,18)</t>
  </si>
  <si>
    <t>BMS:单体严重欠压</t>
  </si>
  <si>
    <t>BMS:单体严重欠压（521305,1)</t>
  </si>
  <si>
    <t>电芯过放故障</t>
  </si>
  <si>
    <t>BMS:单体过放（5213.5,12）</t>
  </si>
  <si>
    <t>V1.5新增</t>
  </si>
  <si>
    <t>BMS:单体压差轻微大</t>
  </si>
  <si>
    <t>BMS:单体压差轻微大（521306,15)</t>
  </si>
  <si>
    <t>V1.5描述修改</t>
  </si>
  <si>
    <t>BMS:单体一致性差（521306,15)</t>
  </si>
  <si>
    <t>BMS:单体压差一般大</t>
  </si>
  <si>
    <t>BMS:单体压差一般大（521306,16)</t>
  </si>
  <si>
    <t>BMS:单体压差严重大</t>
  </si>
  <si>
    <t>BMS:单体压差严重大（521306,0)</t>
  </si>
  <si>
    <t>BMS:充电电流轻微大</t>
  </si>
  <si>
    <t>BMS:充电电流轻微大（521307,15)</t>
  </si>
  <si>
    <t>BMS:峰值回充电流轻微大（521307,15)</t>
  </si>
  <si>
    <t>BMS:充电电流一般大</t>
  </si>
  <si>
    <t>BMS:充电电流一般大（521307,16)</t>
  </si>
  <si>
    <t>BMS:峰值回充电流一般大（521307,16)</t>
  </si>
  <si>
    <t>BMS:充电电流严重大</t>
  </si>
  <si>
    <t>BMS:充电电流严重大（521307,0)</t>
  </si>
  <si>
    <t>BMS:峰值回充电流严重大（521307,0)</t>
  </si>
  <si>
    <t>黄色报警灯+电池故障灯+文字提示，“请更换充电桩, 无效则联系服务站保养”</t>
  </si>
  <si>
    <t>充电电流超限报警</t>
  </si>
  <si>
    <t>BMS:充电电流超限（521307，6）</t>
  </si>
  <si>
    <t>BMS:放电电流轻微大</t>
  </si>
  <si>
    <t>BMS:放电电流轻微大（521308,15)</t>
  </si>
  <si>
    <t>BMS:峰值放电电流轻微大（521308,15)</t>
  </si>
  <si>
    <t>BMS:放电电流一般大</t>
  </si>
  <si>
    <t>BMS:放电电流一般大（521308,16)</t>
  </si>
  <si>
    <t>BMS:峰值放电电流一般大（521308,16)</t>
  </si>
  <si>
    <t>无</t>
  </si>
  <si>
    <t>BMS:放电电流严重大</t>
  </si>
  <si>
    <t>BMS:放电电流严重大（521308,0)</t>
  </si>
  <si>
    <t>BMS:峰值放电电流严重大（521308,0)</t>
  </si>
  <si>
    <t>BMS:电池SOC轻微低</t>
  </si>
  <si>
    <t>BMS:电池SOC轻微低（521309,17)</t>
  </si>
  <si>
    <t>电池故障灯+文字提示“SOC明显低, 请尽快充电”</t>
  </si>
  <si>
    <t>BMS:电池SOC一般低</t>
  </si>
  <si>
    <t>BMS:电池SOC一般低（521309,18)</t>
  </si>
  <si>
    <t>电池故障灯+文字提示“SOC严重低, 请立即充电”</t>
  </si>
  <si>
    <t>BMS:电池SOC严重低</t>
  </si>
  <si>
    <t>BMS:电池SOC严重低（521309,1)</t>
  </si>
  <si>
    <t>BMS:电池SOC高</t>
  </si>
  <si>
    <t>BMS:电池SOC高（521309,0)</t>
  </si>
  <si>
    <t>BMS:SOC跳变故障报警</t>
  </si>
  <si>
    <t>BMS:SOC跳变故障报警（521309,2)</t>
  </si>
  <si>
    <t>BMS:BMS24V供电异常</t>
  </si>
  <si>
    <t>BMS:BMS24V供电异常（521310,13)</t>
  </si>
  <si>
    <t>BMS:BMS内部通信故障</t>
  </si>
  <si>
    <t>BMS:BMS内部通信故障（521311,9)</t>
  </si>
  <si>
    <t>黄色报警灯+电池故障灯+文字提示“请检查MSD是否安装正常”</t>
  </si>
  <si>
    <t>BMS:高压互锁故障</t>
  </si>
  <si>
    <t>BMS:高压互锁故障（521312,5)</t>
  </si>
  <si>
    <t>BMS:单体电压检测</t>
  </si>
  <si>
    <t>BMS:单体电压检测（521313,13)</t>
  </si>
  <si>
    <t>BMS:预留</t>
  </si>
  <si>
    <t>BMS:预留（521314,)</t>
  </si>
  <si>
    <t>BMS:禁止充电</t>
  </si>
  <si>
    <t>BMS:禁止充电（521315,6)</t>
  </si>
  <si>
    <t>BMS:禁止放电</t>
  </si>
  <si>
    <t>BMS:禁止放电（521316,6)</t>
  </si>
  <si>
    <t>BMS:充电器故障</t>
  </si>
  <si>
    <t>BMS:充电器故障（521317,12)</t>
  </si>
  <si>
    <t>BMS:短路故障</t>
  </si>
  <si>
    <t>BMS:短路故障（521318,4)</t>
  </si>
  <si>
    <t>BMS:ds12c887</t>
  </si>
  <si>
    <t>BMS:ds12c887（521319,2)</t>
  </si>
  <si>
    <t>BMS:外CAN初始化</t>
  </si>
  <si>
    <t>BMS:外CAN初始化（521321,2)</t>
  </si>
  <si>
    <t>BMS:内CAN初始化</t>
  </si>
  <si>
    <t>BMS:内CAN初始化（521322,2)</t>
  </si>
  <si>
    <t>BMS:外CAN接收</t>
  </si>
  <si>
    <t>BMS:外CAN接收（521323,12)</t>
  </si>
  <si>
    <t>BMS:总压采集</t>
  </si>
  <si>
    <t>BMS:总压采集（521324,2)</t>
  </si>
  <si>
    <t>BMS:单体温度检测错误</t>
  </si>
  <si>
    <t>BMS:单体温度检测错误（521325,3)</t>
  </si>
  <si>
    <t>BMS:主负接触器无法闭合</t>
  </si>
  <si>
    <t>BMS:主负接触器无法闭合（521327,5)</t>
  </si>
  <si>
    <t>BMS:主负接触器无法断开</t>
  </si>
  <si>
    <t>BMS:主负接触器无法断开（521327,3)</t>
  </si>
  <si>
    <t>主正接触器无法闭合故障报警</t>
  </si>
  <si>
    <t>BMS:主正接触器无法闭合（521328,5）</t>
  </si>
  <si>
    <t>主正接触器无法断开故障报警</t>
  </si>
  <si>
    <t>BMS:主正接触器无法断开（521328,3）</t>
  </si>
  <si>
    <t>BMS:充电正接触器无法闭合</t>
  </si>
  <si>
    <t>BMS:充电正接触器无法闭合（521329,5)</t>
  </si>
  <si>
    <t>BMS:直流充电A正接触器无法闭合（521329,5)</t>
  </si>
  <si>
    <t>BMS:充电正接触器无法断开</t>
  </si>
  <si>
    <t>BMS:充电正接触器无法断开（521329,3)</t>
  </si>
  <si>
    <t>BMS:直流充电A正接触器无法断开（521329,3)</t>
  </si>
  <si>
    <t>BMS:预留（521329,2)</t>
  </si>
  <si>
    <t>V1.16屏蔽</t>
  </si>
  <si>
    <t>BMS:充电负接触器无法闭合</t>
  </si>
  <si>
    <t>BMS:充电负接触器无法闭合（521330,5)</t>
  </si>
  <si>
    <t>BMS:直流充电A负接触器无法闭合（521330,5)</t>
  </si>
  <si>
    <t>BMS:充电负接触器无法断开</t>
  </si>
  <si>
    <t>BMS:充电负接触器无法断开（521330,3)</t>
  </si>
  <si>
    <t>BMS:直流充电A负接触器无法断开（521330,3)</t>
  </si>
  <si>
    <t>直流充电B正接触器无法闭合故障报警</t>
  </si>
  <si>
    <t>BMS:直流充电B正接触器无法闭合（521331,5）</t>
  </si>
  <si>
    <t>直流充电B正接触器无法断开故障报警</t>
  </si>
  <si>
    <t>BMS:直流充电B正接触器无法断开（521331,3）</t>
  </si>
  <si>
    <t>直流充电B负接触器无法闭合故障报警</t>
  </si>
  <si>
    <t>BMS:直流充电B负接触器无法闭合（521332,5）</t>
  </si>
  <si>
    <t>直流充电B负接触器无法断开故障报警</t>
  </si>
  <si>
    <t>BMS:直流充电B负接触器无法断开（521332，3）</t>
  </si>
  <si>
    <t>BMS:支路断路</t>
  </si>
  <si>
    <t>BMS:支路断路（521333,5)</t>
  </si>
  <si>
    <t>BMS:电池包极限故障</t>
  </si>
  <si>
    <t>BMS:电池包极限故障（521334,3)</t>
  </si>
  <si>
    <t>A提示类</t>
  </si>
  <si>
    <t>红色STOP灯+电池故障灯+文字提示“请立即靠边停车并撤离车辆”</t>
  </si>
  <si>
    <t>BMS:电池包火灾故障</t>
  </si>
  <si>
    <t>BMS:电池包火灾故障（521335,3)</t>
  </si>
  <si>
    <t>BMS:充电插座温度掉线</t>
  </si>
  <si>
    <t>BMS:充电插座温度掉线（521336,5)</t>
  </si>
  <si>
    <t>黄色报警灯+电池故障灯+文字提示“请更换充电桩, 无效则联系服务站保养”</t>
  </si>
  <si>
    <t>BMS:充电插座一般过温</t>
  </si>
  <si>
    <t>BMS:充电插座一般过温（521336,16)</t>
  </si>
  <si>
    <t>红色STOP灯+电池故障灯+文字提示“请更换充电桩, 无效则联系服务站保养”</t>
  </si>
  <si>
    <t>BMS:充电插座严重过温</t>
  </si>
  <si>
    <t>BMS:充电插座严重过温（521336,0)</t>
  </si>
  <si>
    <t>BMS:加热接触器无法闭合</t>
  </si>
  <si>
    <t>BMS:加热接触器无法闭合（521344,5)</t>
  </si>
  <si>
    <t>BMS:加热膜或TMS接触器无法闭合（521344,5)</t>
  </si>
  <si>
    <t>BMS:加热接触器无法断开</t>
  </si>
  <si>
    <t>BMS:加热接触器无法断开（521344,3)</t>
  </si>
  <si>
    <t>BMS:加热膜或TMS接触器无法断开（521344,3)</t>
  </si>
  <si>
    <t>BMS:整车端高压负载异常故障</t>
  </si>
  <si>
    <t>BMS:整车端高压负载异常故障（521345,13)</t>
  </si>
  <si>
    <t>BMS:强切继电器故障</t>
  </si>
  <si>
    <t>BMS:强切继电器故障（521346,13)</t>
  </si>
  <si>
    <t>BMS:烟雾探测器烟雾报警</t>
  </si>
  <si>
    <t>BMS:烟雾探测器烟雾报警（521347,0)</t>
  </si>
  <si>
    <t>BMS:烟雾探测器高温报警</t>
  </si>
  <si>
    <t>BMS:烟雾探测器高温报警（521348,0)</t>
  </si>
  <si>
    <t>BMS:烟雾探测器温度突变报警</t>
  </si>
  <si>
    <t>BMS:烟雾探测器温度突变报警（521348,2)</t>
  </si>
  <si>
    <t>BMS:烟雾传感器掉线故障</t>
  </si>
  <si>
    <t>BMS:烟雾传感器掉线故障（521349,5)</t>
  </si>
  <si>
    <t>BMS:电流采集失效</t>
  </si>
  <si>
    <t>BMS:电流采集失效（521350,12)</t>
  </si>
  <si>
    <t>SOC差异过大报警</t>
  </si>
  <si>
    <t>BMS:SOC差异过大</t>
  </si>
  <si>
    <t>BMS:SOC差异过大报警(521353,0)</t>
  </si>
  <si>
    <t>持续放电过流</t>
  </si>
  <si>
    <t>BMS:持续放电电流轻微大</t>
  </si>
  <si>
    <t>BMS:持续放电过流(521360,15)</t>
  </si>
  <si>
    <t>BMS:持续放电电流一般大</t>
  </si>
  <si>
    <t>BMS:持续放电过流(521360,16)</t>
  </si>
  <si>
    <t>BMS:持续放电电流严重大</t>
  </si>
  <si>
    <t>BMS:持续放电过流(521360,0)</t>
  </si>
  <si>
    <t>行车持续回充过流</t>
  </si>
  <si>
    <t>BMS:持续回充电流轻微大</t>
  </si>
  <si>
    <t>BMS:行车持续回充过流(521361,15)</t>
  </si>
  <si>
    <t>BMS:持续回充电流一般大</t>
  </si>
  <si>
    <t>BMS:行车持续回充过流(521361,16)</t>
  </si>
  <si>
    <t>BMS:持续回充电流严重大</t>
  </si>
  <si>
    <t>BMS:行车持续回充过流(521361,0)</t>
  </si>
  <si>
    <t>主回路预充或预检故障</t>
  </si>
  <si>
    <t>BMS:主回路预充预检故障</t>
  </si>
  <si>
    <t>BMS:主回路预充或预检故障(521362,7)</t>
  </si>
  <si>
    <t>辅件回路预充或预检故障</t>
  </si>
  <si>
    <t>BMS:辅件回路预充或预检故障</t>
  </si>
  <si>
    <t>BMS:辅件回路预充或预检故障(521363,7)</t>
  </si>
  <si>
    <t>BMS-DC-DC故障</t>
  </si>
  <si>
    <t>BMS:电池DC-DC故障</t>
  </si>
  <si>
    <t>BMS:BMS-DC-DC故障(521364,12)</t>
  </si>
  <si>
    <t>充电插座NTC故障</t>
  </si>
  <si>
    <t>BMS:充电插座NTC故障</t>
  </si>
  <si>
    <t>BMS:充电插座NTC故障(521365,12)</t>
  </si>
  <si>
    <t>交流充电正接触器无法闭合故障报警</t>
  </si>
  <si>
    <t>BMS:交流充电正接触器无法闭合</t>
  </si>
  <si>
    <t>BMS:交流充电正接触器无法闭合故障报警(521366,5)</t>
  </si>
  <si>
    <t>交流充电正接触器无法断开故障报警</t>
  </si>
  <si>
    <t>BMS:交流充电正接触器无法断开</t>
  </si>
  <si>
    <t>BMS:交流充电正接触器无法断开故障报警(521366,3)</t>
  </si>
  <si>
    <t>交流充电负接触器无法闭合故障报警</t>
  </si>
  <si>
    <t>BMS:交流充电负接触器无法闭合</t>
  </si>
  <si>
    <t>BMS:交流充电负接触器无法闭合故障报警(521367,5)</t>
  </si>
  <si>
    <t>交流充电负接触器无法断开故障报警</t>
  </si>
  <si>
    <t>BMS:交流充电负接触器无法断开</t>
  </si>
  <si>
    <t>BMS:交流充电负接触器无法断开故障报警(521367,3)</t>
  </si>
  <si>
    <t>从机组1一级故障</t>
  </si>
  <si>
    <t>BMS:从机组1一级故障(521415,0)</t>
  </si>
  <si>
    <t>加热膜加热回路故障</t>
  </si>
  <si>
    <t>BMS:加热膜加热回路故障(522138,0)</t>
  </si>
  <si>
    <t>充电绝缘阻值低</t>
  </si>
  <si>
    <t>BMS:充电绝缘阻值低(522139,1)</t>
  </si>
  <si>
    <t>ACAN通讯故障</t>
  </si>
  <si>
    <t>BMS:ACAN通讯故障(522140,9)</t>
  </si>
  <si>
    <t>插枪连接信号异常</t>
  </si>
  <si>
    <t>BMS:插枪连接信号异常(522141,9)</t>
  </si>
  <si>
    <t>充电时放电回路检测到电流</t>
  </si>
  <si>
    <t>BMS:充电时放电回路检测到电流(522142,0)</t>
  </si>
  <si>
    <t>电子锁故障</t>
  </si>
  <si>
    <t>BMS:电子锁故障(522143,5)</t>
  </si>
  <si>
    <t>火警探测器故障</t>
  </si>
  <si>
    <t>BMS:火警探测器故障(522144,5)</t>
  </si>
  <si>
    <t>Warning</t>
  </si>
  <si>
    <t>PECU</t>
  </si>
  <si>
    <t>TMS系统故障（水位传感器故障）</t>
  </si>
  <si>
    <t>换电系统:TMS系统故障(522240,5)</t>
  </si>
  <si>
    <t>V1.16修改</t>
  </si>
  <si>
    <t>温控机组故障（所有故障）</t>
  </si>
  <si>
    <t>换电系统:温控机组故障（522240，12）</t>
  </si>
  <si>
    <t>换电连接器过温故障</t>
  </si>
  <si>
    <t>换电系统:换电连接器过温故障(522241,16)</t>
  </si>
  <si>
    <t>换电连接器锁止故障</t>
  </si>
  <si>
    <t>换电系统:换电连接器锁止故障(522242,5)</t>
  </si>
  <si>
    <t>换电连接器连接故障</t>
  </si>
  <si>
    <t>换电系统:换电连接器连接故障(522243,5)</t>
  </si>
  <si>
    <t>换电系统:换电连接器过温故障(522244,0)</t>
  </si>
  <si>
    <t>换电控制器CAN信息超时</t>
  </si>
  <si>
    <t>换电系统:换电控制器CAN信息超时(522245,9)</t>
  </si>
  <si>
    <t>换电系统：换电连接器瞬断轻微故障</t>
  </si>
  <si>
    <t>15</t>
  </si>
  <si>
    <t>换电系统：换电连接器瞬断轻微故障（522243,15)</t>
  </si>
  <si>
    <t>不显示故障灯：</t>
  </si>
  <si>
    <t>V1.8_20220527新增</t>
  </si>
  <si>
    <t>换电系统：换电连接器瞬断一般故障</t>
  </si>
  <si>
    <t>522243</t>
  </si>
  <si>
    <t>16</t>
  </si>
  <si>
    <t>换电系统：换电连接器瞬断一般故障（522243,16)</t>
  </si>
  <si>
    <t>换电系统：换电连接器瞬断严重故障</t>
  </si>
  <si>
    <t>0</t>
  </si>
  <si>
    <t>换电系统：换电连接器瞬断严重故障（522243,0)</t>
  </si>
  <si>
    <t>换电系统：换电连接器过温轻微故障（522241，15）</t>
  </si>
  <si>
    <t>V1.9_20220530新增</t>
  </si>
  <si>
    <t>换电系统：换电连接器过温一般故障（522241，16）</t>
  </si>
  <si>
    <t>换电系统：换电连接器过温严重故障（522241，0）</t>
  </si>
  <si>
    <t>换电系统：换电连接器锁止故障（522242，7）</t>
  </si>
  <si>
    <t>换电连接器温感断线故障</t>
  </si>
  <si>
    <t>换电系统：换电连接器温感断线故障（522244，5）</t>
  </si>
  <si>
    <t>换电控制器自检故障</t>
  </si>
  <si>
    <t>换电系统：换电控制器自检故障（522239，12）</t>
  </si>
  <si>
    <t>换电控制器低压供电电压异常报警</t>
  </si>
  <si>
    <t>换电系统：24V供电异常（522238，13）</t>
  </si>
  <si>
    <t>换电系统电池箱不匹配</t>
  </si>
  <si>
    <t>换电系统：换电系统电池箱不匹配（522237，23）</t>
  </si>
  <si>
    <t>燃料电池回路预充或预检故障</t>
  </si>
  <si>
    <t>BMS：燃料电池回路故障（521313，7）</t>
  </si>
  <si>
    <t>V1.14_20230406新增</t>
  </si>
  <si>
    <t>燃料电池回路电流传感器故障</t>
  </si>
  <si>
    <t>BMS：燃料电池回路故障（521316，12）</t>
  </si>
  <si>
    <t>燃料电池回路接触器无法断开故障报警</t>
  </si>
  <si>
    <t>BMS：燃料电池回路故障（521314，3）</t>
  </si>
  <si>
    <t>燃料电池回路接触器无法闭合故障报警</t>
  </si>
  <si>
    <t>BMS：燃料电池回路故障（521315，5）</t>
  </si>
  <si>
    <t>DC-DC回路接触器无法断开故障报警</t>
  </si>
  <si>
    <t>BMS：DC-DC回路故障（521317，3）</t>
  </si>
  <si>
    <t>DC-DC回路接触器无法闭合故障报警</t>
  </si>
  <si>
    <t>BMS：DC-DC回路故障（521318，5）</t>
  </si>
  <si>
    <t>母线过压保护</t>
  </si>
  <si>
    <t>母线过压停机，高于最高工作电压（软件保护）</t>
  </si>
  <si>
    <t>母线过压停机，高于最高工作电压（硬件保护）</t>
  </si>
  <si>
    <t>母线欠压保护</t>
  </si>
  <si>
    <t>母线欠压停机，低于最低工作电压</t>
  </si>
  <si>
    <t>母线电流过流停机，软件保护</t>
  </si>
  <si>
    <t>母线电流过流停机，硬件保护</t>
  </si>
  <si>
    <t>电机转速超速保护，3300rpm≤n＜3600rpm</t>
  </si>
  <si>
    <t>MCU:电机转速超速报警保护(521702,16)</t>
  </si>
  <si>
    <t>20210625新增</t>
  </si>
  <si>
    <t>V1.6增加蜂鸣</t>
  </si>
  <si>
    <t>电机转速超速停机，n≥3600rpm</t>
  </si>
  <si>
    <t>MCU:电机转速超速停机保护(521702,0)</t>
  </si>
  <si>
    <t>20210625描述更改</t>
  </si>
  <si>
    <t>电机绕组过温保护</t>
  </si>
  <si>
    <t>电机绕组过温停机</t>
  </si>
  <si>
    <t>功率模块温度过温保护</t>
  </si>
  <si>
    <t>功率模块温度过温停机</t>
  </si>
  <si>
    <t>功率模块故障</t>
  </si>
  <si>
    <t>相电流过载，软件保护</t>
  </si>
  <si>
    <t>相电流过流，软件保护</t>
  </si>
  <si>
    <t>相电流过流，硬件保护，最严重等级</t>
  </si>
  <si>
    <t>24V供电电源过压，高于最高工作电压</t>
  </si>
  <si>
    <t>24V供电电源欠压，低于最低工作电压</t>
  </si>
  <si>
    <t>U相电流传感器零偏过大</t>
  </si>
  <si>
    <t>U相电流传感器与地短路、断线</t>
  </si>
  <si>
    <t>U相电流传感器与电源短路</t>
  </si>
  <si>
    <t>W相电流传感器零偏过大</t>
  </si>
  <si>
    <t>W相电流传感器与地短路、断线</t>
  </si>
  <si>
    <t>W相电流传感器与电源短路</t>
  </si>
  <si>
    <t>电机温度传感器断线</t>
  </si>
  <si>
    <r>
      <rPr>
        <sz val="10"/>
        <color rgb="FFFF0000"/>
        <rFont val="宋体"/>
        <charset val="134"/>
      </rPr>
      <t>电机温度传感器对地短路</t>
    </r>
    <r>
      <rPr>
        <sz val="10"/>
        <color rgb="FFFF0000"/>
        <rFont val="Arial"/>
        <charset val="134"/>
      </rPr>
      <t xml:space="preserve"> </t>
    </r>
  </si>
  <si>
    <r>
      <rPr>
        <sz val="10"/>
        <color rgb="FFFF0000"/>
        <rFont val="宋体"/>
        <charset val="134"/>
      </rPr>
      <t>控制器温度传感器断线</t>
    </r>
    <r>
      <rPr>
        <sz val="10"/>
        <color rgb="FFFF0000"/>
        <rFont val="Arial"/>
        <charset val="134"/>
      </rPr>
      <t xml:space="preserve"> </t>
    </r>
  </si>
  <si>
    <r>
      <rPr>
        <sz val="10"/>
        <color rgb="FFFF0000"/>
        <rFont val="宋体"/>
        <charset val="134"/>
      </rPr>
      <t>控制器温度传感器对地短路</t>
    </r>
    <r>
      <rPr>
        <sz val="10"/>
        <color rgb="FFFF0000"/>
        <rFont val="Arial"/>
        <charset val="134"/>
      </rPr>
      <t xml:space="preserve"> </t>
    </r>
  </si>
  <si>
    <t>控制器软件错误</t>
  </si>
  <si>
    <t>CAN通讯数据不连续或收不到，丢帧</t>
  </si>
  <si>
    <t>电机堵转</t>
  </si>
  <si>
    <t>10s之内同一故障出现3次</t>
  </si>
  <si>
    <t>UVW三相绝缘故障</t>
  </si>
  <si>
    <t>电压传感器信号超过最大范围</t>
  </si>
  <si>
    <t>IGBT温度传感器信号超过最大范围</t>
  </si>
  <si>
    <t>IGBT温度传感器信号超过最小范围</t>
  </si>
  <si>
    <t>电机温度传感器信号超过最大范围</t>
  </si>
  <si>
    <t>电机温度传感器信号超过最小范围</t>
  </si>
  <si>
    <t>转速传感器信号错误</t>
  </si>
  <si>
    <t>高压线路断路</t>
  </si>
  <si>
    <t>初始化的所有故障</t>
  </si>
  <si>
    <t>电流传感器偏移超出范围</t>
  </si>
  <si>
    <t>输出缺相故障</t>
  </si>
  <si>
    <t>转速偏差过大故障</t>
  </si>
  <si>
    <t>主动放电故障</t>
  </si>
  <si>
    <t>功能模块校核故障</t>
  </si>
  <si>
    <t>目标转矩异常增大故障</t>
  </si>
  <si>
    <t>电机零位偏差停机故障</t>
  </si>
  <si>
    <t>电机零位偏差限功率故障</t>
  </si>
  <si>
    <t>电机零位不一致故障</t>
  </si>
  <si>
    <t>估算转矩偏差停机故障</t>
  </si>
  <si>
    <t>估算转矩偏差报警故障</t>
  </si>
  <si>
    <t>操作顺序保护报警</t>
  </si>
  <si>
    <t>高速误挂挡保护报警</t>
  </si>
  <si>
    <t>油泵过压</t>
  </si>
  <si>
    <r>
      <rPr>
        <sz val="10"/>
        <color theme="1"/>
        <rFont val="Times New Roman"/>
        <charset val="134"/>
      </rPr>
      <t>MCU</t>
    </r>
    <r>
      <rPr>
        <sz val="10"/>
        <color theme="1"/>
        <rFont val="宋体"/>
        <charset val="134"/>
      </rPr>
      <t>：油泵过压（</t>
    </r>
    <r>
      <rPr>
        <sz val="10"/>
        <color theme="1"/>
        <rFont val="Times New Roman"/>
        <charset val="134"/>
      </rPr>
      <t>521736,3</t>
    </r>
    <r>
      <rPr>
        <sz val="10"/>
        <color theme="1"/>
        <rFont val="宋体"/>
        <charset val="134"/>
      </rPr>
      <t>）</t>
    </r>
  </si>
  <si>
    <t>V1.10_20220723新增</t>
  </si>
  <si>
    <t>油泵欠压</t>
  </si>
  <si>
    <r>
      <rPr>
        <sz val="10"/>
        <color theme="1"/>
        <rFont val="Times New Roman"/>
        <charset val="134"/>
      </rPr>
      <t>MCU</t>
    </r>
    <r>
      <rPr>
        <sz val="10"/>
        <color theme="1"/>
        <rFont val="宋体"/>
        <charset val="134"/>
      </rPr>
      <t>：油泵欠压（</t>
    </r>
    <r>
      <rPr>
        <sz val="10"/>
        <color theme="1"/>
        <rFont val="Times New Roman"/>
        <charset val="134"/>
      </rPr>
      <t>521736,4</t>
    </r>
    <r>
      <rPr>
        <sz val="10"/>
        <color theme="1"/>
        <rFont val="宋体"/>
        <charset val="134"/>
      </rPr>
      <t>）</t>
    </r>
  </si>
  <si>
    <t>V1.10_20220724新增</t>
  </si>
  <si>
    <t>油泵短路</t>
  </si>
  <si>
    <r>
      <rPr>
        <sz val="10"/>
        <color theme="1"/>
        <rFont val="Arial"/>
        <charset val="134"/>
      </rPr>
      <t>MCU</t>
    </r>
    <r>
      <rPr>
        <sz val="10"/>
        <color theme="1"/>
        <rFont val="宋体"/>
        <charset val="134"/>
      </rPr>
      <t>：油泵短路（</t>
    </r>
    <r>
      <rPr>
        <sz val="10"/>
        <color theme="1"/>
        <rFont val="Arial"/>
        <charset val="134"/>
      </rPr>
      <t>521736,22</t>
    </r>
    <r>
      <rPr>
        <sz val="10"/>
        <color theme="1"/>
        <rFont val="宋体"/>
        <charset val="134"/>
      </rPr>
      <t>）</t>
    </r>
  </si>
  <si>
    <t>V1.10_20220725新增</t>
  </si>
  <si>
    <t>油泵过流</t>
  </si>
  <si>
    <r>
      <rPr>
        <sz val="10"/>
        <color theme="1"/>
        <rFont val="Times New Roman"/>
        <charset val="134"/>
      </rPr>
      <t>MCU</t>
    </r>
    <r>
      <rPr>
        <sz val="10"/>
        <color theme="1"/>
        <rFont val="宋体"/>
        <charset val="134"/>
      </rPr>
      <t>：油泵过流（</t>
    </r>
    <r>
      <rPr>
        <sz val="10"/>
        <color theme="1"/>
        <rFont val="Times New Roman"/>
        <charset val="134"/>
      </rPr>
      <t>521736,6</t>
    </r>
    <r>
      <rPr>
        <sz val="10"/>
        <color theme="1"/>
        <rFont val="宋体"/>
        <charset val="134"/>
      </rPr>
      <t>）</t>
    </r>
  </si>
  <si>
    <t>V1.10_20220726新增</t>
  </si>
  <si>
    <t>油泵电机堵转</t>
  </si>
  <si>
    <r>
      <rPr>
        <sz val="10"/>
        <color theme="1"/>
        <rFont val="Times New Roman"/>
        <charset val="134"/>
      </rPr>
      <t>MCU</t>
    </r>
    <r>
      <rPr>
        <sz val="10"/>
        <color theme="1"/>
        <rFont val="宋体"/>
        <charset val="134"/>
      </rPr>
      <t>：油泵电机堵转（</t>
    </r>
    <r>
      <rPr>
        <sz val="10"/>
        <color theme="1"/>
        <rFont val="Times New Roman"/>
        <charset val="134"/>
      </rPr>
      <t>521736,7</t>
    </r>
    <r>
      <rPr>
        <sz val="10"/>
        <color theme="1"/>
        <rFont val="宋体"/>
        <charset val="134"/>
      </rPr>
      <t>）</t>
    </r>
  </si>
  <si>
    <t>V1.10_20220727新增</t>
  </si>
  <si>
    <t>油泵控制器过温</t>
  </si>
  <si>
    <r>
      <rPr>
        <sz val="10"/>
        <color theme="1"/>
        <rFont val="Times New Roman"/>
        <charset val="134"/>
      </rPr>
      <t>MCU</t>
    </r>
    <r>
      <rPr>
        <sz val="10"/>
        <color theme="1"/>
        <rFont val="宋体"/>
        <charset val="134"/>
      </rPr>
      <t>：油泵控制器过温（</t>
    </r>
    <r>
      <rPr>
        <sz val="10"/>
        <color theme="1"/>
        <rFont val="Times New Roman"/>
        <charset val="134"/>
      </rPr>
      <t>521736,16</t>
    </r>
    <r>
      <rPr>
        <sz val="10"/>
        <color theme="1"/>
        <rFont val="宋体"/>
        <charset val="134"/>
      </rPr>
      <t>）</t>
    </r>
  </si>
  <si>
    <t>V1.10_20220728新增</t>
  </si>
  <si>
    <t>油泵电机超速</t>
  </si>
  <si>
    <r>
      <rPr>
        <sz val="10"/>
        <color theme="1"/>
        <rFont val="Times New Roman"/>
        <charset val="134"/>
      </rPr>
      <t>MCU</t>
    </r>
    <r>
      <rPr>
        <sz val="10"/>
        <color theme="1"/>
        <rFont val="宋体"/>
        <charset val="134"/>
      </rPr>
      <t>：油泵电机超速（</t>
    </r>
    <r>
      <rPr>
        <sz val="10"/>
        <color theme="1"/>
        <rFont val="Times New Roman"/>
        <charset val="134"/>
      </rPr>
      <t>521736,0</t>
    </r>
    <r>
      <rPr>
        <sz val="10"/>
        <color theme="1"/>
        <rFont val="宋体"/>
        <charset val="134"/>
      </rPr>
      <t>）</t>
    </r>
  </si>
  <si>
    <t>V1.10_20220729新增</t>
  </si>
  <si>
    <t>FMI（DEC）</t>
  </si>
  <si>
    <t>电流检测故障</t>
  </si>
  <si>
    <t>控制器过载故障</t>
  </si>
  <si>
    <t>输出过流</t>
  </si>
  <si>
    <t>PT100短路</t>
  </si>
  <si>
    <t>PT100开路</t>
  </si>
  <si>
    <t>空压机:温度传感器断路故障(521809,5)</t>
  </si>
  <si>
    <t>空压机:温度传感器短路故障(521809,6)</t>
  </si>
  <si>
    <t>控制器过温故障</t>
  </si>
  <si>
    <t>控制器过温告警</t>
  </si>
  <si>
    <t>电机过温告警</t>
  </si>
  <si>
    <r>
      <rPr>
        <sz val="10"/>
        <rFont val="Arial"/>
        <charset val="134"/>
      </rPr>
      <t>EEPROM</t>
    </r>
    <r>
      <rPr>
        <sz val="10"/>
        <rFont val="宋体"/>
        <charset val="134"/>
      </rPr>
      <t>故障</t>
    </r>
  </si>
  <si>
    <t>对地短路</t>
  </si>
  <si>
    <t>速度偏差</t>
  </si>
  <si>
    <t>电机过载</t>
  </si>
  <si>
    <t>20210826修改</t>
  </si>
  <si>
    <r>
      <rPr>
        <sz val="11"/>
        <rFont val="宋体"/>
        <charset val="134"/>
        <scheme val="minor"/>
      </rPr>
      <t>超长时间输出报警</t>
    </r>
    <r>
      <rPr>
        <sz val="10"/>
        <rFont val="Times New Roman"/>
        <charset val="134"/>
      </rPr>
      <t xml:space="preserve"> </t>
    </r>
  </si>
  <si>
    <t>20210826新增</t>
  </si>
  <si>
    <r>
      <rPr>
        <sz val="11"/>
        <rFont val="宋体"/>
        <charset val="134"/>
        <scheme val="minor"/>
      </rPr>
      <t>通讯故障</t>
    </r>
    <r>
      <rPr>
        <sz val="10"/>
        <rFont val="Times New Roman"/>
        <charset val="134"/>
      </rPr>
      <t xml:space="preserve"> </t>
    </r>
  </si>
  <si>
    <r>
      <rPr>
        <sz val="11"/>
        <rFont val="宋体"/>
        <charset val="134"/>
        <scheme val="minor"/>
      </rPr>
      <t>压力开关故障</t>
    </r>
    <r>
      <rPr>
        <sz val="10"/>
        <rFont val="Times New Roman"/>
        <charset val="134"/>
      </rPr>
      <t xml:space="preserve"> </t>
    </r>
  </si>
  <si>
    <t>空压机:压力开关短路故障（521849，3）</t>
  </si>
  <si>
    <t>V1.20_20230920新增</t>
  </si>
  <si>
    <t>空压机：压力开关断路或制动系统漏气故障（521849，4）</t>
  </si>
  <si>
    <t>AMT类型</t>
  </si>
  <si>
    <t>法士特6E240；绿控4档；德纳；绿控6档</t>
  </si>
  <si>
    <t>TCU电源电压高</t>
  </si>
  <si>
    <t>AMT:TCU电源电压高(1378,1)</t>
  </si>
  <si>
    <t>TCU电源电压低</t>
  </si>
  <si>
    <t>AMT:TCU电源电压低(1378,2)</t>
  </si>
  <si>
    <t>绿控4档；德纳；绿控6档</t>
  </si>
  <si>
    <t>车速信号无效</t>
  </si>
  <si>
    <t>AMT:车速信号无效(1824,8)</t>
  </si>
  <si>
    <t>V1.25_20231213修正故障等级为B</t>
  </si>
  <si>
    <t>车速没有信号</t>
  </si>
  <si>
    <t>AMT:车速没有信号(1824,4)</t>
  </si>
  <si>
    <t>CAN收不到选档面板信号</t>
  </si>
  <si>
    <t>AMT:CAN收不到选档面板信号(54786,4)</t>
  </si>
  <si>
    <t>绿控4档；绿控6档</t>
  </si>
  <si>
    <t>换档位置传感器高于最大值</t>
  </si>
  <si>
    <t>AMT:换档位置传感器高于最大值(5953,1)</t>
  </si>
  <si>
    <t>换档位置传感器低于最小值</t>
  </si>
  <si>
    <t>AMT:换档位置传感器低于最小值(5953,2)</t>
  </si>
  <si>
    <t>绿控6档</t>
  </si>
  <si>
    <t>换档位置传感器信号无效</t>
  </si>
  <si>
    <t>AMT:换档位置传感器信号无效(5953,8)</t>
  </si>
  <si>
    <t>绿控4档</t>
  </si>
  <si>
    <t>选档位置传感器高于最大值</t>
  </si>
  <si>
    <t>AMT:选档位置传感器高于最大值(5954,1)</t>
  </si>
  <si>
    <t>选档位置传感器低于最小值</t>
  </si>
  <si>
    <t>AMT:选档位置传感器低于最小值(5954,2)</t>
  </si>
  <si>
    <t>选档位置传感器信号无效</t>
  </si>
  <si>
    <t>AMT:选档位置传感器信号无效(5954,8)</t>
  </si>
  <si>
    <t>选档执行机构卡死</t>
  </si>
  <si>
    <t>AMT:选档执行机构卡死(5969,8)</t>
  </si>
  <si>
    <t>换档执行机构卡死</t>
  </si>
  <si>
    <t>AMT:换档执行机构卡死(5971,8)</t>
  </si>
  <si>
    <t>1、2挡均换挡失败</t>
  </si>
  <si>
    <t>AMT:1、2挡均换挡失败(6208,8)</t>
  </si>
  <si>
    <t>上次断电异常</t>
  </si>
  <si>
    <t>AMT:上次断电异常(5990,8)</t>
  </si>
  <si>
    <t>V1.25_20231213修正FMI</t>
  </si>
  <si>
    <t>bois软件错误</t>
  </si>
  <si>
    <t>AMT:bois软件错误(5991,8)</t>
  </si>
  <si>
    <t>硬件错误</t>
  </si>
  <si>
    <t>AMT:硬件错误(5992,8)</t>
  </si>
  <si>
    <t>换挡数据或离合数据错误</t>
  </si>
  <si>
    <t>AMT:换挡数据或离合数据错误(5977,1)</t>
  </si>
  <si>
    <t>AMT:变速箱其他故障(153,0)</t>
  </si>
  <si>
    <t>法士特6E240；绿控6档</t>
  </si>
  <si>
    <t>传感器短路或取力器无法断开</t>
  </si>
  <si>
    <t>AMT:传感器短路或取力器无法断开(7670,4)</t>
  </si>
  <si>
    <t>传感器开路或取力器无法闭合</t>
  </si>
  <si>
    <t>AMT:传感器开路或取力器无法闭合(7670,5)</t>
  </si>
  <si>
    <t>法士特6E240</t>
  </si>
  <si>
    <t>一轴位移传感器故障</t>
  </si>
  <si>
    <t>AMT:一轴位移传感器故障(520200,7)</t>
  </si>
  <si>
    <t>二轴位移传感器故障</t>
  </si>
  <si>
    <t>AMT:二轴位移传感器故障(520201,7)</t>
  </si>
  <si>
    <t>三轴位移传感器故障</t>
  </si>
  <si>
    <t>AMT:三轴位移传感器故障(520202,7)</t>
  </si>
  <si>
    <t>一轴电磁阀故障</t>
  </si>
  <si>
    <t>AMT:一轴电磁阀故障(520203,7)</t>
  </si>
  <si>
    <t>二轴电磁阀故障</t>
  </si>
  <si>
    <t>AMT:二轴电磁阀故障(520204,7)</t>
  </si>
  <si>
    <t>三轴电磁阀故障</t>
  </si>
  <si>
    <t>AMT:三轴电磁阀故障(520205,7)</t>
  </si>
  <si>
    <t>输入轴转速传感器故障</t>
  </si>
  <si>
    <t>AMT:输入轴转速传感器故障(520206,7)</t>
  </si>
  <si>
    <t>输出轴转速传感器故障</t>
  </si>
  <si>
    <t>AMT:输出轴转速传感器故障(520207,7)</t>
  </si>
  <si>
    <t>整车CAN通讯故障</t>
  </si>
  <si>
    <t>AMT:整车CAN通讯故障(520208,7)</t>
  </si>
  <si>
    <t>电机CAN通讯故障</t>
  </si>
  <si>
    <t>AMT:电机CAN通讯故障(520209,7)</t>
  </si>
  <si>
    <t>挂挡失败故障</t>
  </si>
  <si>
    <t>AMT:挂挡失败故障(520213,7)</t>
  </si>
  <si>
    <t>TCU与VECU通讯故障</t>
  </si>
  <si>
    <t>AMT:TCU与VECU通讯故障(7649,1)</t>
  </si>
  <si>
    <t>TCU与MCU通讯故障</t>
  </si>
  <si>
    <t>AMT:TCU与MCU通讯故障(7649,2)</t>
  </si>
  <si>
    <t>车速传感器信号错误</t>
  </si>
  <si>
    <t>AMT:车速传感器信号错误(1824,1)</t>
  </si>
  <si>
    <t>V1.25_20231213修正文字描述</t>
  </si>
  <si>
    <t>坡道传感器通讯故障</t>
  </si>
  <si>
    <t>AMT:坡道传感器通讯故障(1810,2)</t>
  </si>
  <si>
    <t>坡道传感器未标定，信号异常</t>
  </si>
  <si>
    <t>AMT:坡道传感器未标定，信号异常(1810,11)</t>
  </si>
  <si>
    <t>坡道传感器故障故障或其线路故障</t>
  </si>
  <si>
    <t>AMT:坡道传感器故障故障或其线路故障(518310,12)</t>
  </si>
  <si>
    <t>加速度芯片故障</t>
  </si>
  <si>
    <t>AMT:加速度芯片故障(5997,12)</t>
  </si>
  <si>
    <t>坡度信号零位标定错误</t>
  </si>
  <si>
    <t>AMT:坡度信号零位标定错误(5997,13)</t>
  </si>
  <si>
    <t>取力器堵转报警</t>
  </si>
  <si>
    <t>AMT:取力器堵转报警(7673,7)</t>
  </si>
  <si>
    <t>停车取力有车速报警</t>
  </si>
  <si>
    <t>AMT:停车取力有车速报警(7673,15)</t>
  </si>
  <si>
    <t>取力器反转或转速超速</t>
  </si>
  <si>
    <t>AMT:取力器反转或转速超速(7673,16)</t>
  </si>
  <si>
    <t>AMT换挡清扭超时</t>
  </si>
  <si>
    <t>AMT:AMT换挡清扭超时(520213,5)</t>
  </si>
  <si>
    <t>AMT摘挡失败</t>
  </si>
  <si>
    <t>AMT:AMT摘挡失败(520213,6)</t>
  </si>
  <si>
    <t>AMT换挡调速超时</t>
  </si>
  <si>
    <t>AMT:AMT换挡调速超时(520213,8)</t>
  </si>
  <si>
    <t>AMT挂档失败</t>
  </si>
  <si>
    <t>AMT:AMT挂档失败(520213,9)</t>
  </si>
  <si>
    <t>AMT换挡还扭超时</t>
  </si>
  <si>
    <t>AMT:AMT换挡还扭超时(520213,10)</t>
  </si>
  <si>
    <t>电机响应超时</t>
  </si>
  <si>
    <t>AMT:电机响应超时(520213,16)</t>
  </si>
  <si>
    <t>摘空挡失败故障</t>
  </si>
  <si>
    <t>AMT:摘空挡失败故障(520214,7)</t>
  </si>
  <si>
    <t>变速箱油温过高停机</t>
  </si>
  <si>
    <t>AMT:变速箱油温过高停机(177,0)</t>
  </si>
  <si>
    <t>变速箱油温偏高报警</t>
  </si>
  <si>
    <t>AMT:变速箱油温偏高报警(177,16)</t>
  </si>
  <si>
    <t>油温传感器断路</t>
  </si>
  <si>
    <t>AMT:油温传感器断路(6031,4)</t>
  </si>
  <si>
    <t>油温传感器短路</t>
  </si>
  <si>
    <t>AMT:油温传感器短路(6031,3)</t>
  </si>
  <si>
    <t>变速箱档位速比异常-1档脱档或其它故障</t>
  </si>
  <si>
    <t>AMT:变速箱档位速比异常-1档脱档或其它故障(518389,7)</t>
  </si>
  <si>
    <t>变速箱档位速比异常-2档脱档或其它故障</t>
  </si>
  <si>
    <t>AMT:变速箱档位速比异常-2档脱档或其它故障(518390,7)</t>
  </si>
  <si>
    <t>变速箱档位速比异常-3档脱档或其它故障</t>
  </si>
  <si>
    <t>AMT:变速箱档位速比异常-3档脱档或其它故障(518391,7)</t>
  </si>
  <si>
    <t>变速箱档位速比异常-4档脱档或其它故障</t>
  </si>
  <si>
    <t>AMT:变速箱档位速比异常-4档脱档或其它故障(518392,7)</t>
  </si>
  <si>
    <t>V1.10修正</t>
  </si>
  <si>
    <t>变速箱档位速比异常-5档脱档或其它故障</t>
  </si>
  <si>
    <t>AMT:变速箱档位速比异常-5档脱档或其它故障(518393,7)</t>
  </si>
  <si>
    <t>变速箱档位速比异常-6档脱档或其它故障</t>
  </si>
  <si>
    <t>AMT:变速箱档位速比异常-6档脱档或其它故障(518394,7)</t>
  </si>
  <si>
    <t>变速箱档位速比异常-倒档脱档或其它故障</t>
  </si>
  <si>
    <t>AMT:变速箱档位速比异常-倒档脱档或其它故障(518395,7)</t>
  </si>
  <si>
    <t>AMT E方档位位移值无效，请重新自学习</t>
  </si>
  <si>
    <t>AMT:AMT E方档位位移值无效，请重新自学习(518332,13)</t>
  </si>
  <si>
    <t>正在自学习，请勿操作车辆</t>
  </si>
  <si>
    <t>AMT:正在自学习，请勿操作车辆(518332,14)</t>
  </si>
  <si>
    <t>换挡自学习失败，请重新进行自学习</t>
  </si>
  <si>
    <t>AMT:换挡自学习失败，请重新进行自学习(518333,13)</t>
  </si>
  <si>
    <t>换挡自学习完成</t>
  </si>
  <si>
    <t>AMT:换挡自学习完成(518333,14)</t>
  </si>
  <si>
    <t>车速传感器接线错误</t>
  </si>
  <si>
    <t>AMT:车速传感器故障(1824,1)</t>
  </si>
  <si>
    <t>V1.12_20221229新增 仅KT1D车型显示</t>
  </si>
  <si>
    <t>V1.24修正</t>
  </si>
  <si>
    <t>AMT:坡道传感器故障(1810,12)</t>
  </si>
  <si>
    <t>AMT:坡道传感器故障(1810,13)</t>
  </si>
  <si>
    <t>坡道传感器零位不匹配请重新标定</t>
  </si>
  <si>
    <t>AMT:坡道传感器故障(1810,14)</t>
  </si>
  <si>
    <t>加速度传感器未知故障</t>
  </si>
  <si>
    <t>AMT:坡道传感器故障(1810,4)</t>
  </si>
  <si>
    <t>自学习数据错误</t>
  </si>
  <si>
    <t>AMT:自学习数据错误(518332,11)</t>
  </si>
  <si>
    <t>取力器停车取力器有车速</t>
  </si>
  <si>
    <t>AMT:取力器故障(7670,6)</t>
  </si>
  <si>
    <t>取力器堵转</t>
  </si>
  <si>
    <t>AMT:取力器故障(7670,7)</t>
  </si>
  <si>
    <t>取力器闭合电机转速异常</t>
  </si>
  <si>
    <t>AMT:取力器故障(7670,8)</t>
  </si>
  <si>
    <t>德纳</t>
  </si>
  <si>
    <t>换挡电机回路开路</t>
  </si>
  <si>
    <t>AMT：换挡电机回路开路（522110，5）</t>
  </si>
  <si>
    <t>换挡电机故障</t>
  </si>
  <si>
    <t>AMT：换挡电机故障（522111，8）</t>
  </si>
  <si>
    <t>换挡电机电流偏大</t>
  </si>
  <si>
    <t>AMT：换挡电机电流偏大（522111，6）</t>
  </si>
  <si>
    <t>换挡电机动作与换挡位置方向不匹配</t>
  </si>
  <si>
    <t>AMT：换挡电机动作与换挡位置方向不匹配（522111，7）</t>
  </si>
  <si>
    <t>V1.25_20231213修正</t>
  </si>
  <si>
    <t>VCU CAN信号完全丢失故障</t>
  </si>
  <si>
    <t>AMT：VCU CAN信号完全丢失故障（522117，12）</t>
  </si>
  <si>
    <t>MCU CAN信号完全丢失故障</t>
  </si>
  <si>
    <t>AMT：MCU CAN信号完全丢失故障（522119，12）</t>
  </si>
  <si>
    <t>AMT：温度传感器故障（177，2）</t>
  </si>
  <si>
    <t>V1.20_20230828新增</t>
  </si>
  <si>
    <t>AMT：温度传感器故障（177，3）</t>
  </si>
  <si>
    <t>TCU程序配置错误</t>
  </si>
  <si>
    <t>AMT：TCU程序故障（7665,3）</t>
  </si>
  <si>
    <t>E2读取数据异常</t>
  </si>
  <si>
    <t>AMT：TCU程序故障(7669,1)</t>
  </si>
  <si>
    <t>取力器电磁阀开路故障</t>
  </si>
  <si>
    <t>AMT：取力器电磁阀开路故障（4178，5）</t>
  </si>
  <si>
    <t>V1.25_20231213新增</t>
  </si>
  <si>
    <t>取力器电磁阀短电故障</t>
  </si>
  <si>
    <t>AMT：取力器电磁阀短电故障（4178，3）</t>
  </si>
  <si>
    <t>取力器电磁阀短地故障</t>
  </si>
  <si>
    <t>AMT：取力器电磁阀短地故障（4178，4）</t>
  </si>
  <si>
    <t>TCU查询故障码失败</t>
  </si>
  <si>
    <t>AMT：TCU程序故障（7665，6）</t>
  </si>
  <si>
    <t xml:space="preserve">换档位置传感器高于最大值 </t>
  </si>
  <si>
    <t>AMT：换档位置传感器高于最大值 (5935,1)</t>
  </si>
  <si>
    <t xml:space="preserve">换档位置传感器低于最小值 </t>
  </si>
  <si>
    <t>AMT：换档位置传感器低于最小值 (5935,2)</t>
  </si>
  <si>
    <t>换挡位置传感器供电电压低于最小值</t>
  </si>
  <si>
    <t>AMT：换挡位置传感器供电电压低于最小值(5935,4)</t>
  </si>
  <si>
    <t>换挡位置传感器供电电压高于最大值</t>
  </si>
  <si>
    <t>AMT：换挡位置传感器供电电压高于最大值(5935,3)</t>
  </si>
  <si>
    <t>换档位置传感器信号抖动</t>
  </si>
  <si>
    <t>AMT：换档位置传感器信号抖动(5935,9)</t>
  </si>
  <si>
    <t>换档位置传感器信号歪曲</t>
  </si>
  <si>
    <t>AMT：换档位置传感器信号歪曲(5935,10)</t>
  </si>
  <si>
    <t xml:space="preserve">换档位置传感器信号无效 </t>
  </si>
  <si>
    <t>AMT：换档位置传感器信号无效 (5935,8)</t>
  </si>
  <si>
    <t>传动比不匹配</t>
  </si>
  <si>
    <t>AMT：传动比不匹配(1824,2)</t>
  </si>
  <si>
    <t xml:space="preserve">TCU自学习失败 </t>
  </si>
  <si>
    <t>AMT：TCU自学习失败 (522112,13)</t>
  </si>
  <si>
    <t>TCU自学习位置不合理</t>
  </si>
  <si>
    <t>AMT：TCU自学习位置不合理(522112,2)</t>
  </si>
  <si>
    <t>TCU自学习区间不合理</t>
  </si>
  <si>
    <t>AMT：TCU自学习区间不合理(522112,7)</t>
  </si>
  <si>
    <t>TCU自动标定超时</t>
  </si>
  <si>
    <t>AMT：TCU自动标定超时(522112,8)</t>
  </si>
  <si>
    <t>摘挡失败</t>
  </si>
  <si>
    <t>AMT：摘挡失败(6208,7)</t>
  </si>
  <si>
    <t>MCU扭矩响应失败</t>
  </si>
  <si>
    <t>AMT：MCU扭矩响应失败(522113,13)</t>
  </si>
  <si>
    <t>MCU转速响应失败</t>
  </si>
  <si>
    <t>AMT：MCU转速响应失败(522114,13)</t>
  </si>
  <si>
    <t>VCU CAN信号间歇性丢失故障</t>
  </si>
  <si>
    <t>AMT：VCU CAN信号间歇性丢失故障(522118,9)</t>
  </si>
  <si>
    <t>MCU CAN信号间歇性丢失故障</t>
  </si>
  <si>
    <t>AMT：MCU CAN信号间歇性丢失故障(522120,9)</t>
  </si>
  <si>
    <t>手柄CAN信号间歇性丢失故障</t>
  </si>
  <si>
    <t>AMT：手柄CAN信号间歇性丢失故障(522121,9)</t>
  </si>
  <si>
    <t>1挡传动粘滞故障</t>
  </si>
  <si>
    <t>AMT：1挡传动粘滞故障(522115,8)</t>
  </si>
  <si>
    <t>2挡传动粘滞故障</t>
  </si>
  <si>
    <t>AMT：2挡传动粘滞故障(522116,8)</t>
  </si>
  <si>
    <r>
      <rPr>
        <sz val="10"/>
        <color theme="1"/>
        <rFont val="宋体"/>
        <charset val="134"/>
      </rPr>
      <t>输出严重过压</t>
    </r>
    <r>
      <rPr>
        <sz val="10"/>
        <color theme="1"/>
        <rFont val="Arial"/>
        <charset val="134"/>
      </rPr>
      <t xml:space="preserve"> </t>
    </r>
  </si>
  <si>
    <t>输出过压</t>
  </si>
  <si>
    <t>DCDC:输出过压（521500,16)</t>
  </si>
  <si>
    <r>
      <rPr>
        <sz val="10"/>
        <color theme="1"/>
        <rFont val="宋体"/>
        <charset val="134"/>
      </rPr>
      <t>输出过流</t>
    </r>
    <r>
      <rPr>
        <sz val="10"/>
        <color theme="1"/>
        <rFont val="Arial"/>
        <charset val="134"/>
      </rPr>
      <t xml:space="preserve"> </t>
    </r>
  </si>
  <si>
    <t>DCDC:输出过流（521501,0)</t>
  </si>
  <si>
    <r>
      <rPr>
        <sz val="10"/>
        <color theme="1"/>
        <rFont val="宋体"/>
        <charset val="134"/>
      </rPr>
      <t>过温保护</t>
    </r>
    <r>
      <rPr>
        <sz val="10"/>
        <color theme="1"/>
        <rFont val="Arial"/>
        <charset val="134"/>
      </rPr>
      <t xml:space="preserve"> </t>
    </r>
  </si>
  <si>
    <t>DCDC:过温保护（521502,7)</t>
  </si>
  <si>
    <r>
      <rPr>
        <sz val="10"/>
        <color theme="1"/>
        <rFont val="宋体"/>
        <charset val="134"/>
      </rPr>
      <t>输入过压</t>
    </r>
    <r>
      <rPr>
        <sz val="10"/>
        <color theme="1"/>
        <rFont val="Arial"/>
        <charset val="134"/>
      </rPr>
      <t xml:space="preserve"> </t>
    </r>
  </si>
  <si>
    <t>DCDC:输入过压（521503,0)</t>
  </si>
  <si>
    <r>
      <rPr>
        <sz val="10"/>
        <color theme="1"/>
        <rFont val="宋体"/>
        <charset val="134"/>
      </rPr>
      <t>输入欠压</t>
    </r>
    <r>
      <rPr>
        <sz val="10"/>
        <color theme="1"/>
        <rFont val="Arial"/>
        <charset val="134"/>
      </rPr>
      <t xml:space="preserve"> </t>
    </r>
  </si>
  <si>
    <t>DCDC:输入欠压（521504,4)</t>
  </si>
  <si>
    <t>过温告警</t>
  </si>
  <si>
    <t>DCDC:过温告警（521505,3)</t>
  </si>
  <si>
    <r>
      <rPr>
        <sz val="10"/>
        <rFont val="宋体"/>
        <charset val="134"/>
      </rPr>
      <t>输出欠压</t>
    </r>
    <r>
      <rPr>
        <sz val="10"/>
        <rFont val="Arial"/>
        <charset val="134"/>
      </rPr>
      <t xml:space="preserve"> </t>
    </r>
  </si>
  <si>
    <t>DCDC:输出欠压 (521506,1)</t>
  </si>
  <si>
    <r>
      <rPr>
        <sz val="10"/>
        <rFont val="宋体"/>
        <charset val="134"/>
      </rPr>
      <t>通讯故障</t>
    </r>
    <r>
      <rPr>
        <sz val="10"/>
        <rFont val="Arial"/>
        <charset val="134"/>
      </rPr>
      <t xml:space="preserve"> </t>
    </r>
  </si>
  <si>
    <t>DCDC:通讯故障 (521507,12)</t>
  </si>
  <si>
    <t>模块故障</t>
  </si>
  <si>
    <t>DCDC:模块故障(521508,11)</t>
  </si>
  <si>
    <t>DCDC:模块故障(521508,7)</t>
  </si>
  <si>
    <r>
      <rPr>
        <sz val="10"/>
        <rFont val="宋体"/>
        <charset val="134"/>
      </rPr>
      <t>辅源欠压</t>
    </r>
    <r>
      <rPr>
        <sz val="10"/>
        <rFont val="Arial"/>
        <charset val="134"/>
      </rPr>
      <t xml:space="preserve"> </t>
    </r>
  </si>
  <si>
    <t>DCDC:辅源欠压 (521509,1)</t>
  </si>
  <si>
    <r>
      <rPr>
        <sz val="10"/>
        <rFont val="宋体"/>
        <charset val="134"/>
      </rPr>
      <t>辅源过压</t>
    </r>
    <r>
      <rPr>
        <sz val="10"/>
        <rFont val="Arial"/>
        <charset val="134"/>
      </rPr>
      <t xml:space="preserve"> </t>
    </r>
  </si>
  <si>
    <t>DCDC:辅源过压 (521509,0)</t>
  </si>
  <si>
    <t>输入过流</t>
  </si>
  <si>
    <t>DCDC:输入过流(521510,0)</t>
  </si>
  <si>
    <t>硬件保护故障</t>
  </si>
  <si>
    <t>DCDC:硬件保护故障(521511,0)</t>
  </si>
  <si>
    <t>输出反向过流</t>
  </si>
  <si>
    <t>DCDC:输出反向过流(521512,0)</t>
  </si>
  <si>
    <t>DCDC:EEPROM故障(521513,12)</t>
  </si>
  <si>
    <t>输出过载</t>
  </si>
  <si>
    <t>DCDC:输出过载(521514,16)</t>
  </si>
  <si>
    <t>软启动失败</t>
  </si>
  <si>
    <t>DCDC:软启动失败(521515,7)</t>
  </si>
  <si>
    <t>输出短路</t>
  </si>
  <si>
    <t>负载电容过大</t>
  </si>
  <si>
    <t>外部输入高压失电超过3S</t>
  </si>
  <si>
    <t>预充高压压差过大</t>
  </si>
  <si>
    <t>预充失败</t>
  </si>
  <si>
    <t>V1.7_20220419删除，替换成序号6描述</t>
  </si>
  <si>
    <r>
      <rPr>
        <sz val="10"/>
        <rFont val="宋体"/>
        <charset val="134"/>
      </rPr>
      <t>主驱接触器预充失败</t>
    </r>
    <r>
      <rPr>
        <sz val="10"/>
        <rFont val="Arial"/>
        <charset val="134"/>
      </rPr>
      <t xml:space="preserve"> </t>
    </r>
  </si>
  <si>
    <t>辅驱接触器预充失败</t>
  </si>
  <si>
    <t>上装接触器预充失败</t>
  </si>
  <si>
    <t>MCU欠压复位</t>
  </si>
  <si>
    <t>red</t>
  </si>
  <si>
    <t>低压电控制失电</t>
  </si>
  <si>
    <t>曾有禁止信号</t>
  </si>
  <si>
    <t>高压输入异常</t>
  </si>
  <si>
    <t>主接触器无法断开</t>
  </si>
  <si>
    <t>主接触器无法闭合</t>
  </si>
  <si>
    <t xml:space="preserve">辅驱接触器无法断开 </t>
  </si>
  <si>
    <t>20211227新增</t>
  </si>
  <si>
    <t>辅驱接触器无法闭合</t>
  </si>
  <si>
    <t xml:space="preserve">通讯故障 </t>
  </si>
  <si>
    <t xml:space="preserve">其他接触器粘连 </t>
  </si>
  <si>
    <t>上装用电硬线请求丢失</t>
  </si>
  <si>
    <t>初始化故障</t>
  </si>
  <si>
    <t>主驱回路带转速上电故障</t>
  </si>
  <si>
    <t>主驱回路上电反向压差大</t>
  </si>
  <si>
    <t>辅驱回路上电反向压差大</t>
  </si>
  <si>
    <t>上装回路上电反向压差大</t>
  </si>
  <si>
    <t>仪表显示</t>
  </si>
  <si>
    <t>ABS:制动压力传感器1/2标定错误</t>
  </si>
  <si>
    <t>ABS:制动压力传感器未标定（1066,13）</t>
  </si>
  <si>
    <t>V1.23更新</t>
  </si>
  <si>
    <t>ABS:转向角度传感器标定错误</t>
  </si>
  <si>
    <t>ABS:SAS传感器未标定(1807,13)</t>
  </si>
  <si>
    <t>ABS:横摆角度传感器标定错误</t>
  </si>
  <si>
    <t>ABS:ESC传感器未标定(1808,13)</t>
  </si>
  <si>
    <t>ABS:横向加速度传感器标定错误</t>
  </si>
  <si>
    <t>ABS:ESC传感器未标定(1809,13)</t>
  </si>
  <si>
    <t>系统源</t>
  </si>
  <si>
    <t>中文描述(全称)</t>
  </si>
  <si>
    <t>EBS:ECU故障(260,0)</t>
  </si>
  <si>
    <t>EBS:(260,0)</t>
  </si>
  <si>
    <t>EBS:ECU故障(261,0)</t>
  </si>
  <si>
    <t>EBS:(261,0)</t>
  </si>
  <si>
    <t>EBS:ECU故障(262,0)</t>
  </si>
  <si>
    <t>EBS:(262,0)</t>
  </si>
  <si>
    <t>EBS:ECU故障(265,0)</t>
  </si>
  <si>
    <t>EBS:(265,0)</t>
  </si>
  <si>
    <t>EBS:ECU故障(273,0)</t>
  </si>
  <si>
    <t>EBS:(273,0)</t>
  </si>
  <si>
    <t>EBS:ECU故障(274,0)</t>
  </si>
  <si>
    <t>EBS:(274,0)</t>
  </si>
  <si>
    <t>EBS:ECU故障(412,0)</t>
  </si>
  <si>
    <t>EBS:(412,0)</t>
  </si>
  <si>
    <t>EBS:ECU故障(415,0)</t>
  </si>
  <si>
    <t>EBS:(415,0)</t>
  </si>
  <si>
    <t>EBS:ECU故障(420,0)</t>
  </si>
  <si>
    <t>EBS:(420,0)</t>
  </si>
  <si>
    <t>EBS:ECU故障(423,0)</t>
  </si>
  <si>
    <t>EBS:(423,0)</t>
  </si>
  <si>
    <t>EBS:ECU故障(424,0)</t>
  </si>
  <si>
    <t>EBS:(424,0)</t>
  </si>
  <si>
    <t>EBS:ECU故障(425,0)</t>
  </si>
  <si>
    <t>EBS:(425,0)</t>
  </si>
  <si>
    <t>EBS:ECU故障(517,0)</t>
  </si>
  <si>
    <t>EBS:(517,0)</t>
  </si>
  <si>
    <t>EBS:ECU故障(518,0)</t>
  </si>
  <si>
    <t>EBS:(518,0)</t>
  </si>
  <si>
    <t>EBS:ECU故障(521,0)</t>
  </si>
  <si>
    <t>EBS:(521,0)</t>
  </si>
  <si>
    <t>EBS:ECU故障(530,0)</t>
  </si>
  <si>
    <t>EBS:(530,0)</t>
  </si>
  <si>
    <t>EBS:EBS系统故障(567,0)</t>
  </si>
  <si>
    <t>EBS:(567,0)</t>
  </si>
  <si>
    <t>EBS:ECU故障或软件不匹配(668,0)</t>
  </si>
  <si>
    <t>EBS:(668,0)</t>
  </si>
  <si>
    <t>EBS:ECU故障(671,0)</t>
  </si>
  <si>
    <t>EBS:(671,0)</t>
  </si>
  <si>
    <t>EBS:ECU故障(674,0)</t>
  </si>
  <si>
    <t>EBS:(674,0)</t>
  </si>
  <si>
    <t>EBS:ECU故障(675,0)</t>
  </si>
  <si>
    <t>EBS:(675,0)</t>
  </si>
  <si>
    <t>EBS:ECU故障(692,0)</t>
  </si>
  <si>
    <t>EBS:(692,0)</t>
  </si>
  <si>
    <t>EBS:ECU故障(693,0)</t>
  </si>
  <si>
    <t>EBS:(693,0)</t>
  </si>
  <si>
    <t>EBS:ECU故障(694,0)</t>
  </si>
  <si>
    <t>EBS:(694,0)</t>
  </si>
  <si>
    <t>EBS:ECU故障(695,0)</t>
  </si>
  <si>
    <t>EBS:(695,0)</t>
  </si>
  <si>
    <t>EBS:ECU故障(697,0)</t>
  </si>
  <si>
    <t>EBS:(697,0)</t>
  </si>
  <si>
    <t>EBS:ECU故障(698,0)</t>
  </si>
  <si>
    <t>EBS:(698,0)</t>
  </si>
  <si>
    <t>EBS:ECU故障(699,0)</t>
  </si>
  <si>
    <t>EBS:(699,0)</t>
  </si>
  <si>
    <t>EBS:ECU故障(700,0)</t>
  </si>
  <si>
    <t>EBS:(700,0)</t>
  </si>
  <si>
    <t>EBS:ECU故障(774,0)</t>
  </si>
  <si>
    <t>EBS:(774,0)</t>
  </si>
  <si>
    <t>EBS:ECU故障(927,0)</t>
  </si>
  <si>
    <t>EBS:(927,0)</t>
  </si>
  <si>
    <t>EBS:ECU故障(928,0)</t>
  </si>
  <si>
    <t>EBS:(928,0)</t>
  </si>
  <si>
    <t>EBS:ECU故障(929,0)</t>
  </si>
  <si>
    <t>EBS:(929,0)</t>
  </si>
  <si>
    <t>EBS:ECU故障(930,0)</t>
  </si>
  <si>
    <t>EBS:(930,0)</t>
  </si>
  <si>
    <t>EBS:ECU故障(933,0)</t>
  </si>
  <si>
    <t>EBS:(933,0)</t>
  </si>
  <si>
    <t>EBS:ECU故障(957,0)</t>
  </si>
  <si>
    <t>EBS:(957,0)</t>
  </si>
  <si>
    <t>EBS:ECU故障(958,0)</t>
  </si>
  <si>
    <t>EBS:(958,0)</t>
  </si>
  <si>
    <t>EBS:ECU故障(959,0)</t>
  </si>
  <si>
    <t>EBS:(959,0)</t>
  </si>
  <si>
    <t>EBS:ECU故障(960,0)</t>
  </si>
  <si>
    <t>EBS:(960,0)</t>
  </si>
  <si>
    <t>EBS:ECU故障(961,0)</t>
  </si>
  <si>
    <t>EBS:(961,0)</t>
  </si>
  <si>
    <t>EBS:ECU故障(962,0)</t>
  </si>
  <si>
    <t>EBS:(962,0)</t>
  </si>
  <si>
    <t>EBS:ECU故障(1038,0)</t>
  </si>
  <si>
    <t>EBS:(1038,0)</t>
  </si>
  <si>
    <t>EBS:ECU故障(1041,0)</t>
  </si>
  <si>
    <t>EBS:(1041,0)</t>
  </si>
  <si>
    <t>EBS:ECU故障(1042,0)</t>
  </si>
  <si>
    <t>EBS:(1042,0)</t>
  </si>
  <si>
    <t>EBS:ECU故障(1294,0)</t>
  </si>
  <si>
    <t>EBS:(1294,0)</t>
  </si>
  <si>
    <t>EBS:ECU故障(1297,0)</t>
  </si>
  <si>
    <t>EBS:(1297,0)</t>
  </si>
  <si>
    <t>EBS:ECU故障(1298,0)</t>
  </si>
  <si>
    <t>EBS:(1298,0)</t>
  </si>
  <si>
    <t>EBS:ECU故障(1537,0)</t>
  </si>
  <si>
    <t>EBS:(1537,0)</t>
  </si>
  <si>
    <t>EBS:ECU故障(1626,0)</t>
  </si>
  <si>
    <t>EBS:(1626,0)</t>
  </si>
  <si>
    <t>EBS:ECU故障(1627,0)</t>
  </si>
  <si>
    <t>EBS:(1627,0)</t>
  </si>
  <si>
    <t>EBS:ECU故障(1628,0)</t>
  </si>
  <si>
    <t>EBS:(1628,0)</t>
  </si>
  <si>
    <t>EBS:ECU故障(1630,0)</t>
  </si>
  <si>
    <t>EBS:(1630,0)</t>
  </si>
  <si>
    <t>EBS:ECU故障(1631,0)</t>
  </si>
  <si>
    <t>EBS:(1631,0)</t>
  </si>
  <si>
    <t>EBS:ECU故障(1634,0)</t>
  </si>
  <si>
    <t>EBS:(1634,0)</t>
  </si>
  <si>
    <t>EBS:ECU故障(1636,0)</t>
  </si>
  <si>
    <t>EBS:(1636,0)</t>
  </si>
  <si>
    <t>EBS:ECU故障(1637,0)</t>
  </si>
  <si>
    <t>EBS:(1637,0)</t>
  </si>
  <si>
    <t>EBS:ECU故障(1638,0)</t>
  </si>
  <si>
    <t>EBS:(1638,0)</t>
  </si>
  <si>
    <t>EBS:ECU故障(1639,0)</t>
  </si>
  <si>
    <t>EBS:(1639,0)</t>
  </si>
  <si>
    <t>EBS:ECU故障(1645,0)</t>
  </si>
  <si>
    <t>EBS:(1645,0)</t>
  </si>
  <si>
    <t>EBS:ECU故障(1646,0)</t>
  </si>
  <si>
    <t>EBS:(1646,0)</t>
  </si>
  <si>
    <t>EBS:ECU故障(1647,0)</t>
  </si>
  <si>
    <t>EBS:(1647,0)</t>
  </si>
  <si>
    <t>EBS:ECU故障(1656,0)</t>
  </si>
  <si>
    <t>EBS:(1656,0)</t>
  </si>
  <si>
    <t>EBS:ECU故障(1657,0)</t>
  </si>
  <si>
    <t>EBS:(1657,0)</t>
  </si>
  <si>
    <t>EBS:ECU故障(1658,0)</t>
  </si>
  <si>
    <t>EBS:(1658,0)</t>
  </si>
  <si>
    <t>EBS:ECU故障(1660,0)</t>
  </si>
  <si>
    <t>EBS:(1660,0)</t>
  </si>
  <si>
    <t>EBS:ECU故障(1661,0)</t>
  </si>
  <si>
    <t>EBS:(1661,0)</t>
  </si>
  <si>
    <t>EBS:ECU故障(1664,0)</t>
  </si>
  <si>
    <t>EBS:(1664,0)</t>
  </si>
  <si>
    <t>EBS:ECU故障(1666,0)</t>
  </si>
  <si>
    <t>EBS:(1666,0)</t>
  </si>
  <si>
    <t>EBS:ECU故障(1667,0)</t>
  </si>
  <si>
    <t>EBS:(1667,0)</t>
  </si>
  <si>
    <t>EBS:ECU故障(1668,0)</t>
  </si>
  <si>
    <t>EBS:(1668,0)</t>
  </si>
  <si>
    <t>EBS:ECU故障(1669,0)</t>
  </si>
  <si>
    <t>EBS:(1669,0)</t>
  </si>
  <si>
    <t>EBS:ECU故障(1675,0)</t>
  </si>
  <si>
    <t>EBS:(1675,0)</t>
  </si>
  <si>
    <t>EBS:ECU故障(1676,0)</t>
  </si>
  <si>
    <t>EBS:(1676,0)</t>
  </si>
  <si>
    <t>EBS:ECU故障(1678,0)</t>
  </si>
  <si>
    <t>EBS:(1678,0)</t>
  </si>
  <si>
    <t>EBS:ECU故障(1680,0)</t>
  </si>
  <si>
    <t>EBS:(1680,0)</t>
  </si>
  <si>
    <t>EBS:ECU故障(1806,0)</t>
  </si>
  <si>
    <t>EBS:(1806,0)</t>
  </si>
  <si>
    <t>EBS:ECU故障(1811,0)</t>
  </si>
  <si>
    <t>EBS:(1811,0)</t>
  </si>
  <si>
    <t>EBS:ECU故障(1851,0)</t>
  </si>
  <si>
    <t>EBS:(1851,0)</t>
  </si>
  <si>
    <t>EBS:ECU故障(2573,0)</t>
  </si>
  <si>
    <t>EBS:(2573,0)</t>
  </si>
  <si>
    <t>EBS:挂车CAN通讯故障(3161,0)</t>
  </si>
  <si>
    <t>EBS:(3161,0)</t>
  </si>
  <si>
    <t>EBS:内部CAN通讯故障(3586,0)</t>
  </si>
  <si>
    <t>EBS:(3586,0)</t>
  </si>
  <si>
    <t>EBS:内部CAN通讯故障(3594,0)</t>
  </si>
  <si>
    <t>EBS:(3594,0)</t>
  </si>
  <si>
    <t>EBS:内部CAN通讯故障(3597,0)</t>
  </si>
  <si>
    <t>EBS:(3597,0)</t>
  </si>
  <si>
    <t>EBS:内部CAN通讯故障(3598,0)</t>
  </si>
  <si>
    <t>EBS:(3598,0)</t>
  </si>
  <si>
    <t>EBS:内部CAN通讯故障(3853,0)</t>
  </si>
  <si>
    <t>EBS:(3853,0)</t>
  </si>
  <si>
    <t>EBS:ECU故障(4953,0)</t>
  </si>
  <si>
    <t>EBS:(4953,0)</t>
  </si>
  <si>
    <t>EBS:电磁阀或线路故障(7968,0)</t>
  </si>
  <si>
    <t>EBS:(7968,0)</t>
  </si>
  <si>
    <t>EBS:电磁阀或线路故障(8224,0)</t>
  </si>
  <si>
    <t>EBS:(8224,0)</t>
  </si>
  <si>
    <t>EBS:电磁阀或线路故障(8480,0)</t>
  </si>
  <si>
    <t>EBS:(8480,0)</t>
  </si>
  <si>
    <t>EBS:电磁阀或线路故障(8736,0)</t>
  </si>
  <si>
    <t>EBS:(8736,0)</t>
  </si>
  <si>
    <t>EBS:电磁阀或线路故障(8992,0)</t>
  </si>
  <si>
    <t>EBS:(8992,0)</t>
  </si>
  <si>
    <t>EBS:电磁阀或线路故障(9216,0)</t>
  </si>
  <si>
    <t>EBS:(9216,0)</t>
  </si>
  <si>
    <t>EBS:转向角度传感器未标定(13056,0)</t>
  </si>
  <si>
    <t>EBS:(13056,0)</t>
  </si>
  <si>
    <t>EBS:横摆率传感器异常(13312,0)</t>
  </si>
  <si>
    <t>EBS:(13312,0)</t>
  </si>
  <si>
    <t>EBS:气压传感器供电电压低(14614,0)</t>
  </si>
  <si>
    <t>EBS:(14614,0)</t>
  </si>
  <si>
    <t>EBS:脚阀故障(15386,0)</t>
  </si>
  <si>
    <t>EBS:(15386,0)</t>
  </si>
  <si>
    <t>EBS:脚阀故障(15395,0)</t>
  </si>
  <si>
    <t>EBS:(15395,0)</t>
  </si>
  <si>
    <t>EBS:脚阀故障(15410,0)</t>
  </si>
  <si>
    <t>EBS:(15410,0)</t>
  </si>
  <si>
    <t>EBS:脚阀故障(15638,0)</t>
  </si>
  <si>
    <t>EBS:(15638,0)</t>
  </si>
  <si>
    <t>EBS:脚阀故障(15639,0)</t>
  </si>
  <si>
    <t>EBS:(15639,0)</t>
  </si>
  <si>
    <t>EBS:脚阀故障(15894,0)</t>
  </si>
  <si>
    <t>EBS:(15894,0)</t>
  </si>
  <si>
    <t>EBS:脚阀故障(15895,0)</t>
  </si>
  <si>
    <t>EBS:(15895,0)</t>
  </si>
  <si>
    <t>EBS:脚阀故障(16660,0)</t>
  </si>
  <si>
    <t>EBS:(16660,0)</t>
  </si>
  <si>
    <t>EBS:脚阀故障(16661,0)</t>
  </si>
  <si>
    <t>EBS:(16661,0)</t>
  </si>
  <si>
    <t>EBS:ECU内部故障(17153,0)</t>
  </si>
  <si>
    <t>EBS:(17153,0)</t>
  </si>
  <si>
    <t>EBS:EPM配置错误或线束故障(18432,0)</t>
  </si>
  <si>
    <t>EBS:(18432,0)</t>
  </si>
  <si>
    <t>EBS:EPM配置错误(18588,0)</t>
  </si>
  <si>
    <t>EBS:(18588,0)</t>
  </si>
  <si>
    <t>EBS:EPM故障(18589,0)</t>
  </si>
  <si>
    <t>EBS:(18589,0)</t>
  </si>
  <si>
    <t>EBS:EPM故障(18592,0)</t>
  </si>
  <si>
    <t>EBS:(18592,0)</t>
  </si>
  <si>
    <t>EBS:ECU配置错误(18689,0)</t>
  </si>
  <si>
    <t>EBS:(18689,0)</t>
  </si>
  <si>
    <t>EBS:ECU内部故障(18738,0)</t>
  </si>
  <si>
    <t>EBS:(18738,0)</t>
  </si>
  <si>
    <t>EBS:挂车阀未配置(24576,0)</t>
  </si>
  <si>
    <t>EBS:(24576,0)</t>
  </si>
  <si>
    <t>EBS:线路故障(25088,0)</t>
  </si>
  <si>
    <t>EBS:(25088,0)</t>
  </si>
  <si>
    <t>EBS:轮速传感器故障(25600,0)</t>
  </si>
  <si>
    <t>EBS:(25600,0)</t>
  </si>
  <si>
    <t>EBS:轮速传感器故障(25856,0)</t>
  </si>
  <si>
    <t>EBS:(25856,0)</t>
  </si>
  <si>
    <t>EBS:轮速传感器故障(26112,0)</t>
  </si>
  <si>
    <t>EBS:(26112,0)</t>
  </si>
  <si>
    <t>EBS:轮速传感器故障(26368,0)</t>
  </si>
  <si>
    <t>EBS:(26368,0)</t>
  </si>
  <si>
    <t>EBS:轮速传感器故障(26624,0)</t>
  </si>
  <si>
    <t>EBS:(26624,0)</t>
  </si>
  <si>
    <t>EBS:轮速传感器故障(26880,0)</t>
  </si>
  <si>
    <t>EBS:(26880,0)</t>
  </si>
  <si>
    <t>EBS:轮速传感器故障(27136,0)</t>
  </si>
  <si>
    <t>EBS:(27136,0)</t>
  </si>
  <si>
    <t>EBS:轮速传感器故障(27392,0)</t>
  </si>
  <si>
    <t>EBS:(27392,0)</t>
  </si>
  <si>
    <t>EBS:轮速传感器故障(27648,0)</t>
  </si>
  <si>
    <t>EBS:(27648,0)</t>
  </si>
  <si>
    <t>EBS:轮速传感器故障(27904,0)</t>
  </si>
  <si>
    <t>EBS:(27904,0)</t>
  </si>
  <si>
    <t>EBS:EPM故障(25645,0)</t>
  </si>
  <si>
    <t>EBS:(25645,0)</t>
  </si>
  <si>
    <t>EBS:EPM故障(25901,0)</t>
  </si>
  <si>
    <t>EBS:(25901,0)</t>
  </si>
  <si>
    <t>EBS:EPM故障(26157,0)</t>
  </si>
  <si>
    <t>EBS:(26157,0)</t>
  </si>
  <si>
    <t>EBS:EPM故障(26413,0)</t>
  </si>
  <si>
    <t>EBS:(26413,0)</t>
  </si>
  <si>
    <t>EBS:EPM故障(26669,0)</t>
  </si>
  <si>
    <t>EBS:(26669,0)</t>
  </si>
  <si>
    <t>EBS:EPM故障(26925,0)</t>
  </si>
  <si>
    <t>EBS:(26925,0)</t>
  </si>
  <si>
    <t>EBS:EPM故障(27181,0)</t>
  </si>
  <si>
    <t>EBS:(27181,0)</t>
  </si>
  <si>
    <t>EBS:EPM故障(27437,0)</t>
  </si>
  <si>
    <t>EBS:(27437,0)</t>
  </si>
  <si>
    <t>EBS:EPM故障(27693,0)</t>
  </si>
  <si>
    <t>EBS:(27693,0)</t>
  </si>
  <si>
    <t>EBS:EPM故障(27949,0)</t>
  </si>
  <si>
    <t>EBS:(27949,0)</t>
  </si>
  <si>
    <t>EBS:EPM故障(33283,0)</t>
  </si>
  <si>
    <t>EBS:(33283,0)</t>
  </si>
  <si>
    <t>EBS:EPM故障(33539,0)</t>
  </si>
  <si>
    <t>EBS:(33539,0)</t>
  </si>
  <si>
    <t>EBS:EPM故障(33795,0)</t>
  </si>
  <si>
    <t>EBS:(33795,0)</t>
  </si>
  <si>
    <t>EBS:EPM故障(34051,0)</t>
  </si>
  <si>
    <t>EBS:(34051,0)</t>
  </si>
  <si>
    <t>EBS:EPM故障(34307,0)</t>
  </si>
  <si>
    <t>EBS:(34307,0)</t>
  </si>
  <si>
    <t>EBS:EPM故障(34563,0)</t>
  </si>
  <si>
    <t>EBS:(34563,0)</t>
  </si>
  <si>
    <t>EBS:EPM故障(34819,0)</t>
  </si>
  <si>
    <t>EBS:(34819,0)</t>
  </si>
  <si>
    <t>EBS:EPM故障(35075,0)</t>
  </si>
  <si>
    <t>EBS:(35075,0)</t>
  </si>
  <si>
    <t>EBS:EPM故障(35331,0)</t>
  </si>
  <si>
    <t>EBS:(35331,0)</t>
  </si>
  <si>
    <t>EBS:EPM故障(35587,4)</t>
  </si>
  <si>
    <t>EBS:(35587,0)</t>
  </si>
  <si>
    <t>EBS:EPM故障(33287,0)</t>
  </si>
  <si>
    <t>EBS:(33287,0)</t>
  </si>
  <si>
    <t>EBS:EPM故障(33543,0)</t>
  </si>
  <si>
    <t>EBS:(33543,0)</t>
  </si>
  <si>
    <t>EBS:EPM故障(33799,0)</t>
  </si>
  <si>
    <t>EBS:(33799,0)</t>
  </si>
  <si>
    <t>EBS:EPM故障(34055,0)</t>
  </si>
  <si>
    <t>EBS:(34055,0)</t>
  </si>
  <si>
    <t>EBS:EPM故障(34311,0)</t>
  </si>
  <si>
    <t>EBS:(34311,0)</t>
  </si>
  <si>
    <t>EBS:EPM故障(34567,0)</t>
  </si>
  <si>
    <t>EBS:(34567,0)</t>
  </si>
  <si>
    <t>EBS:EPM故障(34823,0)</t>
  </si>
  <si>
    <t>EBS:(34823,0)</t>
  </si>
  <si>
    <t>EBS:EPM故障(35079,0)</t>
  </si>
  <si>
    <t>EBS:(35079,0)</t>
  </si>
  <si>
    <t>EBS:EPM故障(35335,0)</t>
  </si>
  <si>
    <t>EBS:(35335,0)</t>
  </si>
  <si>
    <t>EBS:EPM故障(35591,0)</t>
  </si>
  <si>
    <t>EBS:(35591,0)</t>
  </si>
  <si>
    <t>EBS:EPM故障(33289,0)</t>
  </si>
  <si>
    <t>EBS:(33289,0)</t>
  </si>
  <si>
    <t>EBS:EPM故障(33545,0)</t>
  </si>
  <si>
    <t>EBS:(33545,0)</t>
  </si>
  <si>
    <t>EBS:EPM故障(33801,0)</t>
  </si>
  <si>
    <t>EBS:(33801,0)</t>
  </si>
  <si>
    <t>EBS:EPM故障(34057,0)</t>
  </si>
  <si>
    <t>EBS:(34057,0)</t>
  </si>
  <si>
    <t>EBS:EPM故障(34313,0)</t>
  </si>
  <si>
    <t>EBS:(34313,0)</t>
  </si>
  <si>
    <t>EBS:EPM故障(34569,0)</t>
  </si>
  <si>
    <t>EBS:(34569,0)</t>
  </si>
  <si>
    <t>EBS:EPM故障(34825,0)</t>
  </si>
  <si>
    <t>EBS:(34825,0)</t>
  </si>
  <si>
    <t>EBS:EPM故障(35081,0)</t>
  </si>
  <si>
    <t>EBS:(35081,0)</t>
  </si>
  <si>
    <t>EBS:EPM故障(35337,0)</t>
  </si>
  <si>
    <t>EBS:(35337,0)</t>
  </si>
  <si>
    <t>EBS:EPM故障(35593,0)</t>
  </si>
  <si>
    <t>EBS:(35593,0)</t>
  </si>
  <si>
    <t>EBS:EPM故障(33325,0)</t>
  </si>
  <si>
    <t>EBS:(33325,0)</t>
  </si>
  <si>
    <t>EBS:EPM故障(33581,0)</t>
  </si>
  <si>
    <t>EBS:(33581,0)</t>
  </si>
  <si>
    <t>EBS:EPM故障(33837,0)</t>
  </si>
  <si>
    <t>EBS:(33837,0)</t>
  </si>
  <si>
    <t>EBS:EPM故障(34093,0)</t>
  </si>
  <si>
    <t>EBS:(34093,0)</t>
  </si>
  <si>
    <t>EBS:EPM故障(34349,0)</t>
  </si>
  <si>
    <t>EBS:(34349,0)</t>
  </si>
  <si>
    <t>EBS:EPM故障(34605,0)</t>
  </si>
  <si>
    <t>EBS:(34605,0)</t>
  </si>
  <si>
    <t>EBS:EPM故障(34861,0)</t>
  </si>
  <si>
    <t>EBS:(34861,0)</t>
  </si>
  <si>
    <t>EBS:EPM故障(35117,0)</t>
  </si>
  <si>
    <t>EBS:(35117,0)</t>
  </si>
  <si>
    <t>EBS:EPM故障(35373,0)</t>
  </si>
  <si>
    <t>EBS:(35373,0)</t>
  </si>
  <si>
    <t>EBS:EPM故障(35629,0)</t>
  </si>
  <si>
    <t>EBS:(35629,0)</t>
  </si>
  <si>
    <t>EBS:EPM故障(33430,0)</t>
  </si>
  <si>
    <t>EBS:(33430,0)</t>
  </si>
  <si>
    <t>EBS:EPM故障(33686,0)</t>
  </si>
  <si>
    <t>EBS:(33686,0)</t>
  </si>
  <si>
    <t>EBS:EPM故障(33942,0)</t>
  </si>
  <si>
    <t>EBS:(33942,0)</t>
  </si>
  <si>
    <t>EBS:EPM故障(34198,0)</t>
  </si>
  <si>
    <t>EBS:(34198,0)</t>
  </si>
  <si>
    <t>EBS:EPM故障(34454,0)</t>
  </si>
  <si>
    <t>EBS:(34454,0)</t>
  </si>
  <si>
    <t>EBS:EPM故障(34710,0)</t>
  </si>
  <si>
    <t>EBS:(34710,0)</t>
  </si>
  <si>
    <t>EBS:EPM故障(34966,0)</t>
  </si>
  <si>
    <t>EBS:(34966,0)</t>
  </si>
  <si>
    <t>EBS:EPM故障(35222,0)</t>
  </si>
  <si>
    <t>EBS:(35222,0)</t>
  </si>
  <si>
    <t>EBS:EPM故障(35478,0)</t>
  </si>
  <si>
    <t>EBS:(35478,0)</t>
  </si>
  <si>
    <t>EBS:EPM故障(35734,0)</t>
  </si>
  <si>
    <t>EBS:(35734,0)</t>
  </si>
  <si>
    <t>EBS:EPM故障(33431,0)</t>
  </si>
  <si>
    <t>EBS:(33431,0)</t>
  </si>
  <si>
    <t>EBS:EPM故障(33687,0)</t>
  </si>
  <si>
    <t>EBS:(33687,0)</t>
  </si>
  <si>
    <t>EBS:EPM故障(33943,0)</t>
  </si>
  <si>
    <t>EBS:(33943,0)</t>
  </si>
  <si>
    <t>EBS:EPM故障(34199,0)</t>
  </si>
  <si>
    <t>EBS:(34199,0)</t>
  </si>
  <si>
    <t>EBS:EPM故障(34455,0)</t>
  </si>
  <si>
    <t>EBS:(34455,0)</t>
  </si>
  <si>
    <t>EBS:EPM故障(34711,0)</t>
  </si>
  <si>
    <t>EBS:(34711,0)</t>
  </si>
  <si>
    <t>EBS:EPM故障(34967,0)</t>
  </si>
  <si>
    <t>EBS:(34967,0)</t>
  </si>
  <si>
    <t>EBS:EPM故障(35223,0)</t>
  </si>
  <si>
    <t>EBS:(35223,0)</t>
  </si>
  <si>
    <t>EBS:EPM故障(35479,0)</t>
  </si>
  <si>
    <t>EBS:(35479,0)</t>
  </si>
  <si>
    <t>EBS:EPM故障(35735,0)</t>
  </si>
  <si>
    <t>EBS:(35735,0)</t>
  </si>
  <si>
    <t>EBS:EPM故障(33436,0)</t>
  </si>
  <si>
    <t>EBS:(33436,0)</t>
  </si>
  <si>
    <t>EBS:EPM故障(33692,0)</t>
  </si>
  <si>
    <t>EBS:(33692,0)</t>
  </si>
  <si>
    <t>EBS:EPM故障(33948,0)</t>
  </si>
  <si>
    <t>EBS:(33948,0)</t>
  </si>
  <si>
    <t>EBS:EPM故障(34204,0)</t>
  </si>
  <si>
    <t>EBS:(34204,0)</t>
  </si>
  <si>
    <t>EBS:EPM故障(34460,0)</t>
  </si>
  <si>
    <t>EBS:(34460,0)</t>
  </si>
  <si>
    <t>EBS:EPM故障(34716,0)</t>
  </si>
  <si>
    <t>EBS:(34716,0)</t>
  </si>
  <si>
    <t>EBS:EPM故障(34972,0)</t>
  </si>
  <si>
    <t>EBS:(34972,0)</t>
  </si>
  <si>
    <t>EBS:EPM故障(35228,0)</t>
  </si>
  <si>
    <t>EBS:(35228,0)</t>
  </si>
  <si>
    <t>EBS:EPM故障(35484,0)</t>
  </si>
  <si>
    <t>EBS:(35484,0)</t>
  </si>
  <si>
    <t>EBS:EPM故障(35740,0)</t>
  </si>
  <si>
    <t>EBS:(35740,0)</t>
  </si>
  <si>
    <t>EBS:EPM故障(33437,0)</t>
  </si>
  <si>
    <t>EBS:(33437,0)</t>
  </si>
  <si>
    <t>EBS:EPM故障(33693,0)</t>
  </si>
  <si>
    <t>EBS:(33693,0)</t>
  </si>
  <si>
    <t>EBS:EPM故障(33949,0)</t>
  </si>
  <si>
    <t>EBS:(33949,0)</t>
  </si>
  <si>
    <t>EBS:EPM故障(34205,0)</t>
  </si>
  <si>
    <t>EBS:(34205,0)</t>
  </si>
  <si>
    <t>EBS:EPM故障(34461,0)</t>
  </si>
  <si>
    <t>EBS:(34461,0)</t>
  </si>
  <si>
    <t>EBS:EPM故障(34717,0)</t>
  </si>
  <si>
    <t>EBS:(34717,0)</t>
  </si>
  <si>
    <t>EBS:EPM故障(34973,0)</t>
  </si>
  <si>
    <t>EBS:(34973,0)</t>
  </si>
  <si>
    <t>EBS:EPM故障(35229,0)</t>
  </si>
  <si>
    <t>EBS:(35229,0)</t>
  </si>
  <si>
    <t>EBS:EPM故障(35485,0)</t>
  </si>
  <si>
    <t>EBS:(35485,0)</t>
  </si>
  <si>
    <t>EBS:EPM故障(35741,0)</t>
  </si>
  <si>
    <t>EBS:(35741,0)</t>
  </si>
  <si>
    <t>EBS:EPM故障(33440,0)</t>
  </si>
  <si>
    <t>EBS:(33440,0)</t>
  </si>
  <si>
    <t>EBS:EPM故障(33696,0)</t>
  </si>
  <si>
    <t>EBS:(33696,0)</t>
  </si>
  <si>
    <t>EBS:EPM故障(33952,0)</t>
  </si>
  <si>
    <t>EBS:(33952,0)</t>
  </si>
  <si>
    <t>EBS:EPM故障(34208,0)</t>
  </si>
  <si>
    <t>EBS:(34208,0)</t>
  </si>
  <si>
    <t>EBS:EPM故障(34464,0)</t>
  </si>
  <si>
    <t>EBS:(34464,0)</t>
  </si>
  <si>
    <t>EBS:EPM故障(34720,0)</t>
  </si>
  <si>
    <t>EBS:(34720,0)</t>
  </si>
  <si>
    <t>EBS:EPM故障(34976,0)</t>
  </si>
  <si>
    <t>EBS:(34976,0)</t>
  </si>
  <si>
    <t>EBS:EPM故障(35232,0)</t>
  </si>
  <si>
    <t>EBS:(35232,0)</t>
  </si>
  <si>
    <t>EBS:EPM故障(35488,0)</t>
  </si>
  <si>
    <t>EBS:(35488,0)</t>
  </si>
  <si>
    <t>EBS:EPM故障(35744,0)</t>
  </si>
  <si>
    <t>EBS:(35744,0)</t>
  </si>
  <si>
    <t>EBS:EPM或ECU故障(33442,0)</t>
  </si>
  <si>
    <t>EBS:(33442,0)</t>
  </si>
  <si>
    <t>EBS:EPM或ECU故障(33698,0)</t>
  </si>
  <si>
    <t>EBS:(33698,0)</t>
  </si>
  <si>
    <t>EBS:EPM或ECU故障(33954,0)</t>
  </si>
  <si>
    <t>EBS:(33954,0)</t>
  </si>
  <si>
    <t>EBS:EPM或ECU故障(34210,0)</t>
  </si>
  <si>
    <t>EBS:(34210,0)</t>
  </si>
  <si>
    <t>EBS:EPM或ECU故障(34466,0)</t>
  </si>
  <si>
    <t>EBS:(34466,0)</t>
  </si>
  <si>
    <t>EBS:EPM或ECU故障(34722,0)</t>
  </si>
  <si>
    <t>EBS:(34722,0)</t>
  </si>
  <si>
    <t>EBS:EPM或ECU故障(34978,0)</t>
  </si>
  <si>
    <t>EBS:(34978,0)</t>
  </si>
  <si>
    <t>EBS:EPM或ECU故障(35234,0)</t>
  </si>
  <si>
    <t>EBS:(35234,0)</t>
  </si>
  <si>
    <t>EBS:EPM或ECU故障(35490,0)</t>
  </si>
  <si>
    <t>EBS:(35490,0)</t>
  </si>
  <si>
    <t>EBS:EPM或ECU故障(35746,0)</t>
  </si>
  <si>
    <t>EBS:(35746,0)</t>
  </si>
  <si>
    <t>EBS:线路故障(35873,0)</t>
  </si>
  <si>
    <t>EBS:(35873,0)</t>
  </si>
  <si>
    <t>EBS:线路故障(36129,0)</t>
  </si>
  <si>
    <t>EBS:(36129,0)</t>
  </si>
  <si>
    <t>EBS:线路故障(36385,0)</t>
  </si>
  <si>
    <t>EBS:(36385,0)</t>
  </si>
  <si>
    <t>EBS:线路故障(36641,0)</t>
  </si>
  <si>
    <t>EBS:(36641,0)</t>
  </si>
  <si>
    <t>EBS:线路故障(36897,0)</t>
  </si>
  <si>
    <t>EBS:(36897,0)</t>
  </si>
  <si>
    <t>EBS:线路故障(37153,0)</t>
  </si>
  <si>
    <t>EBS:(37153,0)</t>
  </si>
  <si>
    <t>EBS:线路故障(37409,0)</t>
  </si>
  <si>
    <t>EBS:(37409,0)</t>
  </si>
  <si>
    <t>EBS:线路故障(37665,0)</t>
  </si>
  <si>
    <t>EBS:(37665,0)</t>
  </si>
  <si>
    <t>EBS:线路故障(37921,0)</t>
  </si>
  <si>
    <t>EBS:(37921,0)</t>
  </si>
  <si>
    <t>EBS:线路故障(38177,0)</t>
  </si>
  <si>
    <t>EBS:(38177,0)</t>
  </si>
  <si>
    <t>EBS:线路故障(35874,0)</t>
  </si>
  <si>
    <t>EBS:(35874,0)</t>
  </si>
  <si>
    <t>EBS:线路故障(36130,0)</t>
  </si>
  <si>
    <t>EBS:(36130,0)</t>
  </si>
  <si>
    <t>EBS:线路故障(36386,0)</t>
  </si>
  <si>
    <t>EBS:(36386,0)</t>
  </si>
  <si>
    <t>EBS:线路故障(36642,0)</t>
  </si>
  <si>
    <t>EBS:(36642,0)</t>
  </si>
  <si>
    <t>EBS:线路故障(36898,0)</t>
  </si>
  <si>
    <t>EBS:(36898,0)</t>
  </si>
  <si>
    <t>EBS:线路故障(37154,0)</t>
  </si>
  <si>
    <t>EBS:(37154,0)</t>
  </si>
  <si>
    <t>EBS:线路故障(37410,0)</t>
  </si>
  <si>
    <t>EBS:(37410,0)</t>
  </si>
  <si>
    <t>EBS:线路故障(37666,0)</t>
  </si>
  <si>
    <t>EBS:(37666,0)</t>
  </si>
  <si>
    <t>EBS:线路故障(37922,0)</t>
  </si>
  <si>
    <t>EBS:(37922,0)</t>
  </si>
  <si>
    <t>EBS:线路故障(38178,0)</t>
  </si>
  <si>
    <t>EBS:(38178,0)</t>
  </si>
  <si>
    <t>EBS:线路故障(35875,0)</t>
  </si>
  <si>
    <t>EBS:(35875,0)</t>
  </si>
  <si>
    <t>EBS:线路故障(36131,0)</t>
  </si>
  <si>
    <t>EBS:(36131,0)</t>
  </si>
  <si>
    <t>EBS:线路故障(36387,0)</t>
  </si>
  <si>
    <t>EBS:(36387,0)</t>
  </si>
  <si>
    <t>EBS:线路故障(36643,0)</t>
  </si>
  <si>
    <t>EBS:(36643,0)</t>
  </si>
  <si>
    <t>EBS:线路故障(36899,0)</t>
  </si>
  <si>
    <t>EBS:(36899,0)</t>
  </si>
  <si>
    <t>EBS:线路故障(37155,0)</t>
  </si>
  <si>
    <t>EBS:(37155,0)</t>
  </si>
  <si>
    <t>EBS:线路故障(37411,0)</t>
  </si>
  <si>
    <t>EBS:(37411,0)</t>
  </si>
  <si>
    <t>EBS:线路故障(37667,0)</t>
  </si>
  <si>
    <t>EBS:(37667,0)</t>
  </si>
  <si>
    <t>EBS:线路故障(37923,0)</t>
  </si>
  <si>
    <t>EBS:(37923,0)</t>
  </si>
  <si>
    <t>EBS:线路故障(38179,0)</t>
  </si>
  <si>
    <t>EBS:(38179,0)</t>
  </si>
  <si>
    <t>EBS:CAN通讯故障(38410,0)</t>
  </si>
  <si>
    <t>EBS:(38410,0)</t>
  </si>
  <si>
    <t>EBS:CAN通讯故障(38666,0)</t>
  </si>
  <si>
    <t>EBS:(38666,0)</t>
  </si>
  <si>
    <t>EBS:CAN通讯故障(38922,0)</t>
  </si>
  <si>
    <t>EBS:(38922,0)</t>
  </si>
  <si>
    <t>EBS:CAN通讯故障(39178,0)</t>
  </si>
  <si>
    <t>EBS:(39178,0)</t>
  </si>
  <si>
    <t>EBS:CAN通讯故障(39434,0)</t>
  </si>
  <si>
    <t>EBS:(39434,0)</t>
  </si>
  <si>
    <t>EBS:CAN通讯故障(39690,0)</t>
  </si>
  <si>
    <t>EBS:(39690,0)</t>
  </si>
  <si>
    <t>EBS:CAN通讯故障(39946,0)</t>
  </si>
  <si>
    <t>EBS:(39946,0)</t>
  </si>
  <si>
    <t>EBS:CAN通讯故障(40202,0)</t>
  </si>
  <si>
    <t>EBS:(40202,0)</t>
  </si>
  <si>
    <t>EBS:CAN通讯故障(40458,0)</t>
  </si>
  <si>
    <t>EBS:(40458,0)</t>
  </si>
  <si>
    <t>EBS:CAN通讯故障(40714,0)</t>
  </si>
  <si>
    <t>EBS:(40714,0)</t>
  </si>
  <si>
    <t>EBS:CAN通讯故障(38411,0)</t>
  </si>
  <si>
    <t>EBS:(38411,0)</t>
  </si>
  <si>
    <t>EBS:CAN通讯故障(38667,0)</t>
  </si>
  <si>
    <t>EBS:(38667,0)</t>
  </si>
  <si>
    <t>EBS:CAN通讯故障(38923,0)</t>
  </si>
  <si>
    <t>EBS:(38923,0)</t>
  </si>
  <si>
    <t>EBS:CAN通讯故障(39179,0)</t>
  </si>
  <si>
    <t>EBS:(39179,0)</t>
  </si>
  <si>
    <t>EBS:CAN通讯故障(39435,0)</t>
  </si>
  <si>
    <t>EBS:(39435,0)</t>
  </si>
  <si>
    <t>EBS:CAN通讯故障(39691,0)</t>
  </si>
  <si>
    <t>EBS:(39691,0)</t>
  </si>
  <si>
    <t>EBS:CAN通讯故障(39947,0)</t>
  </si>
  <si>
    <t>EBS:(39947,0)</t>
  </si>
  <si>
    <t>EBS:CAN通讯故障(40203,0)</t>
  </si>
  <si>
    <t>EBS:(40203,0)</t>
  </si>
  <si>
    <t>EBS:CAN通讯故障(40459,0)</t>
  </si>
  <si>
    <t>EBS:(40459,0)</t>
  </si>
  <si>
    <t>EBS:CAN通讯故障(40715,0)</t>
  </si>
  <si>
    <t>EBS:(40715,0)</t>
  </si>
  <si>
    <t>EBS:CAN通讯故障(38413,0)</t>
  </si>
  <si>
    <t>EBS:(38413,0)</t>
  </si>
  <si>
    <t>EBS:CAN通讯故障(38669,0)</t>
  </si>
  <si>
    <t>EBS:(38669,0)</t>
  </si>
  <si>
    <t>EBS:CAN通讯故障(38925,0)</t>
  </si>
  <si>
    <t>EBS:(38925,0)</t>
  </si>
  <si>
    <t>EBS:CAN通讯故障(39181,0)</t>
  </si>
  <si>
    <t>EBS:(39181,0)</t>
  </si>
  <si>
    <t>EBS:CAN通讯故障(39437,0)</t>
  </si>
  <si>
    <t>EBS:(39437,0)</t>
  </si>
  <si>
    <t>EBS:CAN通讯故障(39693,0)</t>
  </si>
  <si>
    <t>EBS:(39693,0)</t>
  </si>
  <si>
    <t>EBS:CAN通讯故障(39949,0)</t>
  </si>
  <si>
    <t>EBS:(39949,0)</t>
  </si>
  <si>
    <t>EBS:CAN通讯故障(40205,0)</t>
  </si>
  <si>
    <t>EBS:(40205,0)</t>
  </si>
  <si>
    <t>EBS:CAN通讯故障(40461,0)</t>
  </si>
  <si>
    <t>EBS:(40461,0)</t>
  </si>
  <si>
    <t>EBS:CAN通讯故障(40717,0)</t>
  </si>
  <si>
    <t>EBS:(40717,0)</t>
  </si>
  <si>
    <t>EBS:CAN通讯故障(38414,0)</t>
  </si>
  <si>
    <t>EBS:(38414,0)</t>
  </si>
  <si>
    <t>EBS:CAN通讯故障(38670,0)</t>
  </si>
  <si>
    <t>EBS:(38670,0)</t>
  </si>
  <si>
    <t>EBS:CAN通讯故障(38926,0)</t>
  </si>
  <si>
    <t>EBS:(38926,0)</t>
  </si>
  <si>
    <t>EBS:CAN通讯故障(39182,0)</t>
  </si>
  <si>
    <t>EBS:(39182,0)</t>
  </si>
  <si>
    <t>EBS:CAN通讯故障(39438,0)</t>
  </si>
  <si>
    <t>EBS:(39438,0)</t>
  </si>
  <si>
    <t>EBS:CAN通讯故障(39694,0)</t>
  </si>
  <si>
    <t>EBS:(39694,0)</t>
  </si>
  <si>
    <t>EBS:CAN通讯故障(39950,0)</t>
  </si>
  <si>
    <t>EBS:(39950,0)</t>
  </si>
  <si>
    <t>EBS:CAN通讯故障(40206,0)</t>
  </si>
  <si>
    <t>EBS:(40206,0)</t>
  </si>
  <si>
    <t>EBS:CAN通讯故障(40462,0)</t>
  </si>
  <si>
    <t>EBS:(40462,0)</t>
  </si>
  <si>
    <t>EBS:CAN通讯故障(40718,0)</t>
  </si>
  <si>
    <t>EBS:(40718,0)</t>
  </si>
  <si>
    <t>EBS:CAN通讯故障(38570,0)</t>
  </si>
  <si>
    <t>EBS:(38570,0)</t>
  </si>
  <si>
    <t>EBS:CAN通讯故障(38571,0)</t>
  </si>
  <si>
    <t>EBS:(38571,0)</t>
  </si>
  <si>
    <t>EBS:CAN通讯故障(38572,0)</t>
  </si>
  <si>
    <t>EBS:(38572,0)</t>
  </si>
  <si>
    <t>EBS:CAN通讯故障(38573,0)</t>
  </si>
  <si>
    <t>EBS:(38573,0)</t>
  </si>
  <si>
    <t>EBS:CAN通讯故障(38574,0)</t>
  </si>
  <si>
    <t>EBS:(38574,0)</t>
  </si>
  <si>
    <t>EBS:CAN通讯故障(38575,0)</t>
  </si>
  <si>
    <t>EBS:(38575,0)</t>
  </si>
  <si>
    <t>EBS:CAN通讯故障(38576,0)</t>
  </si>
  <si>
    <t>EBS:(38576,0)</t>
  </si>
  <si>
    <t>EBS:CAN通讯故障(38577,0)</t>
  </si>
  <si>
    <t>EBS:(38577,0)</t>
  </si>
  <si>
    <t>EBS:CAN通讯故障(38826,0)</t>
  </si>
  <si>
    <t>EBS:(38826,0)</t>
  </si>
  <si>
    <t>EBS:CAN通讯故障(38827,0)</t>
  </si>
  <si>
    <t>EBS:(38827,0)</t>
  </si>
  <si>
    <t>EBS:CAN通讯故障(38828,0)</t>
  </si>
  <si>
    <t>EBS:(38828,0)</t>
  </si>
  <si>
    <t>EBS:CAN通讯故障(38829,0)</t>
  </si>
  <si>
    <t>EBS:(38829,0)</t>
  </si>
  <si>
    <t>EBS:CAN通讯故障(38830,0)</t>
  </si>
  <si>
    <t>EBS:(38830,0)</t>
  </si>
  <si>
    <t>EBS:CAN通讯故障(38831,0)</t>
  </si>
  <si>
    <t>EBS:(38831,0)</t>
  </si>
  <si>
    <t>EBS:CAN通讯故障(38832,0)</t>
  </si>
  <si>
    <t>EBS:(38832,0)</t>
  </si>
  <si>
    <t>EBS:CAN通讯故障(38833,0)</t>
  </si>
  <si>
    <t>EBS:(38833,0)</t>
  </si>
  <si>
    <t>EBS:CAN通讯故障(39082,0)</t>
  </si>
  <si>
    <t>EBS:(39082,0)</t>
  </si>
  <si>
    <t>EBS:CAN通讯故障(39083,0)</t>
  </si>
  <si>
    <t>EBS:(39083,0)</t>
  </si>
  <si>
    <t>EBS:CAN通讯故障(39084,0)</t>
  </si>
  <si>
    <t>EBS:(39084,0)</t>
  </si>
  <si>
    <t>EBS:CAN通讯故障(39085,0)</t>
  </si>
  <si>
    <t>EBS:(39085,0)</t>
  </si>
  <si>
    <t>EBS:CAN通讯故障(39086,0)</t>
  </si>
  <si>
    <t>EBS:(39086,0)</t>
  </si>
  <si>
    <t>EBS:CAN通讯故障(39087,0)</t>
  </si>
  <si>
    <t>EBS:(39087,0)</t>
  </si>
  <si>
    <t>EBS:CAN通讯故障(39088,0)</t>
  </si>
  <si>
    <t>EBS:(39088,0)</t>
  </si>
  <si>
    <t>EBS:CAN通讯故障(39089,0)</t>
  </si>
  <si>
    <t>EBS:(39089,0)</t>
  </si>
  <si>
    <t>EBS:CAN通讯故障(39338,0)</t>
  </si>
  <si>
    <t>EBS:(39338,0)</t>
  </si>
  <si>
    <t>EBS:CAN通讯故障(39339,0)</t>
  </si>
  <si>
    <t>EBS:(39339,0)</t>
  </si>
  <si>
    <t>EBS:CAN通讯故障(39340,0)</t>
  </si>
  <si>
    <t>EBS:(39340,0)</t>
  </si>
  <si>
    <t>EBS:CAN通讯故障(39341,0)</t>
  </si>
  <si>
    <t>EBS:(39341,0)</t>
  </si>
  <si>
    <t>EBS:CAN通讯故障(39342,0)</t>
  </si>
  <si>
    <t>EBS:(39342,0)</t>
  </si>
  <si>
    <t>EBS:CAN通讯故障(39343,0)</t>
  </si>
  <si>
    <t>EBS:(39343,0)</t>
  </si>
  <si>
    <t>EBS:CAN通讯故障(39344,0)</t>
  </si>
  <si>
    <t>EBS:(39344,0)</t>
  </si>
  <si>
    <t>EBS:CAN通讯故障(39345,0)</t>
  </si>
  <si>
    <t>EBS:(39345,0)</t>
  </si>
  <si>
    <t>EBS:CAN通讯故障(39594,0)</t>
  </si>
  <si>
    <t>EBS:(39594,0)</t>
  </si>
  <si>
    <t>EBS:CAN通讯故障(39595,0)</t>
  </si>
  <si>
    <t>EBS:(39595,0)</t>
  </si>
  <si>
    <t>EBS:CAN通讯故障(39596,0)</t>
  </si>
  <si>
    <t>EBS:(39596,0)</t>
  </si>
  <si>
    <t>EBS:CAN通讯故障(39597,0)</t>
  </si>
  <si>
    <t>EBS:(39597,0)</t>
  </si>
  <si>
    <t>EBS:CAN通讯故障(39598,0)</t>
  </si>
  <si>
    <t>EBS:(39598,0)</t>
  </si>
  <si>
    <t>EBS:CAN通讯故障(39599,0)</t>
  </si>
  <si>
    <t>EBS:(39599,0)</t>
  </si>
  <si>
    <t>EBS:CAN通讯故障(39600,0)</t>
  </si>
  <si>
    <t>EBS:(39600,0)</t>
  </si>
  <si>
    <t>EBS:CAN通讯故障(39601,0)</t>
  </si>
  <si>
    <t>EBS:(39601,0)</t>
  </si>
  <si>
    <t>EBS:CAN通讯故障(39850,0)</t>
  </si>
  <si>
    <t>EBS:(39850,0)</t>
  </si>
  <si>
    <t>EBS:CAN通讯故障(39851,0)</t>
  </si>
  <si>
    <t>EBS:(39851,0)</t>
  </si>
  <si>
    <t>EBS:CAN通讯故障(39852,0)</t>
  </si>
  <si>
    <t>EBS:(39852,0)</t>
  </si>
  <si>
    <t>EBS:CAN通讯故障(39853,0)</t>
  </si>
  <si>
    <t>EBS:(39853,0)</t>
  </si>
  <si>
    <t>EBS:CAN通讯故障(39854,0)</t>
  </si>
  <si>
    <t>EBS:(39854,0)</t>
  </si>
  <si>
    <t>EBS:CAN通讯故障(39855,0)</t>
  </si>
  <si>
    <t>EBS:(39855,0)</t>
  </si>
  <si>
    <t>EBS:CAN通讯故障(39856,0)</t>
  </si>
  <si>
    <t>EBS:(39856,0)</t>
  </si>
  <si>
    <t>EBS:CAN通讯故障(39857,0)</t>
  </si>
  <si>
    <t>EBS:(39857,0)</t>
  </si>
  <si>
    <t>EBS:CAN通讯故障(40106,0)</t>
  </si>
  <si>
    <t>EBS:(40106,0)</t>
  </si>
  <si>
    <t>EBS:CAN通讯故障(40107,0)</t>
  </si>
  <si>
    <t>EBS:(40107,0)</t>
  </si>
  <si>
    <t>EBS:CAN通讯故障(40108,0)</t>
  </si>
  <si>
    <t>EBS:(40108,0)</t>
  </si>
  <si>
    <t>EBS:CAN通讯故障(40109,0)</t>
  </si>
  <si>
    <t>EBS:(40109,0)</t>
  </si>
  <si>
    <t>EBS:CAN通讯故障(40110,0)</t>
  </si>
  <si>
    <t>EBS:(40110,0)</t>
  </si>
  <si>
    <t>EBS:CAN通讯故障(40111,0)</t>
  </si>
  <si>
    <t>EBS:(40111,0)</t>
  </si>
  <si>
    <t>EBS:CAN通讯故障(40112,0)</t>
  </si>
  <si>
    <t>EBS:(40112,0)</t>
  </si>
  <si>
    <t>EBS:CAN通讯故障(40113,0)</t>
  </si>
  <si>
    <t>EBS:(40113,0)</t>
  </si>
  <si>
    <t>EBS:CAN通讯故障(40362,0)</t>
  </si>
  <si>
    <t>EBS:(40362,0)</t>
  </si>
  <si>
    <t>EBS:CAN通讯故障(40363,0)</t>
  </si>
  <si>
    <t>EBS:(40363,0)</t>
  </si>
  <si>
    <t>EBS:CAN通讯故障(40364,0)</t>
  </si>
  <si>
    <t>EBS:(40364,0)</t>
  </si>
  <si>
    <t>EBS:CAN通讯故障(40365,0)</t>
  </si>
  <si>
    <t>EBS:(40365,0)</t>
  </si>
  <si>
    <t>EBS:CAN通讯故障(40366,0)</t>
  </si>
  <si>
    <t>EBS:(40366,0)</t>
  </si>
  <si>
    <t>EBS:CAN通讯故障(40367,0)</t>
  </si>
  <si>
    <t>EBS:(40367,0)</t>
  </si>
  <si>
    <t>EBS:CAN通讯故障(40368,0)</t>
  </si>
  <si>
    <t>EBS:(40368,0)</t>
  </si>
  <si>
    <t>EBS:CAN通讯故障(40369,0)</t>
  </si>
  <si>
    <t>EBS:(40369,0)</t>
  </si>
  <si>
    <t>EBS:CAN通讯故障(40618,0)</t>
  </si>
  <si>
    <t>EBS:(40618,0)</t>
  </si>
  <si>
    <t>EBS:CAN通讯故障(40619,0)</t>
  </si>
  <si>
    <t>EBS:(40619,0)</t>
  </si>
  <si>
    <t>EBS:CAN通讯故障(40620,0)</t>
  </si>
  <si>
    <t>EBS:(40620,0)</t>
  </si>
  <si>
    <t>EBS:CAN通讯故障(40621,0)</t>
  </si>
  <si>
    <t>EBS:(40621,0)</t>
  </si>
  <si>
    <t>EBS:CAN通讯故障(40622,0)</t>
  </si>
  <si>
    <t>EBS:(40622,0)</t>
  </si>
  <si>
    <t>EBS:CAN通讯故障(40623,0)</t>
  </si>
  <si>
    <t>EBS:(40623,0)</t>
  </si>
  <si>
    <t>EBS:CAN通讯故障(40624,0)</t>
  </si>
  <si>
    <t>EBS:(40624,0)</t>
  </si>
  <si>
    <t>EBS:CAN通讯故障(40625,0)</t>
  </si>
  <si>
    <t>EBS:(40625,0)</t>
  </si>
  <si>
    <t>EBS:CAN通讯故障(40874,0)</t>
  </si>
  <si>
    <t>EBS:(40874,0)</t>
  </si>
  <si>
    <t>EBS:CAN通讯故障(40875,0)</t>
  </si>
  <si>
    <t>EBS:(40875,0)</t>
  </si>
  <si>
    <t>EBS:CAN通讯故障(40876,0)</t>
  </si>
  <si>
    <t>EBS:(40876,0)</t>
  </si>
  <si>
    <t>EBS:CAN通讯故障(40877,0)</t>
  </si>
  <si>
    <t>EBS:(40877,0)</t>
  </si>
  <si>
    <t>EBS:CAN通讯故障(40878,0)</t>
  </si>
  <si>
    <t>EBS:(40878,0)</t>
  </si>
  <si>
    <t>EBS:CAN通讯故障(40879,0)</t>
  </si>
  <si>
    <t>EBS:(40879,0)</t>
  </si>
  <si>
    <t>EBS:CAN通讯故障(40880,0)</t>
  </si>
  <si>
    <t>EBS:(40880,0)</t>
  </si>
  <si>
    <t>EBS:CAN通讯故障(40881,0)</t>
  </si>
  <si>
    <t>EBS:(40881,0)</t>
  </si>
  <si>
    <t>EBS:EPM故障(40982,0)</t>
  </si>
  <si>
    <t>EBS:(40982,0)</t>
  </si>
  <si>
    <t>EBS:EPM故障(41238,0)</t>
  </si>
  <si>
    <t>EBS:(41238,0)</t>
  </si>
  <si>
    <t>EBS:EPM故障(41494,0)</t>
  </si>
  <si>
    <t>EBS:(41494,0)</t>
  </si>
  <si>
    <t>EBS:EPM故障(41750,0)</t>
  </si>
  <si>
    <t>EBS:(41750,0)</t>
  </si>
  <si>
    <t>EBS:EPM故障(42006,0)</t>
  </si>
  <si>
    <t>EBS:(42006,0)</t>
  </si>
  <si>
    <t>EBS:EPM故障(42262,0)</t>
  </si>
  <si>
    <t>EBS:(42262,0)</t>
  </si>
  <si>
    <t>EBS:EPM故障(42518,0)</t>
  </si>
  <si>
    <t>EBS:(42518,0)</t>
  </si>
  <si>
    <t>EBS:EPM故障(42774,0)</t>
  </si>
  <si>
    <t>EBS:(42774,0)</t>
  </si>
  <si>
    <t>EBS:EPM故障(43030,0)</t>
  </si>
  <si>
    <t>EBS:(43030,0)</t>
  </si>
  <si>
    <t>EBS:EPM故障(43286,0)</t>
  </si>
  <si>
    <t>EBS:(43286,0)</t>
  </si>
  <si>
    <t>EBS:EPM故障(40990,0)</t>
  </si>
  <si>
    <t>EBS:(40990,0)</t>
  </si>
  <si>
    <t>EBS:EPM故障(41246,0)</t>
  </si>
  <si>
    <t>EBS:(41246,0)</t>
  </si>
  <si>
    <t>EBS:EPM故障(41502,0)</t>
  </si>
  <si>
    <t>EBS:(41502,0)</t>
  </si>
  <si>
    <t>EBS:EPM故障(41758,0)</t>
  </si>
  <si>
    <t>EBS:(41758,0)</t>
  </si>
  <si>
    <t>EBS:EPM故障(42014,0)</t>
  </si>
  <si>
    <t>EBS:(42014,0)</t>
  </si>
  <si>
    <t>EBS:EPM故障(42270,0)</t>
  </si>
  <si>
    <t>EBS:(42270,0)</t>
  </si>
  <si>
    <t>EBS:EPM故障(42526,0)</t>
  </si>
  <si>
    <t>EBS:(42526,0)</t>
  </si>
  <si>
    <t>EBS:EPM故障(42782,0)</t>
  </si>
  <si>
    <t>EBS:(42782,0)</t>
  </si>
  <si>
    <t>EBS:EPM故障(43038,0)</t>
  </si>
  <si>
    <t>EBS:(43038,0)</t>
  </si>
  <si>
    <t>EBS:EPM故障(43294,0)</t>
  </si>
  <si>
    <t>EBS:(43294,0)</t>
  </si>
  <si>
    <t>EBS:EPM故障(40992,0)</t>
  </si>
  <si>
    <t>EBS:(40992,0)</t>
  </si>
  <si>
    <t>EBS:EPM故障(41248,0)</t>
  </si>
  <si>
    <t>EBS:(41248,0)</t>
  </si>
  <si>
    <t>EBS:EPM故障(41504,0)</t>
  </si>
  <si>
    <t>EBS:(41504,0)</t>
  </si>
  <si>
    <t>EBS:EPM故障(41760,0)</t>
  </si>
  <si>
    <t>EBS:(41760,0)</t>
  </si>
  <si>
    <t>EBS:EPM故障(42016,0)</t>
  </si>
  <si>
    <t>EBS:(42016,0)</t>
  </si>
  <si>
    <t>EBS:EPM故障(42272,0)</t>
  </si>
  <si>
    <t>EBS:(42272,0)</t>
  </si>
  <si>
    <t>EBS:EPM故障(42528,0)</t>
  </si>
  <si>
    <t>EBS:(42528,0)</t>
  </si>
  <si>
    <t>EBS:EPM故障(42784,0)</t>
  </si>
  <si>
    <t>EBS:(42784,0)</t>
  </si>
  <si>
    <t>EBS:EPM故障(43040,0)</t>
  </si>
  <si>
    <t>EBS:(43040,0)</t>
  </si>
  <si>
    <t>EBS:EPM故障(43296,0)</t>
  </si>
  <si>
    <t>EBS:(43296,0)</t>
  </si>
  <si>
    <t>EBS:EPM故障(40993,0)</t>
  </si>
  <si>
    <t>EBS:(40993,0)</t>
  </si>
  <si>
    <t>EBS:EPM故障(41249,0)</t>
  </si>
  <si>
    <t>EBS:(41249,0)</t>
  </si>
  <si>
    <t>EBS:EPM故障(41505,0)</t>
  </si>
  <si>
    <t>EBS:(41505,0)</t>
  </si>
  <si>
    <t>EBS:EPM故障(41761,0)</t>
  </si>
  <si>
    <t>EBS:(41761,0)</t>
  </si>
  <si>
    <t>EBS:EPM故障(42017,0)</t>
  </si>
  <si>
    <t>EBS:(42017,0)</t>
  </si>
  <si>
    <t>EBS:EPM故障(42273,0)</t>
  </si>
  <si>
    <t>EBS:(42273,0)</t>
  </si>
  <si>
    <t>EBS:EPM故障(42529,0)</t>
  </si>
  <si>
    <t>EBS:(42529,0)</t>
  </si>
  <si>
    <t>EBS:EPM故障(42785,0)</t>
  </si>
  <si>
    <t>EBS:(42785,0)</t>
  </si>
  <si>
    <t>EBS:EPM故障(43041,0)</t>
  </si>
  <si>
    <t>EBS:(43041,0)</t>
  </si>
  <si>
    <t>EBS:EPM故障(43297,0)</t>
  </si>
  <si>
    <t>EBS:(43297,0)</t>
  </si>
  <si>
    <t>EBS:EPM故障(41003,0)</t>
  </si>
  <si>
    <t>EBS:(41003,0)</t>
  </si>
  <si>
    <t>EBS:EPM故障(41259,0)</t>
  </si>
  <si>
    <t>EBS:(41259,0)</t>
  </si>
  <si>
    <t>EBS:EPM故障(41515,0)</t>
  </si>
  <si>
    <t>EBS:(41515,0)</t>
  </si>
  <si>
    <t>EBS:EPM故障(41771,0)</t>
  </si>
  <si>
    <t>EBS:(41771,0)</t>
  </si>
  <si>
    <t>EBS:EPM故障(42027,0)</t>
  </si>
  <si>
    <t>EBS:(42027,0)</t>
  </si>
  <si>
    <t>EBS:EPM故障(42283,0)</t>
  </si>
  <si>
    <t>EBS:(42283,0)</t>
  </si>
  <si>
    <t>EBS:EPM故障(42539,0)</t>
  </si>
  <si>
    <t>EBS:(42539,0)</t>
  </si>
  <si>
    <t>EBS:EPM故障(42795,0)</t>
  </si>
  <si>
    <t>EBS:(42795,0)</t>
  </si>
  <si>
    <t>EBS:EPM故障(43051,0)</t>
  </si>
  <si>
    <t>EBS:(43051,0)</t>
  </si>
  <si>
    <t>EBS:EPM故障(43307,0)</t>
  </si>
  <si>
    <t>EBS:(43307,0)</t>
  </si>
  <si>
    <t>EBS:EPM故障(41004,0)</t>
  </si>
  <si>
    <t>EBS:(41004,0)</t>
  </si>
  <si>
    <t>EBS:EPM故障(41260,0)</t>
  </si>
  <si>
    <t>EBS:(41260,0)</t>
  </si>
  <si>
    <t>EBS:EPM故障(41516,0)</t>
  </si>
  <si>
    <t>EBS:(41516,0)</t>
  </si>
  <si>
    <t>EBS:EPM故障(41772,0)</t>
  </si>
  <si>
    <t>EBS:(41772,0)</t>
  </si>
  <si>
    <t>EBS:EPM故障(42028,0)</t>
  </si>
  <si>
    <t>EBS:(42028,0)</t>
  </si>
  <si>
    <t>EBS:EPM故障(42284,0)</t>
  </si>
  <si>
    <t>EBS:(42284,0)</t>
  </si>
  <si>
    <t>EBS:EPM故障(42540,0)</t>
  </si>
  <si>
    <t>EBS:(42540,0)</t>
  </si>
  <si>
    <t>EBS:EPM故障(42796,0)</t>
  </si>
  <si>
    <t>EBS:(42796,0)</t>
  </si>
  <si>
    <t>EBS:EPM故障(43052,0)</t>
  </si>
  <si>
    <t>EBS:(43052,0)</t>
  </si>
  <si>
    <t>EBS:EPM故障(43308,0)</t>
  </si>
  <si>
    <t>EBS:(43308,0)</t>
  </si>
  <si>
    <t>EBS:线路故障(43542,0)</t>
  </si>
  <si>
    <t>EBS:(43542,0)</t>
  </si>
  <si>
    <t>EBS:线路故障(43798,0)</t>
  </si>
  <si>
    <t>EBS:(43798,0)</t>
  </si>
  <si>
    <t>EBS:线路故障(44054,0)</t>
  </si>
  <si>
    <t>EBS:(44054,0)</t>
  </si>
  <si>
    <t>EBS:线路故障(44310,0)</t>
  </si>
  <si>
    <t>EBS:(44310,0)</t>
  </si>
  <si>
    <t>EBS:线路故障(44566,0)</t>
  </si>
  <si>
    <t>EBS:(44566,0)</t>
  </si>
  <si>
    <t>EBS:线路故障(44822,0)</t>
  </si>
  <si>
    <t>EBS:(44822,0)</t>
  </si>
  <si>
    <t>EBS:线路故障(45078,0)</t>
  </si>
  <si>
    <t>EBS:(45078,0)</t>
  </si>
  <si>
    <t>EBS:线路故障(45334,0)</t>
  </si>
  <si>
    <t>EBS:(45334,0)</t>
  </si>
  <si>
    <t>EBS:线路故障(45590,0)</t>
  </si>
  <si>
    <t>EBS:(45590,0)</t>
  </si>
  <si>
    <t>EBS:线路故障(45846,0)</t>
  </si>
  <si>
    <t>EBS:(45846,0)</t>
  </si>
  <si>
    <t>EBS:EPM故障(43550,0)</t>
  </si>
  <si>
    <t>EBS:(43550,0)</t>
  </si>
  <si>
    <t>EBS:EPM故障(43806,0)</t>
  </si>
  <si>
    <t>EBS:(43806,0)</t>
  </si>
  <si>
    <t>EBS:EPM故障(44062,0)</t>
  </si>
  <si>
    <t>EBS:(44062,0)</t>
  </si>
  <si>
    <t>EBS:EPM故障(44318,0)</t>
  </si>
  <si>
    <t>EBS:(44318,0)</t>
  </si>
  <si>
    <t>EBS:EPM故障(44574,0)</t>
  </si>
  <si>
    <t>EBS:(44574,0)</t>
  </si>
  <si>
    <t>EBS:EPM故障(44830,0)</t>
  </si>
  <si>
    <t>EBS:(44830,0)</t>
  </si>
  <si>
    <t>EBS:EPM故障(45068,0)</t>
  </si>
  <si>
    <t>EBS:(45086,0)</t>
  </si>
  <si>
    <t>EBS:EPM故障(45342,0)</t>
  </si>
  <si>
    <t>EBS:(45342,0)</t>
  </si>
  <si>
    <t>EBS:EPM故障(45598,0)</t>
  </si>
  <si>
    <t>EBS:(45598,0)</t>
  </si>
  <si>
    <t>EBS:EPM故障(45854,0)</t>
  </si>
  <si>
    <t>EBS:(45854,0)</t>
  </si>
  <si>
    <t>EBS:EPM故障(43552,0)</t>
  </si>
  <si>
    <t>EBS:(43552,0)</t>
  </si>
  <si>
    <t>EBS:EPM故障(43808,0)</t>
  </si>
  <si>
    <t>EBS:(43808,0)</t>
  </si>
  <si>
    <t>EBS:EPM故障(44064,0)</t>
  </si>
  <si>
    <t>EBS:(44064,0)</t>
  </si>
  <si>
    <t>EBS:EPM故障(44320,0)</t>
  </si>
  <si>
    <t>EBS:(44320,0)</t>
  </si>
  <si>
    <t>EBS:EPM故障(44576,0)</t>
  </si>
  <si>
    <t>EBS:(44576,0)</t>
  </si>
  <si>
    <t>EBS:EPM故障(44832,0)</t>
  </si>
  <si>
    <t>EBS:(44832,0)</t>
  </si>
  <si>
    <t>EBS:EPM故障(45088,0)</t>
  </si>
  <si>
    <t>EBS:(45088,0)</t>
  </si>
  <si>
    <t>EBS:EPM故障(45344,0)</t>
  </si>
  <si>
    <t>EBS:(45344,0)</t>
  </si>
  <si>
    <t>EBS:EPM故障(45600,0)</t>
  </si>
  <si>
    <t>EBS:(45600,0)</t>
  </si>
  <si>
    <t>EBS:EPM故障(45856,0)</t>
  </si>
  <si>
    <t>EBS:(45856,0)</t>
  </si>
  <si>
    <t>EBS:EPM故障(43553,0)</t>
  </si>
  <si>
    <t>EBS:(43553,0)</t>
  </si>
  <si>
    <t>EBS:EPM故障(43809,0)</t>
  </si>
  <si>
    <t>EBS:(43809,0)</t>
  </si>
  <si>
    <t>EBS:EPM故障(44065,0)</t>
  </si>
  <si>
    <t>EBS:(44065,0)</t>
  </si>
  <si>
    <t>EBS:EPM故障(44321,0)</t>
  </si>
  <si>
    <t>EBS:(44321,0)</t>
  </si>
  <si>
    <t>EBS:EPM故障(44577,0)</t>
  </si>
  <si>
    <t>EBS:(44577,0)</t>
  </si>
  <si>
    <t>EBS:EPM故障(44833,0)</t>
  </si>
  <si>
    <t>EBS:(44833,0)</t>
  </si>
  <si>
    <t>EBS:EPM故障(45089,0)</t>
  </si>
  <si>
    <t>EBS:(45089,0)</t>
  </si>
  <si>
    <t>EBS:EPM故障(45345,0)</t>
  </si>
  <si>
    <t>EBS:(45345,0)</t>
  </si>
  <si>
    <t>EBS:EPM故障(45601,0)</t>
  </si>
  <si>
    <t>EBS:(45601,0)</t>
  </si>
  <si>
    <t>EBS:EPM故障(45857,0)</t>
  </si>
  <si>
    <t>EBS:(45857,0)</t>
  </si>
  <si>
    <t>EBS:EPM故障(43563,0)</t>
  </si>
  <si>
    <t>EBS:(43563,0)</t>
  </si>
  <si>
    <t>EBS:EPM故障(43819,0)</t>
  </si>
  <si>
    <t>EBS:(43819,0)</t>
  </si>
  <si>
    <t>EBS:EPM故障(44075,0)</t>
  </si>
  <si>
    <t>EBS:(44075,0)</t>
  </si>
  <si>
    <t>EBS:EPM故障(44331,0)</t>
  </si>
  <si>
    <t>EBS:(44331,0)</t>
  </si>
  <si>
    <t>EBS:EPM故障(44587,0)</t>
  </si>
  <si>
    <t>EBS:(44587,0)</t>
  </si>
  <si>
    <t>EBS:EPM故障(44843,0)</t>
  </si>
  <si>
    <t>EBS:(44843,0)</t>
  </si>
  <si>
    <t>EBS:EPM故障(45099,0)</t>
  </si>
  <si>
    <t>EBS:(45099,0)</t>
  </si>
  <si>
    <t>EBS:EPM故障(45355,0)</t>
  </si>
  <si>
    <t>EBS:(45355,0)</t>
  </si>
  <si>
    <t>EBS:EPM故障(45611,0)</t>
  </si>
  <si>
    <t>EBS:(45611,0)</t>
  </si>
  <si>
    <t>EBS:EPM故障(45867,0)</t>
  </si>
  <si>
    <t>EBS:(45867,0)</t>
  </si>
  <si>
    <t>EBS:EPM故障(43564,0)</t>
  </si>
  <si>
    <t>EBS:(43564,0)</t>
  </si>
  <si>
    <t>EBS:EPM故障(43820,0)</t>
  </si>
  <si>
    <t>EBS:(43820,0)</t>
  </si>
  <si>
    <t>EBS:EPM故障(44076,0)</t>
  </si>
  <si>
    <t>EBS:(44076,0)</t>
  </si>
  <si>
    <t>EBS:EPM故障(44332,0)</t>
  </si>
  <si>
    <t>EBS:(44332,0)</t>
  </si>
  <si>
    <t>EBS:EPM故障(44588,0)</t>
  </si>
  <si>
    <t>EBS:(44588,0)</t>
  </si>
  <si>
    <t>EBS:EPM故障(44844,0)</t>
  </si>
  <si>
    <t>EBS:(44844,0)</t>
  </si>
  <si>
    <t>EBS:EPM故障(45100,0)</t>
  </si>
  <si>
    <t>EBS:(45100,0)</t>
  </si>
  <si>
    <t>EBS:EPM故障(45356,0)</t>
  </si>
  <si>
    <t>EBS:(45356,0)</t>
  </si>
  <si>
    <t>EBS:EPM故障(45612,0)</t>
  </si>
  <si>
    <t>EBS:(45612,0)</t>
  </si>
  <si>
    <t>EBS:EPM故障(45868,0)</t>
  </si>
  <si>
    <t>EBS:(45868,0)</t>
  </si>
  <si>
    <t>EBS:线路故障(46102,0)</t>
  </si>
  <si>
    <t>EBS:(46102,0)</t>
  </si>
  <si>
    <t>EBS:线路故障(46358,0)</t>
  </si>
  <si>
    <t>EBS:(46358,0)</t>
  </si>
  <si>
    <t>EBS:线路故障(46614,0)</t>
  </si>
  <si>
    <t>EBS:(46614,0)</t>
  </si>
  <si>
    <t>EBS:线路故障(46870,0)</t>
  </si>
  <si>
    <t>EBS:(46870,0)</t>
  </si>
  <si>
    <t>EBS:线路故障(47126,0)</t>
  </si>
  <si>
    <t>EBS:(47126,0)</t>
  </si>
  <si>
    <t>EBS:线路故障(47382,0)</t>
  </si>
  <si>
    <t>EBS:(47382,0)</t>
  </si>
  <si>
    <t>EBS:线路故障(47638,0)</t>
  </si>
  <si>
    <t>EBS:(47638,0)</t>
  </si>
  <si>
    <t>EBS:线路故障(47894,0)</t>
  </si>
  <si>
    <t>EBS:(47894,0)</t>
  </si>
  <si>
    <t>EBS:线路故障(48150,0)</t>
  </si>
  <si>
    <t>EBS:(48150,0)</t>
  </si>
  <si>
    <t>EBS:线路故障(48406,0)</t>
  </si>
  <si>
    <t>EBS:(48406,0)</t>
  </si>
  <si>
    <t>EBS:EPM故障(46110,0)</t>
  </si>
  <si>
    <t>EBS:(46110,0)</t>
  </si>
  <si>
    <t>EBS:EPM故障(46366,0)</t>
  </si>
  <si>
    <t>EBS:(46366,0)</t>
  </si>
  <si>
    <t>EBS:EPM故障(46622,0)</t>
  </si>
  <si>
    <t>EBS:(46622,0)</t>
  </si>
  <si>
    <t>EBS:EPM故障(46878,0)</t>
  </si>
  <si>
    <t>EBS:(46878,0)</t>
  </si>
  <si>
    <t>EBS:EPM故障(47134,0)</t>
  </si>
  <si>
    <t>EBS:(47134,0)</t>
  </si>
  <si>
    <t>EBS:EPM故障(47390,0)</t>
  </si>
  <si>
    <t>EBS:(47390,0)</t>
  </si>
  <si>
    <t>EBS:EPM故障(47646,0)</t>
  </si>
  <si>
    <t>EBS:(47646,0)</t>
  </si>
  <si>
    <t>EBS:EPM故障(47902,0)</t>
  </si>
  <si>
    <t>EBS:(47902,0)</t>
  </si>
  <si>
    <t>EBS:EPM故障(48158,0)</t>
  </si>
  <si>
    <t>EBS:(48158,0)</t>
  </si>
  <si>
    <t>EBS:EPM故障(48414,0)</t>
  </si>
  <si>
    <t>EBS:(48414,0)</t>
  </si>
  <si>
    <t>EBS:EPM故障(46112,0)</t>
  </si>
  <si>
    <t>EBS:(46112,0)</t>
  </si>
  <si>
    <t>EBS:EPM故障(46368,0)</t>
  </si>
  <si>
    <t>EBS:(46368,0)</t>
  </si>
  <si>
    <t>EBS:EPM故障(46624,0)</t>
  </si>
  <si>
    <t>EBS:(46624,0)</t>
  </si>
  <si>
    <t>EBS:EPM故障(46880,0)</t>
  </si>
  <si>
    <t>EBS:(46880,0)</t>
  </si>
  <si>
    <t>EBS:EPM故障(47136,0)</t>
  </si>
  <si>
    <t>EBS:(47136,0)</t>
  </si>
  <si>
    <t>EBS:EPM故障(47392,0)</t>
  </si>
  <si>
    <t>EBS:(47392,0)</t>
  </si>
  <si>
    <t>EBS:EPM故障(47648,0)</t>
  </si>
  <si>
    <t>EBS:(47648,0)</t>
  </si>
  <si>
    <t>EBS:EPM故障(47904,0)</t>
  </si>
  <si>
    <t>EBS:(47904,0)</t>
  </si>
  <si>
    <t>EBS:EPM故障(48160,0)</t>
  </si>
  <si>
    <t>EBS:(48160,0)</t>
  </si>
  <si>
    <t>EBS:EPM故障(48416,0)</t>
  </si>
  <si>
    <t>EBS:(48416,0)</t>
  </si>
  <si>
    <t>EBS:EPM故障(46113,0)</t>
  </si>
  <si>
    <t>EBS:(46113,0)</t>
  </si>
  <si>
    <t>EBS:EPM故障(46369,0)</t>
  </si>
  <si>
    <t>EBS:(46369,0)</t>
  </si>
  <si>
    <t>EBS:EPM故障(46625,0)</t>
  </si>
  <si>
    <t>EBS:(46625,0)</t>
  </si>
  <si>
    <t>EBS:EPM故障(46881,0)</t>
  </si>
  <si>
    <t>EBS:(46881,0)</t>
  </si>
  <si>
    <t>EBS:EPM故障(47137,0)</t>
  </si>
  <si>
    <t>EBS:(47137,0)</t>
  </si>
  <si>
    <t>EBS:EPM故障(47393,0)</t>
  </si>
  <si>
    <t>EBS:(47393,0)</t>
  </si>
  <si>
    <t>EBS:EPM故障(47649,0)</t>
  </si>
  <si>
    <t>EBS:(47649,0)</t>
  </si>
  <si>
    <t>EBS:EPM故障(47905,0)</t>
  </si>
  <si>
    <t>EBS:(47905,0)</t>
  </si>
  <si>
    <t>EBS:EPM故障(48161,0)</t>
  </si>
  <si>
    <t>EBS:(48161,0)</t>
  </si>
  <si>
    <t>EBS:EPM故障(48417,0)</t>
  </si>
  <si>
    <t>EBS:(48417,0)</t>
  </si>
  <si>
    <t>EBS:EPM故障(46123,0)</t>
  </si>
  <si>
    <t>EBS:(46123,0)</t>
  </si>
  <si>
    <t>EBS:EPM故障(46379,0)</t>
  </si>
  <si>
    <t>EBS:(46379,0)</t>
  </si>
  <si>
    <t>EBS:EPM故障(46635,0)</t>
  </si>
  <si>
    <t>EBS:(46635,0)</t>
  </si>
  <si>
    <t>EBS:EPM故障(46891,0)</t>
  </si>
  <si>
    <t>EBS:(46891,0)</t>
  </si>
  <si>
    <t>EBS:EPM故障(47147,0)</t>
  </si>
  <si>
    <t>EBS:(47147,0)</t>
  </si>
  <si>
    <t>EBS:EPM故障(47403,0)</t>
  </si>
  <si>
    <t>EBS:(47403,0)</t>
  </si>
  <si>
    <t>EBS:EPM故障(47659,0)</t>
  </si>
  <si>
    <t>EBS:(47659,0)</t>
  </si>
  <si>
    <t>EBS:EPM故障(47915,0)</t>
  </si>
  <si>
    <t>EBS:(47915,0)</t>
  </si>
  <si>
    <t>EBS:EPM故障(48171,0)</t>
  </si>
  <si>
    <t>EBS:(48171,0)</t>
  </si>
  <si>
    <t>EBS:EPM故障(48427,0)</t>
  </si>
  <si>
    <t>EBS:(48427,0)</t>
  </si>
  <si>
    <t>EBS:EPM故障(48662,0)</t>
  </si>
  <si>
    <t>EBS:(48662,0)</t>
  </si>
  <si>
    <t>EBS:EPM故障(48918,0)</t>
  </si>
  <si>
    <t>EBS:(48918,0)</t>
  </si>
  <si>
    <t>EBS:EPM故障(49174,0)</t>
  </si>
  <si>
    <t>EBS:(49174,0)</t>
  </si>
  <si>
    <t>EBS:EPM故障(49430,0)</t>
  </si>
  <si>
    <t>EBS:(49430,0)</t>
  </si>
  <si>
    <t>EBS:EPM故障(49686,0)</t>
  </si>
  <si>
    <t>EBS:(49686,0)</t>
  </si>
  <si>
    <t>EBS:EPM故障(49942,0)</t>
  </si>
  <si>
    <t>EBS:(49942,0)</t>
  </si>
  <si>
    <t>EBS:EPM故障(50198,0)</t>
  </si>
  <si>
    <t>EBS:(50198,0)</t>
  </si>
  <si>
    <t>EBS:EPM故障(50454,0)</t>
  </si>
  <si>
    <t>EBS:(50454,0)</t>
  </si>
  <si>
    <t>EBS:EPM故障(50710,0)</t>
  </si>
  <si>
    <t>EBS:(50710,0)</t>
  </si>
  <si>
    <t>EBS:EPM故障(50966,0)</t>
  </si>
  <si>
    <t>EBS:(50966,0)</t>
  </si>
  <si>
    <t>EBS:EPM故障(48663,0)</t>
  </si>
  <si>
    <t>EBS:(48663,0)</t>
  </si>
  <si>
    <t>EBS:EPM故障(48919,0)</t>
  </si>
  <si>
    <t>EBS:(48919,0)</t>
  </si>
  <si>
    <t>EBS:EPM故障(49175,0)</t>
  </si>
  <si>
    <t>EBS:(49175,0)</t>
  </si>
  <si>
    <t>EBS:EPM故障(49431,0)</t>
  </si>
  <si>
    <t>EBS:(49431,0)</t>
  </si>
  <si>
    <t>EBS:EPM故障(49687,0)</t>
  </si>
  <si>
    <t>EBS:(49687,0)</t>
  </si>
  <si>
    <t>EBS:EPM故障(49943,0)</t>
  </si>
  <si>
    <t>EBS:(49943,0)</t>
  </si>
  <si>
    <t>EBS:EPM故障(50199,0)</t>
  </si>
  <si>
    <t>EBS:(50199,0)</t>
  </si>
  <si>
    <t>EBS:EPM故障(50455,0)</t>
  </si>
  <si>
    <t>EBS:(50455,0)</t>
  </si>
  <si>
    <t>EBS:EPM故障(50711,0)</t>
  </si>
  <si>
    <t>EBS:(50711,0)</t>
  </si>
  <si>
    <t>EBS:EPM故障(50967,0)</t>
  </si>
  <si>
    <t>EBS:(50967,0)</t>
  </si>
  <si>
    <t>EBS:EPM故障(48667,0)</t>
  </si>
  <si>
    <t>EBS:(48667,0)</t>
  </si>
  <si>
    <t>EBS:EPM故障(48923,0)</t>
  </si>
  <si>
    <t>EBS:(48923,0)</t>
  </si>
  <si>
    <t>EBS:EPM故障(49179,0)</t>
  </si>
  <si>
    <t>EBS:(49179,0)</t>
  </si>
  <si>
    <t>EBS:EPM故障(49435,0)</t>
  </si>
  <si>
    <t>EBS:(49435,0)</t>
  </si>
  <si>
    <t>EBS:EPM故障(49691,0)</t>
  </si>
  <si>
    <t>EBS:(49691,0)</t>
  </si>
  <si>
    <t>EBS:EPM故障(49947,0)</t>
  </si>
  <si>
    <t>EBS:(49947,0)</t>
  </si>
  <si>
    <t>EBS:EPM故障(50203,0)</t>
  </si>
  <si>
    <t>EBS:(50203,0)</t>
  </si>
  <si>
    <t>EBS:EPM故障(50459,0)</t>
  </si>
  <si>
    <t>EBS:(50459,0)</t>
  </si>
  <si>
    <t>EBS:EPM故障(50715,0)</t>
  </si>
  <si>
    <t>EBS:(50715,0)</t>
  </si>
  <si>
    <t>EBS:EPM故障(50971,0)</t>
  </si>
  <si>
    <t>EBS:(50971,0)</t>
  </si>
  <si>
    <t>EBS:EPM故障(48668,0)</t>
  </si>
  <si>
    <t>EBS:(48668,0)</t>
  </si>
  <si>
    <t>EBS:EPM故障(48924,0)</t>
  </si>
  <si>
    <t>EBS:(48924,0)</t>
  </si>
  <si>
    <t>EBS:EPM故障(49180,0)</t>
  </si>
  <si>
    <t>EBS:(49180,0)</t>
  </si>
  <si>
    <t>EBS:EPM故障(49436,0)</t>
  </si>
  <si>
    <t>EBS:(49436,0)</t>
  </si>
  <si>
    <t>EBS:EPM故障(49692,0)</t>
  </si>
  <si>
    <t>EBS:(49692,0)</t>
  </si>
  <si>
    <t>EBS:EPM故障(49948,0)</t>
  </si>
  <si>
    <t>EBS:(49948,0)</t>
  </si>
  <si>
    <t>EBS:EPM故障(50204,0)</t>
  </si>
  <si>
    <t>EBS:(50204,0)</t>
  </si>
  <si>
    <t>EBS:EPM故障(50460,0)</t>
  </si>
  <si>
    <t>EBS:(50460,0)</t>
  </si>
  <si>
    <t>EBS:EPM故障(50716,0)</t>
  </si>
  <si>
    <t>EBS:(50716,0)</t>
  </si>
  <si>
    <t>EBS:EPM故障(50972,0)</t>
  </si>
  <si>
    <t>EBS:(50972,0)</t>
  </si>
  <si>
    <t>EBS:气路故障(51260,0)</t>
  </si>
  <si>
    <t>EBS:(51260,0)</t>
  </si>
  <si>
    <t>EBS:气路故障(51516,0)</t>
  </si>
  <si>
    <t>EBS:(51516,0)</t>
  </si>
  <si>
    <t>EBS:气路故障(51772,0)</t>
  </si>
  <si>
    <t>EBS:(51772,0)</t>
  </si>
  <si>
    <t>EBS:气路故障(52028,0)</t>
  </si>
  <si>
    <t>EBS:(52028,0)</t>
  </si>
  <si>
    <t>EBS:气路故障(52284,0)</t>
  </si>
  <si>
    <t>EBS:(52284,0)</t>
  </si>
  <si>
    <t>EBS:气路故障(52540,0)</t>
  </si>
  <si>
    <t>EBS:(52540,0)</t>
  </si>
  <si>
    <t>EBS:气路故障(52796,0)</t>
  </si>
  <si>
    <t>EBS:(52796,0)</t>
  </si>
  <si>
    <t>EBS:气路故障(53052,0)</t>
  </si>
  <si>
    <t>EBS:(53052,0)</t>
  </si>
  <si>
    <t>EBS:气路故障(53308,0)</t>
  </si>
  <si>
    <t>EBS:(53308,0)</t>
  </si>
  <si>
    <t>EBS:气路故障(53564,0)</t>
  </si>
  <si>
    <t>EBS:(53564,0)</t>
  </si>
  <si>
    <t>EBS:EPM故障(51261,0)</t>
  </si>
  <si>
    <t>EBS:(51261,0)</t>
  </si>
  <si>
    <t>EBS:EPM故障(51517,0)</t>
  </si>
  <si>
    <t>EBS:(51517,0)</t>
  </si>
  <si>
    <t>EBS:EPM故障(51773,0)</t>
  </si>
  <si>
    <t>EBS:(51773,0)</t>
  </si>
  <si>
    <t>EBS:EPM故障(52029,0)</t>
  </si>
  <si>
    <t>EBS:(52029,0)</t>
  </si>
  <si>
    <t>EBS:EPM故障(52285,0)</t>
  </si>
  <si>
    <t>EBS:(52285,0)</t>
  </si>
  <si>
    <t>EBS:EPM故障(52541,0)</t>
  </si>
  <si>
    <t>EBS:(52541,0)</t>
  </si>
  <si>
    <t>EBS:EPM故障(52797,0)</t>
  </si>
  <si>
    <t>EBS:(52797,0)</t>
  </si>
  <si>
    <t>EBS:EPM故障(53053,0)</t>
  </si>
  <si>
    <t>EBS:(53053,0)</t>
  </si>
  <si>
    <t>EBS:EPM故障(53309,0)</t>
  </si>
  <si>
    <t>EBS:(53309,0)</t>
  </si>
  <si>
    <t>EBS:EPM故障(53565,0)</t>
  </si>
  <si>
    <t>EBS:(53565,0)</t>
  </si>
  <si>
    <t>EBS:气路故障(51262,0)</t>
  </si>
  <si>
    <t>EBS:(51262,0)</t>
  </si>
  <si>
    <t>EBS:气路故障(51518,0)</t>
  </si>
  <si>
    <t>EBS:(51518,0)</t>
  </si>
  <si>
    <t>EBS:气路故障(51774,0)</t>
  </si>
  <si>
    <t>EBS:(51774,0)</t>
  </si>
  <si>
    <t>EBS:气路故障(52030,0)</t>
  </si>
  <si>
    <t>EBS:(52030,0)</t>
  </si>
  <si>
    <t>EBS:气路故障(52286,0)</t>
  </si>
  <si>
    <t>EBS:(52286,0)</t>
  </si>
  <si>
    <t>EBS:气路故障(52542,0)</t>
  </si>
  <si>
    <t>EBS:(52542,0)</t>
  </si>
  <si>
    <t>EBS:气路故障(52798,0)</t>
  </si>
  <si>
    <t>EBS:(52798,0)</t>
  </si>
  <si>
    <t>EBS:气路故障(53054,0)</t>
  </si>
  <si>
    <t>EBS:(53054,0)</t>
  </si>
  <si>
    <t>EBS:气路故障(53310,0)</t>
  </si>
  <si>
    <t>EBS:(53310,0)</t>
  </si>
  <si>
    <t>EBS:气路故障(53566,0)</t>
  </si>
  <si>
    <t>EBS:(53566,0)</t>
  </si>
  <si>
    <t>EBS:EBS故障(51263,0)</t>
  </si>
  <si>
    <t>EBS:(51263,0)</t>
  </si>
  <si>
    <t>EBS:EBS故障(51519,0)</t>
  </si>
  <si>
    <t>EBS:(51519,0)</t>
  </si>
  <si>
    <t>EBS:EBS故障(51775,0)</t>
  </si>
  <si>
    <t>EBS:(51775,0)</t>
  </si>
  <si>
    <t>EBS:EBS故障(52031,0)</t>
  </si>
  <si>
    <t>EBS:(52031,0)</t>
  </si>
  <si>
    <t>EBS:EBS故障(52287,0)</t>
  </si>
  <si>
    <t>EBS:(52287,0)</t>
  </si>
  <si>
    <t>EBS:EBS故障(52543,0)</t>
  </si>
  <si>
    <t>EBS:(52543,0)</t>
  </si>
  <si>
    <t>EBS:EBS故障(52799,0)</t>
  </si>
  <si>
    <t>EBS:(52799,0)</t>
  </si>
  <si>
    <t>EBS:EBS故障(53055,0)</t>
  </si>
  <si>
    <t>EBS:(53055,0)</t>
  </si>
  <si>
    <t>EBS:EBS故障(53311,0)</t>
  </si>
  <si>
    <t>EBS:(53311,0)</t>
  </si>
  <si>
    <t>EBS:EBS故障(53567,0)</t>
  </si>
  <si>
    <t>EBS:(53567,0)</t>
  </si>
  <si>
    <t>EBS:气路故障(51266,0)</t>
  </si>
  <si>
    <t>EBS:(51266,0)</t>
  </si>
  <si>
    <t>EBS:气路故障(51522,0)</t>
  </si>
  <si>
    <t>EBS:(51522,0)</t>
  </si>
  <si>
    <t>EBS:气路故障(51778,0)</t>
  </si>
  <si>
    <t>EBS:(51778,0)</t>
  </si>
  <si>
    <t>EBS:气路故障(52034,0)</t>
  </si>
  <si>
    <t>EBS:(52034,0)</t>
  </si>
  <si>
    <t>EBS:气路故障(52290,0)</t>
  </si>
  <si>
    <t>EBS:(52290,0)</t>
  </si>
  <si>
    <t>EBS:气路故障(52546,0)</t>
  </si>
  <si>
    <t>EBS:(52546,0)</t>
  </si>
  <si>
    <t>EBS:气路故障(52802,0)</t>
  </si>
  <si>
    <t>EBS:(52802,0)</t>
  </si>
  <si>
    <t>EBS:气路故障(53058,0)</t>
  </si>
  <si>
    <t>EBS:(53058,0)</t>
  </si>
  <si>
    <t>EBS:气路故障(53314,0)</t>
  </si>
  <si>
    <t>EBS:(53314,0)</t>
  </si>
  <si>
    <t>EBS:气路故障(53570,0)</t>
  </si>
  <si>
    <t>EBS:(53570,0)</t>
  </si>
  <si>
    <t>EBS:气路故障(51267,0)</t>
  </si>
  <si>
    <t>EBS:(51267,0)</t>
  </si>
  <si>
    <t>EBS:气路故障(51523,0)</t>
  </si>
  <si>
    <t>EBS:(51523,0)</t>
  </si>
  <si>
    <t>EBS:气路故障(51779,0)</t>
  </si>
  <si>
    <t>EBS:(51779,0)</t>
  </si>
  <si>
    <t>EBS:气路故障(52035,0)</t>
  </si>
  <si>
    <t>EBS:(52035,0)</t>
  </si>
  <si>
    <t>EBS:气路故障(52291,0)</t>
  </si>
  <si>
    <t>EBS:(52291,0)</t>
  </si>
  <si>
    <t>EBS:气路故障(52547,0)</t>
  </si>
  <si>
    <t>EBS:(52547,0)</t>
  </si>
  <si>
    <t>EBS:气路故障(52803,0)</t>
  </si>
  <si>
    <t>EBS:(52803,0)</t>
  </si>
  <si>
    <t>EBS:气路故障(53059,0)</t>
  </si>
  <si>
    <t>EBS:(53059,0)</t>
  </si>
  <si>
    <t>EBS:气路故障(53315,0)</t>
  </si>
  <si>
    <t>EBS:(53315,0)</t>
  </si>
  <si>
    <t>EBS:气路故障(53571,0)</t>
  </si>
  <si>
    <t>EBS:(53571,0)</t>
  </si>
  <si>
    <t>EBS:EPM故障(51268,0)</t>
  </si>
  <si>
    <t>EBS:(51268,0)</t>
  </si>
  <si>
    <t>EBS:EPM故障(51524,0)</t>
  </si>
  <si>
    <t>EBS:(51524,0)</t>
  </si>
  <si>
    <t>EBS:EPM故障(51780,0)</t>
  </si>
  <si>
    <t>EBS:(51780,0)</t>
  </si>
  <si>
    <t>EBS:EPM故障(52036,0)</t>
  </si>
  <si>
    <t>EBS:(52036,0)</t>
  </si>
  <si>
    <t>EBS:EPM故障(52292,0)</t>
  </si>
  <si>
    <t>EBS:(52292,0)</t>
  </si>
  <si>
    <t>EBS:EPM故障(52548,0)</t>
  </si>
  <si>
    <t>EBS:(52548,0)</t>
  </si>
  <si>
    <t>EBS:EPM故障(52804,0)</t>
  </si>
  <si>
    <t>EBS:(52804,0)</t>
  </si>
  <si>
    <t>EBS:EPM故障(53060,0)</t>
  </si>
  <si>
    <t>EBS:(53060,0)</t>
  </si>
  <si>
    <t>EBS:EPM故障(53316,0)</t>
  </si>
  <si>
    <t>EBS:(53316,0)</t>
  </si>
  <si>
    <t>EBS:EPM故障(53572,0)</t>
  </si>
  <si>
    <t>EBS:(53572,0)</t>
  </si>
  <si>
    <t>EBS:EBS故障(51269,0)</t>
  </si>
  <si>
    <t>EBS:(51269,0)</t>
  </si>
  <si>
    <t>EBS:EBS故障(51525,0)</t>
  </si>
  <si>
    <t>EBS:(51525,0)</t>
  </si>
  <si>
    <t>EBS:EBS故障(51781,0)</t>
  </si>
  <si>
    <t>EBS:(51781,0)</t>
  </si>
  <si>
    <t>EBS:EBS故障(52037,0)</t>
  </si>
  <si>
    <t>EBS:(52037,0)</t>
  </si>
  <si>
    <t>EBS:EBS故障(52293,0)</t>
  </si>
  <si>
    <t>EBS:(52293,0)</t>
  </si>
  <si>
    <t>EBS:EBS故障(52549,0)</t>
  </si>
  <si>
    <t>EBS:(52549,0)</t>
  </si>
  <si>
    <t>EBS:EBS故障(52805,0)</t>
  </si>
  <si>
    <t>EBS:(52805,0)</t>
  </si>
  <si>
    <t>EBS:EBS故障(53061,0)</t>
  </si>
  <si>
    <t>EBS:(53061,0)</t>
  </si>
  <si>
    <t>EBS:EBS故障(53317,0)</t>
  </si>
  <si>
    <t>EBS:(53317,0)</t>
  </si>
  <si>
    <t>EBS:EBS故障(53573,0)</t>
  </si>
  <si>
    <t>EBS:(53573,0)</t>
  </si>
  <si>
    <t>EBS:EPM故障(51270,0)</t>
  </si>
  <si>
    <t>EBS:(51270,0)</t>
  </si>
  <si>
    <t>EBS:EPM故障(51526,0)</t>
  </si>
  <si>
    <t>EBS:(51526,0)</t>
  </si>
  <si>
    <t>EBS:EPM故障(51782,0)</t>
  </si>
  <si>
    <t>EBS:(51782,0)</t>
  </si>
  <si>
    <t>EBS:EPM故障(52038,0)</t>
  </si>
  <si>
    <t>EBS:(52038,0)</t>
  </si>
  <si>
    <t>EBS:EPM故障(52294,0)</t>
  </si>
  <si>
    <t>EBS:(52294,0)</t>
  </si>
  <si>
    <t>EBS:EPM故障(52550,0)</t>
  </si>
  <si>
    <t>EBS:(52550,0)</t>
  </si>
  <si>
    <t>EBS:EPM故障(52806,0)</t>
  </si>
  <si>
    <t>EBS:(52806,0)</t>
  </si>
  <si>
    <t>EBS:EPM故障(53062,0)</t>
  </si>
  <si>
    <t>EBS:(53062,0)</t>
  </si>
  <si>
    <t>EBS:EPM故障(53318,0)</t>
  </si>
  <si>
    <t>EBS:(53318,0)</t>
  </si>
  <si>
    <t>EBS:EPM故障(53574,0)</t>
  </si>
  <si>
    <t>EBS:(53574,0)</t>
  </si>
  <si>
    <t>EBS:EPM故障(51271,0)</t>
  </si>
  <si>
    <t>EBS:(51271,0)</t>
  </si>
  <si>
    <t>EBS:EPM故障(51527,0)</t>
  </si>
  <si>
    <t>EBS:(51527,0)</t>
  </si>
  <si>
    <t>EBS:EPM故障(51783,0)</t>
  </si>
  <si>
    <t>EBS:(51783,0)</t>
  </si>
  <si>
    <t>EBS:EPM故障(52039,0)</t>
  </si>
  <si>
    <t>EBS:(52039,0)</t>
  </si>
  <si>
    <t>EBS:EPM故障(52295,0)</t>
  </si>
  <si>
    <t>EBS:(52295,0)</t>
  </si>
  <si>
    <t>EBS:EPM故障(52551,0)</t>
  </si>
  <si>
    <t>EBS:(52551,0)</t>
  </si>
  <si>
    <t>EBS:EPM故障(52807,0)</t>
  </si>
  <si>
    <t>EBS:(52807,0)</t>
  </si>
  <si>
    <t>EBS:EPM故障(53063,0)</t>
  </si>
  <si>
    <t>EBS:(53063,0)</t>
  </si>
  <si>
    <t>EBS:EPM故障(53319,0)</t>
  </si>
  <si>
    <t>EBS:(53319,0)</t>
  </si>
  <si>
    <t>EBS:EPM故障(53575,0)</t>
  </si>
  <si>
    <t>EBS:(53575,0)</t>
  </si>
  <si>
    <t>EBS:ECU故障(65025,0)</t>
  </si>
  <si>
    <t>EBS:(65025,0)</t>
  </si>
  <si>
    <t>EBS:ECU故障(65026,0)</t>
  </si>
  <si>
    <t>EBS:(65026,0)</t>
  </si>
  <si>
    <t>EBS:ECU故障(65113,0)</t>
  </si>
  <si>
    <t>EBS:(65113,0)</t>
  </si>
  <si>
    <t>EBS:ECU故障(65229,0)</t>
  </si>
  <si>
    <t>EBS:(65229,0)</t>
  </si>
  <si>
    <t>EBS配置异常</t>
  </si>
  <si>
    <t>EBS:(24832,0)</t>
  </si>
  <si>
    <t>辅助阀线束短路到蓄电池</t>
  </si>
  <si>
    <t>EBS:(24864,0)</t>
  </si>
  <si>
    <t>EBS:转向角度传感器未标定(13012,0)</t>
  </si>
  <si>
    <t>EBS:SAS传感器未标定(13012,0)</t>
  </si>
  <si>
    <t>EBS:转向角度传感器未标定(13268,0)</t>
  </si>
  <si>
    <t>EBS:SAS传感器未标定(13268,0)</t>
  </si>
  <si>
    <t>EBS:转向角度传感器未标定(13270,0)</t>
  </si>
  <si>
    <t>EBS:SAS传感器未标定(13270,0)</t>
  </si>
  <si>
    <t>EBS:转向角度传感器未标定(13281,0)</t>
  </si>
  <si>
    <t>EBS:SAS传感器未标定(13281,0)</t>
  </si>
  <si>
    <t>EBS:转向角度传感器未标定(13282,0)</t>
  </si>
  <si>
    <t>EBS:SAS传感器未标定(13282,0)</t>
  </si>
  <si>
    <t>EBS:横摆率传感器标定故障(13793,0)</t>
  </si>
  <si>
    <t>EBS:ESC传感器未标定(13793,0)</t>
  </si>
  <si>
    <t>EBS:横摆率传感器标定故障(13795,0)</t>
  </si>
  <si>
    <t>EBS:ESC传感器未标定(13795,0)</t>
  </si>
  <si>
    <t>BCM:位置灯继电器开路</t>
  </si>
  <si>
    <t>BCM:位置灯继电器或线路故障(518100,5)</t>
  </si>
  <si>
    <t>BCM:位置灯继电器短路</t>
  </si>
  <si>
    <t>BCM:位置灯继电器或线路故障(518100,6)</t>
  </si>
  <si>
    <t>BCM:远光灯继电器开路</t>
  </si>
  <si>
    <t>BCM:远光灯继电器或线路故障(518101,5)</t>
  </si>
  <si>
    <t>BCM:远光灯继电器短路</t>
  </si>
  <si>
    <t>BCM:远光灯继电器或线路故障(518101,6)</t>
  </si>
  <si>
    <t>BCM:辅助远光灯继电器开路</t>
  </si>
  <si>
    <t>BCM:辅助远光灯继电器或线路故障(518102,5)</t>
  </si>
  <si>
    <t>BCM:辅助远光灯继电器短路</t>
  </si>
  <si>
    <t>BCM:辅助远光灯继电器或线路故障(518102,6)</t>
  </si>
  <si>
    <t>BCM:近光灯继电器开路</t>
  </si>
  <si>
    <t>BCM:近光灯继电器或线路故障(518103,5)</t>
  </si>
  <si>
    <t>BCM:近光灯继电器短路</t>
  </si>
  <si>
    <t>BCM:近光灯继电器或线路故障(518103,6)</t>
  </si>
  <si>
    <t>BCM:前雾灯继电器开路</t>
  </si>
  <si>
    <t>BCM:前雾灯继电器或线路故障(518104,5)</t>
  </si>
  <si>
    <t>BCM:前雾灯继电器短路</t>
  </si>
  <si>
    <t>BCM:前雾灯继电器或线路故障(518104,6)</t>
  </si>
  <si>
    <t>BCM:昼间行车灯短路</t>
  </si>
  <si>
    <t>BCM:昼间行车灯或线路故障(518105,6)</t>
  </si>
  <si>
    <t>BCM:主车左前转向灯开路</t>
  </si>
  <si>
    <t>BCM:主车左前转向灯或线路故障(518106,5)</t>
  </si>
  <si>
    <t>BCM:主车左前转向灯短路</t>
  </si>
  <si>
    <t>BCM:主车左前转向灯或线路故障(518106,6)</t>
  </si>
  <si>
    <t>BCM:主车右前转向灯开路</t>
  </si>
  <si>
    <t>BCM:主车右前转向灯或线路故障(518107,5)</t>
  </si>
  <si>
    <t>BCM:主车右前转向灯短路</t>
  </si>
  <si>
    <t>BCM:主车右前转向灯或线路故障(518107,6)</t>
  </si>
  <si>
    <t>BCM:主车左侧转向灯开路</t>
  </si>
  <si>
    <t>BCM:主车左侧转向灯或线路故障(518108,5)</t>
  </si>
  <si>
    <t>BCM:主车左侧转向灯短路</t>
  </si>
  <si>
    <t>BCM:主车左侧转向灯或线路故障(518108,6)</t>
  </si>
  <si>
    <t>BCM:主车左侧转向灯过载</t>
  </si>
  <si>
    <t>BCM:主车左侧转向灯或线路故障(518108,13)</t>
  </si>
  <si>
    <t>BCM:主车右侧转向灯开路</t>
  </si>
  <si>
    <t>BCM:主车右侧转向灯或线路故障(518109,5)</t>
  </si>
  <si>
    <t>BCM:主车右侧转向灯短路</t>
  </si>
  <si>
    <t>BCM:主车右侧转向灯或线路故障(518109,6)</t>
  </si>
  <si>
    <t>BCM:主车右侧转向灯过载</t>
  </si>
  <si>
    <t>BCM:主车右侧转向灯或线路故障(518109,13)</t>
  </si>
  <si>
    <t>BCM:主车左后转向灯开路</t>
  </si>
  <si>
    <t>BCM:主车左后转向灯或线路故障(518110,5)</t>
  </si>
  <si>
    <t>BCM:主车左后转向灯短路</t>
  </si>
  <si>
    <t>BCM:主车左后转向灯或线路故障(518110,6)</t>
  </si>
  <si>
    <t>BCM:主车左后转向灯过载</t>
  </si>
  <si>
    <t>BCM:主车左后转向灯或线路故障(518110,13)</t>
  </si>
  <si>
    <t>BCM:主车右后转向灯开路</t>
  </si>
  <si>
    <t>BCM:主车右后转向灯或线路故障(518111,5)</t>
  </si>
  <si>
    <t>BCM:主车右后转向灯短路</t>
  </si>
  <si>
    <t>BCM:主车右后转向灯或线路故障(518111,6)</t>
  </si>
  <si>
    <t>BCM:主车右后转向灯过载</t>
  </si>
  <si>
    <t>BCM:主车右后转向灯或线路故障(518111,13)</t>
  </si>
  <si>
    <t>BCM:主车制动灯开路</t>
  </si>
  <si>
    <t>BCM:主车制动灯或线路故障(518112,5)</t>
  </si>
  <si>
    <t>BCM:主车制动灯短路</t>
  </si>
  <si>
    <t>BCM:主车制动灯或线路故障(518112,6)</t>
  </si>
  <si>
    <t>BCM:主车制动灯过载</t>
  </si>
  <si>
    <t>BCM:主车制动灯或线路故障(518112,13)</t>
  </si>
  <si>
    <t>BCM:主车倒车灯开路</t>
  </si>
  <si>
    <t>BCM:主车倒车灯或线路故障(518113,5)</t>
  </si>
  <si>
    <t>BCM:主车倒车灯短路</t>
  </si>
  <si>
    <t>BCM:主车倒车灯或线路故障(518113,6)</t>
  </si>
  <si>
    <t>BCM:主车倒车灯过载</t>
  </si>
  <si>
    <t>BCM:主车倒车灯或线路故障(518113,13)</t>
  </si>
  <si>
    <t>BCM:主车后雾灯开路</t>
  </si>
  <si>
    <t>BCM:主车后雾灯或线路故障(518114,5)</t>
  </si>
  <si>
    <t>BCM:主车后雾灯短路</t>
  </si>
  <si>
    <t>BCM:主车后雾灯或线路故障(518114,6)</t>
  </si>
  <si>
    <t>BCM:主车后雾灯过载</t>
  </si>
  <si>
    <t>BCM:主车后雾灯或线路故障(518114,13)</t>
  </si>
  <si>
    <t>BCM:主车后位置灯开路</t>
  </si>
  <si>
    <t>BCM:主车后位置灯或线路故障(518115,5)</t>
  </si>
  <si>
    <t>BCM:主车后位置灯短路</t>
  </si>
  <si>
    <t>BCM:主车后位置灯或线路故障(518115,6)</t>
  </si>
  <si>
    <t>BCM:主车后位置灯过载</t>
  </si>
  <si>
    <t>BCM:主车后位置灯或线路故障(518115,13)</t>
  </si>
  <si>
    <t>BCM:挂车左转向灯开路</t>
  </si>
  <si>
    <t>BCM:挂车左转向灯或线路故障(518116,5)</t>
  </si>
  <si>
    <t>BCM:挂车左转向灯短路</t>
  </si>
  <si>
    <t>BCM:挂车左转向灯或线路故障(518116,6)</t>
  </si>
  <si>
    <t>BCM:挂车左转向灯过载</t>
  </si>
  <si>
    <t>BCM:挂车左转向灯或线路故障(518116,13)</t>
  </si>
  <si>
    <t>BCM:挂车右转向灯开路</t>
  </si>
  <si>
    <t>BCM:挂车右转向灯或线路故障(518117,5)</t>
  </si>
  <si>
    <t>BCM:挂车右转向灯短路</t>
  </si>
  <si>
    <t>BCM:挂车右转向灯或线路故障(518117,6)</t>
  </si>
  <si>
    <t>BCM:挂车右转向灯过载</t>
  </si>
  <si>
    <t>BCM:挂车右转向灯或线路故障(518117,13)</t>
  </si>
  <si>
    <t>BCM:挂车制动灯开路</t>
  </si>
  <si>
    <t>BCM:挂车制动灯或线路故障(518118,5)</t>
  </si>
  <si>
    <t>BCM:挂车制动灯短路</t>
  </si>
  <si>
    <t>BCM:挂车制动灯或线路故障(518118,6)</t>
  </si>
  <si>
    <t>BCM:挂车制动灯过载</t>
  </si>
  <si>
    <t>BCM:挂车制动灯或线路故障(518118,13)</t>
  </si>
  <si>
    <t>BCM:挂车倒车灯开路</t>
  </si>
  <si>
    <t>BCM:挂车制动灯或线路故障(518119,5)</t>
  </si>
  <si>
    <t>BCM:挂车倒车灯短路</t>
  </si>
  <si>
    <t>BCM:挂车倒车灯或线路故障(518119,6)</t>
  </si>
  <si>
    <t>BCM:挂车倒车灯过载</t>
  </si>
  <si>
    <t>BCM:挂车倒车灯或线路故障(518119,13)</t>
  </si>
  <si>
    <t>BCM:挂车后雾灯开路</t>
  </si>
  <si>
    <t>BCM:挂车倒车灯或线路故障(518120,5)</t>
  </si>
  <si>
    <t>BCM:挂车后雾灯短路</t>
  </si>
  <si>
    <t>BCM:挂车后雾灯或线路故障(518120,6)</t>
  </si>
  <si>
    <t>BCM:挂车后雾灯过载</t>
  </si>
  <si>
    <t>BCM:挂车后雾灯或线路故障(518120,13)</t>
  </si>
  <si>
    <t>BCM:雨刮高速继电器开路</t>
  </si>
  <si>
    <t>BCM:雨刮高速继电器或线路故障(518121,5)</t>
  </si>
  <si>
    <t>BCM:雨刮高速继电器短路</t>
  </si>
  <si>
    <t>BCM:雨刮高速继电器或线路故障(518121,6)</t>
  </si>
  <si>
    <t>BCM:雨刮低速继电器开路</t>
  </si>
  <si>
    <t>BCM:雨刮低速继电器或线路故障(518122,5)</t>
  </si>
  <si>
    <t>BCM:雨刮低速继电器短路</t>
  </si>
  <si>
    <t>BCM:雨刮低速继电器或线路故障(518122,6)</t>
  </si>
  <si>
    <t>BCM:洗涤电机开路</t>
  </si>
  <si>
    <t>BCM:洗涤电机或线路故障(518123,5)</t>
  </si>
  <si>
    <t>BCM:洗涤电机短路</t>
  </si>
  <si>
    <t>BCM:洗涤电机或线路故障(518123,6)</t>
  </si>
  <si>
    <t>BCM:洗涤电机过载</t>
  </si>
  <si>
    <t>BCM:洗涤电机或线路故障(518123,13)</t>
  </si>
  <si>
    <t>BCM:危险报警指示灯短路</t>
  </si>
  <si>
    <t>BCM:危险报警指示灯或线路故障(518124,6)</t>
  </si>
  <si>
    <t>BCM:灯光旋钮背光灯短路</t>
  </si>
  <si>
    <t>BCM:灯光旋钮背光灯或线路故障(518125,6)</t>
  </si>
  <si>
    <t>BCM:电源1故障</t>
  </si>
  <si>
    <t>BCM:电源1故障(518126,5)</t>
  </si>
  <si>
    <t>BCM:电源2故障</t>
  </si>
  <si>
    <t>BCM:电源2故障(518127,5)</t>
  </si>
  <si>
    <t>BCM:电源3故障</t>
  </si>
  <si>
    <t>BCM:电源3故障(518128,5)</t>
  </si>
  <si>
    <t>BCM:电源4故障</t>
  </si>
  <si>
    <t>BCM:电源4故障(518129,5)</t>
  </si>
  <si>
    <t>BCM:5V传感器电源短路到电源</t>
  </si>
  <si>
    <t>BCM:传感器电源故障(518131,3)</t>
  </si>
  <si>
    <t>BCM:5V传感器电源短路到地</t>
  </si>
  <si>
    <t>BCM:传感器电源故障(518131,4)</t>
  </si>
  <si>
    <t>BCM:气喇叭电磁阀开路</t>
  </si>
  <si>
    <t>BCM:气喇叭电磁阀或线路故障(518136,5)</t>
  </si>
  <si>
    <t>BCM:气喇叭电磁阀短路</t>
  </si>
  <si>
    <t>BCM:气喇叭电磁阀或线路故障(518136,6)</t>
  </si>
  <si>
    <t>BCM:电喇叭继电器开路</t>
  </si>
  <si>
    <t>BCM:电喇叭继电器或线路故障(518137,5)</t>
  </si>
  <si>
    <t>BCM:电喇叭继电器短路</t>
  </si>
  <si>
    <t>BCM:电喇叭继电器或线路故障(518137,6)</t>
  </si>
  <si>
    <t>BCM:阅读灯短路</t>
  </si>
  <si>
    <t>BCM:阅读灯或线路故障(518138,6)</t>
  </si>
  <si>
    <t>BCM:后照灯继电器开路</t>
  </si>
  <si>
    <t>BCM:后照灯继电器或线路故障(518139,5)</t>
  </si>
  <si>
    <t>BCM:后照灯继电器短路</t>
  </si>
  <si>
    <t>BCM:后照灯继电器或线路故障(518139,6)</t>
  </si>
  <si>
    <t>BCM:轮间差速电磁阀开路</t>
  </si>
  <si>
    <t>BCM:轮间差速电磁阀或线路故障(518140,5)</t>
  </si>
  <si>
    <t>BCM:轮间差速电磁阀短路</t>
  </si>
  <si>
    <t>BCM:轮间差速电磁阀或线路故障(518140,6)</t>
  </si>
  <si>
    <t>BCM:轴间差速电磁阀开路</t>
  </si>
  <si>
    <t>BCM:轴间差速电磁阀或线路故障(518141,5)</t>
  </si>
  <si>
    <t>BCM:轴间差速电磁阀短路</t>
  </si>
  <si>
    <t>BCM:轴间差速电磁阀或线路故障(518141,6)</t>
  </si>
  <si>
    <t>BCM:取力电磁阀开路</t>
  </si>
  <si>
    <t>BCM:取力电磁阀或线路故障(518142,5)</t>
  </si>
  <si>
    <t>BCM:取力电磁阀短路</t>
  </si>
  <si>
    <t>BCM:取力电磁阀或线路故障(518142,6)</t>
  </si>
  <si>
    <t>BCM:预留传感器信号短路到电源</t>
  </si>
  <si>
    <t>BCM:预留传感器信号电压高(518148,3)</t>
  </si>
  <si>
    <t>BCM:预留传感器信号短路到地</t>
  </si>
  <si>
    <t>BCM:预留传感器信号电压低(518148,4)</t>
  </si>
  <si>
    <t>BCM:电源电压过高</t>
  </si>
  <si>
    <t>BCM:电源电压过高(518151,0)</t>
  </si>
  <si>
    <t>BCM:电源电压过低</t>
  </si>
  <si>
    <t>BCM:电源电压过低(518151,1)</t>
  </si>
  <si>
    <t>原始故障描述(兼容D760&amp;D320&amp;D560 DCM)</t>
  </si>
  <si>
    <t>Fault description-IC Homepage</t>
  </si>
  <si>
    <t>1</t>
  </si>
  <si>
    <t>DCM:司机侧玻璃升降电机开路</t>
  </si>
  <si>
    <t>DCM:driver side window motor open circuit</t>
  </si>
  <si>
    <t>518001</t>
  </si>
  <si>
    <t>5</t>
  </si>
  <si>
    <t>DCM:司机侧车窗电机或线路故障(518001,5)</t>
  </si>
  <si>
    <t>DCM:left window motor open circuit(518001,5)</t>
  </si>
  <si>
    <t>51800105,</t>
  </si>
  <si>
    <t>51800105: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</si>
  <si>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 xml:space="preserve">ar_ui_ErrNo := </t>
    </r>
  </si>
  <si>
    <t>;</t>
  </si>
  <si>
    <t>2</t>
  </si>
  <si>
    <t>DCM:司机侧玻璃升降电机短路到地</t>
  </si>
  <si>
    <t>DCM:driver side window motor grounded circuit</t>
  </si>
  <si>
    <t>6</t>
  </si>
  <si>
    <t>DCM:司机侧车窗电机或线路故障(518001,6)</t>
  </si>
  <si>
    <t>DCM:left window motor short to GND(518001,6)</t>
  </si>
  <si>
    <t>51800106,</t>
  </si>
  <si>
    <t>51800106:</t>
  </si>
  <si>
    <t>3</t>
  </si>
  <si>
    <t>DCM:司机侧门锁电机开路</t>
  </si>
  <si>
    <t>DCM:driver side door lock motor open circuit</t>
  </si>
  <si>
    <t>518002</t>
  </si>
  <si>
    <t>DCM:司机侧门锁电机或线路故障(518002,5)</t>
  </si>
  <si>
    <t>DCM:left lock motor open circuit(518002,5)</t>
  </si>
  <si>
    <t>51800205,</t>
  </si>
  <si>
    <t>51800205:</t>
  </si>
  <si>
    <t>4</t>
  </si>
  <si>
    <t>DCM:司机侧门锁电机短路到地</t>
  </si>
  <si>
    <t>DCM:driver side door lock motor grounded circuit</t>
  </si>
  <si>
    <t>DCM:司机侧门锁电机或线路故障(518002,6)</t>
  </si>
  <si>
    <t>DCM:left lock motor short to GND(518002,6)</t>
  </si>
  <si>
    <t>51800206,</t>
  </si>
  <si>
    <t>51800206:</t>
  </si>
  <si>
    <t>DCM:司机侧后视镜上下调节电机开路</t>
  </si>
  <si>
    <t>DCM:upper and lower motor of driver side rearview mirror open circuit</t>
  </si>
  <si>
    <t>518003</t>
  </si>
  <si>
    <t>DCM:司机侧后视镜上下调节电机或线路故障(518003,5)</t>
  </si>
  <si>
    <t>DCM:left back mirror motor open circuit(518003,5)</t>
  </si>
  <si>
    <t>51800305,</t>
  </si>
  <si>
    <t>51800305:</t>
  </si>
  <si>
    <t>DCM:司机侧后视镜上下调节电机短路到地</t>
  </si>
  <si>
    <t>DCM:upper and lower motor of driver side rearview mirror grounded circuit</t>
  </si>
  <si>
    <t>DCM:司机侧后视镜上下调节电机或线路故障(518003,6)</t>
  </si>
  <si>
    <t>DCM:left back mirror motor short to GND(518003,6)</t>
  </si>
  <si>
    <t>51800306,</t>
  </si>
  <si>
    <t>51800306:</t>
  </si>
  <si>
    <t>7</t>
  </si>
  <si>
    <t>DCM:司机侧后视镜左右调节电机开路</t>
  </si>
  <si>
    <t>DCM:left and right motor of driver side rearview mirror open circuit</t>
  </si>
  <si>
    <t>518004</t>
  </si>
  <si>
    <t>DCM:司机侧后视镜左右调节电机或线路故障(518004,5)</t>
  </si>
  <si>
    <t>DCM:left back mirror motor open circuit(518004,5)</t>
  </si>
  <si>
    <t>51800405,</t>
  </si>
  <si>
    <t>51800405:</t>
  </si>
  <si>
    <t>8</t>
  </si>
  <si>
    <t>DCM:司机侧后视镜左右调节电机短路到地</t>
  </si>
  <si>
    <t>DCM:left and right motor of driver side rearview mirror grounded circuit</t>
  </si>
  <si>
    <t>DCM:司机侧后视镜左右调节电机或线路故障(518004,6)</t>
  </si>
  <si>
    <t>DCM:left back mirror motor short to GND(518004,6)</t>
  </si>
  <si>
    <t>51800406,</t>
  </si>
  <si>
    <t>51800406:</t>
  </si>
  <si>
    <t>9</t>
  </si>
  <si>
    <t>DCM:司机侧后视镜加热器开路</t>
  </si>
  <si>
    <t>DCM:heater of driver side rearview mirror open circuit</t>
  </si>
  <si>
    <t>518005</t>
  </si>
  <si>
    <t>DCM:司机侧后视镜加热器或线路故障(518005,5)</t>
  </si>
  <si>
    <t>DCM:left back mirror heater open circuit(518005,5)</t>
  </si>
  <si>
    <t>51800505,</t>
  </si>
  <si>
    <t>51800505:</t>
  </si>
  <si>
    <t>10</t>
  </si>
  <si>
    <t>DCM:司机侧后视镜加热器短路到地</t>
  </si>
  <si>
    <t>DCM:heater of driver side rearview mirror grounded circuit</t>
  </si>
  <si>
    <t>DCM:司机侧后视镜加热器或线路故障(518005,6)</t>
  </si>
  <si>
    <t>DCM:left back mirror heater short to GND(518005,6)</t>
  </si>
  <si>
    <t>51800506,</t>
  </si>
  <si>
    <t>51800506:</t>
  </si>
  <si>
    <t>11</t>
  </si>
  <si>
    <t>DCM:乘客侧玻璃升降电机开路</t>
  </si>
  <si>
    <t>DCM:passenger side window motor open circuit</t>
  </si>
  <si>
    <t>518006</t>
  </si>
  <si>
    <t>DCM:乘客侧车窗电机或线路故障(518006,5)</t>
  </si>
  <si>
    <t>RDCM:right window motor open circuit(518006,5)</t>
  </si>
  <si>
    <t>51800605,</t>
  </si>
  <si>
    <t>51800605:</t>
  </si>
  <si>
    <t>12</t>
  </si>
  <si>
    <t>DCM:乘客侧玻璃升降电机短路到地</t>
  </si>
  <si>
    <t>DCM:passenger side window motor grounded circuit</t>
  </si>
  <si>
    <t>DCM:乘客侧车窗电机或线路故障(518006,6)</t>
  </si>
  <si>
    <t>RDCM:right window motor short to GND(518006,6)</t>
  </si>
  <si>
    <t>51800606,</t>
  </si>
  <si>
    <t>51800606:</t>
  </si>
  <si>
    <t>13</t>
  </si>
  <si>
    <t>DCM:乘客侧门锁电机开路</t>
  </si>
  <si>
    <t>DCM:right door lock motor open circuit</t>
  </si>
  <si>
    <t>518007</t>
  </si>
  <si>
    <t>DCM:乘客侧门锁电机或线路故障(518007,5)</t>
  </si>
  <si>
    <t>DCM:right lock motor open circuit(518007,5)</t>
  </si>
  <si>
    <t>51800705,</t>
  </si>
  <si>
    <t>51800705:</t>
  </si>
  <si>
    <t>14</t>
  </si>
  <si>
    <t>DCM:乘客侧门锁电机短路到地</t>
  </si>
  <si>
    <t>DCM:right door lock motor grounded circuit</t>
  </si>
  <si>
    <t>DCM:乘客侧门锁电机或线路故障(518007,6)</t>
  </si>
  <si>
    <t>DCM:right lock motor short to GND(518007,6)</t>
  </si>
  <si>
    <t>51800706,</t>
  </si>
  <si>
    <t>51800706:</t>
  </si>
  <si>
    <t>DCM:乘客侧后视镜上下调节电机开路</t>
  </si>
  <si>
    <t>DCM:upper and lower motor of passenger side rearview mirror open circuit</t>
  </si>
  <si>
    <t>518008</t>
  </si>
  <si>
    <t>DCM:乘客侧后视镜上下调节电机或线路故障(518008,5)</t>
  </si>
  <si>
    <t>DCM:right back mirror motor open circuit(518008,5)</t>
  </si>
  <si>
    <t>51800805,</t>
  </si>
  <si>
    <t>51800805:</t>
  </si>
  <si>
    <t>DCM:乘客侧后视镜上下调节电机短路到地</t>
  </si>
  <si>
    <t>DCM:upper and lower motor of passenger side rearview mirror grounded circuit</t>
  </si>
  <si>
    <t>DCM:乘客侧后视镜上下调节电机或线路故障(518008,6)</t>
  </si>
  <si>
    <t>DCM:right back mirror motor short to GND(518008,6)</t>
  </si>
  <si>
    <t>51800806,</t>
  </si>
  <si>
    <t>51800806:</t>
  </si>
  <si>
    <t>17</t>
  </si>
  <si>
    <t>DCM:乘客侧后视镜左右调节电机开路</t>
  </si>
  <si>
    <t>DCM:left and right motor of passenger side rearview open circuit</t>
  </si>
  <si>
    <t>518009</t>
  </si>
  <si>
    <t>DCM:乘客侧后视镜左右调节电机或线路故障(518009,5)</t>
  </si>
  <si>
    <t>DCM:right back mirror motor open circuit(518009,5)</t>
  </si>
  <si>
    <t>51800905,</t>
  </si>
  <si>
    <t>51800905:</t>
  </si>
  <si>
    <t>18</t>
  </si>
  <si>
    <t>DCM:乘客侧后视镜左右调节电机短路到地</t>
  </si>
  <si>
    <t>DCM:left and right motor of passenger side rearview mirror grounded circuit</t>
  </si>
  <si>
    <t>DCM:乘客侧后视镜左右调节电机或线路故障(518009,6)</t>
  </si>
  <si>
    <t>DCM:right back mirror motor short to GND(518009,6)</t>
  </si>
  <si>
    <t>51800906,</t>
  </si>
  <si>
    <t>51800906:</t>
  </si>
  <si>
    <t>19</t>
  </si>
  <si>
    <t>DCM:乘客侧后视镜加热器开路</t>
  </si>
  <si>
    <t>DCM:heater of passenger side rearview mirror open circuit</t>
  </si>
  <si>
    <t>518010</t>
  </si>
  <si>
    <t>DCM:乘客侧后视镜加热器或线路故障(518010,5)</t>
  </si>
  <si>
    <t>DCM:right back mirror heater open circuit(518010,5)</t>
  </si>
  <si>
    <t>51801005,</t>
  </si>
  <si>
    <t>51801005:</t>
  </si>
  <si>
    <t>20</t>
  </si>
  <si>
    <t>DCM:乘客侧后视镜加热器短路到地</t>
  </si>
  <si>
    <t>DCM:heater of passenger side rearview mirror grounded circuit</t>
  </si>
  <si>
    <t>DCM:乘客侧后视镜加热器或线路故障(518010,6)</t>
  </si>
  <si>
    <t>DCM:right back mirror heater short to GND(518010,6)</t>
  </si>
  <si>
    <t>51801006,</t>
  </si>
  <si>
    <t>51801006:</t>
  </si>
  <si>
    <t>21</t>
  </si>
  <si>
    <t>DCM:后视镜加热指示灯短路到地</t>
  </si>
  <si>
    <t>DCM:defrog indication lamp grounded circuit</t>
  </si>
  <si>
    <t>518011</t>
  </si>
  <si>
    <t>DCM:后视镜加热指示灯或线路故障(518011,6)</t>
  </si>
  <si>
    <t>DCM:defrog indicator short to GND(518011,6)</t>
  </si>
  <si>
    <t>51801106,</t>
  </si>
  <si>
    <t>51801106:</t>
  </si>
  <si>
    <t>22</t>
  </si>
  <si>
    <t>DCM:电源1故障</t>
  </si>
  <si>
    <t>DCM:power 1 fault</t>
  </si>
  <si>
    <t>518012</t>
  </si>
  <si>
    <t>DCM:电源1故障(518012,4)</t>
  </si>
  <si>
    <t>DCM:power 1 failure(518012,4)</t>
  </si>
  <si>
    <t>51801204,</t>
  </si>
  <si>
    <t>51801204:</t>
  </si>
  <si>
    <t>23</t>
  </si>
  <si>
    <t>DCM:电源2故障</t>
  </si>
  <si>
    <t>DCM:power 2 fault</t>
  </si>
  <si>
    <t>518013</t>
  </si>
  <si>
    <t>DCM:电源2故障(518013,4)</t>
  </si>
  <si>
    <t>DCM:power 2 failure(518013,4)</t>
  </si>
  <si>
    <t>51801304,</t>
  </si>
  <si>
    <t>51801304:</t>
  </si>
  <si>
    <t>24</t>
  </si>
  <si>
    <t>DCM:电源3故障</t>
  </si>
  <si>
    <t>DCM:power 3 fault</t>
  </si>
  <si>
    <t>518014</t>
  </si>
  <si>
    <t>DCM:电源3故障(518014,4)</t>
  </si>
  <si>
    <t>DCM:power 3 failure(518014,4)</t>
  </si>
  <si>
    <t>51801404,</t>
  </si>
  <si>
    <t>51801404:</t>
  </si>
  <si>
    <t>25</t>
  </si>
  <si>
    <t>DCM:电源电压过高</t>
  </si>
  <si>
    <t>DCM:power supply voltage high</t>
  </si>
  <si>
    <t>DCM:电源电压过高(518017,0)</t>
  </si>
  <si>
    <t>DCM:power supply voltage high(518017,0)</t>
  </si>
  <si>
    <t>51801700,</t>
  </si>
  <si>
    <t>51801700:</t>
  </si>
  <si>
    <t>26</t>
  </si>
  <si>
    <t>DCM:电源电压过低</t>
  </si>
  <si>
    <t>DCM:power supply voltage low</t>
  </si>
  <si>
    <t>DCM:电源电压过低(518017,1)</t>
  </si>
  <si>
    <t>DCM:power supply voltage low(518017,1)</t>
  </si>
  <si>
    <t>51801701,</t>
  </si>
  <si>
    <t>51801701:</t>
  </si>
  <si>
    <t>原始故障描述(东风商用车通讯协议和故障代码20180322)</t>
  </si>
  <si>
    <t>外1内2</t>
  </si>
  <si>
    <t>运动状态下位置17胎压传感器信号丢失超过15分钟</t>
  </si>
  <si>
    <t>左前传感器信号丢失</t>
  </si>
  <si>
    <t>TPMS:左前胎压传感器信号丢失(520001,9)</t>
  </si>
  <si>
    <t>TPMS:alxe 1 left sensor signal lost(520001,9)</t>
  </si>
  <si>
    <t>运动状态下位置19胎压传感器信号丢失超过15分钟</t>
  </si>
  <si>
    <t>右前传感器信号丢失</t>
  </si>
  <si>
    <t>TPMS:右前胎压传感器信号丢失(520002,9)</t>
  </si>
  <si>
    <t>TPMS:alxe 1 right sensor signal lost(520002,9)</t>
  </si>
  <si>
    <t>运动状态下位置26胎压传感器信号丢失超过15分钟</t>
  </si>
  <si>
    <t>二轴左外传感器信号丢失</t>
  </si>
  <si>
    <t>TPMS:二轴左外胎压传感器信号丢失(520003,9)</t>
  </si>
  <si>
    <t>TPMS:alxe 2 L1 sensor signal lost(520003,9)</t>
  </si>
  <si>
    <t>运动状态下位置27胎压传感器信号丢失超过15分钟</t>
  </si>
  <si>
    <t>二轴左内传感器信号丢失</t>
  </si>
  <si>
    <t>TPMS:二轴左内胎压传感器信号丢失(520004,9)</t>
  </si>
  <si>
    <t>TPMS:alxe 2 L2 sensor signal lost(520004,9)</t>
  </si>
  <si>
    <t>运动状态下位置29胎压传感器信号丢失超过15分钟</t>
  </si>
  <si>
    <t>二轴右内传感器信号丢失</t>
  </si>
  <si>
    <t>TPMS:二轴右内胎压传感器信号丢失(520005,9)</t>
  </si>
  <si>
    <t>TPMS:alxe 2 R2 sensor signal lost(520005,9)</t>
  </si>
  <si>
    <t>运动状态下位置2A胎压传感器信号丢失超过15分钟</t>
  </si>
  <si>
    <t>二轴右外传感器信号丢失</t>
  </si>
  <si>
    <t>TPMS:二轴右外胎压传感器信号丢失(520006,9)</t>
  </si>
  <si>
    <t>TPMS:alxe 2 R1 sensor signal lost(520006,9)</t>
  </si>
  <si>
    <t>运动状态下位置36胎压传感器信号丢失超过15分钟</t>
  </si>
  <si>
    <t>三轴左外传感器信号丢失</t>
  </si>
  <si>
    <t>TPMS:三轴左外胎压传感器信号丢失(520007,9)</t>
  </si>
  <si>
    <t>TPMS:alxe 3 L1 sensor signal lost(520007,9)</t>
  </si>
  <si>
    <t>运动状态下位置37胎压传感器信号丢失超过15分钟</t>
  </si>
  <si>
    <t>三轴左内传感器信号丢失</t>
  </si>
  <si>
    <t>TPMS:三轴左内胎压传感器信号丢失(520008,9)</t>
  </si>
  <si>
    <t>TPMS:alxe 3 L2 sensor signal lost(520008,9)</t>
  </si>
  <si>
    <t>运动状态下位置39胎压传感器信号丢失超过15分钟</t>
  </si>
  <si>
    <t>三轴右内传感器信号丢失</t>
  </si>
  <si>
    <t>TPMS:三轴右内胎压传感器信号丢失(520009,9)</t>
  </si>
  <si>
    <t>TPMS:alxe 3 R2 sensor signal lost(520009,9)</t>
  </si>
  <si>
    <t>运动状态下位置3A胎压传感器信号丢失超过15分钟</t>
  </si>
  <si>
    <t>三轴右外传感器信号丢失</t>
  </si>
  <si>
    <t>TPMS:三轴右外胎压传感器信号丢失(520010,9)</t>
  </si>
  <si>
    <t>TPMS:alxe 3 R1 sensor signal lost(520010,9)</t>
  </si>
  <si>
    <t>运动状态下位置46胎压传感器信号丢失超过15分钟</t>
  </si>
  <si>
    <t>四轴左外传感器信号丢失</t>
  </si>
  <si>
    <t>TPMS:四轴左外胎压传感器信号丢失(520011,9)</t>
  </si>
  <si>
    <t>TPMS:alxe 4 L1 sensor signal lost(520011,9)</t>
  </si>
  <si>
    <t>运动状态下位置47胎压传感器信号丢失超过15分钟</t>
  </si>
  <si>
    <t>四轴左内传感器信号丢失</t>
  </si>
  <si>
    <t>TPMS:四轴左内胎压传感器信号丢失(520012,9)</t>
  </si>
  <si>
    <t>TPMS:alxe 4 L2 sensor signal lost(520012,9)</t>
  </si>
  <si>
    <t>运动状态下位置49胎压传感器信号丢失超过15分钟</t>
  </si>
  <si>
    <t>四轴右内传感器信号丢失</t>
  </si>
  <si>
    <t>TPMS:四轴右内胎压传感器信号丢失(520013,9)</t>
  </si>
  <si>
    <t>TPMS:alxe 4 R2 sensor signal lost(520013,9)</t>
  </si>
  <si>
    <t>运动状态下位置4A胎压传感器信号丢失超过15分钟</t>
  </si>
  <si>
    <t>四轴右外传感器信号丢失</t>
  </si>
  <si>
    <t>TPMS:四轴右外胎压传感器信号丢失(520014,9)</t>
  </si>
  <si>
    <t>TPMS:alxe 4 R1 sensor signal lost(520014,9)</t>
  </si>
  <si>
    <t>5个传送周期内位置17胎压传感器电池电量低于10%</t>
  </si>
  <si>
    <t>左前传感器电量低</t>
  </si>
  <si>
    <t>TPMS:左前胎压传感器电量低(3509,24)</t>
  </si>
  <si>
    <t>TPMS:alxe 1 L sensor low battery(3509,24)</t>
  </si>
  <si>
    <t>5个传送周期内位置19胎压传感器电池电量低于10%</t>
  </si>
  <si>
    <t>右前传感器电量低</t>
  </si>
  <si>
    <t>TPMS:右前胎压传感器电量低(3510,24)</t>
  </si>
  <si>
    <t>TPMS:alxe 1 R sensor low battery(3510,24)</t>
  </si>
  <si>
    <t>5个传送周期内位置26胎压传感器电池电量低于10%</t>
  </si>
  <si>
    <t>二轴左外传感器电量低</t>
  </si>
  <si>
    <t>TPMS:二轴左外胎压传感器电量低(3511,24)</t>
  </si>
  <si>
    <t>TPMS:alxe 2 L1 sensor low battery(3511,24)</t>
  </si>
  <si>
    <t>5个传送周期内位置27胎压传感器电池电量低于10%</t>
  </si>
  <si>
    <t>二轴左内传感器电量低</t>
  </si>
  <si>
    <t>TPMS:二轴左内胎压传感器电量低(3512,24)</t>
  </si>
  <si>
    <t>TPMS:alxe 2 L2 sensor low battery(3512,24)</t>
  </si>
  <si>
    <t>5个传送周期内位置29胎压传感器电池电量低于10%</t>
  </si>
  <si>
    <t>二轴右内传感器电量低</t>
  </si>
  <si>
    <t>TPMS:二轴右内胎压传感器电量低(3513,24)</t>
  </si>
  <si>
    <t>TPMS:alxe 2 R2 sensor low battery(3513,24)</t>
  </si>
  <si>
    <t>5个传送周期内位置2A胎压传感器电池电量低于10%</t>
  </si>
  <si>
    <t>二轴右外传感器电量低</t>
  </si>
  <si>
    <t>TPMS:二轴右外胎压传感器电量低(3514,24)</t>
  </si>
  <si>
    <t>TPMS:alxe 2 R1 sensor low battery(3514,24)</t>
  </si>
  <si>
    <t>5个传送周期内位置36胎压传感器电池电量低于10%</t>
  </si>
  <si>
    <t>三轴左外传感器电量低</t>
  </si>
  <si>
    <t>TPMS:三轴左外胎压传感器电量低(5125,24)</t>
  </si>
  <si>
    <t>TPMS:alxe 3 L1 sensor low battery(5125,24)</t>
  </si>
  <si>
    <t>5个传送周期内位置37胎压传感器电池电量低于10%</t>
  </si>
  <si>
    <t>三轴左内传感器电量低</t>
  </si>
  <si>
    <t>TPMS:三轴左内胎压传感器电量低(5126,24)</t>
  </si>
  <si>
    <t>TPMS:alxe 3 L2 sensor low battery(5126,24)</t>
  </si>
  <si>
    <t>5个传送周期内位置39胎压传感器电池电量低于10%</t>
  </si>
  <si>
    <t>三轴右内传感器电量低</t>
  </si>
  <si>
    <t>TPMS:三轴右内胎压传感器电量低(5127,24)</t>
  </si>
  <si>
    <t>TPMS:alxe 3 R2 sensor low battery(5127,24)</t>
  </si>
  <si>
    <t>5个传送周期内位置3A胎压传感器电池电量低于10%</t>
  </si>
  <si>
    <t>三轴右外传感器电量低</t>
  </si>
  <si>
    <t>TPMS:三轴右外胎压传感器电量低(5128,24)</t>
  </si>
  <si>
    <t>TPMS:alxe 3 R1 sensor low battery(5128,24)</t>
  </si>
  <si>
    <t>5个传送周期内位置46胎压传感器电池电量低于10%</t>
  </si>
  <si>
    <t>四轴左外传感器电量低</t>
  </si>
  <si>
    <t>TPMS:四轴左外胎压传感器电量低(5129,24)</t>
  </si>
  <si>
    <t>TPMS:alxe 4 L1 sensor low battery(5129,24)</t>
  </si>
  <si>
    <t>5个传送周期内位置47胎压传感器电池电量低于10%</t>
  </si>
  <si>
    <t>四轴左内传感器电量低</t>
  </si>
  <si>
    <t>TPMS:四轴左内胎压传感器电量低(5130,24)</t>
  </si>
  <si>
    <t>TPMS:alxe 4 L2 sensor low battery(5130,24)</t>
  </si>
  <si>
    <t>27</t>
  </si>
  <si>
    <t>5个传送周期内位置49胎压传感器电池电量低于10%</t>
  </si>
  <si>
    <t>四轴右内传感器电量低</t>
  </si>
  <si>
    <t>TPMS:四轴右内胎压传感器电量低(5131,24)</t>
  </si>
  <si>
    <t>TPMS:alxe 4 R2 sensor low battery(5131,24)</t>
  </si>
  <si>
    <t>28</t>
  </si>
  <si>
    <t>5个传送周期内位置4A胎压传感器电池电量低于10%</t>
  </si>
  <si>
    <t>四轴右外传感器电量低</t>
  </si>
  <si>
    <t>TPMS:四轴右外胎压传感器电量低(5132,24)</t>
  </si>
  <si>
    <t>TPMS:alxe 4 R1 sensor low battery(5132,24)</t>
  </si>
  <si>
    <t>29</t>
  </si>
  <si>
    <t>5个传送周期内位置08胎压传感器电池电量低于10%</t>
  </si>
  <si>
    <t>备胎传感器电量低</t>
  </si>
  <si>
    <t>TPMS:备胎胎压传感器电量低(5133,24)</t>
  </si>
  <si>
    <t>TPMS:spare tyre sensor low battery(5133,24)</t>
  </si>
  <si>
    <t>30</t>
  </si>
  <si>
    <t>唤醒接收器报文发出后超过10秒钟未收到接收器信号</t>
  </si>
  <si>
    <t>接收器18信号丢失</t>
  </si>
  <si>
    <t>TPMS:接收器18信号丢失(519001,9)</t>
  </si>
  <si>
    <t>TPMS:receiver 18 signal lost(519001,9)</t>
  </si>
  <si>
    <t>31</t>
  </si>
  <si>
    <t>接收器27信号丢失</t>
  </si>
  <si>
    <t>TPMS:接收器27信号丢失(519002,10)</t>
  </si>
  <si>
    <t>TPMS:receiver 27 signal lost(519002,10)</t>
  </si>
  <si>
    <t>32</t>
  </si>
  <si>
    <t>接收器29信号丢失</t>
  </si>
  <si>
    <t>TPMS:接收器29信号丢失(519003,11)</t>
  </si>
  <si>
    <t>TPMS:receiver 29 signal lost(519003,11)</t>
  </si>
  <si>
    <t>33</t>
  </si>
  <si>
    <t>胎压控制器对接收器进行配置时出现错误</t>
  </si>
  <si>
    <t>接收器配置错误</t>
  </si>
  <si>
    <t>TPMS:接收器配置错误(518005,11)</t>
  </si>
  <si>
    <t>TPMS:receiver configured error(518005,11)</t>
  </si>
  <si>
    <t>34</t>
  </si>
  <si>
    <t>胎压控制器供电电压低于20V超过5秒钟</t>
  </si>
  <si>
    <t>控制器电压过低</t>
  </si>
  <si>
    <t>TPMS:控制器电压过低(168,4)</t>
  </si>
  <si>
    <t>TPMS:ECU power supply voltage low(168,4)</t>
  </si>
  <si>
    <t>35</t>
  </si>
  <si>
    <t>胎压控制器供电电压高于32V超过5秒钟</t>
  </si>
  <si>
    <t>控制器电压过高</t>
  </si>
  <si>
    <t>TPMS:控制器电压过高(168,3)</t>
  </si>
  <si>
    <t>TPMS:ECU power supply voltage high(168,3)</t>
  </si>
  <si>
    <t>36</t>
  </si>
  <si>
    <t>胎压控制器超过5秒钟未收到点火报文</t>
  </si>
  <si>
    <t>点火报文丢失</t>
  </si>
  <si>
    <t>TPMS:ON档CAN信号超时(518002,9)</t>
  </si>
  <si>
    <t>TPMS:ON CAN signal timeout(518002,9)</t>
  </si>
  <si>
    <t>37</t>
  </si>
  <si>
    <t>胎压控制器超过5秒钟未收到环境温度报文</t>
  </si>
  <si>
    <t>环境温度报文丢失</t>
  </si>
  <si>
    <t>TPMS:环境温度CAN报文超时(171,9)</t>
  </si>
  <si>
    <t>TPMS:AMB CAN message timeout(171,9)</t>
  </si>
  <si>
    <t>ID：18FECA41，车身CAN</t>
  </si>
  <si>
    <t>Fault description</t>
  </si>
  <si>
    <t>仪表主界面故障描述</t>
  </si>
  <si>
    <t>66</t>
  </si>
  <si>
    <t>系统未标定</t>
  </si>
  <si>
    <t>HJYX：Nocalibrated（66,9）</t>
  </si>
  <si>
    <t>HJYX：系统未标定（66,9）</t>
  </si>
  <si>
    <t>6609:</t>
  </si>
  <si>
    <t>Var_ui_ErrNo:=</t>
  </si>
  <si>
    <t>67</t>
  </si>
  <si>
    <t>前摄像头故障</t>
  </si>
  <si>
    <t>HJYX：camera failure（67,12）</t>
  </si>
  <si>
    <t>HJYX：前摄像头故障（67,12）</t>
  </si>
  <si>
    <t>6712:</t>
  </si>
  <si>
    <t>68</t>
  </si>
  <si>
    <t>左前摄像头故障</t>
  </si>
  <si>
    <t>HJYX：camera failure（68,12）</t>
  </si>
  <si>
    <t>HJYX：左前摄像头故障（68,12）</t>
  </si>
  <si>
    <t>6812:</t>
  </si>
  <si>
    <t>69</t>
  </si>
  <si>
    <t>左后摄像头故障</t>
  </si>
  <si>
    <t>HJYX：camera failure（69,12）</t>
  </si>
  <si>
    <t>HJYX：左后摄像头故障（69,12）</t>
  </si>
  <si>
    <t>6912:</t>
  </si>
  <si>
    <t>70</t>
  </si>
  <si>
    <t>右前摄像头故障</t>
  </si>
  <si>
    <t>HJYX：camera failure（70,12）</t>
  </si>
  <si>
    <t>HJYX：右前摄像头故障（70,12）</t>
  </si>
  <si>
    <t>7012:</t>
  </si>
  <si>
    <t>71</t>
  </si>
  <si>
    <t>右后摄像头故障</t>
  </si>
  <si>
    <t>HJYX：camera failure（71,12）</t>
  </si>
  <si>
    <t>HJYX：右后摄像头故障（71,12）</t>
  </si>
  <si>
    <t>7112:</t>
  </si>
  <si>
    <t>72</t>
  </si>
  <si>
    <t>控制器故障</t>
  </si>
  <si>
    <t>HJYX：ECU failure（72,12）</t>
  </si>
  <si>
    <t>HJYX: 主机故障（72,12）</t>
  </si>
  <si>
    <t>7212:</t>
  </si>
  <si>
    <t>73</t>
  </si>
  <si>
    <t>SD卡异常</t>
  </si>
  <si>
    <t>HJYX：SD failure（73,12）</t>
  </si>
  <si>
    <t>HJYX: SD卡异常（73,12）</t>
  </si>
  <si>
    <t>7312:</t>
  </si>
  <si>
    <t>6609,</t>
  </si>
  <si>
    <t>6712,</t>
  </si>
  <si>
    <t>6812,</t>
  </si>
  <si>
    <t>6912,</t>
  </si>
  <si>
    <t>7012,</t>
  </si>
  <si>
    <t>7112,</t>
  </si>
  <si>
    <t>7212,</t>
  </si>
  <si>
    <t>7312,</t>
  </si>
  <si>
    <t>ID：18FECAE7,车身CAN</t>
  </si>
  <si>
    <t>摄像头开路故障</t>
  </si>
  <si>
    <r>
      <rPr>
        <sz val="12"/>
        <rFont val="宋体"/>
        <charset val="134"/>
        <scheme val="minor"/>
      </rPr>
      <t xml:space="preserve">DFMS：Camera </t>
    </r>
    <r>
      <rPr>
        <sz val="10.5"/>
        <rFont val="Calibri"/>
        <charset val="134"/>
      </rPr>
      <t>open-circuit</t>
    </r>
    <r>
      <rPr>
        <sz val="10"/>
        <rFont val="Arial Unicode MS"/>
        <charset val="134"/>
      </rPr>
      <t>（91,5）</t>
    </r>
  </si>
  <si>
    <t>疲劳驾驶：摄像头开路故障（91,5）</t>
  </si>
  <si>
    <t>5B</t>
  </si>
  <si>
    <t>9105:</t>
  </si>
  <si>
    <t>摄像头短路故障</t>
  </si>
  <si>
    <r>
      <rPr>
        <sz val="12"/>
        <rFont val="宋体"/>
        <charset val="134"/>
        <scheme val="minor"/>
      </rPr>
      <t xml:space="preserve">DFMS：Camera </t>
    </r>
    <r>
      <rPr>
        <sz val="10.5"/>
        <rFont val="Calibri"/>
        <charset val="134"/>
      </rPr>
      <t>short-circuit</t>
    </r>
    <r>
      <rPr>
        <sz val="10"/>
        <rFont val="Arial Unicode MS"/>
        <charset val="134"/>
      </rPr>
      <t xml:space="preserve">（92,6）          </t>
    </r>
  </si>
  <si>
    <t>疲劳驾驶：摄像头短路故障（92,6）</t>
  </si>
  <si>
    <t>5C</t>
  </si>
  <si>
    <t>9206:</t>
  </si>
  <si>
    <t>红外灯开路故障</t>
  </si>
  <si>
    <r>
      <rPr>
        <sz val="12"/>
        <rFont val="宋体"/>
        <charset val="134"/>
        <scheme val="minor"/>
      </rPr>
      <t xml:space="preserve">DFMS：Infrared  light </t>
    </r>
    <r>
      <rPr>
        <sz val="10.5"/>
        <rFont val="Calibri"/>
        <charset val="134"/>
      </rPr>
      <t>open-circuit</t>
    </r>
    <r>
      <rPr>
        <sz val="10"/>
        <rFont val="Arial Unicode MS"/>
        <charset val="134"/>
      </rPr>
      <t>（93，5）</t>
    </r>
  </si>
  <si>
    <t>疲劳驾驶：红外灯开路故障（93,5）</t>
  </si>
  <si>
    <t>5D</t>
  </si>
  <si>
    <t>9305:</t>
  </si>
  <si>
    <t>红外灯短路故障</t>
  </si>
  <si>
    <r>
      <rPr>
        <sz val="12"/>
        <rFont val="宋体"/>
        <charset val="134"/>
        <scheme val="minor"/>
      </rPr>
      <t xml:space="preserve">DFMS：Infrared  light </t>
    </r>
    <r>
      <rPr>
        <sz val="10.5"/>
        <rFont val="Calibri"/>
        <charset val="134"/>
      </rPr>
      <t>short-circuit</t>
    </r>
    <r>
      <rPr>
        <sz val="10"/>
        <rFont val="Arial Unicode MS"/>
        <charset val="134"/>
      </rPr>
      <t>（94,6）</t>
    </r>
  </si>
  <si>
    <t>疲劳驾驶：红外灯短路故障（94,6）</t>
  </si>
  <si>
    <t>9406:</t>
  </si>
  <si>
    <t>9105,</t>
  </si>
  <si>
    <t>9206,</t>
  </si>
  <si>
    <t>9305,</t>
  </si>
  <si>
    <t>9406,</t>
  </si>
  <si>
    <t>更改后</t>
  </si>
  <si>
    <t>燃电系统:输出电流超过极限值（三级）</t>
  </si>
  <si>
    <t>FCU:输出电流超过极限值（11181,0)</t>
  </si>
  <si>
    <t>燃电系统:氢气压力高限值（三级）</t>
  </si>
  <si>
    <t>FCU:氢气压力高限值（522000,0）</t>
  </si>
  <si>
    <t>燃电系统:氢气压力低限值（三级）</t>
  </si>
  <si>
    <t>FCU:氢气压力低限值（522000,1）</t>
  </si>
  <si>
    <t>燃电系统:循环水压高限值（三级）</t>
  </si>
  <si>
    <t>FCU:循环水压高限值（522001,0）</t>
  </si>
  <si>
    <t>燃电系统:循环水压低限值（三级）</t>
  </si>
  <si>
    <t>FCU:循环水压低限值（522001,1）</t>
  </si>
  <si>
    <t>燃电系统:空压高限值（三级）</t>
  </si>
  <si>
    <t>FCU:空压高限值（522002,0）</t>
  </si>
  <si>
    <t>燃电系统:空压低限值（三级）</t>
  </si>
  <si>
    <t>FCU:空压低限值（522002,1）</t>
  </si>
  <si>
    <t>燃电系统:水入温度高限值（三级）</t>
  </si>
  <si>
    <t>FCU:水入温度高限值（11187,0）</t>
  </si>
  <si>
    <t>FCU:水出温度高限值（11188,0）</t>
  </si>
  <si>
    <t>燃电系统:最小单池电压限值（三级）</t>
  </si>
  <si>
    <t>FCU:最小单池电压限值（11172,1）</t>
  </si>
  <si>
    <t>FCU:最小单体电池电压过低报警（11172,1）</t>
  </si>
  <si>
    <t>20211104更新</t>
  </si>
  <si>
    <t>燃电系统:电堆电流高限值（三级）</t>
  </si>
  <si>
    <t>FCU:电堆电流高限值（522003,0）</t>
  </si>
  <si>
    <t>燃电系统:电堆电压低限值（三级）</t>
  </si>
  <si>
    <t>FCU:电堆电压低限值（522004,1）</t>
  </si>
  <si>
    <t>燃电系统:回流泵电流高限值（三级）</t>
  </si>
  <si>
    <t>FCU:回流泵电流高限值（522005,0）</t>
  </si>
  <si>
    <t>燃电系统:升压DC通讯故障（三级）</t>
  </si>
  <si>
    <t>FCU:升压DC通讯故障（522006,12）</t>
  </si>
  <si>
    <t>燃电系统:VCU通讯故障（三级）</t>
  </si>
  <si>
    <t>FCU:VCU通讯故障（522007,12）</t>
  </si>
  <si>
    <t>燃电系统:输出电流超过极限值（二级）</t>
  </si>
  <si>
    <t>FCU:输出电流超过极限值（11181,6）</t>
  </si>
  <si>
    <t>燃电系统:氢气压力高限值（二级）</t>
  </si>
  <si>
    <t>FCU:氢气压力高限值（522000,16）</t>
  </si>
  <si>
    <t>燃电系统:氢气压力低限值（二级）</t>
  </si>
  <si>
    <t>FCU:氢气压力低限值（522000,18）</t>
  </si>
  <si>
    <t>燃电系统:循环水压高限值（二级）</t>
  </si>
  <si>
    <t>FCU:循环水压高限值（522001,16）</t>
  </si>
  <si>
    <t>燃电系统:循环水压低限值（二级）</t>
  </si>
  <si>
    <t>FCU:循环水压低限值（522001,18）</t>
  </si>
  <si>
    <t>燃电系统:空压高限值（二级）</t>
  </si>
  <si>
    <t>FCU:空压高限值（522002,16）</t>
  </si>
  <si>
    <t>燃电系统:空压低限值（二级）</t>
  </si>
  <si>
    <t>FCU:空压低限值（522002,18）</t>
  </si>
  <si>
    <t>燃电系统:水入温度高限值（二级）</t>
  </si>
  <si>
    <t>FCU:水入温度高限值（11187,16）</t>
  </si>
  <si>
    <t>燃电系统:水出温度高限值（二级）</t>
  </si>
  <si>
    <t>FCU:水出温度高限值（11188,16）</t>
  </si>
  <si>
    <t>燃电系统:最小单池电压限值（二级）</t>
  </si>
  <si>
    <t>FCU:最小单池电压限值（11172,18）</t>
  </si>
  <si>
    <t>燃电系统:电堆电流高限值（二级）</t>
  </si>
  <si>
    <t>FCU:电堆电流高限值（522003,16）</t>
  </si>
  <si>
    <t>燃电系统:电堆电压低限值（二级）</t>
  </si>
  <si>
    <t>FCU:电堆电压低限值（522004,18）</t>
  </si>
  <si>
    <t>燃电系统:回流泵电流高限值（二级）</t>
  </si>
  <si>
    <t>FCU:回流泵电流高限值（522005,16）</t>
  </si>
  <si>
    <t>燃电系统：空压机通讯故障（二级）</t>
  </si>
  <si>
    <t>FCU：空压机通讯故障（522008,19）</t>
  </si>
  <si>
    <t>燃电系统：回流泵通讯故障（二级）</t>
  </si>
  <si>
    <t>FCU：回流泵通讯故障（522009,19）</t>
  </si>
  <si>
    <t>燃电系统：巡检1通讯故障（二级）</t>
  </si>
  <si>
    <t>FCU：巡检1通讯故障（522010,19）</t>
  </si>
  <si>
    <t>燃电系统：巡检2通讯故障（二级）</t>
  </si>
  <si>
    <t>FCU：巡检2通讯故障（522011,19）</t>
  </si>
  <si>
    <t>燃电系统：电压电流传感器通讯故障（二级）</t>
  </si>
  <si>
    <t>FCU：电压电流传感器通讯故障（522012,19）</t>
  </si>
  <si>
    <t>燃电系统：电堆电压高（二级）</t>
  </si>
  <si>
    <t>FCU：电堆电压高（522004,16）</t>
  </si>
  <si>
    <t>燃电系统:输出电流超过极限值（一级）</t>
  </si>
  <si>
    <t>FCU:输出电流超过极限值（11181,15）</t>
  </si>
  <si>
    <t>V1.11版本FCU删除，仪表暂不删除
V1.14 可以删除</t>
  </si>
  <si>
    <t>燃电系统:氢气压力高限值（一级）</t>
  </si>
  <si>
    <t>FCU:氢气压力高限值（522000,15）</t>
  </si>
  <si>
    <t>燃电系统:氢气压力低限值（一级）</t>
  </si>
  <si>
    <t>FCU:氢气压力低限值（522000,17）</t>
  </si>
  <si>
    <t>燃电系统:循环水压高限值（一级）</t>
  </si>
  <si>
    <t>FCU:循环水压高限值（522001,15）</t>
  </si>
  <si>
    <t>燃电系统:循环水压低限值（一级）</t>
  </si>
  <si>
    <t>FCU:循环水压低限值（522001,17）</t>
  </si>
  <si>
    <t>燃电系统:空压高限值（一级）</t>
  </si>
  <si>
    <t>FCU:空压高限值（522002,15）</t>
  </si>
  <si>
    <t>燃电系统:空压低限值（一级）</t>
  </si>
  <si>
    <t>FCU:空压低限值（522002,17）</t>
  </si>
  <si>
    <t>燃电系统:水入温度高限值（一级）</t>
  </si>
  <si>
    <t>FCU:水入温度高限值（11187,15）</t>
  </si>
  <si>
    <t>燃电系统:水出温度高限值（一级）</t>
  </si>
  <si>
    <t>FCU:水出温度高限值（11188,15）</t>
  </si>
  <si>
    <t>燃电系统:最小单池电压限值（一级）</t>
  </si>
  <si>
    <t>FCU:最小单池电压限值（11172,17）</t>
  </si>
  <si>
    <t>燃电系统:电堆电流高限值（一级）</t>
  </si>
  <si>
    <t>FCU:电堆电流高限值（522003,15）</t>
  </si>
  <si>
    <t>燃电系统:电堆电压低限值（一级）</t>
  </si>
  <si>
    <t>FCU:电堆电压低限值（522004,17）</t>
  </si>
  <si>
    <t>燃电系统:回流泵电流高限值（一级）</t>
  </si>
  <si>
    <t>FCU:回流泵电流高限值（522005,15）</t>
  </si>
  <si>
    <t>电堆电压高</t>
  </si>
  <si>
    <t>20210602新增</t>
  </si>
  <si>
    <t>空压机通讯故障</t>
  </si>
  <si>
    <t>巡检1通讯故障</t>
  </si>
  <si>
    <t>电堆散热器控制器通讯故障</t>
  </si>
  <si>
    <t>空压机控制器过温警告</t>
  </si>
  <si>
    <t>空压机控制器过温报警</t>
  </si>
  <si>
    <t>空压机过温警告</t>
  </si>
  <si>
    <t>空压机过温报警</t>
  </si>
  <si>
    <t>燃料电池系统故障</t>
  </si>
  <si>
    <t>低压供电欠压报警</t>
  </si>
  <si>
    <t>FCU：低压供电欠压报警（ 522017，1）</t>
  </si>
  <si>
    <t>20211030新增</t>
  </si>
  <si>
    <t>燃料电池专用冷却液缺液，请尽快加注</t>
  </si>
  <si>
    <t>专用冷却液液位过低</t>
  </si>
  <si>
    <t>FCU：专用冷却液液位过低 （522016，18）</t>
  </si>
  <si>
    <t>整车急停有效</t>
  </si>
  <si>
    <t>FCU：整车急停有效（ 522027，12）</t>
  </si>
  <si>
    <t>HMS异常</t>
  </si>
  <si>
    <t>FCU：HMS异常（522028，12）</t>
  </si>
  <si>
    <t>V1.14由522026，12更新为（522028，12）</t>
  </si>
  <si>
    <t>FCU：燃料电池系统故障（522029，19）</t>
  </si>
  <si>
    <t>V1.14_20230406</t>
  </si>
  <si>
    <t>FCU：燃料电池系统故障（522029，12）</t>
  </si>
  <si>
    <t>DCDC 电容端过压</t>
  </si>
  <si>
    <t>FCU：DCDC 电容端过压（522030，16）</t>
  </si>
  <si>
    <t>FCU：DCDC 电容端过压（522030，0）</t>
  </si>
  <si>
    <t>DCDC 电容端欠压</t>
  </si>
  <si>
    <t>FCU：DCDC 电容端欠压（522030，18）</t>
  </si>
  <si>
    <t>FCU：DCDC 电容端欠压（522030，1）</t>
  </si>
  <si>
    <t>DCDC 电容端过流</t>
  </si>
  <si>
    <t>FCU：DCDC 电容端过流（522031，16）</t>
  </si>
  <si>
    <t>FCU：DCDC 电容端过流（522031，0）</t>
  </si>
  <si>
    <t>DCDC 电池端过压</t>
  </si>
  <si>
    <t>FCU：DCDC 电池端过压（522032，16）</t>
  </si>
  <si>
    <t>FCU：DCDC 电池端过压（522032，0）</t>
  </si>
  <si>
    <t>DCDC 电池端欠压</t>
  </si>
  <si>
    <t>FCU：DCDC 电池端欠压（522032，18）</t>
  </si>
  <si>
    <t>FCU：DCDC 电池端欠压（522032，1）</t>
  </si>
  <si>
    <t>DCDC 电池端过流</t>
  </si>
  <si>
    <t>FCU：DCDC 电池端过流（522033，16）</t>
  </si>
  <si>
    <t>FCU：DCDC 电池端过流（522033，0）</t>
  </si>
  <si>
    <t>DCDC过热</t>
  </si>
  <si>
    <t>FCU：DCDC 过热（522034，16）</t>
  </si>
  <si>
    <t>FCU：DCDC 过热（522034，0）</t>
  </si>
  <si>
    <t>DCDC短路保护</t>
  </si>
  <si>
    <t>FCU：DCDC 短路保护（522035，4）</t>
  </si>
  <si>
    <t>DCDC通信丢失故障</t>
  </si>
  <si>
    <t>FCU：DCDC 通信丢失故障（2853，19）</t>
  </si>
  <si>
    <t>FCU：DCDC 通信丢失故障（2853，12）</t>
  </si>
  <si>
    <t>瓶压过高＞42 Mpa</t>
  </si>
  <si>
    <t>HMS:瓶压过高(522040,0)</t>
  </si>
  <si>
    <t>瓶压过高＞38 Mpa</t>
  </si>
  <si>
    <t>HMS:瓶压过高(522040,16)</t>
  </si>
  <si>
    <t>瓶压过低＜2 Mpa</t>
  </si>
  <si>
    <t>HMS:瓶压过低(522041,1)</t>
  </si>
  <si>
    <t>氢瓶压力低，请尽快加氢</t>
  </si>
  <si>
    <t>瓶压过低＜3 Mpa</t>
  </si>
  <si>
    <t>HMS:瓶压过低(522041,18)</t>
  </si>
  <si>
    <t>管压过高＞1.35 Mpa</t>
  </si>
  <si>
    <t>HMS:管压过高(522042,16)</t>
  </si>
  <si>
    <t>管压过高＞1.5 Mpa</t>
  </si>
  <si>
    <t>HMS:管压过高(522042,0)</t>
  </si>
  <si>
    <t>管压过低＜0.85 Mpa</t>
  </si>
  <si>
    <t>HMS:管压过低(522043,18)</t>
  </si>
  <si>
    <t>管压过低＜0.75 Mpa</t>
  </si>
  <si>
    <t>HMS:管压过低(522043,1)</t>
  </si>
  <si>
    <t>瓶温过高 ＞85℃</t>
  </si>
  <si>
    <t>HMS:瓶温过高(522044,0)</t>
  </si>
  <si>
    <t>瓶温过高 ＞70℃</t>
  </si>
  <si>
    <t>HMS:瓶温过高(522044,16)</t>
  </si>
  <si>
    <t>氢气泄露 ＞10000PPM</t>
  </si>
  <si>
    <t>HMS:氢气泄露(522045,16)</t>
  </si>
  <si>
    <t>氢气泄露 ＞6000PPM</t>
  </si>
  <si>
    <t>HMS:氢气泄露(522045,15)</t>
  </si>
  <si>
    <t>V1.11氢系统删除，仪表暂不处理</t>
  </si>
  <si>
    <t>V1.14 不删除</t>
  </si>
  <si>
    <t>氢泄露传感器1故障数据异常</t>
  </si>
  <si>
    <t>氢泄露传感器2故障数据异常</t>
  </si>
  <si>
    <t>氢泄露传感器3故障数据异常</t>
  </si>
  <si>
    <t>氢泄露传感器4故障数据异常</t>
  </si>
  <si>
    <t>氢泄露传感器5故障数据异常</t>
  </si>
  <si>
    <t>通讯故障，收不到控制报文60s后关闭</t>
  </si>
  <si>
    <t>温度传感器1故障 数据异常</t>
  </si>
  <si>
    <t>温度传感器2故障 数据异常</t>
  </si>
  <si>
    <t>温度传感器3故障 数据异常</t>
  </si>
  <si>
    <t>温度传感器4故障 数据异常</t>
  </si>
  <si>
    <t>温度传感器5故障 数据异常</t>
  </si>
  <si>
    <t>温度传感器6故障 数据异常</t>
  </si>
  <si>
    <t>温度传感器7故障 数据异常</t>
  </si>
  <si>
    <t>温度传感器8故障 数据异常</t>
  </si>
  <si>
    <t>压力传感器1故障数据异常</t>
  </si>
  <si>
    <t>压力传感器2故障数据异常</t>
  </si>
  <si>
    <t>压力传感器3故障数据异常</t>
  </si>
  <si>
    <t>瓶温过低</t>
  </si>
  <si>
    <t>氢气泄露</t>
  </si>
  <si>
    <t>车载供氢系统故障</t>
  </si>
  <si>
    <t>通讯故障</t>
  </si>
  <si>
    <t>DCDC 过热</t>
  </si>
  <si>
    <t>DCDC 短路保护</t>
  </si>
  <si>
    <t>DCDC 通信丢失故障</t>
  </si>
  <si>
    <t>源地址0xA7</t>
  </si>
  <si>
    <t>点灯策略</t>
  </si>
  <si>
    <t>(DEC)</t>
  </si>
  <si>
    <t>电机冷却风扇故障</t>
  </si>
  <si>
    <t>ATS：电机冷却风扇故障（9691，12）</t>
  </si>
  <si>
    <t>进水温度传感器故障</t>
  </si>
  <si>
    <t>ATS：进水温度传感器故障（12836，12）</t>
  </si>
  <si>
    <t>出水温度传感器故障</t>
  </si>
  <si>
    <t>ATS：出水温度传感器故障（12837，12）</t>
  </si>
  <si>
    <t>进水温度传感器掉线</t>
  </si>
  <si>
    <t>ATS：进水温度传感器掉线（12836，5）</t>
  </si>
  <si>
    <t>出水温度传感器掉线</t>
  </si>
  <si>
    <t>ATS：出水温度传感器掉线（12837，5）</t>
  </si>
  <si>
    <t>CAN通讯异常</t>
  </si>
  <si>
    <t>ATS：CAN通讯异常(639,23)</t>
  </si>
  <si>
    <t>源地址0xA8</t>
  </si>
  <si>
    <t>故障代码同SHEET《电机故障代码表EF_PCAN》，仅源地址不同</t>
  </si>
  <si>
    <t>故障名称</t>
  </si>
  <si>
    <t xml:space="preserve">输出严重过压 </t>
  </si>
  <si>
    <t>外挂DCDC：输出严重过压 (521600,0)</t>
  </si>
  <si>
    <t>外挂DCDC：输出过压(521600,16)</t>
  </si>
  <si>
    <t xml:space="preserve">输出过流 </t>
  </si>
  <si>
    <t>外挂DCDC：输出过流 (521601,0)</t>
  </si>
  <si>
    <t xml:space="preserve">过温保护 </t>
  </si>
  <si>
    <t>外挂DCDC：过温保护 (521602,7)</t>
  </si>
  <si>
    <t xml:space="preserve">输入过压 </t>
  </si>
  <si>
    <t>外挂DCDC：输入过压 (521603,0)</t>
  </si>
  <si>
    <t xml:space="preserve">输入欠压 </t>
  </si>
  <si>
    <t>外挂DCDC：输入欠压 (521604,4)</t>
  </si>
  <si>
    <t>外挂DCDC：过温告警(521605,3)</t>
  </si>
  <si>
    <t xml:space="preserve">输出欠压 </t>
  </si>
  <si>
    <t>外挂DCDC：输出欠压 (521606,1)</t>
  </si>
  <si>
    <t>外挂DCDC：通讯故障 (521607,12)</t>
  </si>
  <si>
    <t>外挂DCDC：模块故障(521608,11)</t>
  </si>
  <si>
    <t xml:space="preserve">辅源欠压 </t>
  </si>
  <si>
    <t>外挂DCDC：辅源欠压 (521609,1)</t>
  </si>
  <si>
    <r>
      <rPr>
        <sz val="10"/>
        <color theme="1"/>
        <rFont val="宋体"/>
        <charset val="134"/>
      </rPr>
      <t>输出严重过压</t>
    </r>
    <r>
      <rPr>
        <sz val="10"/>
        <color theme="1"/>
        <rFont val="Times New Roman"/>
        <charset val="134"/>
      </rPr>
      <t xml:space="preserve"> </t>
    </r>
  </si>
  <si>
    <t>外挂DCDC2：输出严重过压 (521600,0)</t>
  </si>
  <si>
    <t>外挂DCDC2：输出过压(521600,16)</t>
  </si>
  <si>
    <r>
      <rPr>
        <sz val="10"/>
        <color theme="1"/>
        <rFont val="宋体"/>
        <charset val="134"/>
      </rPr>
      <t>输出过流</t>
    </r>
    <r>
      <rPr>
        <sz val="10"/>
        <color theme="1"/>
        <rFont val="Times New Roman"/>
        <charset val="134"/>
      </rPr>
      <t xml:space="preserve"> </t>
    </r>
  </si>
  <si>
    <t>外挂DCDC2：输出过流 (521601,0)</t>
  </si>
  <si>
    <r>
      <rPr>
        <sz val="10"/>
        <color theme="1"/>
        <rFont val="宋体"/>
        <charset val="134"/>
      </rPr>
      <t>过温保护</t>
    </r>
    <r>
      <rPr>
        <sz val="10"/>
        <color theme="1"/>
        <rFont val="Times New Roman"/>
        <charset val="134"/>
      </rPr>
      <t xml:space="preserve"> </t>
    </r>
  </si>
  <si>
    <t>外挂DCDC2：过温保护 (521602,7)</t>
  </si>
  <si>
    <r>
      <rPr>
        <sz val="10"/>
        <color theme="1"/>
        <rFont val="宋体"/>
        <charset val="134"/>
      </rPr>
      <t>输入过压</t>
    </r>
    <r>
      <rPr>
        <sz val="10"/>
        <color theme="1"/>
        <rFont val="Times New Roman"/>
        <charset val="134"/>
      </rPr>
      <t xml:space="preserve"> </t>
    </r>
  </si>
  <si>
    <t>外挂DCDC2：输入过压 (521603,0)</t>
  </si>
  <si>
    <r>
      <rPr>
        <sz val="10"/>
        <color theme="1"/>
        <rFont val="宋体"/>
        <charset val="134"/>
      </rPr>
      <t>输入欠压</t>
    </r>
    <r>
      <rPr>
        <sz val="10"/>
        <color theme="1"/>
        <rFont val="Times New Roman"/>
        <charset val="134"/>
      </rPr>
      <t xml:space="preserve"> </t>
    </r>
  </si>
  <si>
    <t>外挂DCDC2：输入欠压 (521604,4)</t>
  </si>
  <si>
    <t>外挂DCDC2：过温告警(521605,3)</t>
  </si>
  <si>
    <r>
      <rPr>
        <sz val="10"/>
        <color theme="1"/>
        <rFont val="宋体"/>
        <charset val="134"/>
      </rPr>
      <t>输出欠压</t>
    </r>
    <r>
      <rPr>
        <sz val="10"/>
        <color theme="1"/>
        <rFont val="Times New Roman"/>
        <charset val="134"/>
      </rPr>
      <t xml:space="preserve"> </t>
    </r>
  </si>
  <si>
    <t>外挂DCDC2：输出欠压 (521606,1)</t>
  </si>
  <si>
    <r>
      <rPr>
        <sz val="10"/>
        <color theme="1"/>
        <rFont val="宋体"/>
        <charset val="134"/>
      </rPr>
      <t>通讯故障</t>
    </r>
    <r>
      <rPr>
        <sz val="10"/>
        <color theme="1"/>
        <rFont val="Times New Roman"/>
        <charset val="134"/>
      </rPr>
      <t xml:space="preserve"> </t>
    </r>
  </si>
  <si>
    <t>外挂DCDC2：通讯故障 (521607,12)</t>
  </si>
  <si>
    <t>外挂DCDC2：模块故障(521608,11)</t>
  </si>
  <si>
    <r>
      <rPr>
        <sz val="10"/>
        <color theme="1"/>
        <rFont val="宋体"/>
        <charset val="134"/>
      </rPr>
      <t>辅源欠压</t>
    </r>
    <r>
      <rPr>
        <sz val="10"/>
        <color theme="1"/>
        <rFont val="Times New Roman"/>
        <charset val="134"/>
      </rPr>
      <t xml:space="preserve"> </t>
    </r>
  </si>
  <si>
    <t>外挂DCDC2：辅源欠压 (521609,1)</t>
  </si>
  <si>
    <t>EBS Brake switch : Abnormal frequency or pulse width or period</t>
  </si>
  <si>
    <t>EPB:(1121,8)</t>
  </si>
  <si>
    <t>EBS Brake switch : Abnormal update rate</t>
  </si>
  <si>
    <t>EPB:(1121,9)</t>
  </si>
  <si>
    <t>Tachograf vehicle speed : Abnormal update rate</t>
  </si>
  <si>
    <t>EPB:(1324,9)</t>
  </si>
  <si>
    <t>Key switch battery potential : Abnormal rate of change</t>
  </si>
  <si>
    <t>EPB:(158,10)</t>
  </si>
  <si>
    <t>Key switch battery potential : Voltage above normal, or shorted to high source</t>
  </si>
  <si>
    <t>EPB:(158,3)</t>
  </si>
  <si>
    <t>Battery Potential / Power Input 1 : Data valid but above normal operational range</t>
  </si>
  <si>
    <t>EPB:(168,0)</t>
  </si>
  <si>
    <t>Battery Potential / Power Input 1 : Data valid but below normal operational range</t>
  </si>
  <si>
    <t>EPB:(168,1)</t>
  </si>
  <si>
    <t>Battery Potential / Power Input 1 : Bad intelligent device or component</t>
  </si>
  <si>
    <t>EPB:(168,12)</t>
  </si>
  <si>
    <t>Battery Potential / Power Input 1 : Current below normal or open circuit</t>
  </si>
  <si>
    <t>EPB:(168,5)</t>
  </si>
  <si>
    <t>VDC Fully operational : Abnormal update rate</t>
  </si>
  <si>
    <t>EPB:(1814,9)</t>
  </si>
  <si>
    <t>Product system manifold pressure : Bad intelligent device or component</t>
  </si>
  <si>
    <t>EPB:(3132,12)</t>
  </si>
  <si>
    <t>Product system manifold pressure : Voltage above normal, or shorted to high source</t>
  </si>
  <si>
    <t>EPB:(3132,3)</t>
  </si>
  <si>
    <t>Product system manifold pressure : Voltage below normal, or shorted to low source</t>
  </si>
  <si>
    <t>EPB:(3132,4)</t>
  </si>
  <si>
    <t>Product system manifold pressure : Current below normal or open circuit</t>
  </si>
  <si>
    <t>EPB:(3132,5)</t>
  </si>
  <si>
    <t>Right hand header height min setpoint : Data valid but above normal operational range</t>
  </si>
  <si>
    <t>EPB:(3136,0)</t>
  </si>
  <si>
    <t>Right hand header height min setpoint : Data Valid But Above Normal Operating Range U Moderately Severe Level</t>
  </si>
  <si>
    <t>EPB:(3136,16)</t>
  </si>
  <si>
    <t>Pneumatic Supply pressure : Abnormal update rate</t>
  </si>
  <si>
    <t>EPB:(46,9)</t>
  </si>
  <si>
    <t>Actual Engine - Percent Torque : Abnormal update rate</t>
  </si>
  <si>
    <t>EPB:(513,9)</t>
  </si>
  <si>
    <t>Diag Vehicle State Message : Data erratic, intermittent or incorrect</t>
  </si>
  <si>
    <t>EPB:(516096,2)</t>
  </si>
  <si>
    <t>Diag Vehicle State Message : Abnormal frequency or pulse width or period</t>
  </si>
  <si>
    <t>EPB:(516096,8)</t>
  </si>
  <si>
    <t>EXT 1 ECU : Bad intelligent device or component</t>
  </si>
  <si>
    <t>EPB:(516097,12)</t>
  </si>
  <si>
    <t>EXT 1 ECU : Data erratic, intermittent or incorrect</t>
  </si>
  <si>
    <t>EPB:(516097,2)</t>
  </si>
  <si>
    <t>EXT 1 ECU : Abnormal frequency or pulse width or period</t>
  </si>
  <si>
    <t>EPB:(516097,8)</t>
  </si>
  <si>
    <t>EXT 1 ECU : Abnormal update rate</t>
  </si>
  <si>
    <t>EPB:(516097,9)</t>
  </si>
  <si>
    <t>EXT 2 ECU : Bad intelligent device or component</t>
  </si>
  <si>
    <t>EPB:(516098,12)</t>
  </si>
  <si>
    <t>EXT 2 ECU : Data erratic, intermittent or incorrect</t>
  </si>
  <si>
    <t>EPB:(516098,2)</t>
  </si>
  <si>
    <t>EXT 2 ECU : Abnormal frequency or pulse width or period</t>
  </si>
  <si>
    <t>EPB:(516098,8)</t>
  </si>
  <si>
    <t>EXT 2 ECU : Abnormal update rate</t>
  </si>
  <si>
    <t>EPB:(516098,9)</t>
  </si>
  <si>
    <t>EXT 3 ECU : Bad intelligent device or component</t>
  </si>
  <si>
    <t>EPB:(516099,12)</t>
  </si>
  <si>
    <t>EXT 3 ECU : Data erratic, intermittent or incorrect</t>
  </si>
  <si>
    <t>EPB:(516099,2)</t>
  </si>
  <si>
    <t>EXT 3 ECU : Abnormal frequency or pulse width or period</t>
  </si>
  <si>
    <t>EPB:(516099,8)</t>
  </si>
  <si>
    <t>EXT 3 ECU : Abnormal update rate</t>
  </si>
  <si>
    <t>EPB:(516099,9)</t>
  </si>
  <si>
    <t>Transmission Current Gear : Abnormal update rate</t>
  </si>
  <si>
    <t>EPB:(523,9)</t>
  </si>
  <si>
    <t>Park brake command : Abnormal rate of change</t>
  </si>
  <si>
    <t>EPB:(5630,10)</t>
  </si>
  <si>
    <t>Park brake command : Bad intelligent device or component</t>
  </si>
  <si>
    <t>EPB:(5630,12)</t>
  </si>
  <si>
    <t>Park brake command : Data erratic, intermittent or incorrect</t>
  </si>
  <si>
    <t>EPB:(5630,2)</t>
  </si>
  <si>
    <t>Park brake command : Data drifted high</t>
  </si>
  <si>
    <t>EPB:(5630,20)</t>
  </si>
  <si>
    <t>Park brake command : Abnormal frequency or pulse width or period</t>
  </si>
  <si>
    <t>EPB:(5630,8)</t>
  </si>
  <si>
    <t>Park brake command : Abnormal update rate</t>
  </si>
  <si>
    <t>EPB:(5360,9)</t>
  </si>
  <si>
    <t>Parking brake On Actuator : Mechanical system not responding or out of adjustment</t>
  </si>
  <si>
    <t>EPB:(617,7)</t>
  </si>
  <si>
    <t>Parking brake Off Actuator : Mechanical system not responding or out of adjustment</t>
  </si>
  <si>
    <t>EPB:(618,7)</t>
  </si>
  <si>
    <t>Parking Brake Actuator : Abnormal rate of change</t>
  </si>
  <si>
    <t>EPB:(619,10)</t>
  </si>
  <si>
    <t>Parking Brake Actuator : Special instructions</t>
  </si>
  <si>
    <t>EPB:(619,14)</t>
  </si>
  <si>
    <t>Parking Brake Actuator : Mechanical system not responding or out of adjustment</t>
  </si>
  <si>
    <t>EPB:(619,7)</t>
  </si>
  <si>
    <t>Proprietary Network 1 : Current below normal or open circuit</t>
  </si>
  <si>
    <t>EPB:(625,5)</t>
  </si>
  <si>
    <t>Controller 1 : Out of calibration</t>
  </si>
  <si>
    <t>EPB:(629,13)</t>
  </si>
  <si>
    <t>Controller 1 : Special instructions</t>
  </si>
  <si>
    <t>EPB:(629,14)</t>
  </si>
  <si>
    <t>Controller 1 : Data erratic, intermittent or incorrect</t>
  </si>
  <si>
    <t>EPB:(629,2)</t>
  </si>
  <si>
    <t>Controller 1 : Abnormal update rate</t>
  </si>
  <si>
    <t>EPB:(629,9)</t>
  </si>
  <si>
    <t>Calibration Memory : Out of calibration</t>
  </si>
  <si>
    <t>EPB:(630,13)</t>
  </si>
  <si>
    <t>Calibration Memory : Data erratic, intermittent or incorrect</t>
  </si>
  <si>
    <t>EPB:(630,2)</t>
  </si>
  <si>
    <t>J1939 Network 1-Primary Vehicle Network : Current below normal or open circuit</t>
  </si>
  <si>
    <t>EPB:(639,5)</t>
  </si>
  <si>
    <t>Auxiliary I/O 08 : Abnormal update rate</t>
  </si>
  <si>
    <t>EPB:(708,9)</t>
  </si>
  <si>
    <t>Headway Controller Brake Input Monitor : Bad intelligent device or component</t>
  </si>
  <si>
    <t>EPB:(887,12)</t>
  </si>
  <si>
    <t>Headway Controller Brake Input Monitor : Abnormal update rate</t>
  </si>
  <si>
    <t>EPB:(887,9)</t>
  </si>
  <si>
    <t>返回</t>
  </si>
  <si>
    <t>EPB:(193,9)</t>
  </si>
  <si>
    <t>EPB:(4289,5)</t>
  </si>
  <si>
    <t>EPB:(12370,3)</t>
  </si>
  <si>
    <t>EPB:(12370,5)</t>
  </si>
  <si>
    <t>EPB:(12370,6)</t>
  </si>
  <si>
    <t>EPB:(13138,3)</t>
  </si>
  <si>
    <t>EPB:(13138,4)</t>
  </si>
  <si>
    <t>EPB:(13138,5)</t>
  </si>
  <si>
    <t>EPB:(13394,3)</t>
  </si>
  <si>
    <t>EPB:(13394,5)</t>
  </si>
  <si>
    <t>EPB:(13394,6)</t>
  </si>
  <si>
    <t>EPB:(13906,3)</t>
  </si>
  <si>
    <t>EPB:(13906,5)</t>
  </si>
  <si>
    <t>EPB:(13906,6)</t>
  </si>
  <si>
    <t>EPB:(14162,3)</t>
  </si>
  <si>
    <t>EPB:(14418,11)</t>
  </si>
  <si>
    <t>EPB:(14674,11)</t>
  </si>
  <si>
    <t>EPB:(14930,11)</t>
  </si>
  <si>
    <t>ECAS:控制器严重内部故障</t>
  </si>
  <si>
    <t>ECAS:ECU故障（629,11）</t>
  </si>
  <si>
    <t>ECAS:控制器内部故障</t>
  </si>
  <si>
    <t>ECAS:ECU故障（629,14）</t>
  </si>
  <si>
    <t>629</t>
  </si>
  <si>
    <t>ECAS:控制器内部校验错误</t>
  </si>
  <si>
    <t>ECAS:ECU故障（629,2）</t>
  </si>
  <si>
    <t>ECAS:控制器内部EEPROM存储错误</t>
  </si>
  <si>
    <t>ECAS:ECU故障（630,14）</t>
  </si>
  <si>
    <t>ECAS:控制器内部EEPROM兼容性故障</t>
  </si>
  <si>
    <t>ECAS:ECU故障（1635,12）</t>
  </si>
  <si>
    <t>ECAS:控制器内部EEPROM校验故障</t>
  </si>
  <si>
    <t>ECAS:ECU故障（1635,2）</t>
  </si>
  <si>
    <t>ECAS:控制器内部EEPROM写入故障</t>
  </si>
  <si>
    <t>ECAS:ECU故障（630,11）</t>
  </si>
  <si>
    <t>ECAS:控制器内部EEPROM部件故障</t>
  </si>
  <si>
    <t>ECAS:ECU故障（630,13）</t>
  </si>
  <si>
    <t>ECAS:控制器软件与硬件不兼容故障</t>
  </si>
  <si>
    <t>ECAS:ECU故障（629,12）</t>
  </si>
  <si>
    <t>ECAS:控制器硬件故障</t>
  </si>
  <si>
    <t>ECAS:ECU故障（629,10）</t>
  </si>
  <si>
    <t>ECAS:控制器bootloader软件不兼容</t>
  </si>
  <si>
    <t>ECAS:ECU故障（234,12）</t>
  </si>
  <si>
    <t>ECAS:控制器驱动软件故障</t>
  </si>
  <si>
    <t>ECAS:ECU故障（234,1）</t>
  </si>
  <si>
    <t>ECAS:控制器软件驱动ROM测试故障</t>
  </si>
  <si>
    <t>ECAS:ECU故障（234,2）</t>
  </si>
  <si>
    <t>ECAS:控制器EEPROM配置不可信故障</t>
  </si>
  <si>
    <t>ECAS:ECU故障（630,12）</t>
  </si>
  <si>
    <t>ECAS:控制器EEPROM参数不可信</t>
  </si>
  <si>
    <t>ECAS:ECU故障（630,2）</t>
  </si>
  <si>
    <t>ECAS:ECAS高度控制错误</t>
  </si>
  <si>
    <t>ECAS:高度控制未达目标值（1827,11）</t>
  </si>
  <si>
    <t>ECAS:控制器电压过高</t>
  </si>
  <si>
    <t>ECAS:供电电压异常(627，3)</t>
  </si>
  <si>
    <t>ECAS:控制器电压过低</t>
  </si>
  <si>
    <t>ECAS:供电电压异常(627，4)</t>
  </si>
  <si>
    <t>ECAS:车辆起动时控制器供电电压过低</t>
  </si>
  <si>
    <t>ECAS：供电电压异常(627，5)</t>
  </si>
  <si>
    <t>ECAS:控制器电压传感器电压超过范围值</t>
  </si>
  <si>
    <t>ECAS：供电电压异常(3509，13)</t>
  </si>
  <si>
    <t>ECAS:控制器电压传感器电压短路到地</t>
  </si>
  <si>
    <t>ECAS:供电电压异常(3509，4)</t>
  </si>
  <si>
    <t>ECAS:控制器电压传感器电压短路到电源</t>
  </si>
  <si>
    <t>ECAS:供电电压异常(3509，3)</t>
  </si>
  <si>
    <t>ECAS:总线Bus-off</t>
  </si>
  <si>
    <t>ECAS：CAN通讯故障（639，11）</t>
  </si>
  <si>
    <t>ECAS:TD时间报文通讯超时</t>
  </si>
  <si>
    <t>ECAS：TD时间报文通讯超时(523860，19)</t>
  </si>
  <si>
    <t>ECAS:ASC2报文通讯超时</t>
  </si>
  <si>
    <t>ECAS：ASC2报文通讯超时(523861，19)</t>
  </si>
  <si>
    <t>ECAS:ASC6报文通讯超时</t>
  </si>
  <si>
    <t>ECAS:ASC2报文通讯超时(523862，19)</t>
  </si>
  <si>
    <t>ECAS:EEC1报文通讯超时</t>
  </si>
  <si>
    <t>ECAS：EEC1报文通讯超时(523863，19)</t>
  </si>
  <si>
    <t>ECAS:EBC1报文通讯超时</t>
  </si>
  <si>
    <t>ECAS：EBC1报文通讯超时(523864，19)</t>
  </si>
  <si>
    <t>ECAS:EBC2报文通讯超时</t>
  </si>
  <si>
    <t>ECAS：EBC2报文通讯超时(523865，19)</t>
  </si>
  <si>
    <t>ECAS:EBC3报文通讯超时</t>
  </si>
  <si>
    <t>ECAS：EBC3报文通讯超时(523866，19)</t>
  </si>
  <si>
    <t>ECAS:TCO1报文通讯超时</t>
  </si>
  <si>
    <t>ECAS：TCO1报文通讯超时(523867，19)</t>
  </si>
  <si>
    <t>ECAS:VDC1报文通讯超时</t>
  </si>
  <si>
    <t>ECAS：VDC1报文通讯超时(523868，19)</t>
  </si>
  <si>
    <t>ECAS:VDC2报文通讯超时</t>
  </si>
  <si>
    <t>ECAS：VDC2报文通讯超时(523869，19)</t>
  </si>
  <si>
    <t>ECAS:AIR1报文通讯超时</t>
  </si>
  <si>
    <t>ECAS：AIR1报文通讯超时(523870，19)</t>
  </si>
  <si>
    <t>ECAS:CCVS报文通讯超时</t>
  </si>
  <si>
    <t>ECAS：AIR1报文通讯超时(523871，19)</t>
  </si>
  <si>
    <t>ECAS:制动信号故障</t>
  </si>
  <si>
    <t>ECAS：制动信号故障(1066，11)</t>
  </si>
  <si>
    <t>ECAS:ECAS进口电磁阀电源线短路到低</t>
  </si>
  <si>
    <t>ECAS：电磁阀线路故障(701，4)</t>
  </si>
  <si>
    <t>ECAS:ECAS进口电磁阀电源线短路到高</t>
  </si>
  <si>
    <t>ECAS：电磁阀线路故障(701，3)</t>
  </si>
  <si>
    <t>ECAS:ECAS进口电磁阀电源线开路</t>
  </si>
  <si>
    <t>ECAS：电磁阀线路故障(701，5)</t>
  </si>
  <si>
    <t>ECAS:ECAS进口电磁阀电源线与公共地短路</t>
  </si>
  <si>
    <t>ECAS：电磁阀线路故障(701，6)</t>
  </si>
  <si>
    <t>ECAS:ECAS进口电磁阀电源线与其余线束短路</t>
  </si>
  <si>
    <t>ECAS：电磁阀线路故障(701，1)</t>
  </si>
  <si>
    <t>ECAS:ECAS出口电磁阀电源线短路到低</t>
  </si>
  <si>
    <t>ECAS：电磁阀线路故障(702，4)</t>
  </si>
  <si>
    <t>ECAS:ECAS出口电磁阀电源线短路到高</t>
  </si>
  <si>
    <t>ECAS：电磁阀线路故障(702，3)</t>
  </si>
  <si>
    <t>ECAS:ECAS出口电磁阀电源线开路</t>
  </si>
  <si>
    <t>ECAS：电磁阀线路故障(702，5)</t>
  </si>
  <si>
    <t>ECAS:ECAS出口电磁阀电源线与公共地短路</t>
  </si>
  <si>
    <t>ECAS：电磁阀线路故障(702，6)</t>
  </si>
  <si>
    <t>ECAS:ECAS出口电磁阀电源线与其余线束短路</t>
  </si>
  <si>
    <t>ECAS：电磁阀线路故障(702，1)</t>
  </si>
  <si>
    <t>ECAS:ECAS电磁阀地线短路到低</t>
  </si>
  <si>
    <t>ECAS：电磁阀线路故障(713，4)</t>
  </si>
  <si>
    <t>ECAS:ECAS电磁阀地线短路到高</t>
  </si>
  <si>
    <t>ECAS：电磁阀线路故障(713，3)</t>
  </si>
  <si>
    <t>ECAS:ECAS电磁阀地线开路</t>
  </si>
  <si>
    <t>ECAS：电磁阀线路故障(713，5)</t>
  </si>
  <si>
    <t>ECAS:ECAS电磁阀地线与公共地短路</t>
  </si>
  <si>
    <t>ECAS：电磁阀线路故障(713，6)</t>
  </si>
  <si>
    <t>ECAS:ECAS电磁阀地线与其余线束短路</t>
  </si>
  <si>
    <t>ECAS：电磁阀线路故障(713，1)</t>
  </si>
  <si>
    <t>ECAS:ECAS高度传感器信号不可信</t>
  </si>
  <si>
    <t>ECAS：高度传感器故障(3840，11)</t>
  </si>
  <si>
    <t>ECAS:ECAS高度传感器信号超过标定值</t>
  </si>
  <si>
    <t>ECAS：高度传感器故障(3840，13)</t>
  </si>
  <si>
    <t>ECAS:ECAS高度传感器部件故障</t>
  </si>
  <si>
    <t>ECAS：高度传感器故障(3840，12)</t>
  </si>
  <si>
    <t>ECAS:ECAS轴荷气压传感器信号不可信</t>
  </si>
  <si>
    <r>
      <rPr>
        <sz val="11"/>
        <color theme="1"/>
        <rFont val="宋体"/>
        <charset val="134"/>
        <scheme val="minor"/>
      </rPr>
      <t>ECAS：轴荷气压传感器故障(</t>
    </r>
    <r>
      <rPr>
        <sz val="12"/>
        <color theme="1"/>
        <rFont val="宋体"/>
        <charset val="134"/>
      </rPr>
      <t>3841，11)</t>
    </r>
  </si>
  <si>
    <t>ECAS:ECAS轴荷气压传感器信号超过标定值</t>
  </si>
  <si>
    <r>
      <rPr>
        <sz val="11"/>
        <color theme="1"/>
        <rFont val="宋体"/>
        <charset val="134"/>
        <scheme val="minor"/>
      </rPr>
      <t>ECAS：轴荷气压传感器故障(</t>
    </r>
    <r>
      <rPr>
        <sz val="12"/>
        <color theme="1"/>
        <rFont val="宋体"/>
        <charset val="134"/>
      </rPr>
      <t>3841，13)</t>
    </r>
  </si>
  <si>
    <t>ECAS:ECAS轴荷气压传感器部件故障</t>
  </si>
  <si>
    <r>
      <rPr>
        <sz val="11"/>
        <color theme="1"/>
        <rFont val="宋体"/>
        <charset val="134"/>
        <scheme val="minor"/>
      </rPr>
      <t>ECAS：轴荷气压传感器故障(</t>
    </r>
    <r>
      <rPr>
        <sz val="12"/>
        <color theme="1"/>
        <rFont val="宋体"/>
        <charset val="134"/>
      </rPr>
      <t>3841，12)</t>
    </r>
  </si>
  <si>
    <t>ECAS:ECAS传感器组配置错误</t>
  </si>
  <si>
    <t>ECAS：传感器配置故障(523880，2)</t>
  </si>
  <si>
    <t>ECAS:ECAS系统自检故障</t>
  </si>
  <si>
    <t>ECAS：系统自检故障（3039,31）</t>
  </si>
  <si>
    <t>ECAS：系统自检故障（1742,31）</t>
  </si>
  <si>
    <t>ECAS：系统自检故障（1753,31）</t>
  </si>
  <si>
    <r>
      <rPr>
        <sz val="11"/>
        <color theme="1"/>
        <rFont val="宋体"/>
        <charset val="134"/>
        <scheme val="minor"/>
      </rPr>
      <t>ECAS：系统自检故障（1741,</t>
    </r>
    <r>
      <rPr>
        <sz val="12"/>
        <color theme="1"/>
        <rFont val="宋体"/>
        <charset val="134"/>
      </rPr>
      <t>15）</t>
    </r>
  </si>
  <si>
    <t>ECAS:ECAS中桥负轴荷超载</t>
  </si>
  <si>
    <t xml:space="preserve">ECAS：中桥轴荷超出最大允许值（521121,15） </t>
  </si>
  <si>
    <t>ECAS:ECAS后桥负轴荷超载</t>
  </si>
  <si>
    <t>ECAS：中桥轴荷超出最大允许值（521122,15）</t>
  </si>
  <si>
    <t>NO.</t>
  </si>
  <si>
    <t xml:space="preserve"> 仪表显示内容</t>
  </si>
  <si>
    <t>ECU的EEPROM数据写入故障</t>
  </si>
  <si>
    <t>ECAS:控制器内部故障(274430,11)</t>
  </si>
  <si>
    <t>ECU内部VFF电源故障</t>
  </si>
  <si>
    <t>ECAS:控制器内部故障(274430,2)</t>
  </si>
  <si>
    <t>气压传感器供电故障</t>
  </si>
  <si>
    <t>ECAS:遥控器电源或线路故障(274222,3)</t>
  </si>
  <si>
    <t>阀电源与主电源短路</t>
  </si>
  <si>
    <t>ECAS:电磁阀电源或线路故障(274210,3)</t>
  </si>
  <si>
    <t>阀电源与地线短路</t>
  </si>
  <si>
    <t>ECAS:电磁阀电源或线路故障(274210,6)</t>
  </si>
  <si>
    <t>遥控器电源与主电源短路</t>
  </si>
  <si>
    <t>ECAS:遥控器电源或线路故障(274223,3)</t>
  </si>
  <si>
    <t>遥控器或电缆线电气故障</t>
  </si>
  <si>
    <t>ECAS:遥控器或线路故障(274224,3)</t>
  </si>
  <si>
    <t>前桥高度传感器与地线短路</t>
  </si>
  <si>
    <t>ECAS:前桥高度传感器或线路故障(274192,6)</t>
  </si>
  <si>
    <t>前桥高度传感器开路</t>
  </si>
  <si>
    <t>ECAS:前桥高度传感器或线路故障(274192,5)</t>
  </si>
  <si>
    <t>前桥高度传感器超出范围</t>
  </si>
  <si>
    <t>ECAS:前桥高度传感器或线路故障(274192,4)</t>
  </si>
  <si>
    <t>左后高度传感器与地线短路</t>
  </si>
  <si>
    <t>ECAS:后桥高度传感器或线路故障(274195,6)</t>
  </si>
  <si>
    <t>左后高度传感器与主电源短路</t>
  </si>
  <si>
    <t>ECAS:后桥高度传感器或线路故障(274195,5)</t>
  </si>
  <si>
    <t>左后高度传感器超出范围</t>
  </si>
  <si>
    <t>ECAS:后桥高度传感器或线路故障(274195,4)</t>
  </si>
  <si>
    <t>右后高度传感器与地线短路</t>
  </si>
  <si>
    <t>ECAS:后桥高度传感器或线路故障(274194,6)</t>
  </si>
  <si>
    <t>右后高度传感器与电源短路</t>
  </si>
  <si>
    <t>ECAS:后桥高度传感器或线路故障(274194,5)</t>
  </si>
  <si>
    <t>右后高度传感器超出范围</t>
  </si>
  <si>
    <t>ECAS:后桥高度传感器或线路故障(274194,4)</t>
  </si>
  <si>
    <t>前桥气压传感器与地线短路</t>
  </si>
  <si>
    <t>ECAS:前桥气囊气压传感器或线路故障(274198,6)</t>
  </si>
  <si>
    <t>前桥气压传感器与电源短路</t>
  </si>
  <si>
    <t>ECAS:前桥气囊气压传感器或线路故障(274198,3)</t>
  </si>
  <si>
    <t>前桥气压传感器开路</t>
  </si>
  <si>
    <t>ECAS:前桥气囊气压传感器或线路故障(274198,5)</t>
  </si>
  <si>
    <t>左后气压传感器与地线短路</t>
  </si>
  <si>
    <t>ECAS:驱动桥气囊气压传感器或线路故障(274201,6)</t>
  </si>
  <si>
    <t>左后气压传感器与电源短路</t>
  </si>
  <si>
    <t>ECAS:驱动桥气囊气压传感器或线路故障(274201,3)</t>
  </si>
  <si>
    <t>左后气压传感器开路</t>
  </si>
  <si>
    <t>ECAS:驱动桥气囊气压传感器或线路故障(274201,5)</t>
  </si>
  <si>
    <t>右后气压传感器与地线短路</t>
  </si>
  <si>
    <t>ECAS:驱动桥气囊气压传感器或线路故障(274200,6)</t>
  </si>
  <si>
    <t>右后气压传感器与电源短路</t>
  </si>
  <si>
    <t>ECAS:驱动桥气囊气压传感器或线路故障(274200,3)</t>
  </si>
  <si>
    <t>右后气压传感器开路</t>
  </si>
  <si>
    <t>ECAS:驱动桥气囊气压传感器或线路故障(274200,5)</t>
  </si>
  <si>
    <t>第三桥左气压传感器与地线短路</t>
  </si>
  <si>
    <t>ECAS:第三桥气囊气压传感器或线路故障(274203,6)</t>
  </si>
  <si>
    <t>第三桥左气压传感器与电源短路</t>
  </si>
  <si>
    <t>ECAS:第三桥气囊气压传感器或线路故障(274203,3)</t>
  </si>
  <si>
    <t>第三桥左气压传感器开路</t>
  </si>
  <si>
    <t>ECAS:第三桥气囊气压传感器或线路故障(274203,5)</t>
  </si>
  <si>
    <t>第三桥右气压传感器与地线短路</t>
  </si>
  <si>
    <t>ECAS:第三桥气囊气压传感器或线路故障(274202,6)</t>
  </si>
  <si>
    <t>第三桥右气压传感器与电源短路</t>
  </si>
  <si>
    <t>ECAS:第三桥气囊气压传感器或线路故障(274202,3)</t>
  </si>
  <si>
    <t>第三桥右气压传感器开路</t>
  </si>
  <si>
    <t>ECAS:第三桥气囊气压传感器或线路故障(274202,5)</t>
  </si>
  <si>
    <t>提升气囊气压传感器与地线短路</t>
  </si>
  <si>
    <t>ECAS:提升气囊气压传感器或线路故障(274204,6)</t>
  </si>
  <si>
    <t>提升气囊气压传感器与电源短路</t>
  </si>
  <si>
    <t>ECAS:提升气囊气压传感器或线路故障(274204,3)</t>
  </si>
  <si>
    <t>提升气囊气压传感器开路</t>
  </si>
  <si>
    <t>ECAS:提升气囊气压传感器或线路故障(274204,5)</t>
  </si>
  <si>
    <t>前桥阀与地线短路</t>
  </si>
  <si>
    <t>ECAS:前桥电磁阀或线路故障(274177,6)</t>
  </si>
  <si>
    <t>前桥阀与电源短路</t>
  </si>
  <si>
    <t>ECAS:前桥电磁阀或线路故障(274177,3)</t>
  </si>
  <si>
    <t>前桥阀开路</t>
  </si>
  <si>
    <t>ECAS:前桥电磁阀或线路故障(274177,5)</t>
  </si>
  <si>
    <t>左后阀与地线短路</t>
  </si>
  <si>
    <t>ECAS:驱动桥电磁阀或线路故障(274180,6)</t>
  </si>
  <si>
    <t>左后阀与电源短路</t>
  </si>
  <si>
    <t>ECAS:驱动桥电磁阀或线路故障(274180,3)</t>
  </si>
  <si>
    <t>左后阀开路</t>
  </si>
  <si>
    <t>ECAS:驱动桥电磁阀或线路故障(274180,5)</t>
  </si>
  <si>
    <t>后桥中央阀与地线短路</t>
  </si>
  <si>
    <t>ECAS:驱动桥电磁阀或线路故障(274183,6)</t>
  </si>
  <si>
    <t>后桥中央阀与电源短路</t>
  </si>
  <si>
    <t>ECAS:驱动桥电磁阀或线路故障(274183,3)</t>
  </si>
  <si>
    <t>后桥中央阀开路</t>
  </si>
  <si>
    <t>ECAS:驱动桥电磁阀或线路故障(274183,5)</t>
  </si>
  <si>
    <t>右后阀与地线短路</t>
  </si>
  <si>
    <t>ECAS:驱动桥电磁阀或线路故障(274179,6)</t>
  </si>
  <si>
    <t>右后阀与电源短路</t>
  </si>
  <si>
    <t>ECAS:驱动桥电磁阀或线路故障(274179,3)</t>
  </si>
  <si>
    <t>右后阀开路</t>
  </si>
  <si>
    <t>ECAS:驱动桥电磁阀或线路故障(274179,5)</t>
  </si>
  <si>
    <t>第三桥左电磁阀与地线短路</t>
  </si>
  <si>
    <t>ECAS:第三桥电磁阀或线路故障(274182,6)</t>
  </si>
  <si>
    <t>第三桥左电磁阀与阀电源短路</t>
  </si>
  <si>
    <t>ECAS:第三桥电磁阀或线路故障(274182,3)</t>
  </si>
  <si>
    <t>第三桥左电磁阀开路</t>
  </si>
  <si>
    <t>ECAS:第三桥电磁阀或线路故障(274182,5)</t>
  </si>
  <si>
    <t>第三桥右电磁阀与地线短路</t>
  </si>
  <si>
    <t>ECAS:第三桥电磁阀或线路故障(274181,6)</t>
  </si>
  <si>
    <t>第三桥右电磁阀与阀电源短路</t>
  </si>
  <si>
    <t>ECAS:第三桥电磁阀或线路故障(274181,3)</t>
  </si>
  <si>
    <t>第三桥右电磁阀开路</t>
  </si>
  <si>
    <t>ECAS:第三桥电磁阀或线路故障(274181,5)</t>
  </si>
  <si>
    <t>第三桥中央电磁阀与地线短路</t>
  </si>
  <si>
    <t>ECAS:第三桥电磁阀或线路故障(274219,6)</t>
  </si>
  <si>
    <t>第三桥中央电磁阀与阀电源短路</t>
  </si>
  <si>
    <t>ECAS:第三桥电磁阀或线路故障(274219,3)</t>
  </si>
  <si>
    <t>第三桥中央电磁阀开路</t>
  </si>
  <si>
    <t>ECAS:第三桥电磁阀或线路故障(274219,5)</t>
  </si>
  <si>
    <t>提升电磁阀与地线短路</t>
  </si>
  <si>
    <t>ECAS:提升气囊电磁阀或线路故障(274186,6)</t>
  </si>
  <si>
    <t>提升电磁阀与阀电源短路</t>
  </si>
  <si>
    <t>ECAS:提升气囊电磁阀或线路故障(274186,3)</t>
  </si>
  <si>
    <t>提升电磁阀开路</t>
  </si>
  <si>
    <t>ECAS:提升气囊电磁阀或线路故障(274186,5)</t>
  </si>
  <si>
    <t>CCVS通讯超时</t>
  </si>
  <si>
    <t>ECAS:CAN总线信号超时(274237,9)</t>
  </si>
  <si>
    <t>TCO1通讯超时</t>
  </si>
  <si>
    <t>ECAS:CAN总线信号超时(274244,9)</t>
  </si>
  <si>
    <t>ASC2通讯超时</t>
  </si>
  <si>
    <t>ECAS:CAN总线信号超时(274251,9)</t>
  </si>
  <si>
    <t>换电系统:换电连接器过温轻微故障(522241,15)</t>
  </si>
  <si>
    <t>V1.14 删除</t>
  </si>
  <si>
    <r>
      <rPr>
        <strike/>
        <sz val="11"/>
        <color theme="1"/>
        <rFont val="宋体"/>
        <charset val="134"/>
        <scheme val="minor"/>
      </rPr>
      <t>换电系统:换电连接器过温</t>
    </r>
    <r>
      <rPr>
        <strike/>
        <sz val="11"/>
        <color theme="1"/>
        <rFont val="宋体"/>
        <charset val="134"/>
        <scheme val="minor"/>
      </rPr>
      <t>一般</t>
    </r>
    <r>
      <rPr>
        <strike/>
        <sz val="11"/>
        <color theme="1"/>
        <rFont val="宋体"/>
        <charset val="134"/>
        <scheme val="minor"/>
      </rPr>
      <t>故障(522241,16)</t>
    </r>
  </si>
  <si>
    <t>V1.14 由过温一般故障更新为过温故障</t>
  </si>
  <si>
    <t>换电系统:换电连接器过温严重故障(522241,0)</t>
  </si>
  <si>
    <t>换电机构锁止故障</t>
  </si>
  <si>
    <t>换电系统:换电机构锁止故障(522242,5)</t>
  </si>
  <si>
    <t>V1.14 由（522242，7）更新为（522242，5）</t>
  </si>
  <si>
    <t>换电系统:换电连接器持续断开故障(522243,5)</t>
  </si>
  <si>
    <t>换电系统:换电连接器瞬断轻微故障(522243,15)</t>
  </si>
  <si>
    <t>换电系统:换电连接器瞬断一般故障(522243,16)</t>
  </si>
  <si>
    <t>换电系统:换电连接器瞬断严重故障(522243,0)</t>
  </si>
  <si>
    <t>换电连接器温感故障</t>
  </si>
  <si>
    <t>换电系统:换电连接器温感失效故障(522244,2)</t>
  </si>
  <si>
    <t>换电系统:换电连接器温感断线故障(522244,5)</t>
  </si>
  <si>
    <t>换电系统:换电连接器温感短路故障(522244,6)</t>
  </si>
  <si>
    <r>
      <rPr>
        <sz val="9"/>
        <color rgb="FF000000"/>
        <rFont val="宋体"/>
        <charset val="134"/>
      </rPr>
      <t>换电控制器接收</t>
    </r>
    <r>
      <rPr>
        <sz val="9"/>
        <color rgb="FF000000"/>
        <rFont val="Times New Roman"/>
        <charset val="134"/>
      </rPr>
      <t>CAN</t>
    </r>
    <r>
      <rPr>
        <sz val="9"/>
        <color rgb="FF000000"/>
        <rFont val="宋体"/>
        <charset val="134"/>
      </rPr>
      <t>信息超时</t>
    </r>
  </si>
  <si>
    <t>换电系统:换电控制器接收CAN信息超时(522245,9)</t>
  </si>
  <si>
    <t>换电系统:换电控制器自检故障(522239,12)</t>
  </si>
  <si>
    <t>换电控制器输入电压异常</t>
  </si>
  <si>
    <t>换电系统:换电控制器输入电压异常(522238,13)</t>
  </si>
  <si>
    <t>换电系统无线通讯故障</t>
  </si>
  <si>
    <t>换电系统:无线通讯故障(522237,12)</t>
  </si>
  <si>
    <t>换电过程中驻车状态异常</t>
  </si>
  <si>
    <t>换电系统:换电过程中驻车状态异常(522235,12)</t>
  </si>
  <si>
    <t>换电机构电磁阀或电机故障</t>
  </si>
  <si>
    <t>换电系统:换电机构电磁阀或电机故障(522234,7)</t>
  </si>
  <si>
    <t>换电机构液压或气压异常</t>
  </si>
  <si>
    <t>换电系统:换电机构液压或气压异常(522233,7)</t>
  </si>
  <si>
    <t>换电系统换电柜不匹配</t>
  </si>
  <si>
    <t>换电系统:电池箱换电柜不匹配(522232,23)</t>
  </si>
  <si>
    <t>V1.14 新增</t>
  </si>
  <si>
    <t>换电系统:温控机组故障(522240,12)</t>
  </si>
  <si>
    <t>换电连接器温感开路故障</t>
  </si>
  <si>
    <t>换电系统:换电连接器温感开路故障(522244,5)</t>
  </si>
  <si>
    <t xml:space="preserve">源地址：0x8F  </t>
  </si>
  <si>
    <t>FTS：电子冷却风扇故障(9691,12)</t>
  </si>
  <si>
    <t>FTS：进水温度传感器故障(12836,12)</t>
  </si>
  <si>
    <t>FTS：出水温度传感器故障(12837,12)</t>
  </si>
  <si>
    <t>FTS：进水温度传感器掉线(12836,5)</t>
  </si>
  <si>
    <t>FTS：出水温度传感器掉线(12837,5)</t>
  </si>
  <si>
    <t>FTS：CAN通讯异常(639,23)</t>
  </si>
  <si>
    <t>燃料电池冷却液液位低，请添加冷却液</t>
  </si>
  <si>
    <t>FTS：液位低或液位传感器故障(2430,12)</t>
  </si>
  <si>
    <t>B类</t>
  </si>
  <si>
    <t>久隆电液转向机：ECU电控单元失效</t>
  </si>
  <si>
    <t>V1.26_20240510新增</t>
  </si>
  <si>
    <t>久隆电液转向机：ECU过温故障</t>
  </si>
  <si>
    <t>C类</t>
  </si>
  <si>
    <t>久隆电液转向机：系统进入热保护</t>
  </si>
  <si>
    <t>/</t>
  </si>
  <si>
    <t>久隆电液转向机：无效软件</t>
  </si>
  <si>
    <t>久隆电液转向机：液压系统失效</t>
  </si>
  <si>
    <t>久隆电液转向机：无效扭矩值</t>
  </si>
  <si>
    <t>久隆电液转向机：无效角度值</t>
  </si>
  <si>
    <t>久隆电液转向机：传感器供电异常</t>
  </si>
  <si>
    <t>久隆电液转向机：方向盘中间位置未标定</t>
  </si>
  <si>
    <t>EHPS：方向盘中间位置未标定</t>
  </si>
  <si>
    <t>D类</t>
  </si>
  <si>
    <t>久隆电液转向机：15电端口信号异常</t>
  </si>
  <si>
    <t>久隆电液转向机：CAN网络－连接失败</t>
  </si>
  <si>
    <t>久隆电液转向机：电压过高（关闭）</t>
  </si>
  <si>
    <t>久隆电液转向机：电压过低（关闭）</t>
  </si>
  <si>
    <t xml:space="preserve">久隆电液转向机：电压过高（警告） </t>
  </si>
  <si>
    <t>久隆电液转向机：电压过低（警告）</t>
  </si>
  <si>
    <t>久隆电液转向机：转子角度无效</t>
  </si>
  <si>
    <t>久隆电液转向机：控制器温度传感器故障</t>
  </si>
  <si>
    <t>久隆电液转向机：TCO1- 信号超时</t>
  </si>
  <si>
    <t>久隆电液转向机：TCO1 信号错误或无效</t>
  </si>
  <si>
    <t>久隆电液转向机：EEC1- 信号超时</t>
  </si>
  <si>
    <t>久隆电液转向机： EEC1- 信号源错误或无效</t>
  </si>
  <si>
    <t>久隆电液转向机： 信号超时</t>
  </si>
  <si>
    <t>久隆电液转向机： 信号源错误或无效</t>
  </si>
  <si>
    <t>久隆电液转向机：EPS1CTL_ADU报文超时</t>
  </si>
  <si>
    <t>久隆电液转向机：EPS1CTL_ADU报文无效</t>
  </si>
  <si>
    <t>久隆电液转向机：控制器未配置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</si>
</sst>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23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name val="微软雅黑 Light"/>
      <charset val="134"/>
    </font>
    <font>
      <sz val="11"/>
      <color theme="1"/>
      <name val="微软雅黑 Light"/>
      <charset val="134"/>
    </font>
    <font>
      <sz val="9"/>
      <color rgb="FF000000"/>
      <name val="微软雅黑 Light"/>
      <charset val="134"/>
    </font>
    <font>
      <sz val="9"/>
      <name val="微软雅黑 Light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0"/>
      <color theme="1"/>
      <name val="微软雅黑"/>
      <charset val="134"/>
    </font>
    <font>
      <sz val="10"/>
      <name val="宋体"/>
      <charset val="134"/>
    </font>
    <font>
      <b/>
      <sz val="11"/>
      <color rgb="FF1D1B10"/>
      <name val="宋体"/>
      <charset val="134"/>
    </font>
    <font>
      <b/>
      <sz val="11"/>
      <color rgb="FF000000"/>
      <name val="宋体"/>
      <charset val="134"/>
    </font>
    <font>
      <sz val="9"/>
      <color theme="1"/>
      <name val="Times New Roman"/>
      <charset val="134"/>
    </font>
    <font>
      <sz val="9"/>
      <color theme="1"/>
      <name val="宋体"/>
      <charset val="134"/>
    </font>
    <font>
      <strike/>
      <sz val="9"/>
      <color rgb="FFFF0000"/>
      <name val="Times New Roman"/>
      <charset val="134"/>
    </font>
    <font>
      <sz val="11"/>
      <color rgb="FFFF0000"/>
      <name val="宋体"/>
      <charset val="134"/>
      <scheme val="minor"/>
    </font>
    <font>
      <strike/>
      <sz val="9"/>
      <color theme="1"/>
      <name val="宋体"/>
      <charset val="134"/>
    </font>
    <font>
      <strike/>
      <sz val="9"/>
      <color rgb="FF000000"/>
      <name val="Times New Roman"/>
      <charset val="134"/>
    </font>
    <font>
      <strike/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trike/>
      <sz val="9"/>
      <color rgb="FF000000"/>
      <name val="宋体"/>
      <charset val="134"/>
    </font>
    <font>
      <sz val="9"/>
      <color rgb="FFFF0000"/>
      <name val="Times New Roman"/>
      <charset val="134"/>
    </font>
    <font>
      <sz val="9"/>
      <color rgb="FF000000"/>
      <name val="Times New Roman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theme="10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color indexed="8"/>
      <name val="微软雅黑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trike/>
      <sz val="10"/>
      <color theme="1"/>
      <name val="Times New Roman"/>
      <charset val="134"/>
    </font>
    <font>
      <strike/>
      <sz val="12"/>
      <color rgb="FF000000"/>
      <name val="宋体"/>
      <charset val="134"/>
    </font>
    <font>
      <sz val="10"/>
      <color theme="1"/>
      <name val="Times New Roman"/>
      <charset val="134"/>
    </font>
    <font>
      <sz val="12"/>
      <color rgb="FF00000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Times New Roman"/>
      <charset val="134"/>
    </font>
    <font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Calibri"/>
      <charset val="134"/>
    </font>
    <font>
      <strike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</font>
    <font>
      <sz val="14"/>
      <color theme="1"/>
      <name val="宋体"/>
      <charset val="134"/>
      <scheme val="minor"/>
    </font>
    <font>
      <b/>
      <sz val="12"/>
      <color theme="2" tint="-0.899990844447157"/>
      <name val="宋体"/>
      <charset val="134"/>
      <scheme val="minor"/>
    </font>
    <font>
      <sz val="12"/>
      <name val="宋体"/>
      <charset val="134"/>
    </font>
    <font>
      <sz val="12"/>
      <color theme="2" tint="-0.899990844447157"/>
      <name val="宋体"/>
      <charset val="134"/>
    </font>
    <font>
      <sz val="12"/>
      <color theme="2" tint="-0.899990844447157"/>
      <name val="宋体"/>
      <charset val="134"/>
      <scheme val="minor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Times New Roman"/>
      <charset val="134"/>
    </font>
    <font>
      <b/>
      <sz val="11"/>
      <color theme="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Arial"/>
      <charset val="134"/>
    </font>
    <font>
      <strike/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000000"/>
      <name val="微软雅黑"/>
      <charset val="134"/>
    </font>
    <font>
      <strike/>
      <sz val="11"/>
      <name val="宋体"/>
      <charset val="134"/>
      <scheme val="minor"/>
    </font>
    <font>
      <sz val="10"/>
      <name val="微软雅黑"/>
      <charset val="134"/>
    </font>
    <font>
      <sz val="11"/>
      <color theme="1"/>
      <name val="Times New Roman"/>
      <charset val="134"/>
    </font>
    <font>
      <strike/>
      <sz val="11"/>
      <color rgb="FFFF0000"/>
      <name val="Times New Roman"/>
      <charset val="134"/>
    </font>
    <font>
      <strike/>
      <sz val="11"/>
      <color rgb="FFFF0000"/>
      <name val="宋体"/>
      <charset val="134"/>
      <scheme val="minor"/>
    </font>
    <font>
      <b/>
      <sz val="12"/>
      <color theme="2" tint="-0.899990844447157"/>
      <name val="宋体"/>
      <charset val="134"/>
    </font>
    <font>
      <sz val="12"/>
      <color rgb="FFFF0000"/>
      <name val="宋体"/>
      <charset val="134"/>
    </font>
    <font>
      <strike/>
      <sz val="12"/>
      <color theme="2" tint="-0.899990844447157"/>
      <name val="宋体"/>
      <charset val="134"/>
    </font>
    <font>
      <strike/>
      <sz val="12"/>
      <color theme="2" tint="-0.899960325937681"/>
      <name val="宋体"/>
      <charset val="134"/>
    </font>
    <font>
      <sz val="10.5"/>
      <name val="宋体"/>
      <charset val="134"/>
    </font>
    <font>
      <sz val="10.5"/>
      <name val="Arial"/>
      <charset val="134"/>
    </font>
    <font>
      <b/>
      <sz val="11"/>
      <name val="宋体"/>
      <charset val="134"/>
    </font>
    <font>
      <sz val="9"/>
      <color theme="1"/>
      <name val="宋体"/>
      <charset val="134"/>
      <scheme val="minor"/>
    </font>
    <font>
      <strike/>
      <sz val="11"/>
      <name val="宋体"/>
      <charset val="134"/>
    </font>
    <font>
      <sz val="11"/>
      <color rgb="FF000000"/>
      <name val="宋体"/>
      <charset val="134"/>
      <scheme val="minor"/>
    </font>
    <font>
      <b/>
      <sz val="14"/>
      <color theme="1"/>
      <name val="微软雅黑"/>
      <charset val="134"/>
    </font>
    <font>
      <u/>
      <sz val="14"/>
      <color theme="10"/>
      <name val="微软雅黑 Light"/>
      <charset val="134"/>
    </font>
    <font>
      <sz val="14"/>
      <color theme="1"/>
      <name val="微软雅黑"/>
      <charset val="134"/>
    </font>
    <font>
      <sz val="10"/>
      <color theme="1"/>
      <name val="微软雅黑 Light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  <font>
      <sz val="11"/>
      <color rgb="FF9C000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0"/>
      <color indexed="8"/>
      <name val="Calibri"/>
      <charset val="134"/>
    </font>
    <font>
      <sz val="11"/>
      <color theme="1"/>
      <name val="Tahoma"/>
      <charset val="134"/>
    </font>
    <font>
      <sz val="11"/>
      <color theme="1"/>
      <name val="Arial"/>
      <charset val="238"/>
    </font>
    <font>
      <sz val="11"/>
      <color rgb="FF006100"/>
      <name val="宋体"/>
      <charset val="134"/>
      <scheme val="minor"/>
    </font>
    <font>
      <sz val="10.5"/>
      <name val="Calibri"/>
      <charset val="134"/>
    </font>
    <font>
      <sz val="10"/>
      <name val="Arial Unicode MS"/>
      <charset val="134"/>
    </font>
    <font>
      <sz val="10"/>
      <name val="Times New Roman"/>
      <charset val="134"/>
    </font>
    <font>
      <strike/>
      <sz val="11"/>
      <color theme="1"/>
      <name val="宋体"/>
      <charset val="134"/>
    </font>
    <font>
      <strike/>
      <sz val="11"/>
      <color rgb="FFFF0000"/>
      <name val="宋体"/>
      <charset val="134"/>
    </font>
    <font>
      <sz val="11"/>
      <color rgb="FF00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8">
    <xf numFmtId="0" fontId="0" fillId="0" borderId="0">
      <alignment vertical="center"/>
    </xf>
    <xf numFmtId="43" fontId="88" fillId="0" borderId="0" applyFont="0" applyFill="0" applyBorder="0" applyAlignment="0" applyProtection="0">
      <alignment vertical="center"/>
    </xf>
    <xf numFmtId="44" fontId="88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13" borderId="25" applyNumberFormat="0" applyFon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26" applyNumberFormat="0" applyFill="0" applyAlignment="0" applyProtection="0">
      <alignment vertical="center"/>
    </xf>
    <xf numFmtId="0" fontId="94" fillId="0" borderId="26" applyNumberFormat="0" applyFill="0" applyAlignment="0" applyProtection="0">
      <alignment vertical="center"/>
    </xf>
    <xf numFmtId="0" fontId="95" fillId="0" borderId="27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14" borderId="28" applyNumberFormat="0" applyAlignment="0" applyProtection="0">
      <alignment vertical="center"/>
    </xf>
    <xf numFmtId="0" fontId="97" fillId="15" borderId="29" applyNumberFormat="0" applyAlignment="0" applyProtection="0">
      <alignment vertical="center"/>
    </xf>
    <xf numFmtId="0" fontId="98" fillId="15" borderId="28" applyNumberFormat="0" applyAlignment="0" applyProtection="0">
      <alignment vertical="center"/>
    </xf>
    <xf numFmtId="0" fontId="99" fillId="16" borderId="30" applyNumberFormat="0" applyAlignment="0" applyProtection="0">
      <alignment vertical="center"/>
    </xf>
    <xf numFmtId="0" fontId="100" fillId="0" borderId="31" applyNumberFormat="0" applyFill="0" applyAlignment="0" applyProtection="0">
      <alignment vertical="center"/>
    </xf>
    <xf numFmtId="0" fontId="101" fillId="0" borderId="32" applyNumberFormat="0" applyFill="0" applyAlignment="0" applyProtection="0">
      <alignment vertical="center"/>
    </xf>
    <xf numFmtId="0" fontId="102" fillId="17" borderId="0" applyNumberFormat="0" applyBorder="0" applyAlignment="0" applyProtection="0">
      <alignment vertical="center"/>
    </xf>
    <xf numFmtId="0" fontId="103" fillId="18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6" fillId="33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5" fillId="35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5" fillId="43" borderId="0" applyNumberFormat="0" applyBorder="0" applyAlignment="0" applyProtection="0">
      <alignment vertical="center"/>
    </xf>
    <xf numFmtId="0" fontId="61" fillId="0" borderId="0"/>
    <xf numFmtId="0" fontId="62" fillId="0" borderId="0"/>
    <xf numFmtId="0" fontId="53" fillId="0" borderId="0">
      <alignment vertical="center"/>
    </xf>
    <xf numFmtId="0" fontId="107" fillId="0" borderId="0"/>
    <xf numFmtId="0" fontId="53" fillId="0" borderId="0">
      <alignment vertical="center"/>
    </xf>
    <xf numFmtId="0" fontId="108" fillId="44" borderId="0" applyNumberFormat="0" applyBorder="0" applyAlignment="0" applyProtection="0"/>
    <xf numFmtId="0" fontId="109" fillId="44" borderId="0" applyNumberFormat="0" applyBorder="0" applyAlignment="0" applyProtection="0">
      <alignment vertical="center"/>
    </xf>
    <xf numFmtId="0" fontId="0" fillId="0" borderId="0"/>
    <xf numFmtId="0" fontId="110" fillId="0" borderId="0">
      <alignment vertical="center"/>
    </xf>
    <xf numFmtId="0" fontId="61" fillId="0" borderId="0"/>
    <xf numFmtId="0" fontId="23" fillId="0" borderId="0"/>
    <xf numFmtId="0" fontId="0" fillId="0" borderId="0">
      <alignment vertical="center"/>
    </xf>
    <xf numFmtId="0" fontId="111" fillId="0" borderId="0" applyNumberFormat="0" applyFill="0" applyBorder="0" applyProtection="0">
      <alignment horizontal="left" vertical="top"/>
    </xf>
    <xf numFmtId="0" fontId="0" fillId="0" borderId="0"/>
    <xf numFmtId="0" fontId="0" fillId="0" borderId="0">
      <alignment vertical="center"/>
    </xf>
    <xf numFmtId="0" fontId="57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/>
    <xf numFmtId="0" fontId="0" fillId="0" borderId="0"/>
    <xf numFmtId="0" fontId="112" fillId="0" borderId="0"/>
    <xf numFmtId="0" fontId="23" fillId="0" borderId="0">
      <alignment vertical="center"/>
    </xf>
    <xf numFmtId="0" fontId="0" fillId="0" borderId="0"/>
    <xf numFmtId="0" fontId="23" fillId="0" borderId="0"/>
    <xf numFmtId="0" fontId="23" fillId="0" borderId="0"/>
    <xf numFmtId="0" fontId="113" fillId="0" borderId="0"/>
    <xf numFmtId="0" fontId="0" fillId="0" borderId="0"/>
    <xf numFmtId="0" fontId="114" fillId="45" borderId="0" applyNumberFormat="0" applyBorder="0" applyAlignment="0" applyProtection="0">
      <alignment vertical="center"/>
    </xf>
    <xf numFmtId="0" fontId="0" fillId="46" borderId="25" applyNumberFormat="0" applyFont="0" applyAlignment="0" applyProtection="0">
      <alignment vertical="center"/>
    </xf>
  </cellStyleXfs>
  <cellXfs count="500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0" borderId="1" xfId="7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70" applyFont="1" applyBorder="1" applyAlignment="1">
      <alignment horizontal="left" vertical="center"/>
    </xf>
    <xf numFmtId="0" fontId="2" fillId="2" borderId="1" xfId="7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7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1" xfId="70" applyFont="1" applyFill="1" applyBorder="1" applyAlignment="1">
      <alignment horizontal="left" vertical="center"/>
    </xf>
    <xf numFmtId="0" fontId="4" fillId="0" borderId="1" xfId="7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3" fillId="0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8" fillId="0" borderId="1" xfId="0" applyFont="1" applyBorder="1" applyAlignment="1"/>
    <xf numFmtId="0" fontId="7" fillId="5" borderId="1" xfId="7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" fillId="6" borderId="3" xfId="6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>
      <alignment vertical="center"/>
    </xf>
    <xf numFmtId="0" fontId="16" fillId="4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19" fillId="0" borderId="1" xfId="0" applyFont="1" applyBorder="1" applyAlignment="1">
      <alignment horizontal="justify" vertical="center" wrapText="1"/>
    </xf>
    <xf numFmtId="0" fontId="20" fillId="8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justify" vertical="center"/>
    </xf>
    <xf numFmtId="0" fontId="19" fillId="3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>
      <alignment vertical="center"/>
    </xf>
    <xf numFmtId="0" fontId="22" fillId="6" borderId="1" xfId="0" applyFon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17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4" fillId="6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3" fillId="8" borderId="0" xfId="56" applyFont="1" applyFill="1" applyAlignment="1">
      <alignment vertical="center"/>
    </xf>
    <xf numFmtId="0" fontId="23" fillId="9" borderId="0" xfId="56" applyFont="1" applyFill="1" applyAlignment="1">
      <alignment horizontal="center" vertical="center"/>
    </xf>
    <xf numFmtId="0" fontId="23" fillId="0" borderId="0" xfId="56" applyFont="1" applyAlignment="1">
      <alignment horizontal="center" vertical="center"/>
    </xf>
    <xf numFmtId="0" fontId="23" fillId="0" borderId="0" xfId="56" applyFont="1" applyAlignment="1">
      <alignment vertical="center"/>
    </xf>
    <xf numFmtId="0" fontId="25" fillId="9" borderId="0" xfId="6" applyFont="1" applyFill="1" applyAlignment="1">
      <alignment horizontal="center" vertical="center"/>
    </xf>
    <xf numFmtId="0" fontId="26" fillId="0" borderId="0" xfId="56" applyFont="1" applyAlignment="1">
      <alignment horizontal="center" vertical="center"/>
    </xf>
    <xf numFmtId="0" fontId="26" fillId="0" borderId="0" xfId="56" applyFont="1" applyAlignment="1">
      <alignment vertical="center"/>
    </xf>
    <xf numFmtId="0" fontId="27" fillId="0" borderId="1" xfId="56" applyFont="1" applyBorder="1" applyAlignment="1">
      <alignment horizontal="center" vertical="center" wrapText="1"/>
    </xf>
    <xf numFmtId="0" fontId="28" fillId="0" borderId="2" xfId="56" applyFont="1" applyBorder="1" applyAlignment="1">
      <alignment vertical="center" wrapText="1"/>
    </xf>
    <xf numFmtId="0" fontId="26" fillId="0" borderId="1" xfId="56" applyFont="1" applyBorder="1" applyAlignment="1">
      <alignment horizontal="center" vertical="center"/>
    </xf>
    <xf numFmtId="0" fontId="26" fillId="0" borderId="1" xfId="56" applyFont="1" applyBorder="1" applyAlignment="1">
      <alignment vertical="center"/>
    </xf>
    <xf numFmtId="0" fontId="26" fillId="0" borderId="1" xfId="56" applyFont="1" applyBorder="1" applyAlignment="1">
      <alignment vertical="center" wrapText="1"/>
    </xf>
    <xf numFmtId="0" fontId="26" fillId="0" borderId="1" xfId="56" applyFont="1" applyBorder="1" applyAlignment="1">
      <alignment horizontal="left" vertical="center"/>
    </xf>
    <xf numFmtId="0" fontId="26" fillId="9" borderId="0" xfId="56" applyFont="1" applyFill="1" applyAlignment="1">
      <alignment horizontal="center" vertical="center"/>
    </xf>
    <xf numFmtId="0" fontId="0" fillId="0" borderId="0" xfId="56" applyAlignment="1">
      <alignment horizontal="center" vertical="center"/>
    </xf>
    <xf numFmtId="0" fontId="0" fillId="0" borderId="0" xfId="56" applyAlignment="1">
      <alignment horizontal="left"/>
    </xf>
    <xf numFmtId="0" fontId="29" fillId="0" borderId="0" xfId="56" applyFont="1" applyAlignment="1">
      <alignment horizontal="center" vertical="center" wrapText="1"/>
    </xf>
    <xf numFmtId="0" fontId="30" fillId="0" borderId="0" xfId="56" applyFont="1" applyAlignment="1">
      <alignment horizontal="center" vertical="center" wrapText="1"/>
    </xf>
    <xf numFmtId="0" fontId="23" fillId="9" borderId="0" xfId="56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6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4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vertical="center" wrapText="1"/>
    </xf>
    <xf numFmtId="0" fontId="34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39" fillId="6" borderId="1" xfId="0" applyFont="1" applyFill="1" applyBorder="1" applyAlignment="1">
      <alignment horizontal="center" vertical="center" wrapText="1"/>
    </xf>
    <xf numFmtId="0" fontId="39" fillId="6" borderId="2" xfId="0" applyFont="1" applyFill="1" applyBorder="1" applyAlignment="1">
      <alignment horizontal="center" vertical="center" wrapText="1"/>
    </xf>
    <xf numFmtId="0" fontId="39" fillId="6" borderId="4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vertical="center" wrapText="1"/>
    </xf>
    <xf numFmtId="0" fontId="41" fillId="6" borderId="1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38" fillId="6" borderId="1" xfId="0" applyFont="1" applyFill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41" fillId="5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vertical="center" wrapText="1"/>
    </xf>
    <xf numFmtId="0" fontId="0" fillId="5" borderId="0" xfId="0" applyFill="1">
      <alignment vertical="center"/>
    </xf>
    <xf numFmtId="0" fontId="38" fillId="5" borderId="1" xfId="0" applyFont="1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/>
    <xf numFmtId="0" fontId="0" fillId="4" borderId="1" xfId="0" applyFill="1" applyBorder="1" applyAlignment="1">
      <alignment horizontal="center"/>
    </xf>
    <xf numFmtId="0" fontId="0" fillId="4" borderId="1" xfId="0" applyFill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0" xfId="0" applyAlignment="1"/>
    <xf numFmtId="0" fontId="23" fillId="3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42" fillId="0" borderId="1" xfId="0" applyFont="1" applyBorder="1" applyAlignment="1"/>
    <xf numFmtId="0" fontId="42" fillId="0" borderId="1" xfId="0" applyFont="1" applyBorder="1" applyAlignment="1">
      <alignment horizontal="center"/>
    </xf>
    <xf numFmtId="0" fontId="42" fillId="0" borderId="1" xfId="0" applyFont="1" applyBorder="1">
      <alignment vertical="center"/>
    </xf>
    <xf numFmtId="0" fontId="0" fillId="6" borderId="0" xfId="0" applyFill="1" applyAlignment="1"/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4" fillId="0" borderId="1" xfId="0" applyFont="1" applyBorder="1" applyAlignment="1"/>
    <xf numFmtId="0" fontId="44" fillId="0" borderId="1" xfId="0" applyFont="1" applyBorder="1" applyAlignment="1">
      <alignment horizontal="center"/>
    </xf>
    <xf numFmtId="0" fontId="44" fillId="0" borderId="1" xfId="0" applyFont="1" applyBorder="1">
      <alignment vertical="center"/>
    </xf>
    <xf numFmtId="0" fontId="23" fillId="0" borderId="1" xfId="0" applyFont="1" applyBorder="1" applyAlignment="1"/>
    <xf numFmtId="0" fontId="23" fillId="8" borderId="1" xfId="0" applyFont="1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45" fillId="4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8" fillId="2" borderId="1" xfId="0" applyFont="1" applyFill="1" applyBorder="1" applyAlignment="1"/>
    <xf numFmtId="0" fontId="8" fillId="2" borderId="1" xfId="0" applyFont="1" applyFill="1" applyBorder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44" fillId="0" borderId="2" xfId="0" applyFont="1" applyBorder="1" applyAlignment="1">
      <alignment horizontal="left" vertical="center" wrapText="1"/>
    </xf>
    <xf numFmtId="0" fontId="44" fillId="0" borderId="3" xfId="0" applyFont="1" applyBorder="1" applyAlignment="1">
      <alignment horizontal="left" vertical="center" wrapText="1"/>
    </xf>
    <xf numFmtId="0" fontId="44" fillId="0" borderId="4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23" fillId="0" borderId="0" xfId="59"/>
    <xf numFmtId="0" fontId="23" fillId="0" borderId="5" xfId="59" applyBorder="1" applyAlignment="1">
      <alignment horizontal="left"/>
    </xf>
    <xf numFmtId="0" fontId="47" fillId="0" borderId="1" xfId="66" applyFont="1" applyBorder="1" applyAlignment="1">
      <alignment horizontal="left" vertical="center" wrapText="1"/>
    </xf>
    <xf numFmtId="0" fontId="48" fillId="0" borderId="1" xfId="66" applyFont="1" applyBorder="1" applyAlignment="1">
      <alignment horizontal="left" wrapText="1"/>
    </xf>
    <xf numFmtId="0" fontId="49" fillId="0" borderId="1" xfId="66" applyFont="1" applyBorder="1" applyAlignment="1">
      <alignment horizontal="left" wrapText="1"/>
    </xf>
    <xf numFmtId="0" fontId="48" fillId="0" borderId="1" xfId="62" applyFont="1" applyBorder="1" applyAlignment="1">
      <alignment horizontal="left" vertical="center" wrapText="1"/>
    </xf>
    <xf numFmtId="0" fontId="50" fillId="0" borderId="1" xfId="62" applyFont="1" applyBorder="1" applyAlignment="1">
      <alignment horizontal="left" vertical="center" wrapText="1"/>
    </xf>
    <xf numFmtId="0" fontId="48" fillId="9" borderId="1" xfId="62" applyFont="1" applyFill="1" applyBorder="1" applyAlignment="1">
      <alignment horizontal="left" vertical="center" wrapText="1"/>
    </xf>
    <xf numFmtId="0" fontId="50" fillId="9" borderId="1" xfId="62" applyFont="1" applyFill="1" applyBorder="1" applyAlignment="1">
      <alignment horizontal="left" vertical="center" wrapText="1"/>
    </xf>
    <xf numFmtId="0" fontId="51" fillId="0" borderId="0" xfId="59" applyFont="1" applyAlignment="1">
      <alignment horizontal="center"/>
    </xf>
    <xf numFmtId="0" fontId="0" fillId="0" borderId="0" xfId="71"/>
    <xf numFmtId="0" fontId="0" fillId="0" borderId="0" xfId="71" applyAlignment="1">
      <alignment horizontal="center"/>
    </xf>
    <xf numFmtId="0" fontId="0" fillId="0" borderId="0" xfId="71" applyAlignment="1">
      <alignment horizontal="left"/>
    </xf>
    <xf numFmtId="0" fontId="52" fillId="6" borderId="1" xfId="58" applyFont="1" applyFill="1" applyBorder="1" applyAlignment="1">
      <alignment horizontal="center" vertical="center" wrapText="1"/>
    </xf>
    <xf numFmtId="0" fontId="52" fillId="6" borderId="6" xfId="58" applyFont="1" applyFill="1" applyBorder="1" applyAlignment="1">
      <alignment horizontal="center" vertical="center" wrapText="1"/>
    </xf>
    <xf numFmtId="0" fontId="52" fillId="6" borderId="7" xfId="58" applyFont="1" applyFill="1" applyBorder="1" applyAlignment="1">
      <alignment horizontal="center" vertical="center" wrapText="1"/>
    </xf>
    <xf numFmtId="0" fontId="53" fillId="0" borderId="1" xfId="71" applyFont="1" applyBorder="1" applyAlignment="1">
      <alignment horizontal="center" vertical="center" wrapText="1"/>
    </xf>
    <xf numFmtId="0" fontId="49" fillId="0" borderId="1" xfId="71" applyFont="1" applyBorder="1" applyAlignment="1">
      <alignment horizontal="center" vertical="center" wrapText="1"/>
    </xf>
    <xf numFmtId="0" fontId="53" fillId="0" borderId="1" xfId="71" applyFont="1" applyBorder="1" applyAlignment="1">
      <alignment horizontal="left" vertical="center" wrapText="1"/>
    </xf>
    <xf numFmtId="0" fontId="49" fillId="0" borderId="1" xfId="71" applyFont="1" applyBorder="1" applyAlignment="1">
      <alignment horizontal="left" vertical="center" wrapText="1"/>
    </xf>
    <xf numFmtId="0" fontId="0" fillId="0" borderId="0" xfId="62"/>
    <xf numFmtId="0" fontId="0" fillId="0" borderId="0" xfId="62" applyAlignment="1">
      <alignment horizontal="left"/>
    </xf>
    <xf numFmtId="49" fontId="54" fillId="0" borderId="1" xfId="62" applyNumberFormat="1" applyFont="1" applyBorder="1" applyAlignment="1">
      <alignment horizontal="center" vertical="center" wrapText="1"/>
    </xf>
    <xf numFmtId="0" fontId="54" fillId="0" borderId="1" xfId="59" applyFont="1" applyBorder="1" applyAlignment="1">
      <alignment horizontal="left" vertical="center" wrapText="1"/>
    </xf>
    <xf numFmtId="49" fontId="54" fillId="0" borderId="1" xfId="59" applyNumberFormat="1" applyFont="1" applyBorder="1" applyAlignment="1">
      <alignment horizontal="center" vertical="center" wrapText="1"/>
    </xf>
    <xf numFmtId="49" fontId="54" fillId="0" borderId="1" xfId="62" applyNumberFormat="1" applyFont="1" applyBorder="1" applyAlignment="1">
      <alignment horizontal="left" vertical="center" wrapText="1"/>
    </xf>
    <xf numFmtId="0" fontId="54" fillId="0" borderId="1" xfId="58" applyFont="1" applyBorder="1" applyAlignment="1">
      <alignment horizontal="left" vertical="center" wrapText="1"/>
    </xf>
    <xf numFmtId="0" fontId="55" fillId="0" borderId="1" xfId="62" applyFont="1" applyBorder="1" applyAlignment="1">
      <alignment horizontal="left" vertical="center" wrapText="1"/>
    </xf>
    <xf numFmtId="0" fontId="55" fillId="0" borderId="1" xfId="59" applyFont="1" applyBorder="1" applyAlignment="1">
      <alignment horizontal="center" vertical="center" wrapText="1"/>
    </xf>
    <xf numFmtId="0" fontId="55" fillId="0" borderId="1" xfId="71" applyFont="1" applyBorder="1" applyAlignment="1">
      <alignment horizontal="left" vertical="center" wrapText="1"/>
    </xf>
    <xf numFmtId="0" fontId="56" fillId="0" borderId="0" xfId="58" applyFont="1" applyAlignment="1">
      <alignment horizontal="center" vertical="center" wrapText="1"/>
    </xf>
    <xf numFmtId="0" fontId="44" fillId="0" borderId="0" xfId="71" applyFont="1"/>
    <xf numFmtId="0" fontId="7" fillId="0" borderId="0" xfId="71" applyFont="1"/>
    <xf numFmtId="0" fontId="53" fillId="0" borderId="1" xfId="62" applyFont="1" applyBorder="1" applyAlignment="1">
      <alignment horizontal="left" vertical="center" wrapText="1"/>
    </xf>
    <xf numFmtId="0" fontId="48" fillId="0" borderId="1" xfId="59" applyFont="1" applyBorder="1" applyAlignment="1">
      <alignment horizontal="center" vertical="center" wrapText="1"/>
    </xf>
    <xf numFmtId="0" fontId="0" fillId="0" borderId="0" xfId="71" applyAlignment="1">
      <alignment horizontal="left" wrapText="1"/>
    </xf>
    <xf numFmtId="0" fontId="57" fillId="0" borderId="0" xfId="64" applyAlignment="1">
      <alignment vertical="top"/>
    </xf>
    <xf numFmtId="0" fontId="57" fillId="0" borderId="0" xfId="64" applyAlignment="1">
      <alignment horizontal="center" vertical="center"/>
    </xf>
    <xf numFmtId="0" fontId="57" fillId="0" borderId="0" xfId="64">
      <alignment vertical="center"/>
    </xf>
    <xf numFmtId="0" fontId="23" fillId="0" borderId="1" xfId="64" applyFont="1" applyBorder="1" applyAlignment="1">
      <alignment horizontal="center"/>
    </xf>
    <xf numFmtId="0" fontId="30" fillId="0" borderId="1" xfId="64" applyFont="1" applyBorder="1" applyAlignment="1">
      <alignment horizontal="left" vertical="center" wrapText="1"/>
    </xf>
    <xf numFmtId="0" fontId="58" fillId="0" borderId="1" xfId="64" applyFont="1" applyBorder="1" applyAlignment="1">
      <alignment horizontal="center" vertical="center" wrapText="1"/>
    </xf>
    <xf numFmtId="0" fontId="59" fillId="0" borderId="6" xfId="59" applyFont="1" applyBorder="1" applyAlignment="1">
      <alignment horizontal="left" vertical="center" wrapText="1"/>
    </xf>
    <xf numFmtId="0" fontId="57" fillId="0" borderId="1" xfId="64" applyBorder="1" applyAlignment="1">
      <alignment horizontal="center" vertical="top"/>
    </xf>
    <xf numFmtId="0" fontId="23" fillId="0" borderId="1" xfId="64" applyFont="1" applyBorder="1" applyAlignment="1">
      <alignment vertical="top"/>
    </xf>
    <xf numFmtId="0" fontId="23" fillId="0" borderId="1" xfId="64" applyFont="1" applyBorder="1" applyAlignment="1">
      <alignment horizontal="center" vertical="top"/>
    </xf>
    <xf numFmtId="0" fontId="57" fillId="0" borderId="1" xfId="64" applyBorder="1" applyAlignment="1">
      <alignment vertical="top"/>
    </xf>
    <xf numFmtId="0" fontId="57" fillId="0" borderId="6" xfId="64" applyBorder="1" applyAlignment="1">
      <alignment vertical="top"/>
    </xf>
    <xf numFmtId="0" fontId="0" fillId="0" borderId="0" xfId="0" applyAlignment="1">
      <alignment vertical="top"/>
    </xf>
    <xf numFmtId="0" fontId="57" fillId="0" borderId="1" xfId="64" applyBorder="1" applyAlignment="1">
      <alignment horizontal="center" vertical="center"/>
    </xf>
    <xf numFmtId="0" fontId="0" fillId="0" borderId="1" xfId="56" applyBorder="1" applyAlignment="1">
      <alignment vertical="top"/>
    </xf>
    <xf numFmtId="0" fontId="57" fillId="2" borderId="6" xfId="64" applyFill="1" applyBorder="1">
      <alignment vertical="center"/>
    </xf>
    <xf numFmtId="0" fontId="23" fillId="0" borderId="0" xfId="59" applyAlignment="1">
      <alignment horizontal="left"/>
    </xf>
    <xf numFmtId="0" fontId="52" fillId="6" borderId="1" xfId="58" applyFont="1" applyFill="1" applyBorder="1" applyAlignment="1">
      <alignment horizontal="center" vertical="center"/>
    </xf>
    <xf numFmtId="0" fontId="52" fillId="6" borderId="6" xfId="58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54" fillId="0" borderId="1" xfId="66" applyFont="1" applyBorder="1" applyAlignment="1">
      <alignment horizontal="center" vertical="top" wrapText="1"/>
    </xf>
    <xf numFmtId="0" fontId="54" fillId="0" borderId="1" xfId="66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54" fillId="0" borderId="2" xfId="66" applyFont="1" applyBorder="1" applyAlignment="1">
      <alignment horizontal="center" vertical="center" wrapText="1"/>
    </xf>
    <xf numFmtId="0" fontId="54" fillId="0" borderId="2" xfId="66" applyFont="1" applyBorder="1" applyAlignment="1">
      <alignment horizontal="left" vertical="center" wrapText="1"/>
    </xf>
    <xf numFmtId="0" fontId="54" fillId="0" borderId="0" xfId="66" applyFont="1" applyAlignment="1">
      <alignment horizontal="center" vertical="center" wrapText="1"/>
    </xf>
    <xf numFmtId="0" fontId="54" fillId="0" borderId="0" xfId="66" applyFont="1" applyAlignment="1">
      <alignment horizontal="left" vertical="center" wrapText="1"/>
    </xf>
    <xf numFmtId="49" fontId="54" fillId="0" borderId="0" xfId="66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49" fontId="60" fillId="0" borderId="1" xfId="0" applyNumberFormat="1" applyFont="1" applyBorder="1" applyAlignment="1">
      <alignment horizontal="left" vertical="center" wrapText="1"/>
    </xf>
    <xf numFmtId="49" fontId="60" fillId="0" borderId="1" xfId="0" applyNumberFormat="1" applyFont="1" applyBorder="1" applyAlignment="1">
      <alignment horizontal="center" vertical="center" wrapText="1"/>
    </xf>
    <xf numFmtId="49" fontId="60" fillId="0" borderId="1" xfId="0" applyNumberFormat="1" applyFont="1" applyBorder="1">
      <alignment vertical="center"/>
    </xf>
    <xf numFmtId="0" fontId="9" fillId="2" borderId="1" xfId="0" applyFont="1" applyFill="1" applyBorder="1" applyAlignment="1">
      <alignment horizontal="justify" vertical="center" wrapText="1"/>
    </xf>
    <xf numFmtId="0" fontId="61" fillId="2" borderId="1" xfId="0" applyFont="1" applyFill="1" applyBorder="1" applyAlignment="1">
      <alignment horizontal="justify" vertical="center" wrapText="1"/>
    </xf>
    <xf numFmtId="0" fontId="45" fillId="2" borderId="1" xfId="0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justify" vertical="center" wrapText="1"/>
    </xf>
    <xf numFmtId="0" fontId="62" fillId="0" borderId="1" xfId="0" applyFont="1" applyBorder="1" applyAlignment="1">
      <alignment horizontal="justify" vertical="center" wrapText="1"/>
    </xf>
    <xf numFmtId="0" fontId="8" fillId="0" borderId="2" xfId="0" applyFont="1" applyBorder="1" applyAlignment="1"/>
    <xf numFmtId="0" fontId="0" fillId="2" borderId="1" xfId="0" applyFill="1" applyBorder="1">
      <alignment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6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45" fillId="0" borderId="8" xfId="0" applyFont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23" fillId="0" borderId="1" xfId="75" applyFont="1" applyBorder="1" applyAlignment="1">
      <alignment vertical="center" wrapText="1"/>
    </xf>
    <xf numFmtId="0" fontId="23" fillId="0" borderId="1" xfId="75" applyFont="1" applyBorder="1" applyAlignment="1">
      <alignment horizontal="left" vertical="center"/>
    </xf>
    <xf numFmtId="0" fontId="23" fillId="0" borderId="1" xfId="75" applyFont="1" applyBorder="1" applyAlignment="1">
      <alignment horizontal="center" vertical="center"/>
    </xf>
    <xf numFmtId="0" fontId="23" fillId="0" borderId="1" xfId="75" applyFont="1" applyBorder="1" applyAlignment="1">
      <alignment horizontal="left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/>
    <xf numFmtId="0" fontId="23" fillId="2" borderId="1" xfId="75" applyFont="1" applyFill="1" applyBorder="1" applyAlignment="1">
      <alignment horizontal="left" vertical="center"/>
    </xf>
    <xf numFmtId="0" fontId="23" fillId="2" borderId="1" xfId="75" applyFont="1" applyFill="1" applyBorder="1" applyAlignment="1">
      <alignment horizontal="center" vertical="center"/>
    </xf>
    <xf numFmtId="0" fontId="23" fillId="2" borderId="1" xfId="75" applyFont="1" applyFill="1" applyBorder="1" applyAlignment="1">
      <alignment horizontal="left" vertical="center" wrapText="1"/>
    </xf>
    <xf numFmtId="0" fontId="23" fillId="2" borderId="1" xfId="75" applyFont="1" applyFill="1" applyBorder="1" applyAlignment="1">
      <alignment vertical="center" wrapText="1"/>
    </xf>
    <xf numFmtId="0" fontId="23" fillId="2" borderId="1" xfId="0" applyFont="1" applyFill="1" applyBorder="1">
      <alignment vertical="center"/>
    </xf>
    <xf numFmtId="0" fontId="23" fillId="2" borderId="1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/>
    </xf>
    <xf numFmtId="0" fontId="23" fillId="0" borderId="0" xfId="75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/>
    <xf numFmtId="0" fontId="7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64" fillId="2" borderId="1" xfId="0" applyFont="1" applyFill="1" applyBorder="1" applyAlignment="1">
      <alignment horizontal="justify" vertical="center" wrapText="1"/>
    </xf>
    <xf numFmtId="0" fontId="65" fillId="2" borderId="1" xfId="0" applyFont="1" applyFill="1" applyBorder="1" applyAlignment="1">
      <alignment horizontal="justify" vertical="center" wrapText="1"/>
    </xf>
    <xf numFmtId="0" fontId="66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38" fillId="2" borderId="1" xfId="0" applyFont="1" applyFill="1" applyBorder="1" applyAlignment="1">
      <alignment horizontal="justify" vertical="center" wrapText="1"/>
    </xf>
    <xf numFmtId="0" fontId="62" fillId="2" borderId="1" xfId="0" applyFont="1" applyFill="1" applyBorder="1" applyAlignment="1">
      <alignment horizontal="justify" vertical="center" wrapText="1"/>
    </xf>
    <xf numFmtId="0" fontId="38" fillId="6" borderId="1" xfId="0" applyFont="1" applyFill="1" applyBorder="1" applyAlignment="1">
      <alignment horizontal="justify" vertical="center" wrapText="1"/>
    </xf>
    <xf numFmtId="0" fontId="34" fillId="6" borderId="1" xfId="0" applyFont="1" applyFill="1" applyBorder="1" applyAlignment="1">
      <alignment horizontal="justify" vertical="center" wrapText="1"/>
    </xf>
    <xf numFmtId="0" fontId="38" fillId="6" borderId="1" xfId="0" applyFont="1" applyFill="1" applyBorder="1" applyAlignment="1">
      <alignment horizontal="left" vertical="center" wrapText="1"/>
    </xf>
    <xf numFmtId="0" fontId="62" fillId="6" borderId="1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5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left" vertical="center" wrapText="1"/>
    </xf>
    <xf numFmtId="0" fontId="69" fillId="0" borderId="1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70" fillId="0" borderId="1" xfId="0" applyFont="1" applyBorder="1" applyAlignment="1">
      <alignment vertical="center" wrapText="1"/>
    </xf>
    <xf numFmtId="0" fontId="70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left" vertical="center" wrapText="1"/>
    </xf>
    <xf numFmtId="49" fontId="70" fillId="0" borderId="1" xfId="0" applyNumberFormat="1" applyFont="1" applyBorder="1" applyAlignment="1" applyProtection="1">
      <alignment vertical="center" wrapText="1"/>
      <protection locked="0"/>
    </xf>
    <xf numFmtId="0" fontId="70" fillId="0" borderId="1" xfId="0" applyFont="1" applyBorder="1" applyAlignment="1" applyProtection="1">
      <alignment vertical="center" wrapText="1"/>
      <protection locked="0"/>
    </xf>
    <xf numFmtId="0" fontId="59" fillId="0" borderId="1" xfId="0" applyFont="1" applyBorder="1">
      <alignment vertical="center"/>
    </xf>
    <xf numFmtId="0" fontId="0" fillId="2" borderId="8" xfId="0" applyFill="1" applyBorder="1">
      <alignment vertical="center"/>
    </xf>
    <xf numFmtId="0" fontId="68" fillId="4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23" fillId="10" borderId="1" xfId="0" applyFont="1" applyFill="1" applyBorder="1" applyAlignment="1">
      <alignment horizontal="center" vertical="center" wrapText="1"/>
    </xf>
    <xf numFmtId="0" fontId="68" fillId="10" borderId="1" xfId="0" applyFont="1" applyFill="1" applyBorder="1" applyAlignment="1">
      <alignment horizontal="center" vertical="center" wrapText="1"/>
    </xf>
    <xf numFmtId="0" fontId="69" fillId="0" borderId="1" xfId="0" applyFont="1" applyBorder="1" applyAlignment="1">
      <alignment horizontal="left" vertical="center"/>
    </xf>
    <xf numFmtId="0" fontId="69" fillId="0" borderId="1" xfId="0" applyFont="1" applyBorder="1" applyAlignment="1" applyProtection="1">
      <alignment horizontal="left" vertical="center" wrapText="1"/>
      <protection locked="0"/>
    </xf>
    <xf numFmtId="49" fontId="7" fillId="0" borderId="1" xfId="0" applyNumberFormat="1" applyFont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3" xfId="0" applyBorder="1">
      <alignment vertical="center"/>
    </xf>
    <xf numFmtId="0" fontId="45" fillId="2" borderId="8" xfId="0" applyFont="1" applyFill="1" applyBorder="1">
      <alignment vertical="center"/>
    </xf>
    <xf numFmtId="0" fontId="1" fillId="0" borderId="0" xfId="6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9" fillId="0" borderId="1" xfId="0" applyFont="1" applyBorder="1" applyAlignment="1">
      <alignment horizontal="justify" vertical="center" wrapText="1"/>
    </xf>
    <xf numFmtId="0" fontId="0" fillId="0" borderId="6" xfId="0" applyBorder="1" applyAlignment="1">
      <alignment horizontal="center" vertical="center"/>
    </xf>
    <xf numFmtId="0" fontId="23" fillId="6" borderId="1" xfId="0" applyFont="1" applyFill="1" applyBorder="1">
      <alignment vertical="center"/>
    </xf>
    <xf numFmtId="0" fontId="0" fillId="6" borderId="12" xfId="0" applyFill="1" applyBorder="1" applyAlignment="1">
      <alignment horizontal="left" vertical="center"/>
    </xf>
    <xf numFmtId="0" fontId="29" fillId="6" borderId="1" xfId="0" applyFont="1" applyFill="1" applyBorder="1" applyAlignment="1">
      <alignment horizontal="justify" vertical="center" wrapText="1"/>
    </xf>
    <xf numFmtId="0" fontId="0" fillId="6" borderId="6" xfId="0" applyFill="1" applyBorder="1" applyAlignment="1">
      <alignment horizontal="center" vertical="center"/>
    </xf>
    <xf numFmtId="0" fontId="71" fillId="0" borderId="1" xfId="0" applyFont="1" applyBorder="1" applyAlignment="1">
      <alignment horizontal="justify" vertical="center" wrapText="1"/>
    </xf>
    <xf numFmtId="0" fontId="15" fillId="0" borderId="12" xfId="0" applyFont="1" applyBorder="1" applyAlignment="1">
      <alignment horizontal="left" vertical="center"/>
    </xf>
    <xf numFmtId="0" fontId="72" fillId="0" borderId="1" xfId="0" applyFont="1" applyBorder="1" applyAlignment="1">
      <alignment horizontal="justify" vertical="center" wrapText="1"/>
    </xf>
    <xf numFmtId="0" fontId="73" fillId="0" borderId="1" xfId="0" applyFont="1" applyBorder="1" applyAlignment="1">
      <alignment horizontal="center" vertical="center"/>
    </xf>
    <xf numFmtId="0" fontId="73" fillId="0" borderId="6" xfId="0" applyFont="1" applyBorder="1" applyAlignment="1">
      <alignment horizontal="center" vertical="center"/>
    </xf>
    <xf numFmtId="0" fontId="60" fillId="0" borderId="1" xfId="0" applyFont="1" applyBorder="1">
      <alignment vertical="center"/>
    </xf>
    <xf numFmtId="0" fontId="15" fillId="0" borderId="0" xfId="0" applyFont="1">
      <alignment vertical="center"/>
    </xf>
    <xf numFmtId="0" fontId="44" fillId="0" borderId="12" xfId="0" applyFont="1" applyBorder="1" applyAlignment="1">
      <alignment horizontal="left" vertical="center"/>
    </xf>
    <xf numFmtId="0" fontId="60" fillId="0" borderId="1" xfId="0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44" fillId="0" borderId="0" xfId="0" applyFont="1">
      <alignment vertical="center"/>
    </xf>
    <xf numFmtId="0" fontId="44" fillId="0" borderId="13" xfId="0" applyFont="1" applyBorder="1" applyAlignment="1">
      <alignment horizontal="left" vertical="center"/>
    </xf>
    <xf numFmtId="0" fontId="60" fillId="0" borderId="2" xfId="0" applyFont="1" applyBorder="1">
      <alignment vertical="center"/>
    </xf>
    <xf numFmtId="0" fontId="60" fillId="0" borderId="2" xfId="0" applyFont="1" applyBorder="1" applyAlignment="1">
      <alignment horizontal="center" vertical="center"/>
    </xf>
    <xf numFmtId="0" fontId="60" fillId="0" borderId="14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59" fillId="0" borderId="0" xfId="59" applyFont="1" applyAlignment="1">
      <alignment horizontal="center"/>
    </xf>
    <xf numFmtId="0" fontId="42" fillId="0" borderId="0" xfId="59" applyFont="1"/>
    <xf numFmtId="0" fontId="42" fillId="2" borderId="0" xfId="59" applyFont="1" applyFill="1"/>
    <xf numFmtId="0" fontId="23" fillId="9" borderId="0" xfId="59" applyFill="1"/>
    <xf numFmtId="0" fontId="23" fillId="0" borderId="0" xfId="59" applyAlignment="1">
      <alignment horizontal="center"/>
    </xf>
    <xf numFmtId="0" fontId="23" fillId="0" borderId="0" xfId="59" applyAlignment="1">
      <alignment wrapText="1"/>
    </xf>
    <xf numFmtId="0" fontId="1" fillId="0" borderId="0" xfId="6" applyAlignment="1"/>
    <xf numFmtId="0" fontId="74" fillId="6" borderId="15" xfId="59" applyFont="1" applyFill="1" applyBorder="1" applyAlignment="1">
      <alignment horizontal="center" vertical="center" wrapText="1"/>
    </xf>
    <xf numFmtId="0" fontId="52" fillId="6" borderId="16" xfId="58" applyFont="1" applyFill="1" applyBorder="1" applyAlignment="1">
      <alignment horizontal="center" vertical="center" wrapText="1"/>
    </xf>
    <xf numFmtId="0" fontId="54" fillId="0" borderId="15" xfId="59" applyFont="1" applyBorder="1" applyAlignment="1">
      <alignment horizontal="center" vertical="center" wrapText="1"/>
    </xf>
    <xf numFmtId="0" fontId="54" fillId="0" borderId="17" xfId="59" applyFont="1" applyBorder="1" applyAlignment="1">
      <alignment horizontal="center" vertical="center" wrapText="1"/>
    </xf>
    <xf numFmtId="0" fontId="54" fillId="0" borderId="15" xfId="59" applyFont="1" applyBorder="1" applyAlignment="1">
      <alignment horizontal="left" vertical="center" wrapText="1"/>
    </xf>
    <xf numFmtId="0" fontId="75" fillId="0" borderId="15" xfId="59" applyFont="1" applyBorder="1" applyAlignment="1">
      <alignment horizontal="center" vertical="center" wrapText="1"/>
    </xf>
    <xf numFmtId="0" fontId="76" fillId="2" borderId="15" xfId="59" applyFont="1" applyFill="1" applyBorder="1" applyAlignment="1">
      <alignment horizontal="center" vertical="center" wrapText="1"/>
    </xf>
    <xf numFmtId="0" fontId="76" fillId="2" borderId="17" xfId="59" applyFont="1" applyFill="1" applyBorder="1" applyAlignment="1">
      <alignment horizontal="center" vertical="center" wrapText="1"/>
    </xf>
    <xf numFmtId="0" fontId="76" fillId="2" borderId="15" xfId="59" applyFont="1" applyFill="1" applyBorder="1" applyAlignment="1">
      <alignment horizontal="left" vertical="center" wrapText="1"/>
    </xf>
    <xf numFmtId="0" fontId="54" fillId="6" borderId="15" xfId="59" applyFont="1" applyFill="1" applyBorder="1" applyAlignment="1">
      <alignment horizontal="center" vertical="center" wrapText="1"/>
    </xf>
    <xf numFmtId="0" fontId="54" fillId="6" borderId="17" xfId="59" applyFont="1" applyFill="1" applyBorder="1" applyAlignment="1">
      <alignment horizontal="center" vertical="center" wrapText="1"/>
    </xf>
    <xf numFmtId="0" fontId="54" fillId="6" borderId="15" xfId="59" applyFont="1" applyFill="1" applyBorder="1" applyAlignment="1">
      <alignment horizontal="left" vertical="center" wrapText="1"/>
    </xf>
    <xf numFmtId="0" fontId="54" fillId="8" borderId="15" xfId="59" applyFont="1" applyFill="1" applyBorder="1" applyAlignment="1">
      <alignment horizontal="left" vertical="center" wrapText="1"/>
    </xf>
    <xf numFmtId="0" fontId="77" fillId="2" borderId="15" xfId="59" applyFont="1" applyFill="1" applyBorder="1" applyAlignment="1">
      <alignment horizontal="center" vertical="center" wrapText="1"/>
    </xf>
    <xf numFmtId="0" fontId="77" fillId="2" borderId="17" xfId="59" applyFont="1" applyFill="1" applyBorder="1" applyAlignment="1">
      <alignment horizontal="center" vertical="center" wrapText="1"/>
    </xf>
    <xf numFmtId="0" fontId="77" fillId="2" borderId="15" xfId="59" applyFont="1" applyFill="1" applyBorder="1" applyAlignment="1">
      <alignment horizontal="left" vertical="center" wrapText="1"/>
    </xf>
    <xf numFmtId="0" fontId="54" fillId="9" borderId="15" xfId="59" applyFont="1" applyFill="1" applyBorder="1" applyAlignment="1">
      <alignment horizontal="center" vertical="center" wrapText="1"/>
    </xf>
    <xf numFmtId="0" fontId="54" fillId="9" borderId="17" xfId="59" applyFont="1" applyFill="1" applyBorder="1" applyAlignment="1">
      <alignment horizontal="center" vertical="center" wrapText="1"/>
    </xf>
    <xf numFmtId="0" fontId="54" fillId="9" borderId="15" xfId="59" applyFont="1" applyFill="1" applyBorder="1" applyAlignment="1">
      <alignment horizontal="left" vertical="center" wrapText="1"/>
    </xf>
    <xf numFmtId="0" fontId="75" fillId="9" borderId="15" xfId="59" applyFont="1" applyFill="1" applyBorder="1" applyAlignment="1">
      <alignment horizontal="center" vertical="center" wrapText="1"/>
    </xf>
    <xf numFmtId="0" fontId="56" fillId="0" borderId="1" xfId="59" applyFont="1" applyBorder="1" applyAlignment="1">
      <alignment horizontal="center" vertical="center" wrapText="1"/>
    </xf>
    <xf numFmtId="0" fontId="54" fillId="0" borderId="17" xfId="59" applyFont="1" applyBorder="1" applyAlignment="1">
      <alignment horizontal="left" vertical="center" wrapText="1"/>
    </xf>
    <xf numFmtId="0" fontId="48" fillId="0" borderId="2" xfId="59" applyFont="1" applyBorder="1" applyAlignment="1">
      <alignment horizontal="center" vertical="center" wrapText="1"/>
    </xf>
    <xf numFmtId="0" fontId="54" fillId="9" borderId="1" xfId="59" applyFont="1" applyFill="1" applyBorder="1" applyAlignment="1">
      <alignment horizontal="left" vertical="center" wrapText="1"/>
    </xf>
    <xf numFmtId="0" fontId="56" fillId="9" borderId="1" xfId="59" applyFont="1" applyFill="1" applyBorder="1" applyAlignment="1">
      <alignment horizontal="left" vertical="center" wrapText="1"/>
    </xf>
    <xf numFmtId="0" fontId="56" fillId="9" borderId="1" xfId="59" applyFont="1" applyFill="1" applyBorder="1" applyAlignment="1">
      <alignment horizontal="center" vertical="center" wrapText="1"/>
    </xf>
    <xf numFmtId="0" fontId="23" fillId="9" borderId="1" xfId="59" applyFill="1" applyBorder="1" applyAlignment="1">
      <alignment wrapText="1"/>
    </xf>
    <xf numFmtId="0" fontId="23" fillId="9" borderId="1" xfId="59" applyFill="1" applyBorder="1"/>
    <xf numFmtId="0" fontId="56" fillId="9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61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61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8" fillId="2" borderId="1" xfId="0" applyFont="1" applyFill="1" applyBorder="1" applyAlignment="1">
      <alignment horizontal="left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80" fillId="7" borderId="1" xfId="0" applyFont="1" applyFill="1" applyBorder="1" applyAlignment="1">
      <alignment horizontal="center" vertical="center"/>
    </xf>
    <xf numFmtId="0" fontId="80" fillId="7" borderId="6" xfId="0" applyFont="1" applyFill="1" applyBorder="1" applyAlignment="1">
      <alignment horizontal="center" vertical="center"/>
    </xf>
    <xf numFmtId="0" fontId="80" fillId="7" borderId="1" xfId="0" applyFont="1" applyFill="1" applyBorder="1" applyAlignment="1">
      <alignment horizontal="center" vertical="center" wrapText="1"/>
    </xf>
    <xf numFmtId="0" fontId="67" fillId="7" borderId="1" xfId="0" applyFont="1" applyFill="1" applyBorder="1" applyAlignment="1">
      <alignment horizontal="left" vertical="center"/>
    </xf>
    <xf numFmtId="0" fontId="0" fillId="4" borderId="18" xfId="62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4" borderId="0" xfId="0" applyFill="1">
      <alignment vertical="center"/>
    </xf>
    <xf numFmtId="0" fontId="0" fillId="3" borderId="18" xfId="62" applyFont="1" applyFill="1" applyBorder="1" applyAlignment="1">
      <alignment horizontal="center" vertical="center"/>
    </xf>
    <xf numFmtId="0" fontId="0" fillId="0" borderId="1" xfId="62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1" fillId="0" borderId="1" xfId="62" applyFont="1" applyBorder="1" applyAlignment="1">
      <alignment horizontal="center" vertical="center" wrapText="1"/>
    </xf>
    <xf numFmtId="0" fontId="82" fillId="5" borderId="1" xfId="0" applyFont="1" applyFill="1" applyBorder="1" applyAlignment="1">
      <alignment horizontal="center" vertical="center"/>
    </xf>
    <xf numFmtId="0" fontId="69" fillId="5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4" borderId="19" xfId="62" applyFont="1" applyFill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0" fillId="4" borderId="1" xfId="62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1" fillId="2" borderId="6" xfId="0" applyFont="1" applyFill="1" applyBorder="1" applyAlignment="1">
      <alignment horizontal="center" vertical="center"/>
    </xf>
    <xf numFmtId="0" fontId="51" fillId="2" borderId="20" xfId="0" applyFont="1" applyFill="1" applyBorder="1" applyAlignment="1">
      <alignment horizontal="center" vertical="center"/>
    </xf>
    <xf numFmtId="0" fontId="51" fillId="2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0" fillId="0" borderId="1" xfId="0" applyFont="1" applyBorder="1" applyAlignment="1">
      <alignment horizontal="left" vertical="center"/>
    </xf>
    <xf numFmtId="0" fontId="0" fillId="8" borderId="0" xfId="62" applyFill="1"/>
    <xf numFmtId="0" fontId="0" fillId="0" borderId="0" xfId="62" applyAlignment="1">
      <alignment horizontal="center"/>
    </xf>
    <xf numFmtId="0" fontId="0" fillId="0" borderId="15" xfId="62" applyBorder="1" applyAlignment="1">
      <alignment horizontal="left"/>
    </xf>
    <xf numFmtId="0" fontId="0" fillId="0" borderId="15" xfId="62" applyFont="1" applyBorder="1" applyAlignment="1">
      <alignment horizontal="center"/>
    </xf>
    <xf numFmtId="0" fontId="31" fillId="0" borderId="15" xfId="62" applyFont="1" applyBorder="1" applyAlignment="1">
      <alignment horizontal="center" vertical="center" wrapText="1"/>
    </xf>
    <xf numFmtId="0" fontId="0" fillId="3" borderId="15" xfId="62" applyFill="1" applyBorder="1" applyAlignment="1">
      <alignment horizontal="left"/>
    </xf>
    <xf numFmtId="0" fontId="0" fillId="3" borderId="15" xfId="62" applyFont="1" applyFill="1" applyBorder="1" applyAlignment="1">
      <alignment horizontal="center"/>
    </xf>
    <xf numFmtId="0" fontId="23" fillId="3" borderId="15" xfId="62" applyFont="1" applyFill="1" applyBorder="1" applyAlignment="1">
      <alignment horizontal="center" vertical="center" wrapText="1"/>
    </xf>
    <xf numFmtId="0" fontId="23" fillId="3" borderId="15" xfId="62" applyFont="1" applyFill="1" applyBorder="1" applyAlignment="1">
      <alignment horizontal="left" vertical="center" wrapText="1"/>
    </xf>
    <xf numFmtId="0" fontId="0" fillId="0" borderId="15" xfId="62" applyBorder="1" applyAlignment="1">
      <alignment horizontal="left" vertical="center"/>
    </xf>
    <xf numFmtId="0" fontId="0" fillId="8" borderId="15" xfId="62" applyFont="1" applyFill="1" applyBorder="1" applyAlignment="1">
      <alignment horizontal="center" vertical="center"/>
    </xf>
    <xf numFmtId="0" fontId="0" fillId="0" borderId="15" xfId="62" applyFont="1" applyBorder="1" applyAlignment="1">
      <alignment horizontal="center" vertical="center"/>
    </xf>
    <xf numFmtId="0" fontId="23" fillId="12" borderId="15" xfId="62" applyFont="1" applyFill="1" applyBorder="1" applyAlignment="1">
      <alignment horizontal="center" vertical="center" wrapText="1"/>
    </xf>
    <xf numFmtId="0" fontId="23" fillId="0" borderId="15" xfId="62" applyFont="1" applyBorder="1" applyAlignment="1">
      <alignment horizontal="left" vertical="center" wrapText="1"/>
    </xf>
    <xf numFmtId="0" fontId="0" fillId="4" borderId="15" xfId="62" applyFont="1" applyFill="1" applyBorder="1" applyAlignment="1">
      <alignment horizontal="center"/>
    </xf>
    <xf numFmtId="0" fontId="23" fillId="0" borderId="15" xfId="62" applyFont="1" applyBorder="1" applyAlignment="1">
      <alignment horizontal="center" vertical="center" wrapText="1"/>
    </xf>
    <xf numFmtId="0" fontId="23" fillId="3" borderId="15" xfId="62" applyFont="1" applyFill="1" applyBorder="1" applyAlignment="1">
      <alignment vertical="top" wrapText="1"/>
    </xf>
    <xf numFmtId="0" fontId="31" fillId="3" borderId="15" xfId="62" applyFont="1" applyFill="1" applyBorder="1" applyAlignment="1">
      <alignment horizontal="center" vertical="center" wrapText="1"/>
    </xf>
    <xf numFmtId="0" fontId="31" fillId="0" borderId="15" xfId="62" applyFont="1" applyBorder="1" applyAlignment="1">
      <alignment horizontal="left" vertical="center" wrapText="1"/>
    </xf>
    <xf numFmtId="0" fontId="83" fillId="0" borderId="15" xfId="62" applyFont="1" applyBorder="1" applyAlignment="1">
      <alignment horizontal="left" vertical="center" wrapText="1"/>
    </xf>
    <xf numFmtId="0" fontId="23" fillId="0" borderId="17" xfId="62" applyFont="1" applyBorder="1" applyAlignment="1">
      <alignment horizontal="left" vertical="center" wrapText="1"/>
    </xf>
    <xf numFmtId="0" fontId="0" fillId="8" borderId="15" xfId="62" applyFill="1" applyBorder="1" applyAlignment="1">
      <alignment horizontal="left"/>
    </xf>
    <xf numFmtId="0" fontId="23" fillId="8" borderId="15" xfId="62" applyFont="1" applyFill="1" applyBorder="1" applyAlignment="1">
      <alignment horizontal="center" vertical="center" wrapText="1"/>
    </xf>
    <xf numFmtId="0" fontId="23" fillId="8" borderId="18" xfId="62" applyFont="1" applyFill="1" applyBorder="1" applyAlignment="1">
      <alignment horizontal="left" vertical="center" wrapText="1"/>
    </xf>
    <xf numFmtId="0" fontId="0" fillId="8" borderId="1" xfId="62" applyFill="1" applyBorder="1"/>
    <xf numFmtId="0" fontId="23" fillId="3" borderId="21" xfId="62" applyFont="1" applyFill="1" applyBorder="1" applyAlignment="1">
      <alignment horizontal="left" vertical="center" wrapText="1"/>
    </xf>
    <xf numFmtId="0" fontId="0" fillId="2" borderId="15" xfId="62" applyFill="1" applyBorder="1" applyAlignment="1">
      <alignment horizontal="left"/>
    </xf>
    <xf numFmtId="0" fontId="23" fillId="2" borderId="15" xfId="62" applyFont="1" applyFill="1" applyBorder="1" applyAlignment="1">
      <alignment horizontal="center" vertical="center" wrapText="1"/>
    </xf>
    <xf numFmtId="0" fontId="23" fillId="2" borderId="15" xfId="62" applyFont="1" applyFill="1" applyBorder="1" applyAlignment="1">
      <alignment horizontal="left" vertical="center" wrapText="1"/>
    </xf>
    <xf numFmtId="0" fontId="0" fillId="0" borderId="0" xfId="62" applyFont="1"/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4" xfId="0" applyBorder="1">
      <alignment vertical="center"/>
    </xf>
    <xf numFmtId="0" fontId="0" fillId="0" borderId="0" xfId="75"/>
    <xf numFmtId="0" fontId="84" fillId="4" borderId="1" xfId="75" applyFont="1" applyFill="1" applyBorder="1"/>
    <xf numFmtId="0" fontId="85" fillId="0" borderId="1" xfId="6" applyFont="1" applyBorder="1" applyAlignment="1"/>
    <xf numFmtId="0" fontId="86" fillId="0" borderId="1" xfId="75" applyFont="1" applyBorder="1"/>
    <xf numFmtId="0" fontId="0" fillId="8" borderId="0" xfId="75" applyFont="1" applyFill="1"/>
    <xf numFmtId="0" fontId="85" fillId="0" borderId="0" xfId="6" applyFont="1" applyFill="1">
      <alignment vertical="center"/>
    </xf>
    <xf numFmtId="0" fontId="85" fillId="0" borderId="1" xfId="6" applyFont="1" applyBorder="1" applyAlignment="1">
      <alignment wrapText="1"/>
    </xf>
    <xf numFmtId="0" fontId="86" fillId="0" borderId="1" xfId="75" applyFont="1" applyBorder="1" applyAlignment="1">
      <alignment vertical="center"/>
    </xf>
    <xf numFmtId="0" fontId="85" fillId="0" borderId="1" xfId="6" applyFont="1" applyFill="1" applyBorder="1" applyAlignment="1"/>
    <xf numFmtId="0" fontId="0" fillId="2" borderId="0" xfId="75" applyFont="1" applyFill="1"/>
    <xf numFmtId="0" fontId="85" fillId="0" borderId="1" xfId="6" applyFont="1" applyFill="1" applyBorder="1">
      <alignment vertical="center"/>
    </xf>
    <xf numFmtId="0" fontId="87" fillId="0" borderId="1" xfId="0" applyFont="1" applyBorder="1">
      <alignment vertical="center"/>
    </xf>
    <xf numFmtId="0" fontId="87" fillId="0" borderId="1" xfId="0" applyFont="1" applyBorder="1" applyAlignment="1">
      <alignment horizontal="left" vertical="center"/>
    </xf>
    <xf numFmtId="0" fontId="87" fillId="0" borderId="1" xfId="0" applyFont="1" applyBorder="1" applyAlignment="1">
      <alignment vertical="center" wrapText="1"/>
    </xf>
    <xf numFmtId="0" fontId="87" fillId="0" borderId="1" xfId="0" applyFont="1" applyBorder="1" applyAlignment="1">
      <alignment horizontal="left" vertical="center" wrapText="1"/>
    </xf>
    <xf numFmtId="0" fontId="87" fillId="2" borderId="1" xfId="0" applyFont="1" applyFill="1" applyBorder="1">
      <alignment vertical="center"/>
    </xf>
    <xf numFmtId="0" fontId="87" fillId="2" borderId="1" xfId="0" applyFont="1" applyFill="1" applyBorder="1" applyAlignment="1">
      <alignment horizontal="left" vertical="center"/>
    </xf>
  </cellXfs>
  <cellStyles count="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5" xfId="51"/>
    <cellStyle name="Normal_Sheet2" xfId="52"/>
    <cellStyle name="Standard 2" xfId="53"/>
    <cellStyle name="差 2" xfId="54"/>
    <cellStyle name="差_Sheet1" xfId="55"/>
    <cellStyle name="常规 10" xfId="56"/>
    <cellStyle name="常规 2" xfId="57"/>
    <cellStyle name="常规 2 2" xfId="58"/>
    <cellStyle name="常规 2 2 2" xfId="59"/>
    <cellStyle name="常规 2 2 3" xfId="60"/>
    <cellStyle name="常规 2 3" xfId="61"/>
    <cellStyle name="常规 2 4" xfId="62"/>
    <cellStyle name="常规 2 5" xfId="63"/>
    <cellStyle name="常规 2 6" xfId="64"/>
    <cellStyle name="常规 3" xfId="65"/>
    <cellStyle name="常规 3 2" xfId="66"/>
    <cellStyle name="常规 3 3" xfId="67"/>
    <cellStyle name="常规 3 4" xfId="68"/>
    <cellStyle name="常规 3 5" xfId="69"/>
    <cellStyle name="常规 4" xfId="70"/>
    <cellStyle name="常规 5" xfId="71"/>
    <cellStyle name="常规 6" xfId="72"/>
    <cellStyle name="常规 7" xfId="73"/>
    <cellStyle name="常规 8" xfId="74"/>
    <cellStyle name="常规 9" xfId="75"/>
    <cellStyle name="好_Sheet1" xfId="76"/>
    <cellStyle name="注释 2" xfId="7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theme" Target="theme/theme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969065</xdr:colOff>
      <xdr:row>6</xdr:row>
      <xdr:rowOff>198782</xdr:rowOff>
    </xdr:from>
    <xdr:to>
      <xdr:col>5</xdr:col>
      <xdr:colOff>49695</xdr:colOff>
      <xdr:row>24</xdr:row>
      <xdr:rowOff>157370</xdr:rowOff>
    </xdr:to>
    <xdr:sp>
      <xdr:nvSpPr>
        <xdr:cNvPr id="2" name="矩形 1"/>
        <xdr:cNvSpPr/>
      </xdr:nvSpPr>
      <xdr:spPr>
        <a:xfrm>
          <a:off x="1626235" y="1846580"/>
          <a:ext cx="8491220" cy="455295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400">
              <a:solidFill>
                <a:srgbClr val="FF0000"/>
              </a:solidFill>
            </a:rPr>
            <a:t>故障码全部取消显示</a:t>
          </a:r>
          <a:endParaRPr lang="en-US" altLang="zh-CN" sz="2400">
            <a:solidFill>
              <a:srgbClr val="FF0000"/>
            </a:solidFill>
          </a:endParaRPr>
        </a:p>
        <a:p>
          <a:pPr algn="ctr"/>
          <a:r>
            <a:rPr lang="en-US" altLang="zh-CN" sz="2400">
              <a:solidFill>
                <a:srgbClr val="FF0000"/>
              </a:solidFill>
            </a:rPr>
            <a:t>V1.23</a:t>
          </a:r>
          <a:r>
            <a:rPr lang="zh-CN" altLang="en-US" sz="2400">
              <a:solidFill>
                <a:srgbClr val="FF0000"/>
              </a:solidFill>
            </a:rPr>
            <a:t>更新</a:t>
          </a:r>
          <a:endParaRPr lang="zh-CN" altLang="en-US" sz="24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42</xdr:row>
      <xdr:rowOff>0</xdr:rowOff>
    </xdr:from>
    <xdr:ext cx="914400" cy="264560"/>
    <xdr:sp>
      <xdr:nvSpPr>
        <xdr:cNvPr id="3" name="TextBox 2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4" name="TextBox 3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5" name="TextBox 4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6" name="TextBox 5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7" name="TextBox 6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8" name="TextBox 7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9" name="TextBox 8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10" name="TextBox 9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11" name="TextBox 1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12" name="TextBox 3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13" name="TextBox 20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14" name="TextBox 21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15" name="TextBox 29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16" name="TextBox 30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17" name="TextBox 31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18" name="TextBox 32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>
      <xdr:nvSpPr>
        <xdr:cNvPr id="19" name="TextBox 18"/>
        <xdr:cNvSpPr txBox="1"/>
      </xdr:nvSpPr>
      <xdr:spPr>
        <a:xfrm>
          <a:off x="12258675" y="308768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>
      <xdr:nvSpPr>
        <xdr:cNvPr id="20" name="TextBox 19"/>
        <xdr:cNvSpPr txBox="1"/>
      </xdr:nvSpPr>
      <xdr:spPr>
        <a:xfrm>
          <a:off x="12258675" y="308768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>
      <xdr:nvSpPr>
        <xdr:cNvPr id="21" name="TextBox 20"/>
        <xdr:cNvSpPr txBox="1"/>
      </xdr:nvSpPr>
      <xdr:spPr>
        <a:xfrm>
          <a:off x="12258675" y="308768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>
      <xdr:nvSpPr>
        <xdr:cNvPr id="22" name="TextBox 21"/>
        <xdr:cNvSpPr txBox="1"/>
      </xdr:nvSpPr>
      <xdr:spPr>
        <a:xfrm>
          <a:off x="12258675" y="308768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27" name="TextBox 3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28" name="TextBox 4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29" name="TextBox 5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30" name="TextBox 6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31" name="TextBox 7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32" name="TextBox 8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33" name="TextBox 9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34" name="TextBox 1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35" name="TextBox 3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36" name="TextBox 20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37" name="TextBox 21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38" name="TextBox 29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39" name="TextBox 30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40" name="TextBox 31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41" name="TextBox 32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42" name="TextBox 2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43" name="TextBox 3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44" name="TextBox 4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45" name="TextBox 5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46" name="TextBox 6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47" name="TextBox 7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48" name="TextBox 8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49" name="TextBox 9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50" name="TextBox 1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51" name="TextBox 3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52" name="TextBox 20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53" name="TextBox 21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54" name="TextBox 29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55" name="TextBox 30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56" name="TextBox 31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57" name="TextBox 32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58" name="TextBox 2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59" name="TextBox 3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60" name="TextBox 4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61" name="TextBox 5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62" name="TextBox 6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63" name="TextBox 7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64" name="TextBox 8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65" name="TextBox 9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66" name="TextBox 1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67" name="TextBox 3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68" name="TextBox 20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69" name="TextBox 21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70" name="TextBox 29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71" name="TextBox 30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72" name="TextBox 31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73" name="TextBox 32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>
      <xdr:nvSpPr>
        <xdr:cNvPr id="74" name="TextBox 18"/>
        <xdr:cNvSpPr txBox="1"/>
      </xdr:nvSpPr>
      <xdr:spPr>
        <a:xfrm>
          <a:off x="12258675" y="312439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>
      <xdr:nvSpPr>
        <xdr:cNvPr id="75" name="TextBox 19"/>
        <xdr:cNvSpPr txBox="1"/>
      </xdr:nvSpPr>
      <xdr:spPr>
        <a:xfrm>
          <a:off x="12258675" y="312439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>
      <xdr:nvSpPr>
        <xdr:cNvPr id="76" name="TextBox 20"/>
        <xdr:cNvSpPr txBox="1"/>
      </xdr:nvSpPr>
      <xdr:spPr>
        <a:xfrm>
          <a:off x="12258675" y="312439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>
      <xdr:nvSpPr>
        <xdr:cNvPr id="77" name="TextBox 21"/>
        <xdr:cNvSpPr txBox="1"/>
      </xdr:nvSpPr>
      <xdr:spPr>
        <a:xfrm>
          <a:off x="12258675" y="312439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78" name="TextBox 2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79" name="TextBox 3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80" name="TextBox 4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81" name="TextBox 5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82" name="TextBox 6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83" name="TextBox 7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84" name="TextBox 8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85" name="TextBox 9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86" name="TextBox 1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87" name="TextBox 3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88" name="TextBox 20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89" name="TextBox 21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90" name="TextBox 29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91" name="TextBox 30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>
      <xdr:nvSpPr>
        <xdr:cNvPr id="92" name="TextBox 31"/>
        <xdr:cNvSpPr txBox="1"/>
      </xdr:nvSpPr>
      <xdr:spPr>
        <a:xfrm>
          <a:off x="12258675" y="1621218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>
      <xdr:nvSpPr>
        <xdr:cNvPr id="94" name="TextBox 18"/>
        <xdr:cNvSpPr txBox="1"/>
      </xdr:nvSpPr>
      <xdr:spPr>
        <a:xfrm>
          <a:off x="12258675" y="308768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98" name="TextBox 2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99" name="TextBox 3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00" name="TextBox 4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01" name="TextBox 5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02" name="TextBox 6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03" name="TextBox 7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04" name="TextBox 8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05" name="TextBox 9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06" name="TextBox 1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07" name="TextBox 3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08" name="TextBox 20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09" name="TextBox 21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10" name="TextBox 29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11" name="TextBox 30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12" name="TextBox 31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>
      <xdr:nvSpPr>
        <xdr:cNvPr id="113" name="TextBox 32"/>
        <xdr:cNvSpPr txBox="1"/>
      </xdr:nvSpPr>
      <xdr:spPr>
        <a:xfrm>
          <a:off x="12258675" y="1694624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14" name="TextBox 2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15" name="TextBox 3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16" name="TextBox 4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17" name="TextBox 5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18" name="TextBox 6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19" name="TextBox 7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20" name="TextBox 8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21" name="TextBox 9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22" name="TextBox 1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23" name="TextBox 3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24" name="TextBox 20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25" name="TextBox 21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26" name="TextBox 29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27" name="TextBox 30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>
      <xdr:nvSpPr>
        <xdr:cNvPr id="128" name="TextBox 31"/>
        <xdr:cNvSpPr txBox="1"/>
      </xdr:nvSpPr>
      <xdr:spPr>
        <a:xfrm>
          <a:off x="12258675" y="1731327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30" name="TextBox 2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31" name="TextBox 3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32" name="TextBox 4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33" name="TextBox 5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34" name="TextBox 6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35" name="TextBox 7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36" name="TextBox 8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37" name="TextBox 9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38" name="TextBox 1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39" name="TextBox 3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40" name="TextBox 20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41" name="TextBox 21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42" name="TextBox 29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43" name="TextBox 30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44" name="TextBox 31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>
      <xdr:nvSpPr>
        <xdr:cNvPr id="145" name="TextBox 32"/>
        <xdr:cNvSpPr txBox="1"/>
      </xdr:nvSpPr>
      <xdr:spPr>
        <a:xfrm>
          <a:off x="12258675" y="1768030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10</xdr:col>
      <xdr:colOff>76200</xdr:colOff>
      <xdr:row>111</xdr:row>
      <xdr:rowOff>32656</xdr:rowOff>
    </xdr:from>
    <xdr:to>
      <xdr:col>10</xdr:col>
      <xdr:colOff>616585</xdr:colOff>
      <xdr:row>112</xdr:row>
      <xdr:rowOff>0</xdr:rowOff>
    </xdr:to>
    <xdr:pic>
      <xdr:nvPicPr>
        <xdr:cNvPr id="148" name="图片 147"/>
        <xdr:cNvPicPr/>
      </xdr:nvPicPr>
      <xdr:blipFill>
        <a:blip r:embed="rId1" cstate="email"/>
        <a:srcRect/>
        <a:stretch>
          <a:fillRect/>
        </a:stretch>
      </xdr:blipFill>
      <xdr:spPr>
        <a:xfrm>
          <a:off x="14392275" y="43196510"/>
          <a:ext cx="540385" cy="4629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97971</xdr:colOff>
      <xdr:row>112</xdr:row>
      <xdr:rowOff>21771</xdr:rowOff>
    </xdr:from>
    <xdr:to>
      <xdr:col>10</xdr:col>
      <xdr:colOff>638356</xdr:colOff>
      <xdr:row>112</xdr:row>
      <xdr:rowOff>482781</xdr:rowOff>
    </xdr:to>
    <xdr:pic>
      <xdr:nvPicPr>
        <xdr:cNvPr id="149" name="图片 148"/>
        <xdr:cNvPicPr/>
      </xdr:nvPicPr>
      <xdr:blipFill>
        <a:blip r:embed="rId2" cstate="email"/>
        <a:srcRect/>
        <a:stretch>
          <a:fillRect/>
        </a:stretch>
      </xdr:blipFill>
      <xdr:spPr>
        <a:xfrm>
          <a:off x="14413865" y="43681015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130628</xdr:colOff>
      <xdr:row>113</xdr:row>
      <xdr:rowOff>43542</xdr:rowOff>
    </xdr:from>
    <xdr:to>
      <xdr:col>10</xdr:col>
      <xdr:colOff>671013</xdr:colOff>
      <xdr:row>114</xdr:row>
      <xdr:rowOff>0</xdr:rowOff>
    </xdr:to>
    <xdr:pic>
      <xdr:nvPicPr>
        <xdr:cNvPr id="150" name="图片 149"/>
        <xdr:cNvPicPr/>
      </xdr:nvPicPr>
      <xdr:blipFill>
        <a:blip r:embed="rId3" cstate="email"/>
        <a:srcRect/>
        <a:stretch>
          <a:fillRect/>
        </a:stretch>
      </xdr:blipFill>
      <xdr:spPr>
        <a:xfrm>
          <a:off x="14446250" y="44197905"/>
          <a:ext cx="540385" cy="452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163285</xdr:colOff>
      <xdr:row>114</xdr:row>
      <xdr:rowOff>76199</xdr:rowOff>
    </xdr:from>
    <xdr:to>
      <xdr:col>10</xdr:col>
      <xdr:colOff>703670</xdr:colOff>
      <xdr:row>115</xdr:row>
      <xdr:rowOff>36466</xdr:rowOff>
    </xdr:to>
    <xdr:pic>
      <xdr:nvPicPr>
        <xdr:cNvPr id="151" name="图片 150"/>
        <xdr:cNvPicPr/>
      </xdr:nvPicPr>
      <xdr:blipFill>
        <a:blip r:embed="rId3" cstate="email"/>
        <a:srcRect/>
        <a:stretch>
          <a:fillRect/>
        </a:stretch>
      </xdr:blipFill>
      <xdr:spPr>
        <a:xfrm>
          <a:off x="14479270" y="44725590"/>
          <a:ext cx="540385" cy="4559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163285</xdr:colOff>
      <xdr:row>114</xdr:row>
      <xdr:rowOff>500742</xdr:rowOff>
    </xdr:from>
    <xdr:to>
      <xdr:col>10</xdr:col>
      <xdr:colOff>703670</xdr:colOff>
      <xdr:row>115</xdr:row>
      <xdr:rowOff>461009</xdr:rowOff>
    </xdr:to>
    <xdr:pic>
      <xdr:nvPicPr>
        <xdr:cNvPr id="152" name="图片 151"/>
        <xdr:cNvPicPr/>
      </xdr:nvPicPr>
      <xdr:blipFill>
        <a:blip r:embed="rId1" cstate="email"/>
        <a:srcRect/>
        <a:stretch>
          <a:fillRect/>
        </a:stretch>
      </xdr:blipFill>
      <xdr:spPr>
        <a:xfrm>
          <a:off x="14479270" y="45145325"/>
          <a:ext cx="540385" cy="460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174171</xdr:colOff>
      <xdr:row>116</xdr:row>
      <xdr:rowOff>25036</xdr:rowOff>
    </xdr:from>
    <xdr:to>
      <xdr:col>10</xdr:col>
      <xdr:colOff>685801</xdr:colOff>
      <xdr:row>116</xdr:row>
      <xdr:rowOff>468729</xdr:rowOff>
    </xdr:to>
    <xdr:pic>
      <xdr:nvPicPr>
        <xdr:cNvPr id="153" name="图片 152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490065" y="45665390"/>
          <a:ext cx="511810" cy="443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185056</xdr:colOff>
      <xdr:row>117</xdr:row>
      <xdr:rowOff>14150</xdr:rowOff>
    </xdr:from>
    <xdr:to>
      <xdr:col>10</xdr:col>
      <xdr:colOff>696686</xdr:colOff>
      <xdr:row>117</xdr:row>
      <xdr:rowOff>457843</xdr:rowOff>
    </xdr:to>
    <xdr:pic>
      <xdr:nvPicPr>
        <xdr:cNvPr id="154" name="图片 153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500860" y="46149895"/>
          <a:ext cx="511810" cy="443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206828</xdr:colOff>
      <xdr:row>118</xdr:row>
      <xdr:rowOff>35920</xdr:rowOff>
    </xdr:from>
    <xdr:to>
      <xdr:col>10</xdr:col>
      <xdr:colOff>718458</xdr:colOff>
      <xdr:row>118</xdr:row>
      <xdr:rowOff>479613</xdr:rowOff>
    </xdr:to>
    <xdr:pic>
      <xdr:nvPicPr>
        <xdr:cNvPr id="155" name="图片 154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522450" y="46659800"/>
          <a:ext cx="511810" cy="443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217714</xdr:colOff>
      <xdr:row>119</xdr:row>
      <xdr:rowOff>35921</xdr:rowOff>
    </xdr:from>
    <xdr:to>
      <xdr:col>10</xdr:col>
      <xdr:colOff>729344</xdr:colOff>
      <xdr:row>119</xdr:row>
      <xdr:rowOff>479614</xdr:rowOff>
    </xdr:to>
    <xdr:pic>
      <xdr:nvPicPr>
        <xdr:cNvPr id="156" name="图片 155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533245" y="47148115"/>
          <a:ext cx="511810" cy="443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120</xdr:row>
      <xdr:rowOff>4548</xdr:rowOff>
    </xdr:from>
    <xdr:to>
      <xdr:col>10</xdr:col>
      <xdr:colOff>770965</xdr:colOff>
      <xdr:row>120</xdr:row>
      <xdr:rowOff>403412</xdr:rowOff>
    </xdr:to>
    <xdr:pic>
      <xdr:nvPicPr>
        <xdr:cNvPr id="157" name="图片 156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527530" y="47605315"/>
          <a:ext cx="559435" cy="398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120</xdr:row>
      <xdr:rowOff>425889</xdr:rowOff>
    </xdr:from>
    <xdr:to>
      <xdr:col>10</xdr:col>
      <xdr:colOff>770965</xdr:colOff>
      <xdr:row>121</xdr:row>
      <xdr:rowOff>394447</xdr:rowOff>
    </xdr:to>
    <xdr:pic>
      <xdr:nvPicPr>
        <xdr:cNvPr id="158" name="图片 157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527530" y="48026320"/>
          <a:ext cx="559435" cy="402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122</xdr:row>
      <xdr:rowOff>4548</xdr:rowOff>
    </xdr:from>
    <xdr:to>
      <xdr:col>10</xdr:col>
      <xdr:colOff>770965</xdr:colOff>
      <xdr:row>122</xdr:row>
      <xdr:rowOff>403412</xdr:rowOff>
    </xdr:to>
    <xdr:pic>
      <xdr:nvPicPr>
        <xdr:cNvPr id="159" name="图片 158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527530" y="48472725"/>
          <a:ext cx="559435" cy="398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123</xdr:row>
      <xdr:rowOff>13513</xdr:rowOff>
    </xdr:from>
    <xdr:to>
      <xdr:col>10</xdr:col>
      <xdr:colOff>788895</xdr:colOff>
      <xdr:row>123</xdr:row>
      <xdr:rowOff>412377</xdr:rowOff>
    </xdr:to>
    <xdr:pic>
      <xdr:nvPicPr>
        <xdr:cNvPr id="160" name="图片 159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545945" y="48915320"/>
          <a:ext cx="558800" cy="398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125</xdr:row>
      <xdr:rowOff>94195</xdr:rowOff>
    </xdr:from>
    <xdr:to>
      <xdr:col>10</xdr:col>
      <xdr:colOff>788895</xdr:colOff>
      <xdr:row>126</xdr:row>
      <xdr:rowOff>62753</xdr:rowOff>
    </xdr:to>
    <xdr:pic>
      <xdr:nvPicPr>
        <xdr:cNvPr id="162" name="图片 161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545945" y="49863375"/>
          <a:ext cx="558800" cy="4019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238848</xdr:colOff>
      <xdr:row>126</xdr:row>
      <xdr:rowOff>31442</xdr:rowOff>
    </xdr:from>
    <xdr:to>
      <xdr:col>10</xdr:col>
      <xdr:colOff>797860</xdr:colOff>
      <xdr:row>127</xdr:row>
      <xdr:rowOff>1</xdr:rowOff>
    </xdr:to>
    <xdr:pic>
      <xdr:nvPicPr>
        <xdr:cNvPr id="163" name="图片 162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554835" y="50234215"/>
          <a:ext cx="558800" cy="402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127</xdr:row>
      <xdr:rowOff>31443</xdr:rowOff>
    </xdr:from>
    <xdr:to>
      <xdr:col>10</xdr:col>
      <xdr:colOff>788895</xdr:colOff>
      <xdr:row>128</xdr:row>
      <xdr:rowOff>1</xdr:rowOff>
    </xdr:to>
    <xdr:pic>
      <xdr:nvPicPr>
        <xdr:cNvPr id="164" name="图片 163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545945" y="50667920"/>
          <a:ext cx="558800" cy="40259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10</xdr:col>
      <xdr:colOff>238848</xdr:colOff>
      <xdr:row>127</xdr:row>
      <xdr:rowOff>31442</xdr:rowOff>
    </xdr:from>
    <xdr:ext cx="559012" cy="397184"/>
    <xdr:pic>
      <xdr:nvPicPr>
        <xdr:cNvPr id="97" name="图片 96"/>
        <xdr:cNvPicPr/>
      </xdr:nvPicPr>
      <xdr:blipFill>
        <a:blip r:embed="rId4" cstate="email"/>
        <a:srcRect/>
        <a:stretch>
          <a:fillRect/>
        </a:stretch>
      </xdr:blipFill>
      <xdr:spPr>
        <a:xfrm>
          <a:off x="14554835" y="50667920"/>
          <a:ext cx="558800" cy="39751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0</xdr:colOff>
      <xdr:row>82</xdr:row>
      <xdr:rowOff>0</xdr:rowOff>
    </xdr:from>
    <xdr:ext cx="914400" cy="264560"/>
    <xdr:sp>
      <xdr:nvSpPr>
        <xdr:cNvPr id="2" name="TextBox 18"/>
        <xdr:cNvSpPr txBox="1"/>
      </xdr:nvSpPr>
      <xdr:spPr>
        <a:xfrm>
          <a:off x="12258675" y="3197796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>
      <xdr:nvSpPr>
        <xdr:cNvPr id="23" name="TextBox 19"/>
        <xdr:cNvSpPr txBox="1"/>
      </xdr:nvSpPr>
      <xdr:spPr>
        <a:xfrm>
          <a:off x="12258675" y="3197796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>
      <xdr:nvSpPr>
        <xdr:cNvPr id="24" name="TextBox 20"/>
        <xdr:cNvSpPr txBox="1"/>
      </xdr:nvSpPr>
      <xdr:spPr>
        <a:xfrm>
          <a:off x="12258675" y="3197796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>
      <xdr:nvSpPr>
        <xdr:cNvPr id="25" name="TextBox 21"/>
        <xdr:cNvSpPr txBox="1"/>
      </xdr:nvSpPr>
      <xdr:spPr>
        <a:xfrm>
          <a:off x="12258675" y="3197796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>
      <xdr:nvSpPr>
        <xdr:cNvPr id="26" name="TextBox 18"/>
        <xdr:cNvSpPr txBox="1"/>
      </xdr:nvSpPr>
      <xdr:spPr>
        <a:xfrm>
          <a:off x="12258675" y="3271202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>
      <xdr:nvSpPr>
        <xdr:cNvPr id="93" name="TextBox 19"/>
        <xdr:cNvSpPr txBox="1"/>
      </xdr:nvSpPr>
      <xdr:spPr>
        <a:xfrm>
          <a:off x="12258675" y="3271202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>
      <xdr:nvSpPr>
        <xdr:cNvPr id="95" name="TextBox 20"/>
        <xdr:cNvSpPr txBox="1"/>
      </xdr:nvSpPr>
      <xdr:spPr>
        <a:xfrm>
          <a:off x="12258675" y="3271202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>
      <xdr:nvSpPr>
        <xdr:cNvPr id="96" name="TextBox 21"/>
        <xdr:cNvSpPr txBox="1"/>
      </xdr:nvSpPr>
      <xdr:spPr>
        <a:xfrm>
          <a:off x="12258675" y="32712025"/>
          <a:ext cx="9144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zoomScale="130" zoomScaleNormal="130" topLeftCell="A28" workbookViewId="0">
      <selection activeCell="D19" sqref="D19"/>
    </sheetView>
  </sheetViews>
  <sheetFormatPr defaultColWidth="9" defaultRowHeight="13.5" outlineLevelCol="3"/>
  <cols>
    <col min="1" max="1" width="7.125" customWidth="1"/>
    <col min="2" max="2" width="9.375" style="52" customWidth="1"/>
    <col min="4" max="4" width="52.375" customWidth="1"/>
  </cols>
  <sheetData>
    <row r="1" spans="1:4">
      <c r="A1" s="494" t="s">
        <v>0</v>
      </c>
      <c r="B1" s="495" t="s">
        <v>1</v>
      </c>
      <c r="C1" s="494" t="s">
        <v>2</v>
      </c>
      <c r="D1" s="494" t="s">
        <v>3</v>
      </c>
    </row>
    <row r="2" spans="1:4">
      <c r="A2" s="494" t="s">
        <v>4</v>
      </c>
      <c r="B2" s="495">
        <v>20190811</v>
      </c>
      <c r="C2" s="494" t="s">
        <v>5</v>
      </c>
      <c r="D2" s="494" t="s">
        <v>6</v>
      </c>
    </row>
    <row r="3" ht="24" spans="1:4">
      <c r="A3" s="494" t="s">
        <v>7</v>
      </c>
      <c r="B3" s="495">
        <v>20201224</v>
      </c>
      <c r="C3" s="494"/>
      <c r="D3" s="496" t="s">
        <v>8</v>
      </c>
    </row>
    <row r="4" spans="1:4">
      <c r="A4" s="494"/>
      <c r="B4" s="495"/>
      <c r="C4" s="494"/>
      <c r="D4" s="494"/>
    </row>
    <row r="5" spans="1:4">
      <c r="A5" s="494" t="s">
        <v>9</v>
      </c>
      <c r="B5" s="495">
        <v>20210625</v>
      </c>
      <c r="C5" s="494"/>
      <c r="D5" s="494" t="s">
        <v>10</v>
      </c>
    </row>
    <row r="6" spans="1:4">
      <c r="A6" s="494" t="s">
        <v>11</v>
      </c>
      <c r="B6" s="495">
        <v>20210824</v>
      </c>
      <c r="C6" s="494"/>
      <c r="D6" s="494" t="s">
        <v>12</v>
      </c>
    </row>
    <row r="7" spans="1:4">
      <c r="A7" s="494" t="s">
        <v>13</v>
      </c>
      <c r="B7" s="495">
        <v>20210831</v>
      </c>
      <c r="C7" s="494"/>
      <c r="D7" s="494" t="s">
        <v>14</v>
      </c>
    </row>
    <row r="8" ht="33.6" customHeight="1" spans="1:4">
      <c r="A8" s="494" t="s">
        <v>15</v>
      </c>
      <c r="B8" s="495">
        <v>20220216</v>
      </c>
      <c r="C8" s="494"/>
      <c r="D8" s="496" t="s">
        <v>16</v>
      </c>
    </row>
    <row r="9" ht="24" spans="1:4">
      <c r="A9" s="494" t="s">
        <v>17</v>
      </c>
      <c r="B9" s="495">
        <v>20220218</v>
      </c>
      <c r="C9" s="494"/>
      <c r="D9" s="496" t="s">
        <v>18</v>
      </c>
    </row>
    <row r="10" ht="36" spans="1:4">
      <c r="A10" s="494" t="s">
        <v>19</v>
      </c>
      <c r="B10" s="495">
        <v>20220419</v>
      </c>
      <c r="C10" s="494"/>
      <c r="D10" s="496" t="s">
        <v>20</v>
      </c>
    </row>
    <row r="11" spans="1:4">
      <c r="A11" s="494" t="s">
        <v>21</v>
      </c>
      <c r="B11" s="495">
        <v>20220527</v>
      </c>
      <c r="C11" s="494"/>
      <c r="D11" s="496" t="s">
        <v>22</v>
      </c>
    </row>
    <row r="12" ht="36" spans="1:4">
      <c r="A12" s="494" t="s">
        <v>23</v>
      </c>
      <c r="B12" s="495">
        <v>20220530</v>
      </c>
      <c r="C12" s="494"/>
      <c r="D12" s="496" t="s">
        <v>24</v>
      </c>
    </row>
    <row r="13" ht="79.15" customHeight="1" spans="1:4">
      <c r="A13" s="494" t="s">
        <v>25</v>
      </c>
      <c r="B13" s="495">
        <v>20220723</v>
      </c>
      <c r="C13" s="494"/>
      <c r="D13" s="496" t="s">
        <v>26</v>
      </c>
    </row>
    <row r="14" ht="156" spans="1:4">
      <c r="A14" s="494" t="s">
        <v>27</v>
      </c>
      <c r="B14" s="495">
        <v>20221109</v>
      </c>
      <c r="C14" s="494"/>
      <c r="D14" s="496" t="s">
        <v>28</v>
      </c>
    </row>
    <row r="15" spans="1:4">
      <c r="A15" s="494" t="s">
        <v>29</v>
      </c>
      <c r="B15" s="495">
        <v>20221229</v>
      </c>
      <c r="C15" s="494"/>
      <c r="D15" s="496" t="s">
        <v>30</v>
      </c>
    </row>
    <row r="16" spans="1:4">
      <c r="A16" s="494" t="s">
        <v>31</v>
      </c>
      <c r="B16" s="495">
        <v>20230215</v>
      </c>
      <c r="C16" s="494"/>
      <c r="D16" s="494" t="s">
        <v>32</v>
      </c>
    </row>
    <row r="17" ht="36" spans="1:4">
      <c r="A17" s="494" t="s">
        <v>33</v>
      </c>
      <c r="B17" s="495">
        <v>20230406</v>
      </c>
      <c r="C17" s="494"/>
      <c r="D17" s="496" t="s">
        <v>34</v>
      </c>
    </row>
    <row r="18" ht="24" spans="1:4">
      <c r="A18" s="494" t="s">
        <v>35</v>
      </c>
      <c r="B18" s="495">
        <v>20230411</v>
      </c>
      <c r="C18" s="494"/>
      <c r="D18" s="496" t="s">
        <v>36</v>
      </c>
    </row>
    <row r="19" ht="108" spans="1:4">
      <c r="A19" s="494" t="s">
        <v>37</v>
      </c>
      <c r="B19" s="495">
        <v>20230504</v>
      </c>
      <c r="C19" s="494"/>
      <c r="D19" s="496" t="s">
        <v>38</v>
      </c>
    </row>
    <row r="20" ht="18.75" customHeight="1" spans="1:4">
      <c r="A20" s="494" t="s">
        <v>39</v>
      </c>
      <c r="B20" s="495">
        <v>20230506</v>
      </c>
      <c r="C20" s="494"/>
      <c r="D20" s="497" t="s">
        <v>40</v>
      </c>
    </row>
    <row r="21" spans="1:4">
      <c r="A21" s="494" t="s">
        <v>41</v>
      </c>
      <c r="B21" s="495">
        <v>20230612</v>
      </c>
      <c r="C21" s="494"/>
      <c r="D21" s="497" t="s">
        <v>42</v>
      </c>
    </row>
    <row r="22" spans="1:4">
      <c r="A22" s="494" t="s">
        <v>43</v>
      </c>
      <c r="B22" s="495">
        <v>20230714</v>
      </c>
      <c r="C22" s="494"/>
      <c r="D22" s="497" t="s">
        <v>44</v>
      </c>
    </row>
    <row r="23" ht="24" spans="1:4">
      <c r="A23" s="494" t="s">
        <v>45</v>
      </c>
      <c r="B23" s="495">
        <v>20230828</v>
      </c>
      <c r="C23" s="494"/>
      <c r="D23" s="497" t="s">
        <v>46</v>
      </c>
    </row>
    <row r="24" spans="1:4">
      <c r="A24" s="494" t="s">
        <v>47</v>
      </c>
      <c r="B24" s="495">
        <v>20230901</v>
      </c>
      <c r="C24" s="494"/>
      <c r="D24" s="497" t="s">
        <v>48</v>
      </c>
    </row>
    <row r="25" spans="1:4">
      <c r="A25" s="494" t="s">
        <v>49</v>
      </c>
      <c r="B25" s="495">
        <v>20230920</v>
      </c>
      <c r="C25" s="494"/>
      <c r="D25" s="497" t="s">
        <v>50</v>
      </c>
    </row>
    <row r="26" ht="60" spans="1:4">
      <c r="A26" s="494" t="s">
        <v>51</v>
      </c>
      <c r="B26" s="495">
        <v>20231023</v>
      </c>
      <c r="C26" s="494"/>
      <c r="D26" s="497" t="s">
        <v>52</v>
      </c>
    </row>
    <row r="27" spans="1:4">
      <c r="A27" s="494" t="s">
        <v>53</v>
      </c>
      <c r="B27" s="495">
        <v>20231120</v>
      </c>
      <c r="C27" s="494" t="s">
        <v>54</v>
      </c>
      <c r="D27" s="497" t="s">
        <v>55</v>
      </c>
    </row>
    <row r="28" spans="1:4">
      <c r="A28" s="494" t="s">
        <v>56</v>
      </c>
      <c r="B28" s="495">
        <v>20231213</v>
      </c>
      <c r="C28" s="494" t="s">
        <v>54</v>
      </c>
      <c r="D28" s="494" t="s">
        <v>57</v>
      </c>
    </row>
    <row r="29" spans="1:4">
      <c r="A29" s="498" t="s">
        <v>58</v>
      </c>
      <c r="B29" s="499">
        <v>20240510</v>
      </c>
      <c r="C29" s="498" t="s">
        <v>54</v>
      </c>
      <c r="D29" s="498" t="s">
        <v>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="85" zoomScaleNormal="85" workbookViewId="0">
      <pane ySplit="1" topLeftCell="A17" activePane="bottomLeft" state="frozen"/>
      <selection/>
      <selection pane="bottomLeft" activeCell="A32" sqref="A32"/>
    </sheetView>
  </sheetViews>
  <sheetFormatPr defaultColWidth="9" defaultRowHeight="13.5" outlineLevelCol="3"/>
  <cols>
    <col min="1" max="1" width="43.625" style="483" customWidth="1"/>
    <col min="2" max="2" width="19" style="483" customWidth="1"/>
    <col min="3" max="3" width="10.75" style="483" customWidth="1"/>
    <col min="4" max="4" width="10.125" style="483" customWidth="1"/>
    <col min="5" max="16384" width="9" style="483"/>
  </cols>
  <sheetData>
    <row r="1" ht="21" spans="1:3">
      <c r="A1" s="484" t="s">
        <v>60</v>
      </c>
      <c r="B1" s="484" t="s">
        <v>61</v>
      </c>
      <c r="C1" s="484" t="s">
        <v>62</v>
      </c>
    </row>
    <row r="2" ht="20.25" spans="1:3">
      <c r="A2" s="485" t="s">
        <v>63</v>
      </c>
      <c r="B2" s="486" t="s">
        <v>64</v>
      </c>
      <c r="C2" s="486" t="s">
        <v>65</v>
      </c>
    </row>
    <row r="3" ht="20.25" spans="1:3">
      <c r="A3" s="485" t="s">
        <v>66</v>
      </c>
      <c r="B3" s="486" t="s">
        <v>67</v>
      </c>
      <c r="C3" s="486" t="s">
        <v>65</v>
      </c>
    </row>
    <row r="4" ht="20.25" spans="1:4">
      <c r="A4" s="485" t="s">
        <v>68</v>
      </c>
      <c r="B4" s="486" t="s">
        <v>69</v>
      </c>
      <c r="C4" s="486" t="s">
        <v>70</v>
      </c>
      <c r="D4" s="487" t="s">
        <v>71</v>
      </c>
    </row>
    <row r="5" ht="20.25" spans="1:4">
      <c r="A5" s="485" t="s">
        <v>72</v>
      </c>
      <c r="B5" s="486" t="s">
        <v>73</v>
      </c>
      <c r="C5" s="486" t="s">
        <v>70</v>
      </c>
      <c r="D5" s="487" t="s">
        <v>71</v>
      </c>
    </row>
    <row r="6" ht="20.25" spans="1:3">
      <c r="A6" s="485" t="s">
        <v>74</v>
      </c>
      <c r="B6" s="486" t="s">
        <v>75</v>
      </c>
      <c r="C6" s="486" t="s">
        <v>70</v>
      </c>
    </row>
    <row r="7" ht="20.25" spans="1:3">
      <c r="A7" s="485" t="s">
        <v>76</v>
      </c>
      <c r="B7" s="486" t="s">
        <v>77</v>
      </c>
      <c r="C7" s="486" t="s">
        <v>65</v>
      </c>
    </row>
    <row r="8" ht="20.25" spans="1:3">
      <c r="A8" s="488" t="s">
        <v>78</v>
      </c>
      <c r="B8" s="486" t="s">
        <v>79</v>
      </c>
      <c r="C8" s="486" t="s">
        <v>65</v>
      </c>
    </row>
    <row r="9" ht="37.5" spans="1:4">
      <c r="A9" s="489" t="s">
        <v>80</v>
      </c>
      <c r="B9" s="490" t="s">
        <v>81</v>
      </c>
      <c r="C9" s="490" t="s">
        <v>65</v>
      </c>
      <c r="D9" s="487" t="s">
        <v>71</v>
      </c>
    </row>
    <row r="10" ht="20.25" spans="1:3">
      <c r="A10" s="485" t="s">
        <v>82</v>
      </c>
      <c r="B10" s="486" t="s">
        <v>83</v>
      </c>
      <c r="C10" s="486" t="s">
        <v>65</v>
      </c>
    </row>
    <row r="11" ht="20.25" spans="1:3">
      <c r="A11" s="485" t="s">
        <v>84</v>
      </c>
      <c r="B11" s="486" t="s">
        <v>85</v>
      </c>
      <c r="C11" s="486" t="s">
        <v>70</v>
      </c>
    </row>
    <row r="12" ht="20.25" spans="1:3">
      <c r="A12" s="485" t="s">
        <v>86</v>
      </c>
      <c r="B12" s="486" t="s">
        <v>87</v>
      </c>
      <c r="C12" s="486" t="s">
        <v>65</v>
      </c>
    </row>
    <row r="13" ht="20.25" spans="1:3">
      <c r="A13" s="485" t="s">
        <v>88</v>
      </c>
      <c r="B13" s="486" t="s">
        <v>89</v>
      </c>
      <c r="C13" s="486" t="s">
        <v>70</v>
      </c>
    </row>
    <row r="14" ht="20.25" spans="1:4">
      <c r="A14" s="485" t="s">
        <v>90</v>
      </c>
      <c r="B14" s="486" t="s">
        <v>91</v>
      </c>
      <c r="C14" s="486" t="s">
        <v>70</v>
      </c>
      <c r="D14" s="487" t="s">
        <v>71</v>
      </c>
    </row>
    <row r="15" ht="20.25" spans="1:3">
      <c r="A15" s="485" t="s">
        <v>92</v>
      </c>
      <c r="B15" s="486" t="s">
        <v>79</v>
      </c>
      <c r="C15" s="486" t="s">
        <v>65</v>
      </c>
    </row>
    <row r="16" ht="20.25" spans="1:3">
      <c r="A16" s="485" t="s">
        <v>93</v>
      </c>
      <c r="B16" s="486" t="s">
        <v>79</v>
      </c>
      <c r="C16" s="486" t="s">
        <v>65</v>
      </c>
    </row>
    <row r="17" ht="20.25" spans="1:3">
      <c r="A17" s="485" t="s">
        <v>94</v>
      </c>
      <c r="B17" s="486" t="s">
        <v>95</v>
      </c>
      <c r="C17" s="486" t="s">
        <v>70</v>
      </c>
    </row>
    <row r="18" ht="20.25" spans="1:3">
      <c r="A18" s="485" t="s">
        <v>96</v>
      </c>
      <c r="B18" s="486" t="s">
        <v>97</v>
      </c>
      <c r="C18" s="486" t="s">
        <v>70</v>
      </c>
    </row>
    <row r="19" ht="20.25" spans="1:3">
      <c r="A19" s="485" t="s">
        <v>98</v>
      </c>
      <c r="B19" s="486" t="s">
        <v>99</v>
      </c>
      <c r="C19" s="486" t="s">
        <v>70</v>
      </c>
    </row>
    <row r="20" ht="20.25" spans="1:3">
      <c r="A20" s="485" t="s">
        <v>100</v>
      </c>
      <c r="B20" s="486" t="s">
        <v>101</v>
      </c>
      <c r="C20" s="486" t="s">
        <v>70</v>
      </c>
    </row>
    <row r="21" ht="20.25" spans="1:3">
      <c r="A21" s="485" t="s">
        <v>102</v>
      </c>
      <c r="B21" s="486" t="s">
        <v>103</v>
      </c>
      <c r="C21" s="486" t="s">
        <v>70</v>
      </c>
    </row>
    <row r="22" ht="20.25" spans="1:3">
      <c r="A22" s="485" t="s">
        <v>104</v>
      </c>
      <c r="B22" s="486" t="s">
        <v>105</v>
      </c>
      <c r="C22" s="486" t="s">
        <v>65</v>
      </c>
    </row>
    <row r="23" ht="20.25" spans="1:3">
      <c r="A23" s="485" t="s">
        <v>106</v>
      </c>
      <c r="B23" s="486" t="s">
        <v>107</v>
      </c>
      <c r="C23" s="486" t="s">
        <v>65</v>
      </c>
    </row>
    <row r="24" ht="20.25" spans="1:3">
      <c r="A24" s="485" t="s">
        <v>108</v>
      </c>
      <c r="B24" s="486" t="s">
        <v>105</v>
      </c>
      <c r="C24" s="486" t="s">
        <v>65</v>
      </c>
    </row>
    <row r="25" ht="20.25" spans="1:3">
      <c r="A25" s="485" t="s">
        <v>109</v>
      </c>
      <c r="B25" s="486" t="s">
        <v>110</v>
      </c>
      <c r="C25" s="486" t="s">
        <v>65</v>
      </c>
    </row>
    <row r="26" ht="20.25" spans="1:3">
      <c r="A26" s="485" t="s">
        <v>111</v>
      </c>
      <c r="B26" s="486" t="s">
        <v>112</v>
      </c>
      <c r="C26" s="486" t="s">
        <v>65</v>
      </c>
    </row>
    <row r="27" ht="20.25" spans="1:3">
      <c r="A27" s="491" t="s">
        <v>113</v>
      </c>
      <c r="B27" s="486" t="s">
        <v>114</v>
      </c>
      <c r="C27" s="486" t="s">
        <v>65</v>
      </c>
    </row>
    <row r="28" ht="20.25" spans="1:4">
      <c r="A28" s="491" t="s">
        <v>115</v>
      </c>
      <c r="B28" s="486" t="s">
        <v>114</v>
      </c>
      <c r="C28" s="486" t="s">
        <v>65</v>
      </c>
      <c r="D28" s="492" t="s">
        <v>116</v>
      </c>
    </row>
    <row r="29" ht="20.25" spans="1:3">
      <c r="A29" s="485" t="s">
        <v>117</v>
      </c>
      <c r="B29" s="486" t="s">
        <v>118</v>
      </c>
      <c r="C29" s="486" t="s">
        <v>70</v>
      </c>
    </row>
    <row r="30" ht="20.25" spans="1:3">
      <c r="A30" s="485" t="s">
        <v>119</v>
      </c>
      <c r="B30" s="486" t="s">
        <v>120</v>
      </c>
      <c r="C30" s="486" t="s">
        <v>65</v>
      </c>
    </row>
    <row r="31" ht="20.25" spans="1:3">
      <c r="A31" s="485" t="s">
        <v>121</v>
      </c>
      <c r="B31" s="486" t="s">
        <v>122</v>
      </c>
      <c r="C31" s="486" t="s">
        <v>65</v>
      </c>
    </row>
    <row r="32" ht="20.25" spans="1:3">
      <c r="A32" s="493" t="s">
        <v>123</v>
      </c>
      <c r="B32" s="486" t="s">
        <v>124</v>
      </c>
      <c r="C32" s="486" t="s">
        <v>65</v>
      </c>
    </row>
  </sheetData>
  <hyperlinks>
    <hyperlink ref="A13" location="'DCDC故障代码表（1A）BCAN'!A1" display="DCDC"/>
    <hyperlink ref="A12" location="'自动变速箱故障代码表03 PCAN'!A1" display="自动变速箱（AMT）"/>
    <hyperlink ref="A11" location="'空压机故障代码表30 BCAN'!A1" display="空压机"/>
    <hyperlink ref="A28" location="'科密瑞立(KB)EPB (50) PCAN'!A1" display="科密瑞立EPB"/>
    <hyperlink ref="A27" location="'Knorr EPB（50）PCAN'!A1" display="Knorr EPB"/>
    <hyperlink ref="A8" location="'再生制动故障代码表(ABS焦作博瑞克BPCAN'!A1" display="再生制动(ABS焦作博瑞克)"/>
    <hyperlink ref="A2" location="HCU故障代码31PCAN!A1" display="整车控制器（HCU）"/>
    <hyperlink ref="A3" location="'电池冷却系统(TMS)82-PCAN'!A1" display="电池冷却系统(TMS)"/>
    <hyperlink ref="A4" location="'低压转向(LSCU)4D-BCAN'!A1" display="低压转向(LSCU)"/>
    <hyperlink ref="A5" location="'高压转向故障代码表(HSCU)2E BCAN'!A1" display="高压转向故障代码表(HSCU)"/>
    <hyperlink ref="A6" location="IC!A1" display="组合仪表（IC）"/>
    <hyperlink ref="A7" location="'SCU 05 PCAN'!A1" display="SCU"/>
    <hyperlink ref="A9" location="'电池管理系统（BMS）故障代码表F4 PCAN'!A1" display="电池管理系统（BMS）&#10;换电系统（PECU）"/>
    <hyperlink ref="A31" location="'燃料电池冷却系统(FTS)8F-PCAN'!A1" display="燃料电池冷却系统（FTS）"/>
    <hyperlink ref="A30" location="'换电系统（0xDB）'!A1" display="换电系统"/>
    <hyperlink ref="A29" location="'Knorr  ECAS（2F）BCAN'!A1" display="空气悬架（ECAS）KNORR/瑞立"/>
    <hyperlink ref="A26" location="'外挂DCDC（84）PCAN'!A1" display="外挂DCDC"/>
    <hyperlink ref="A25" location="'冷却系统故障ATS(A7和A8)-pcan'!A1" display="冷却系统（ATS）"/>
    <hyperlink ref="A24" location="'燃电DCDC（F5）'!A1" display="燃电DCDC"/>
    <hyperlink ref="A23" location="'氢系统故障（F6）PCAN'!A1" display="氢管理系统（HMS）"/>
    <hyperlink ref="A22" location="'FCU故障码（F5）PCAN'!A1" display="燃料电池控制器（FCU）"/>
    <hyperlink ref="A21" location="'疲劳驾驶E7 BCAN'!A1" display="疲劳驾驶（DFMS）"/>
    <hyperlink ref="A20" location="环景影像41BCAN!A1" display="环景影像（HJYX）"/>
    <hyperlink ref="A19" location="'TPMS(SENSATA)33  BCAN'!A1" display="TPMS"/>
    <hyperlink ref="A18" location="'DCM （EC）BCAN'!A1" display="DCM"/>
    <hyperlink ref="A17" location="'BCM（32） BCAN'!A1" display="BCM"/>
    <hyperlink ref="A16" location="'EBS(KNORR) ）0B PCAN'!A1" display="EBS KNORR"/>
    <hyperlink ref="A15" location="'ABS KNORR故障码 ）0B PCAN'!A1" display="ABS KNORR"/>
    <hyperlink ref="A14" location="'高压配电盒故障代码表1E BCAN'!A1" display="高压配电盒（PDU）"/>
    <hyperlink ref="A10" location="电机故障代码表EF_PCAN!A1" display="电机控制器（MCU）"/>
    <hyperlink ref="A32" location="电液转向机!A1" display="电液转向机（EHPS）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zoomScale="115" zoomScaleNormal="115" workbookViewId="0">
      <selection activeCell="B10" sqref="B10"/>
    </sheetView>
  </sheetViews>
  <sheetFormatPr defaultColWidth="9" defaultRowHeight="13.5" outlineLevelRow="7" outlineLevelCol="4"/>
  <cols>
    <col min="3" max="3" width="24.125" customWidth="1"/>
  </cols>
  <sheetData>
    <row r="1" ht="14.25" spans="1:5">
      <c r="A1" s="479" t="s">
        <v>125</v>
      </c>
      <c r="B1" s="480" t="s">
        <v>126</v>
      </c>
      <c r="C1" s="480" t="s">
        <v>127</v>
      </c>
      <c r="D1" s="480" t="s">
        <v>128</v>
      </c>
      <c r="E1" s="481" t="s">
        <v>129</v>
      </c>
    </row>
    <row r="2" spans="1:5">
      <c r="A2" s="482">
        <v>1</v>
      </c>
      <c r="B2" s="482" t="s">
        <v>130</v>
      </c>
      <c r="C2" s="482" t="s">
        <v>131</v>
      </c>
      <c r="D2" s="482">
        <v>521301</v>
      </c>
      <c r="E2" s="482">
        <v>17</v>
      </c>
    </row>
    <row r="3" spans="1:5">
      <c r="A3" s="24">
        <v>2</v>
      </c>
      <c r="B3" s="24" t="s">
        <v>132</v>
      </c>
      <c r="C3" s="24" t="s">
        <v>133</v>
      </c>
      <c r="D3" s="24">
        <v>521304</v>
      </c>
      <c r="E3" s="24">
        <v>15</v>
      </c>
    </row>
    <row r="4" spans="1:5">
      <c r="A4" s="24">
        <v>3</v>
      </c>
      <c r="B4" s="24" t="s">
        <v>132</v>
      </c>
      <c r="C4" s="24" t="s">
        <v>134</v>
      </c>
      <c r="D4" s="24">
        <v>521305</v>
      </c>
      <c r="E4" s="24">
        <v>15</v>
      </c>
    </row>
    <row r="5" spans="1:5">
      <c r="A5" s="24">
        <v>4</v>
      </c>
      <c r="B5" s="24" t="s">
        <v>132</v>
      </c>
      <c r="C5" s="24" t="s">
        <v>135</v>
      </c>
      <c r="D5" s="24">
        <v>521306</v>
      </c>
      <c r="E5" s="24">
        <v>15</v>
      </c>
    </row>
    <row r="6" spans="1:5">
      <c r="A6" s="24">
        <v>5</v>
      </c>
      <c r="B6" s="24" t="s">
        <v>130</v>
      </c>
      <c r="C6" s="24" t="s">
        <v>136</v>
      </c>
      <c r="D6" s="24">
        <v>521307</v>
      </c>
      <c r="E6" s="24">
        <v>15</v>
      </c>
    </row>
    <row r="7" spans="1:5">
      <c r="A7" s="24">
        <v>6</v>
      </c>
      <c r="B7" s="24" t="s">
        <v>137</v>
      </c>
      <c r="C7" s="24" t="s">
        <v>138</v>
      </c>
      <c r="D7" s="24">
        <v>5977</v>
      </c>
      <c r="E7" s="24">
        <v>1</v>
      </c>
    </row>
    <row r="8" spans="1:5">
      <c r="A8" s="24">
        <v>7</v>
      </c>
      <c r="B8" s="24" t="s">
        <v>137</v>
      </c>
      <c r="C8" s="24" t="s">
        <v>139</v>
      </c>
      <c r="D8" s="24">
        <v>153</v>
      </c>
      <c r="E8" s="24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81"/>
  <sheetViews>
    <sheetView workbookViewId="0">
      <selection activeCell="C1" sqref="C1"/>
    </sheetView>
  </sheetViews>
  <sheetFormatPr defaultColWidth="8.875" defaultRowHeight="13.5"/>
  <cols>
    <col min="1" max="1" width="8.875" style="186"/>
    <col min="2" max="2" width="8.875" style="450"/>
    <col min="3" max="3" width="15.125" style="450" customWidth="1"/>
    <col min="4" max="4" width="19.75" style="185" customWidth="1"/>
    <col min="5" max="5" width="22" style="185" customWidth="1"/>
    <col min="6" max="6" width="60.75" style="185" customWidth="1"/>
    <col min="7" max="7" width="43.75" style="185" customWidth="1"/>
    <col min="8" max="8" width="17.625" style="185" customWidth="1"/>
    <col min="9" max="9" width="11.625" style="185" customWidth="1"/>
    <col min="10" max="16384" width="8.875" style="185"/>
  </cols>
  <sheetData>
    <row r="1" ht="14.25" spans="1:7">
      <c r="A1" s="451" t="s">
        <v>125</v>
      </c>
      <c r="B1" s="452" t="s">
        <v>140</v>
      </c>
      <c r="C1" s="452" t="s">
        <v>141</v>
      </c>
      <c r="D1" s="453" t="s">
        <v>142</v>
      </c>
      <c r="E1" s="453" t="s">
        <v>143</v>
      </c>
      <c r="F1" s="453" t="s">
        <v>144</v>
      </c>
      <c r="G1" s="453" t="s">
        <v>145</v>
      </c>
    </row>
    <row r="2" ht="14.25" spans="1:7">
      <c r="A2" s="454">
        <v>1</v>
      </c>
      <c r="B2" s="455" t="s">
        <v>146</v>
      </c>
      <c r="C2" s="452"/>
      <c r="D2" s="456">
        <v>168</v>
      </c>
      <c r="E2" s="456">
        <v>16</v>
      </c>
      <c r="F2" s="457" t="s">
        <v>147</v>
      </c>
      <c r="G2" s="457" t="s">
        <v>147</v>
      </c>
    </row>
    <row r="3" ht="18.75" customHeight="1" spans="1:7">
      <c r="A3" s="458">
        <v>2</v>
      </c>
      <c r="B3" s="459" t="s">
        <v>148</v>
      </c>
      <c r="C3" s="460" t="s">
        <v>149</v>
      </c>
      <c r="D3" s="461">
        <v>168</v>
      </c>
      <c r="E3" s="461">
        <v>18</v>
      </c>
      <c r="F3" s="462" t="s">
        <v>150</v>
      </c>
      <c r="G3" s="462" t="s">
        <v>151</v>
      </c>
    </row>
    <row r="4" ht="14.25" spans="1:7">
      <c r="A4" s="454">
        <v>3</v>
      </c>
      <c r="B4" s="455" t="s">
        <v>146</v>
      </c>
      <c r="C4" s="452"/>
      <c r="D4" s="456">
        <v>168</v>
      </c>
      <c r="E4" s="456">
        <v>2</v>
      </c>
      <c r="F4" s="457" t="s">
        <v>152</v>
      </c>
      <c r="G4" s="457" t="s">
        <v>152</v>
      </c>
    </row>
    <row r="5" ht="14.25" spans="1:7">
      <c r="A5" s="454">
        <v>4</v>
      </c>
      <c r="B5" s="455" t="s">
        <v>146</v>
      </c>
      <c r="C5" s="452"/>
      <c r="D5" s="456">
        <v>169</v>
      </c>
      <c r="E5" s="456">
        <v>16</v>
      </c>
      <c r="F5" s="457" t="s">
        <v>153</v>
      </c>
      <c r="G5" s="457" t="s">
        <v>153</v>
      </c>
    </row>
    <row r="6" ht="27.75" spans="1:7">
      <c r="A6" s="454">
        <v>5</v>
      </c>
      <c r="B6" s="455" t="s">
        <v>146</v>
      </c>
      <c r="C6" s="452"/>
      <c r="D6" s="456">
        <v>169</v>
      </c>
      <c r="E6" s="456">
        <v>18</v>
      </c>
      <c r="F6" s="457" t="s">
        <v>154</v>
      </c>
      <c r="G6" s="457" t="s">
        <v>154</v>
      </c>
    </row>
    <row r="7" ht="14.25" spans="1:7">
      <c r="A7" s="454">
        <v>6</v>
      </c>
      <c r="B7" s="455" t="s">
        <v>146</v>
      </c>
      <c r="C7" s="452"/>
      <c r="D7" s="456">
        <v>169</v>
      </c>
      <c r="E7" s="456">
        <v>2</v>
      </c>
      <c r="F7" s="457" t="s">
        <v>155</v>
      </c>
      <c r="G7" s="457" t="s">
        <v>155</v>
      </c>
    </row>
    <row r="8" ht="14.25" spans="1:7">
      <c r="A8" s="454">
        <v>7</v>
      </c>
      <c r="B8" s="455" t="s">
        <v>146</v>
      </c>
      <c r="C8" s="452"/>
      <c r="D8" s="456">
        <v>158</v>
      </c>
      <c r="E8" s="456">
        <v>16</v>
      </c>
      <c r="F8" s="457" t="s">
        <v>156</v>
      </c>
      <c r="G8" s="457" t="s">
        <v>156</v>
      </c>
    </row>
    <row r="9" ht="14.25" spans="1:7">
      <c r="A9" s="451">
        <v>8</v>
      </c>
      <c r="B9" s="463" t="s">
        <v>157</v>
      </c>
      <c r="C9" s="452" t="s">
        <v>158</v>
      </c>
      <c r="D9" s="461">
        <v>158</v>
      </c>
      <c r="E9" s="464">
        <v>18</v>
      </c>
      <c r="F9" s="462" t="s">
        <v>159</v>
      </c>
      <c r="G9" s="462" t="s">
        <v>159</v>
      </c>
    </row>
    <row r="10" ht="14.25" spans="1:8">
      <c r="A10" s="454">
        <v>9</v>
      </c>
      <c r="B10" s="455" t="s">
        <v>146</v>
      </c>
      <c r="C10" s="452"/>
      <c r="D10" s="456">
        <v>158</v>
      </c>
      <c r="E10" s="456">
        <v>2</v>
      </c>
      <c r="F10" s="465" t="s">
        <v>160</v>
      </c>
      <c r="G10" s="465" t="s">
        <v>160</v>
      </c>
      <c r="H10" s="185" t="s">
        <v>161</v>
      </c>
    </row>
    <row r="11" ht="14.25" spans="1:7">
      <c r="A11" s="451">
        <v>10</v>
      </c>
      <c r="B11" s="463" t="s">
        <v>157</v>
      </c>
      <c r="C11" s="452" t="s">
        <v>158</v>
      </c>
      <c r="D11" s="461">
        <v>597</v>
      </c>
      <c r="E11" s="461">
        <v>2</v>
      </c>
      <c r="F11" s="462" t="s">
        <v>162</v>
      </c>
      <c r="G11" s="462" t="s">
        <v>162</v>
      </c>
    </row>
    <row r="12" ht="14.25" spans="1:8">
      <c r="A12" s="451">
        <v>11</v>
      </c>
      <c r="B12" s="459" t="s">
        <v>148</v>
      </c>
      <c r="C12" s="460" t="s">
        <v>149</v>
      </c>
      <c r="D12" s="461">
        <v>21003</v>
      </c>
      <c r="E12" s="453">
        <v>12</v>
      </c>
      <c r="F12" s="462" t="s">
        <v>163</v>
      </c>
      <c r="G12" s="462" t="s">
        <v>163</v>
      </c>
      <c r="H12" s="185" t="s">
        <v>164</v>
      </c>
    </row>
    <row r="13" ht="14.25" spans="1:8">
      <c r="A13" s="451">
        <v>12</v>
      </c>
      <c r="B13" s="459" t="s">
        <v>148</v>
      </c>
      <c r="C13" s="460" t="s">
        <v>149</v>
      </c>
      <c r="D13" s="464">
        <v>21004</v>
      </c>
      <c r="E13" s="464">
        <v>12</v>
      </c>
      <c r="F13" s="462" t="s">
        <v>165</v>
      </c>
      <c r="G13" s="462" t="s">
        <v>165</v>
      </c>
      <c r="H13" s="185" t="s">
        <v>166</v>
      </c>
    </row>
    <row r="14" ht="14.25" spans="1:7">
      <c r="A14" s="451">
        <v>13</v>
      </c>
      <c r="B14" s="463" t="s">
        <v>157</v>
      </c>
      <c r="C14" s="452" t="s">
        <v>158</v>
      </c>
      <c r="D14" s="461">
        <v>21005</v>
      </c>
      <c r="E14" s="453">
        <v>4</v>
      </c>
      <c r="F14" s="462" t="s">
        <v>167</v>
      </c>
      <c r="G14" s="462" t="s">
        <v>167</v>
      </c>
    </row>
    <row r="15" ht="14.25" spans="1:7">
      <c r="A15" s="451">
        <v>14</v>
      </c>
      <c r="B15" s="463" t="s">
        <v>157</v>
      </c>
      <c r="C15" s="452" t="s">
        <v>158</v>
      </c>
      <c r="D15" s="461">
        <v>21005</v>
      </c>
      <c r="E15" s="453">
        <v>3</v>
      </c>
      <c r="F15" s="462" t="s">
        <v>168</v>
      </c>
      <c r="G15" s="462" t="s">
        <v>168</v>
      </c>
    </row>
    <row r="16" ht="14.25" spans="1:7">
      <c r="A16" s="454">
        <v>15</v>
      </c>
      <c r="B16" s="455" t="s">
        <v>146</v>
      </c>
      <c r="C16" s="452"/>
      <c r="D16" s="456">
        <v>21005</v>
      </c>
      <c r="E16" s="466">
        <v>6</v>
      </c>
      <c r="F16" s="457" t="s">
        <v>169</v>
      </c>
      <c r="G16" s="457" t="s">
        <v>170</v>
      </c>
    </row>
    <row r="17" ht="14.25" spans="1:7">
      <c r="A17" s="454">
        <v>16</v>
      </c>
      <c r="B17" s="455" t="s">
        <v>146</v>
      </c>
      <c r="C17" s="452"/>
      <c r="D17" s="456">
        <v>21006</v>
      </c>
      <c r="E17" s="456">
        <v>16</v>
      </c>
      <c r="F17" s="457" t="s">
        <v>171</v>
      </c>
      <c r="G17" s="457" t="s">
        <v>172</v>
      </c>
    </row>
    <row r="18" ht="14.25" spans="1:7">
      <c r="A18" s="454">
        <v>17</v>
      </c>
      <c r="B18" s="455" t="s">
        <v>146</v>
      </c>
      <c r="C18" s="452"/>
      <c r="D18" s="456">
        <v>21006</v>
      </c>
      <c r="E18" s="456">
        <v>18</v>
      </c>
      <c r="F18" s="457" t="s">
        <v>173</v>
      </c>
      <c r="G18" s="457" t="s">
        <v>174</v>
      </c>
    </row>
    <row r="19" ht="14.25" spans="1:9">
      <c r="A19" s="451">
        <v>18</v>
      </c>
      <c r="B19" s="463" t="s">
        <v>157</v>
      </c>
      <c r="C19" s="452" t="s">
        <v>158</v>
      </c>
      <c r="D19" s="461">
        <v>21006</v>
      </c>
      <c r="E19" s="461">
        <v>5</v>
      </c>
      <c r="F19" s="462" t="s">
        <v>175</v>
      </c>
      <c r="G19" s="462" t="s">
        <v>176</v>
      </c>
      <c r="H19" s="185" t="s">
        <v>177</v>
      </c>
      <c r="I19" s="185">
        <v>5</v>
      </c>
    </row>
    <row r="20" ht="14.25" spans="1:7">
      <c r="A20" s="451">
        <v>19</v>
      </c>
      <c r="B20" s="463" t="s">
        <v>157</v>
      </c>
      <c r="C20" s="452" t="s">
        <v>158</v>
      </c>
      <c r="D20" s="461">
        <v>21006</v>
      </c>
      <c r="E20" s="461">
        <v>6</v>
      </c>
      <c r="F20" s="462" t="s">
        <v>178</v>
      </c>
      <c r="G20" s="462" t="s">
        <v>179</v>
      </c>
    </row>
    <row r="21" ht="15" spans="1:8">
      <c r="A21" s="451">
        <v>20</v>
      </c>
      <c r="B21" s="463" t="s">
        <v>157</v>
      </c>
      <c r="C21" s="452" t="s">
        <v>158</v>
      </c>
      <c r="D21" s="461">
        <v>21007</v>
      </c>
      <c r="E21" s="461">
        <v>16</v>
      </c>
      <c r="F21" s="467" t="s">
        <v>180</v>
      </c>
      <c r="G21" s="468" t="s">
        <v>181</v>
      </c>
      <c r="H21" s="185" t="s">
        <v>182</v>
      </c>
    </row>
    <row r="22" ht="14.25" spans="1:7">
      <c r="A22" s="451">
        <v>21</v>
      </c>
      <c r="B22" s="463" t="s">
        <v>157</v>
      </c>
      <c r="C22" s="452" t="s">
        <v>158</v>
      </c>
      <c r="D22" s="461">
        <v>21007</v>
      </c>
      <c r="E22" s="461">
        <v>18</v>
      </c>
      <c r="F22" s="462" t="s">
        <v>183</v>
      </c>
      <c r="G22" s="469" t="s">
        <v>184</v>
      </c>
    </row>
    <row r="23" s="449" customFormat="1" ht="14.25" spans="1:10">
      <c r="A23" s="470">
        <v>22</v>
      </c>
      <c r="B23" s="459" t="s">
        <v>148</v>
      </c>
      <c r="C23" s="460" t="s">
        <v>149</v>
      </c>
      <c r="D23" s="471">
        <v>21007</v>
      </c>
      <c r="E23" s="471">
        <v>5</v>
      </c>
      <c r="F23" s="472" t="s">
        <v>185</v>
      </c>
      <c r="G23" s="473" t="s">
        <v>185</v>
      </c>
      <c r="H23" s="449" t="s">
        <v>186</v>
      </c>
      <c r="I23" s="449" t="s">
        <v>187</v>
      </c>
      <c r="J23" s="449" t="s">
        <v>188</v>
      </c>
    </row>
    <row r="24" ht="14.25" spans="1:7">
      <c r="A24" s="454">
        <v>23</v>
      </c>
      <c r="B24" s="455" t="s">
        <v>146</v>
      </c>
      <c r="C24" s="452"/>
      <c r="D24" s="456">
        <v>21007</v>
      </c>
      <c r="E24" s="456">
        <v>2</v>
      </c>
      <c r="F24" s="457" t="s">
        <v>189</v>
      </c>
      <c r="G24" s="474" t="s">
        <v>190</v>
      </c>
    </row>
    <row r="25" ht="14.25" spans="1:7">
      <c r="A25" s="454">
        <v>24</v>
      </c>
      <c r="B25" s="455" t="s">
        <v>146</v>
      </c>
      <c r="C25" s="452"/>
      <c r="D25" s="456">
        <v>21008</v>
      </c>
      <c r="E25" s="456">
        <v>16</v>
      </c>
      <c r="F25" s="457" t="s">
        <v>191</v>
      </c>
      <c r="G25" s="457" t="s">
        <v>192</v>
      </c>
    </row>
    <row r="26" ht="14.25" spans="1:7">
      <c r="A26" s="454">
        <v>25</v>
      </c>
      <c r="B26" s="455" t="s">
        <v>146</v>
      </c>
      <c r="C26" s="452"/>
      <c r="D26" s="456">
        <v>21008</v>
      </c>
      <c r="E26" s="456">
        <v>18</v>
      </c>
      <c r="F26" s="457" t="s">
        <v>193</v>
      </c>
      <c r="G26" s="457" t="s">
        <v>194</v>
      </c>
    </row>
    <row r="27" ht="14.25" spans="1:7">
      <c r="A27" s="451">
        <v>26</v>
      </c>
      <c r="B27" s="463" t="s">
        <v>157</v>
      </c>
      <c r="C27" s="452" t="s">
        <v>158</v>
      </c>
      <c r="D27" s="461">
        <v>21008</v>
      </c>
      <c r="E27" s="461">
        <v>5</v>
      </c>
      <c r="F27" s="462" t="s">
        <v>195</v>
      </c>
      <c r="G27" s="462" t="s">
        <v>196</v>
      </c>
    </row>
    <row r="28" ht="14.25" spans="1:7">
      <c r="A28" s="451">
        <v>27</v>
      </c>
      <c r="B28" s="463" t="s">
        <v>157</v>
      </c>
      <c r="C28" s="452" t="s">
        <v>158</v>
      </c>
      <c r="D28" s="461">
        <v>21008</v>
      </c>
      <c r="E28" s="461">
        <v>6</v>
      </c>
      <c r="F28" s="462" t="s">
        <v>197</v>
      </c>
      <c r="G28" s="462" t="s">
        <v>198</v>
      </c>
    </row>
    <row r="29" ht="15" spans="1:7">
      <c r="A29" s="451">
        <v>28</v>
      </c>
      <c r="B29" s="463" t="s">
        <v>157</v>
      </c>
      <c r="C29" s="452" t="s">
        <v>158</v>
      </c>
      <c r="D29" s="461">
        <v>91</v>
      </c>
      <c r="E29" s="461">
        <v>16</v>
      </c>
      <c r="F29" s="467" t="s">
        <v>199</v>
      </c>
      <c r="G29" s="468" t="s">
        <v>200</v>
      </c>
    </row>
    <row r="30" ht="14.25" spans="1:7">
      <c r="A30" s="451">
        <v>29</v>
      </c>
      <c r="B30" s="463" t="s">
        <v>157</v>
      </c>
      <c r="C30" s="452" t="s">
        <v>158</v>
      </c>
      <c r="D30" s="461">
        <v>91</v>
      </c>
      <c r="E30" s="461">
        <v>18</v>
      </c>
      <c r="F30" s="462" t="s">
        <v>201</v>
      </c>
      <c r="G30" s="462" t="s">
        <v>202</v>
      </c>
    </row>
    <row r="31" ht="14.25" spans="1:7">
      <c r="A31" s="454">
        <v>30</v>
      </c>
      <c r="B31" s="455" t="s">
        <v>146</v>
      </c>
      <c r="C31" s="452"/>
      <c r="D31" s="456">
        <v>91</v>
      </c>
      <c r="E31" s="456">
        <v>2</v>
      </c>
      <c r="F31" s="457" t="s">
        <v>203</v>
      </c>
      <c r="G31" s="457" t="s">
        <v>204</v>
      </c>
    </row>
    <row r="32" ht="14.25" spans="1:7">
      <c r="A32" s="454">
        <v>31</v>
      </c>
      <c r="B32" s="455" t="s">
        <v>146</v>
      </c>
      <c r="C32" s="452"/>
      <c r="D32" s="456">
        <v>21009</v>
      </c>
      <c r="E32" s="456">
        <v>16</v>
      </c>
      <c r="F32" s="457" t="s">
        <v>205</v>
      </c>
      <c r="G32" s="457" t="s">
        <v>206</v>
      </c>
    </row>
    <row r="33" ht="14.25" spans="1:7">
      <c r="A33" s="454">
        <v>32</v>
      </c>
      <c r="B33" s="455" t="s">
        <v>146</v>
      </c>
      <c r="C33" s="452"/>
      <c r="D33" s="456">
        <v>21009</v>
      </c>
      <c r="E33" s="456">
        <v>18</v>
      </c>
      <c r="F33" s="457" t="s">
        <v>207</v>
      </c>
      <c r="G33" s="457" t="s">
        <v>208</v>
      </c>
    </row>
    <row r="34" ht="14.25" spans="1:7">
      <c r="A34" s="451">
        <v>33</v>
      </c>
      <c r="B34" s="463" t="s">
        <v>157</v>
      </c>
      <c r="C34" s="452" t="s">
        <v>158</v>
      </c>
      <c r="D34" s="461">
        <v>21009</v>
      </c>
      <c r="E34" s="461">
        <v>5</v>
      </c>
      <c r="F34" s="462" t="s">
        <v>209</v>
      </c>
      <c r="G34" s="462" t="s">
        <v>210</v>
      </c>
    </row>
    <row r="35" ht="14.25" spans="1:7">
      <c r="A35" s="451">
        <v>34</v>
      </c>
      <c r="B35" s="463" t="s">
        <v>157</v>
      </c>
      <c r="C35" s="452" t="s">
        <v>158</v>
      </c>
      <c r="D35" s="461">
        <v>21009</v>
      </c>
      <c r="E35" s="461">
        <v>6</v>
      </c>
      <c r="F35" s="462" t="s">
        <v>211</v>
      </c>
      <c r="G35" s="462" t="s">
        <v>212</v>
      </c>
    </row>
    <row r="36" ht="15" spans="1:7">
      <c r="A36" s="451">
        <v>35</v>
      </c>
      <c r="B36" s="463" t="s">
        <v>157</v>
      </c>
      <c r="C36" s="452" t="s">
        <v>158</v>
      </c>
      <c r="D36" s="461">
        <v>29</v>
      </c>
      <c r="E36" s="461">
        <v>16</v>
      </c>
      <c r="F36" s="467" t="s">
        <v>213</v>
      </c>
      <c r="G36" s="468" t="s">
        <v>214</v>
      </c>
    </row>
    <row r="37" ht="14.25" spans="1:7">
      <c r="A37" s="451">
        <v>36</v>
      </c>
      <c r="B37" s="463" t="s">
        <v>157</v>
      </c>
      <c r="C37" s="452" t="s">
        <v>158</v>
      </c>
      <c r="D37" s="461">
        <v>29</v>
      </c>
      <c r="E37" s="461">
        <v>18</v>
      </c>
      <c r="F37" s="462" t="s">
        <v>215</v>
      </c>
      <c r="G37" s="462" t="s">
        <v>216</v>
      </c>
    </row>
    <row r="38" ht="14.25" spans="1:7">
      <c r="A38" s="454">
        <v>37</v>
      </c>
      <c r="B38" s="455" t="s">
        <v>146</v>
      </c>
      <c r="C38" s="452"/>
      <c r="D38" s="456">
        <v>29</v>
      </c>
      <c r="E38" s="456">
        <v>2</v>
      </c>
      <c r="F38" s="457" t="s">
        <v>217</v>
      </c>
      <c r="G38" s="457" t="s">
        <v>218</v>
      </c>
    </row>
    <row r="39" ht="14.25" spans="1:7">
      <c r="A39" s="451">
        <v>38</v>
      </c>
      <c r="B39" s="463" t="s">
        <v>157</v>
      </c>
      <c r="C39" s="452" t="s">
        <v>158</v>
      </c>
      <c r="D39" s="461">
        <v>21012</v>
      </c>
      <c r="E39" s="453">
        <v>4</v>
      </c>
      <c r="F39" s="462" t="s">
        <v>219</v>
      </c>
      <c r="G39" s="462" t="s">
        <v>219</v>
      </c>
    </row>
    <row r="40" ht="14.25" spans="1:7">
      <c r="A40" s="451">
        <v>39</v>
      </c>
      <c r="B40" s="463" t="s">
        <v>157</v>
      </c>
      <c r="C40" s="452" t="s">
        <v>158</v>
      </c>
      <c r="D40" s="461">
        <v>21012</v>
      </c>
      <c r="E40" s="453">
        <v>3</v>
      </c>
      <c r="F40" s="462" t="s">
        <v>220</v>
      </c>
      <c r="G40" s="462" t="s">
        <v>220</v>
      </c>
    </row>
    <row r="41" ht="14.25" spans="1:7">
      <c r="A41" s="454">
        <v>40</v>
      </c>
      <c r="B41" s="455" t="s">
        <v>146</v>
      </c>
      <c r="C41" s="452"/>
      <c r="D41" s="456">
        <v>21012</v>
      </c>
      <c r="E41" s="466">
        <v>6</v>
      </c>
      <c r="F41" s="457" t="s">
        <v>221</v>
      </c>
      <c r="G41" s="457" t="s">
        <v>222</v>
      </c>
    </row>
    <row r="42" ht="14.25" spans="1:7">
      <c r="A42" s="451">
        <v>41</v>
      </c>
      <c r="B42" s="463" t="s">
        <v>157</v>
      </c>
      <c r="C42" s="452" t="s">
        <v>158</v>
      </c>
      <c r="D42" s="461">
        <v>21013</v>
      </c>
      <c r="E42" s="453">
        <v>4</v>
      </c>
      <c r="F42" s="462" t="s">
        <v>223</v>
      </c>
      <c r="G42" s="462" t="s">
        <v>223</v>
      </c>
    </row>
    <row r="43" ht="14.25" spans="1:7">
      <c r="A43" s="451">
        <v>42</v>
      </c>
      <c r="B43" s="463" t="s">
        <v>157</v>
      </c>
      <c r="C43" s="452" t="s">
        <v>158</v>
      </c>
      <c r="D43" s="461">
        <v>21013</v>
      </c>
      <c r="E43" s="453">
        <v>3</v>
      </c>
      <c r="F43" s="462" t="s">
        <v>224</v>
      </c>
      <c r="G43" s="462" t="s">
        <v>224</v>
      </c>
    </row>
    <row r="44" ht="14.25" spans="1:7">
      <c r="A44" s="454">
        <v>43</v>
      </c>
      <c r="B44" s="455" t="s">
        <v>146</v>
      </c>
      <c r="C44" s="452"/>
      <c r="D44" s="456">
        <v>21013</v>
      </c>
      <c r="E44" s="466">
        <v>6</v>
      </c>
      <c r="F44" s="457" t="s">
        <v>225</v>
      </c>
      <c r="G44" s="457" t="s">
        <v>226</v>
      </c>
    </row>
    <row r="45" ht="14.25" spans="1:7">
      <c r="A45" s="451">
        <v>44</v>
      </c>
      <c r="B45" s="463" t="s">
        <v>157</v>
      </c>
      <c r="C45" s="452" t="s">
        <v>158</v>
      </c>
      <c r="D45" s="461">
        <v>21014</v>
      </c>
      <c r="E45" s="453">
        <v>4</v>
      </c>
      <c r="F45" s="462" t="s">
        <v>227</v>
      </c>
      <c r="G45" s="462" t="s">
        <v>227</v>
      </c>
    </row>
    <row r="46" ht="14.25" spans="1:7">
      <c r="A46" s="451">
        <v>45</v>
      </c>
      <c r="B46" s="463" t="s">
        <v>157</v>
      </c>
      <c r="C46" s="452" t="s">
        <v>158</v>
      </c>
      <c r="D46" s="461">
        <v>21014</v>
      </c>
      <c r="E46" s="453">
        <v>3</v>
      </c>
      <c r="F46" s="462" t="s">
        <v>228</v>
      </c>
      <c r="G46" s="462" t="s">
        <v>228</v>
      </c>
    </row>
    <row r="47" ht="14.25" spans="1:7">
      <c r="A47" s="454">
        <v>46</v>
      </c>
      <c r="B47" s="455" t="s">
        <v>146</v>
      </c>
      <c r="C47" s="452"/>
      <c r="D47" s="456">
        <v>21014</v>
      </c>
      <c r="E47" s="466">
        <v>6</v>
      </c>
      <c r="F47" s="457" t="s">
        <v>229</v>
      </c>
      <c r="G47" s="457" t="s">
        <v>230</v>
      </c>
    </row>
    <row r="48" ht="14.25" spans="1:7">
      <c r="A48" s="451">
        <v>47</v>
      </c>
      <c r="B48" s="459" t="s">
        <v>148</v>
      </c>
      <c r="C48" s="460" t="s">
        <v>158</v>
      </c>
      <c r="D48" s="461">
        <v>21015</v>
      </c>
      <c r="E48" s="453">
        <v>4</v>
      </c>
      <c r="F48" s="462" t="s">
        <v>231</v>
      </c>
      <c r="G48" s="462" t="s">
        <v>231</v>
      </c>
    </row>
    <row r="49" ht="14.25" spans="1:7">
      <c r="A49" s="451">
        <v>48</v>
      </c>
      <c r="B49" s="463" t="s">
        <v>157</v>
      </c>
      <c r="C49" s="460" t="s">
        <v>158</v>
      </c>
      <c r="D49" s="461">
        <v>21015</v>
      </c>
      <c r="E49" s="453">
        <v>3</v>
      </c>
      <c r="F49" s="462" t="s">
        <v>232</v>
      </c>
      <c r="G49" s="462" t="s">
        <v>232</v>
      </c>
    </row>
    <row r="50" ht="14.25" spans="1:7">
      <c r="A50" s="454">
        <v>49</v>
      </c>
      <c r="B50" s="455" t="s">
        <v>146</v>
      </c>
      <c r="C50" s="452"/>
      <c r="D50" s="456">
        <v>21015</v>
      </c>
      <c r="E50" s="466">
        <v>6</v>
      </c>
      <c r="F50" s="457" t="s">
        <v>233</v>
      </c>
      <c r="G50" s="457" t="s">
        <v>234</v>
      </c>
    </row>
    <row r="51" ht="14.25" spans="1:7">
      <c r="A51" s="454">
        <v>50</v>
      </c>
      <c r="B51" s="455" t="s">
        <v>146</v>
      </c>
      <c r="C51" s="452"/>
      <c r="D51" s="456">
        <v>630</v>
      </c>
      <c r="E51" s="456">
        <v>12</v>
      </c>
      <c r="F51" s="457" t="s">
        <v>235</v>
      </c>
      <c r="G51" s="457" t="s">
        <v>235</v>
      </c>
    </row>
    <row r="52" ht="14.25" spans="1:7">
      <c r="A52" s="451">
        <v>51</v>
      </c>
      <c r="B52" s="459" t="s">
        <v>148</v>
      </c>
      <c r="C52" s="460" t="s">
        <v>149</v>
      </c>
      <c r="D52" s="461">
        <v>21016</v>
      </c>
      <c r="E52" s="461">
        <v>12</v>
      </c>
      <c r="F52" s="462" t="s">
        <v>236</v>
      </c>
      <c r="G52" s="462" t="s">
        <v>236</v>
      </c>
    </row>
    <row r="53" ht="14.25" spans="1:7">
      <c r="A53" s="454">
        <v>52</v>
      </c>
      <c r="B53" s="455" t="s">
        <v>146</v>
      </c>
      <c r="C53" s="452"/>
      <c r="D53" s="456">
        <v>21017</v>
      </c>
      <c r="E53" s="456">
        <v>12</v>
      </c>
      <c r="F53" s="457" t="s">
        <v>237</v>
      </c>
      <c r="G53" s="457" t="s">
        <v>237</v>
      </c>
    </row>
    <row r="54" ht="14.25" spans="1:7">
      <c r="A54" s="451">
        <v>53</v>
      </c>
      <c r="B54" s="459" t="s">
        <v>148</v>
      </c>
      <c r="C54" s="460" t="s">
        <v>149</v>
      </c>
      <c r="D54" s="461">
        <v>21018</v>
      </c>
      <c r="E54" s="461">
        <v>12</v>
      </c>
      <c r="F54" s="462" t="s">
        <v>238</v>
      </c>
      <c r="G54" s="462" t="s">
        <v>238</v>
      </c>
    </row>
    <row r="55" ht="14.25" spans="1:7">
      <c r="A55" s="451">
        <v>54</v>
      </c>
      <c r="B55" s="459" t="s">
        <v>148</v>
      </c>
      <c r="C55" s="460" t="s">
        <v>158</v>
      </c>
      <c r="D55" s="461">
        <v>21019</v>
      </c>
      <c r="E55" s="453">
        <v>4</v>
      </c>
      <c r="F55" s="462" t="s">
        <v>239</v>
      </c>
      <c r="G55" s="462" t="s">
        <v>240</v>
      </c>
    </row>
    <row r="56" ht="18" customHeight="1" spans="1:7">
      <c r="A56" s="451">
        <v>55</v>
      </c>
      <c r="B56" s="463" t="s">
        <v>157</v>
      </c>
      <c r="C56" s="452" t="s">
        <v>158</v>
      </c>
      <c r="D56" s="461">
        <v>21019</v>
      </c>
      <c r="E56" s="453">
        <v>3</v>
      </c>
      <c r="F56" s="462" t="s">
        <v>241</v>
      </c>
      <c r="G56" s="462" t="s">
        <v>242</v>
      </c>
    </row>
    <row r="57" ht="14.25" spans="1:7">
      <c r="A57" s="454">
        <v>56</v>
      </c>
      <c r="B57" s="455" t="s">
        <v>146</v>
      </c>
      <c r="C57" s="452"/>
      <c r="D57" s="456">
        <v>21019</v>
      </c>
      <c r="E57" s="466">
        <v>6</v>
      </c>
      <c r="F57" s="457" t="s">
        <v>243</v>
      </c>
      <c r="G57" s="457" t="s">
        <v>244</v>
      </c>
    </row>
    <row r="58" ht="14.25" spans="1:7">
      <c r="A58" s="451">
        <v>57</v>
      </c>
      <c r="B58" s="463" t="s">
        <v>157</v>
      </c>
      <c r="C58" s="452" t="s">
        <v>158</v>
      </c>
      <c r="D58" s="461">
        <v>21022</v>
      </c>
      <c r="E58" s="453">
        <v>4</v>
      </c>
      <c r="F58" s="462" t="s">
        <v>245</v>
      </c>
      <c r="G58" s="462" t="s">
        <v>245</v>
      </c>
    </row>
    <row r="59" ht="14.25" spans="1:7">
      <c r="A59" s="451">
        <v>58</v>
      </c>
      <c r="B59" s="463" t="s">
        <v>157</v>
      </c>
      <c r="C59" s="452" t="s">
        <v>158</v>
      </c>
      <c r="D59" s="461">
        <v>21022</v>
      </c>
      <c r="E59" s="453">
        <v>3</v>
      </c>
      <c r="F59" s="462" t="s">
        <v>246</v>
      </c>
      <c r="G59" s="462" t="s">
        <v>246</v>
      </c>
    </row>
    <row r="60" ht="14.25" spans="1:7">
      <c r="A60" s="454">
        <v>59</v>
      </c>
      <c r="B60" s="455" t="s">
        <v>146</v>
      </c>
      <c r="C60" s="452"/>
      <c r="D60" s="456">
        <v>21022</v>
      </c>
      <c r="E60" s="466">
        <v>6</v>
      </c>
      <c r="F60" s="457" t="s">
        <v>247</v>
      </c>
      <c r="G60" s="457" t="s">
        <v>248</v>
      </c>
    </row>
    <row r="61" ht="14.25" spans="1:7">
      <c r="A61" s="454">
        <v>60</v>
      </c>
      <c r="B61" s="455" t="s">
        <v>146</v>
      </c>
      <c r="C61" s="452"/>
      <c r="D61" s="456">
        <v>21056</v>
      </c>
      <c r="E61" s="456">
        <v>16</v>
      </c>
      <c r="F61" s="457" t="s">
        <v>249</v>
      </c>
      <c r="G61" s="457" t="s">
        <v>250</v>
      </c>
    </row>
    <row r="62" ht="14.25" spans="1:7">
      <c r="A62" s="454">
        <v>61</v>
      </c>
      <c r="B62" s="455" t="s">
        <v>146</v>
      </c>
      <c r="C62" s="452"/>
      <c r="D62" s="456">
        <v>21056</v>
      </c>
      <c r="E62" s="456">
        <v>18</v>
      </c>
      <c r="F62" s="457" t="s">
        <v>251</v>
      </c>
      <c r="G62" s="457" t="s">
        <v>252</v>
      </c>
    </row>
    <row r="63" ht="14.25" spans="1:7">
      <c r="A63" s="451">
        <v>62</v>
      </c>
      <c r="B63" s="463" t="s">
        <v>157</v>
      </c>
      <c r="C63" s="452" t="s">
        <v>158</v>
      </c>
      <c r="D63" s="461">
        <v>21056</v>
      </c>
      <c r="E63" s="461">
        <v>5</v>
      </c>
      <c r="F63" s="462" t="s">
        <v>253</v>
      </c>
      <c r="G63" s="462" t="s">
        <v>254</v>
      </c>
    </row>
    <row r="64" ht="14.25" spans="1:7">
      <c r="A64" s="451">
        <v>63</v>
      </c>
      <c r="B64" s="463" t="s">
        <v>157</v>
      </c>
      <c r="C64" s="452" t="s">
        <v>158</v>
      </c>
      <c r="D64" s="461">
        <v>21056</v>
      </c>
      <c r="E64" s="461">
        <v>6</v>
      </c>
      <c r="F64" s="462" t="s">
        <v>255</v>
      </c>
      <c r="G64" s="462" t="s">
        <v>256</v>
      </c>
    </row>
    <row r="65" ht="15" spans="1:7">
      <c r="A65" s="451">
        <v>64</v>
      </c>
      <c r="B65" s="463" t="s">
        <v>157</v>
      </c>
      <c r="C65" s="452" t="s">
        <v>158</v>
      </c>
      <c r="D65" s="461">
        <v>21067</v>
      </c>
      <c r="E65" s="461">
        <v>16</v>
      </c>
      <c r="F65" s="467" t="s">
        <v>257</v>
      </c>
      <c r="G65" s="468" t="s">
        <v>258</v>
      </c>
    </row>
    <row r="66" ht="14.25" spans="1:7">
      <c r="A66" s="451">
        <v>65</v>
      </c>
      <c r="B66" s="463" t="s">
        <v>157</v>
      </c>
      <c r="C66" s="452" t="s">
        <v>158</v>
      </c>
      <c r="D66" s="461">
        <v>21067</v>
      </c>
      <c r="E66" s="461">
        <v>18</v>
      </c>
      <c r="F66" s="462" t="s">
        <v>259</v>
      </c>
      <c r="G66" s="462" t="s">
        <v>260</v>
      </c>
    </row>
    <row r="67" ht="14.25" spans="1:7">
      <c r="A67" s="454">
        <v>66</v>
      </c>
      <c r="B67" s="455" t="s">
        <v>146</v>
      </c>
      <c r="C67" s="452"/>
      <c r="D67" s="456">
        <v>21067</v>
      </c>
      <c r="E67" s="456">
        <v>2</v>
      </c>
      <c r="F67" s="457" t="s">
        <v>261</v>
      </c>
      <c r="G67" s="457" t="s">
        <v>262</v>
      </c>
    </row>
    <row r="68" ht="14.25" spans="1:8">
      <c r="A68" s="475">
        <v>67</v>
      </c>
      <c r="B68" s="463" t="s">
        <v>263</v>
      </c>
      <c r="C68" s="452" t="s">
        <v>264</v>
      </c>
      <c r="D68" s="476">
        <v>522111</v>
      </c>
      <c r="E68" s="476">
        <v>18</v>
      </c>
      <c r="F68" s="477" t="s">
        <v>265</v>
      </c>
      <c r="G68" s="477" t="s">
        <v>266</v>
      </c>
      <c r="H68" s="478" t="s">
        <v>267</v>
      </c>
    </row>
    <row r="69" ht="14.25" spans="1:8">
      <c r="A69" s="475">
        <v>68</v>
      </c>
      <c r="B69" s="463" t="s">
        <v>263</v>
      </c>
      <c r="C69" s="452" t="s">
        <v>268</v>
      </c>
      <c r="D69" s="476">
        <v>522112</v>
      </c>
      <c r="E69" s="476">
        <v>18</v>
      </c>
      <c r="F69" s="477" t="s">
        <v>269</v>
      </c>
      <c r="G69" s="477" t="s">
        <v>269</v>
      </c>
      <c r="H69" s="478" t="s">
        <v>267</v>
      </c>
    </row>
    <row r="70" ht="14.25" spans="1:8">
      <c r="A70" s="475">
        <v>69</v>
      </c>
      <c r="B70" s="463" t="s">
        <v>157</v>
      </c>
      <c r="C70" s="452" t="s">
        <v>158</v>
      </c>
      <c r="D70" s="476">
        <v>522115</v>
      </c>
      <c r="E70" s="476">
        <v>12</v>
      </c>
      <c r="F70" s="477" t="s">
        <v>270</v>
      </c>
      <c r="G70" s="477" t="s">
        <v>270</v>
      </c>
      <c r="H70" s="478" t="s">
        <v>267</v>
      </c>
    </row>
    <row r="71" ht="14.25" spans="1:8">
      <c r="A71" s="475">
        <v>70</v>
      </c>
      <c r="B71" s="463" t="s">
        <v>157</v>
      </c>
      <c r="C71" s="452" t="s">
        <v>158</v>
      </c>
      <c r="D71" s="476">
        <v>522116</v>
      </c>
      <c r="E71" s="476">
        <v>12</v>
      </c>
      <c r="F71" s="477" t="s">
        <v>271</v>
      </c>
      <c r="G71" s="477" t="s">
        <v>271</v>
      </c>
      <c r="H71" s="478" t="s">
        <v>267</v>
      </c>
    </row>
    <row r="72" ht="14.25" spans="1:8">
      <c r="A72" s="475">
        <v>71</v>
      </c>
      <c r="B72" s="463" t="s">
        <v>157</v>
      </c>
      <c r="C72" s="452" t="s">
        <v>158</v>
      </c>
      <c r="D72" s="476">
        <v>522117</v>
      </c>
      <c r="E72" s="476">
        <v>12</v>
      </c>
      <c r="F72" s="477" t="s">
        <v>272</v>
      </c>
      <c r="G72" s="477" t="s">
        <v>272</v>
      </c>
      <c r="H72" s="478" t="s">
        <v>267</v>
      </c>
    </row>
    <row r="73" ht="14.25" spans="1:8">
      <c r="A73" s="475">
        <v>72</v>
      </c>
      <c r="B73" s="463" t="s">
        <v>157</v>
      </c>
      <c r="C73" s="452" t="s">
        <v>158</v>
      </c>
      <c r="D73" s="476">
        <v>522119</v>
      </c>
      <c r="E73" s="476">
        <v>5</v>
      </c>
      <c r="F73" s="477" t="s">
        <v>273</v>
      </c>
      <c r="G73" s="477" t="s">
        <v>273</v>
      </c>
      <c r="H73" s="478" t="s">
        <v>267</v>
      </c>
    </row>
    <row r="74" ht="14.25" spans="1:8">
      <c r="A74" s="475">
        <v>73</v>
      </c>
      <c r="B74" s="463" t="s">
        <v>157</v>
      </c>
      <c r="C74" s="452" t="s">
        <v>158</v>
      </c>
      <c r="D74" s="476">
        <v>522119</v>
      </c>
      <c r="E74" s="476">
        <v>4</v>
      </c>
      <c r="F74" s="477" t="s">
        <v>274</v>
      </c>
      <c r="G74" s="477" t="s">
        <v>274</v>
      </c>
      <c r="H74" s="478" t="s">
        <v>267</v>
      </c>
    </row>
    <row r="75" ht="14.25" spans="1:8">
      <c r="A75" s="475">
        <v>74</v>
      </c>
      <c r="B75" s="463" t="s">
        <v>157</v>
      </c>
      <c r="C75" s="452" t="s">
        <v>158</v>
      </c>
      <c r="D75" s="476">
        <v>1746</v>
      </c>
      <c r="E75" s="476">
        <v>9</v>
      </c>
      <c r="F75" s="477" t="s">
        <v>275</v>
      </c>
      <c r="G75" s="477" t="s">
        <v>275</v>
      </c>
      <c r="H75" s="478" t="s">
        <v>267</v>
      </c>
    </row>
    <row r="76" ht="14.25" spans="1:8">
      <c r="A76" s="475">
        <v>75</v>
      </c>
      <c r="B76" s="463" t="s">
        <v>157</v>
      </c>
      <c r="C76" s="452" t="s">
        <v>158</v>
      </c>
      <c r="D76" s="476">
        <v>1746</v>
      </c>
      <c r="E76" s="476">
        <v>2</v>
      </c>
      <c r="F76" s="477" t="s">
        <v>276</v>
      </c>
      <c r="G76" s="477" t="s">
        <v>276</v>
      </c>
      <c r="H76" s="478" t="s">
        <v>267</v>
      </c>
    </row>
    <row r="77" ht="14.25" spans="1:8">
      <c r="A77" s="475">
        <v>76</v>
      </c>
      <c r="B77" s="463" t="s">
        <v>157</v>
      </c>
      <c r="C77" s="452" t="s">
        <v>158</v>
      </c>
      <c r="D77" s="476">
        <v>21068</v>
      </c>
      <c r="E77" s="476">
        <v>2</v>
      </c>
      <c r="F77" s="477" t="s">
        <v>277</v>
      </c>
      <c r="G77" s="477" t="s">
        <v>277</v>
      </c>
      <c r="H77" s="478" t="s">
        <v>267</v>
      </c>
    </row>
    <row r="78" ht="14.25" spans="1:8">
      <c r="A78" s="475">
        <v>77</v>
      </c>
      <c r="B78" s="463" t="s">
        <v>157</v>
      </c>
      <c r="C78" s="452" t="s">
        <v>158</v>
      </c>
      <c r="D78" s="476">
        <v>21068</v>
      </c>
      <c r="E78" s="476">
        <v>2</v>
      </c>
      <c r="F78" s="477" t="s">
        <v>278</v>
      </c>
      <c r="G78" s="477" t="s">
        <v>278</v>
      </c>
      <c r="H78" s="478" t="s">
        <v>267</v>
      </c>
    </row>
    <row r="79" ht="14.25" spans="1:8">
      <c r="A79" s="454">
        <v>78</v>
      </c>
      <c r="B79" s="455" t="s">
        <v>146</v>
      </c>
      <c r="C79" s="452"/>
      <c r="D79" s="456">
        <v>522113</v>
      </c>
      <c r="E79" s="456">
        <v>16</v>
      </c>
      <c r="F79" s="457" t="s">
        <v>279</v>
      </c>
      <c r="G79" s="457" t="s">
        <v>279</v>
      </c>
      <c r="H79" s="478" t="s">
        <v>280</v>
      </c>
    </row>
    <row r="80" ht="14.25" spans="1:8">
      <c r="A80" s="454">
        <v>79</v>
      </c>
      <c r="B80" s="455" t="s">
        <v>146</v>
      </c>
      <c r="C80" s="452"/>
      <c r="D80" s="456">
        <v>522114</v>
      </c>
      <c r="E80" s="456">
        <v>18</v>
      </c>
      <c r="F80" s="457" t="s">
        <v>281</v>
      </c>
      <c r="G80" s="457" t="s">
        <v>281</v>
      </c>
      <c r="H80" s="478" t="s">
        <v>280</v>
      </c>
    </row>
    <row r="81" ht="14.25" spans="1:8">
      <c r="A81" s="454">
        <v>80</v>
      </c>
      <c r="B81" s="455" t="s">
        <v>146</v>
      </c>
      <c r="C81" s="452"/>
      <c r="D81" s="456">
        <v>522113</v>
      </c>
      <c r="E81" s="456">
        <v>16</v>
      </c>
      <c r="F81" s="457" t="s">
        <v>282</v>
      </c>
      <c r="G81" s="457" t="s">
        <v>282</v>
      </c>
      <c r="H81" s="478" t="s">
        <v>280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59"/>
  <sheetViews>
    <sheetView zoomScale="130" zoomScaleNormal="130" workbookViewId="0">
      <selection activeCell="C136" sqref="C136"/>
    </sheetView>
  </sheetViews>
  <sheetFormatPr defaultColWidth="9" defaultRowHeight="13.5"/>
  <cols>
    <col min="2" max="2" width="9" style="79"/>
    <col min="3" max="3" width="11" customWidth="1"/>
    <col min="6" max="6" width="50" style="52" customWidth="1"/>
    <col min="7" max="7" width="27.375" customWidth="1"/>
    <col min="8" max="8" width="23.75" customWidth="1"/>
    <col min="9" max="9" width="10.5" customWidth="1"/>
  </cols>
  <sheetData>
    <row r="1" ht="14.25" spans="1:7">
      <c r="A1" s="415" t="s">
        <v>125</v>
      </c>
      <c r="B1" s="416" t="s">
        <v>140</v>
      </c>
      <c r="C1" s="415" t="s">
        <v>141</v>
      </c>
      <c r="D1" s="415" t="s">
        <v>128</v>
      </c>
      <c r="E1" s="417" t="s">
        <v>129</v>
      </c>
      <c r="F1" s="418" t="s">
        <v>283</v>
      </c>
      <c r="G1" s="24"/>
    </row>
    <row r="2" ht="17.25" spans="1:9">
      <c r="A2" s="21">
        <v>1</v>
      </c>
      <c r="B2" s="419" t="s">
        <v>157</v>
      </c>
      <c r="C2" s="420" t="s">
        <v>71</v>
      </c>
      <c r="D2" s="21">
        <v>521400</v>
      </c>
      <c r="E2" s="21">
        <v>23</v>
      </c>
      <c r="F2" s="256" t="s">
        <v>284</v>
      </c>
      <c r="G2" s="24"/>
      <c r="H2" s="421" t="s">
        <v>285</v>
      </c>
      <c r="I2" s="421">
        <v>20211230</v>
      </c>
    </row>
    <row r="3" ht="17.25" spans="1:7">
      <c r="A3" s="21">
        <v>2</v>
      </c>
      <c r="B3" s="419" t="s">
        <v>157</v>
      </c>
      <c r="C3" s="420" t="s">
        <v>71</v>
      </c>
      <c r="D3" s="21">
        <v>521401</v>
      </c>
      <c r="E3" s="21">
        <v>5</v>
      </c>
      <c r="F3" s="256" t="s">
        <v>286</v>
      </c>
      <c r="G3" s="24"/>
    </row>
    <row r="4" ht="17.25" spans="1:7">
      <c r="A4" s="21">
        <v>3</v>
      </c>
      <c r="B4" s="419" t="s">
        <v>157</v>
      </c>
      <c r="C4" s="420" t="s">
        <v>71</v>
      </c>
      <c r="D4" s="105">
        <v>521401</v>
      </c>
      <c r="E4" s="105">
        <v>1</v>
      </c>
      <c r="F4" s="28" t="s">
        <v>287</v>
      </c>
      <c r="G4" s="24" t="s">
        <v>288</v>
      </c>
    </row>
    <row r="5" ht="17.25" spans="1:7">
      <c r="A5" s="21">
        <v>4</v>
      </c>
      <c r="B5" s="419" t="s">
        <v>157</v>
      </c>
      <c r="C5" s="420" t="s">
        <v>71</v>
      </c>
      <c r="D5" s="105">
        <v>521401</v>
      </c>
      <c r="E5" s="105">
        <v>0</v>
      </c>
      <c r="F5" s="28" t="s">
        <v>289</v>
      </c>
      <c r="G5" s="24" t="s">
        <v>288</v>
      </c>
    </row>
    <row r="6" ht="17.25" spans="1:7">
      <c r="A6" s="21">
        <v>5</v>
      </c>
      <c r="B6" s="419" t="s">
        <v>157</v>
      </c>
      <c r="C6" s="420" t="s">
        <v>71</v>
      </c>
      <c r="D6" s="105">
        <v>521401</v>
      </c>
      <c r="E6" s="105">
        <v>25</v>
      </c>
      <c r="F6" s="28" t="s">
        <v>290</v>
      </c>
      <c r="G6" s="24" t="s">
        <v>288</v>
      </c>
    </row>
    <row r="7" ht="17.25" spans="1:7">
      <c r="A7" s="21">
        <v>6</v>
      </c>
      <c r="B7" s="419" t="s">
        <v>157</v>
      </c>
      <c r="C7" s="420" t="s">
        <v>71</v>
      </c>
      <c r="D7" s="105">
        <v>521401</v>
      </c>
      <c r="E7" s="105">
        <v>20</v>
      </c>
      <c r="F7" s="28" t="s">
        <v>291</v>
      </c>
      <c r="G7" s="24" t="s">
        <v>288</v>
      </c>
    </row>
    <row r="8" ht="17.25" spans="1:7">
      <c r="A8" s="21">
        <v>7</v>
      </c>
      <c r="B8" s="419" t="s">
        <v>157</v>
      </c>
      <c r="C8" s="420" t="s">
        <v>158</v>
      </c>
      <c r="D8" s="21">
        <v>521401</v>
      </c>
      <c r="E8" s="21">
        <v>12</v>
      </c>
      <c r="F8" s="256" t="s">
        <v>292</v>
      </c>
      <c r="G8" s="24" t="s">
        <v>288</v>
      </c>
    </row>
    <row r="9" ht="17.25" spans="1:7">
      <c r="A9" s="21">
        <v>8</v>
      </c>
      <c r="B9" s="419" t="s">
        <v>157</v>
      </c>
      <c r="C9" s="420" t="s">
        <v>158</v>
      </c>
      <c r="D9" s="105">
        <v>521401</v>
      </c>
      <c r="E9" s="105">
        <v>19</v>
      </c>
      <c r="F9" s="28" t="s">
        <v>293</v>
      </c>
      <c r="G9" s="24" t="s">
        <v>288</v>
      </c>
    </row>
    <row r="10" ht="14.25" spans="1:7">
      <c r="A10" s="407">
        <v>9</v>
      </c>
      <c r="B10" s="422" t="s">
        <v>146</v>
      </c>
      <c r="C10" s="423"/>
      <c r="D10" s="407">
        <v>521401</v>
      </c>
      <c r="E10" s="407">
        <v>16</v>
      </c>
      <c r="F10" s="258" t="s">
        <v>294</v>
      </c>
      <c r="G10" s="24" t="s">
        <v>288</v>
      </c>
    </row>
    <row r="11" ht="14.25" spans="1:7">
      <c r="A11" s="407">
        <v>10</v>
      </c>
      <c r="B11" s="422" t="s">
        <v>146</v>
      </c>
      <c r="C11" s="423"/>
      <c r="D11" s="407">
        <v>521401</v>
      </c>
      <c r="E11" s="407">
        <v>6</v>
      </c>
      <c r="F11" s="258" t="s">
        <v>295</v>
      </c>
      <c r="G11" s="24" t="s">
        <v>288</v>
      </c>
    </row>
    <row r="12" ht="14.25" spans="1:7">
      <c r="A12" s="407">
        <v>11</v>
      </c>
      <c r="B12" s="422" t="s">
        <v>146</v>
      </c>
      <c r="C12" s="423"/>
      <c r="D12" s="407">
        <v>521401</v>
      </c>
      <c r="E12" s="407">
        <v>3</v>
      </c>
      <c r="F12" s="258" t="s">
        <v>296</v>
      </c>
      <c r="G12" s="24" t="s">
        <v>288</v>
      </c>
    </row>
    <row r="13" ht="14.25" spans="1:7">
      <c r="A13" s="407">
        <v>12</v>
      </c>
      <c r="B13" s="422" t="s">
        <v>146</v>
      </c>
      <c r="C13" s="423"/>
      <c r="D13" s="407">
        <v>521401</v>
      </c>
      <c r="E13" s="407">
        <v>4</v>
      </c>
      <c r="F13" s="258" t="s">
        <v>297</v>
      </c>
      <c r="G13" s="24" t="s">
        <v>288</v>
      </c>
    </row>
    <row r="14" ht="14.25" spans="1:7">
      <c r="A14" s="407">
        <v>13</v>
      </c>
      <c r="B14" s="422" t="s">
        <v>146</v>
      </c>
      <c r="C14" s="423"/>
      <c r="D14" s="407">
        <v>521401</v>
      </c>
      <c r="E14" s="407">
        <v>26</v>
      </c>
      <c r="F14" s="258" t="s">
        <v>298</v>
      </c>
      <c r="G14" s="24" t="s">
        <v>288</v>
      </c>
    </row>
    <row r="15" ht="17.25" spans="1:7">
      <c r="A15" s="21">
        <v>14</v>
      </c>
      <c r="B15" s="419" t="s">
        <v>157</v>
      </c>
      <c r="C15" s="420" t="s">
        <v>158</v>
      </c>
      <c r="D15" s="105">
        <v>521401</v>
      </c>
      <c r="E15" s="105">
        <v>21</v>
      </c>
      <c r="F15" s="28" t="s">
        <v>299</v>
      </c>
      <c r="G15" s="24" t="s">
        <v>288</v>
      </c>
    </row>
    <row r="16" ht="17.25" spans="1:7">
      <c r="A16" s="21">
        <v>15</v>
      </c>
      <c r="B16" s="419" t="s">
        <v>157</v>
      </c>
      <c r="C16" s="420" t="s">
        <v>158</v>
      </c>
      <c r="D16" s="105">
        <v>521401</v>
      </c>
      <c r="E16" s="105">
        <v>22</v>
      </c>
      <c r="F16" s="28" t="s">
        <v>300</v>
      </c>
      <c r="G16" s="24" t="s">
        <v>288</v>
      </c>
    </row>
    <row r="17" ht="17.25" spans="1:7">
      <c r="A17" s="21">
        <v>16</v>
      </c>
      <c r="B17" s="419" t="s">
        <v>157</v>
      </c>
      <c r="C17" s="420" t="s">
        <v>158</v>
      </c>
      <c r="D17" s="21">
        <v>521402</v>
      </c>
      <c r="E17" s="21">
        <v>12</v>
      </c>
      <c r="F17" s="256" t="s">
        <v>301</v>
      </c>
      <c r="G17" s="24" t="s">
        <v>288</v>
      </c>
    </row>
    <row r="18" ht="14.25" spans="1:7">
      <c r="A18" s="407">
        <v>17</v>
      </c>
      <c r="B18" s="422" t="s">
        <v>146</v>
      </c>
      <c r="C18" s="423"/>
      <c r="D18" s="407">
        <v>521402</v>
      </c>
      <c r="E18" s="407">
        <v>6</v>
      </c>
      <c r="F18" s="258" t="s">
        <v>302</v>
      </c>
      <c r="G18" s="24" t="s">
        <v>288</v>
      </c>
    </row>
    <row r="19" ht="14.25" spans="1:7">
      <c r="A19" s="407">
        <v>18</v>
      </c>
      <c r="B19" s="422" t="s">
        <v>146</v>
      </c>
      <c r="C19" s="423"/>
      <c r="D19" s="407">
        <v>521402</v>
      </c>
      <c r="E19" s="407">
        <v>3</v>
      </c>
      <c r="F19" s="258" t="s">
        <v>303</v>
      </c>
      <c r="G19" s="24" t="s">
        <v>288</v>
      </c>
    </row>
    <row r="20" ht="14.25" spans="1:7">
      <c r="A20" s="407">
        <v>19</v>
      </c>
      <c r="B20" s="422" t="s">
        <v>146</v>
      </c>
      <c r="C20" s="423"/>
      <c r="D20" s="407">
        <v>521402</v>
      </c>
      <c r="E20" s="407">
        <v>4</v>
      </c>
      <c r="F20" s="258" t="s">
        <v>304</v>
      </c>
      <c r="G20" s="24" t="s">
        <v>288</v>
      </c>
    </row>
    <row r="21" ht="17.25" spans="1:7">
      <c r="A21" s="21">
        <v>20</v>
      </c>
      <c r="B21" s="419" t="s">
        <v>157</v>
      </c>
      <c r="C21" s="420" t="s">
        <v>158</v>
      </c>
      <c r="D21" s="105">
        <v>521402</v>
      </c>
      <c r="E21" s="105">
        <v>19</v>
      </c>
      <c r="F21" s="28" t="s">
        <v>305</v>
      </c>
      <c r="G21" s="24" t="s">
        <v>288</v>
      </c>
    </row>
    <row r="22" ht="14.25" spans="1:7">
      <c r="A22" s="407">
        <v>21</v>
      </c>
      <c r="B22" s="422" t="s">
        <v>146</v>
      </c>
      <c r="C22" s="423"/>
      <c r="D22" s="407">
        <v>521402</v>
      </c>
      <c r="E22" s="407">
        <v>16</v>
      </c>
      <c r="F22" s="258" t="s">
        <v>306</v>
      </c>
      <c r="G22" s="24" t="s">
        <v>288</v>
      </c>
    </row>
    <row r="23" ht="14.25" spans="1:7">
      <c r="A23" s="407">
        <v>22</v>
      </c>
      <c r="B23" s="422" t="s">
        <v>146</v>
      </c>
      <c r="C23" s="423"/>
      <c r="D23" s="407">
        <v>521402</v>
      </c>
      <c r="E23" s="407">
        <v>20</v>
      </c>
      <c r="F23" s="258" t="s">
        <v>307</v>
      </c>
      <c r="G23" s="24" t="s">
        <v>288</v>
      </c>
    </row>
    <row r="24" ht="14.25" spans="1:7">
      <c r="A24" s="407">
        <v>23</v>
      </c>
      <c r="B24" s="422" t="s">
        <v>146</v>
      </c>
      <c r="C24" s="423"/>
      <c r="D24" s="407">
        <v>521402</v>
      </c>
      <c r="E24" s="407">
        <v>15</v>
      </c>
      <c r="F24" s="258" t="s">
        <v>308</v>
      </c>
      <c r="G24" s="24" t="s">
        <v>288</v>
      </c>
    </row>
    <row r="25" ht="17.25" spans="1:7">
      <c r="A25" s="21">
        <v>24</v>
      </c>
      <c r="B25" s="419" t="s">
        <v>157</v>
      </c>
      <c r="C25" s="420" t="s">
        <v>158</v>
      </c>
      <c r="D25" s="105">
        <v>521402</v>
      </c>
      <c r="E25" s="105">
        <v>10</v>
      </c>
      <c r="F25" s="28" t="s">
        <v>309</v>
      </c>
      <c r="G25" s="24" t="s">
        <v>288</v>
      </c>
    </row>
    <row r="26" ht="17.25" spans="1:7">
      <c r="A26" s="21">
        <v>25</v>
      </c>
      <c r="B26" s="419" t="s">
        <v>157</v>
      </c>
      <c r="C26" s="420" t="s">
        <v>158</v>
      </c>
      <c r="D26" s="21">
        <v>521403</v>
      </c>
      <c r="E26" s="21">
        <v>12</v>
      </c>
      <c r="F26" s="256" t="s">
        <v>310</v>
      </c>
      <c r="G26" s="24"/>
    </row>
    <row r="27" ht="17.25" spans="1:7">
      <c r="A27" s="21">
        <v>26</v>
      </c>
      <c r="B27" s="419" t="s">
        <v>157</v>
      </c>
      <c r="C27" s="420" t="s">
        <v>158</v>
      </c>
      <c r="D27" s="21">
        <v>521404</v>
      </c>
      <c r="E27" s="21">
        <v>12</v>
      </c>
      <c r="F27" s="256" t="s">
        <v>311</v>
      </c>
      <c r="G27" s="24"/>
    </row>
    <row r="28" ht="17.25" spans="1:7">
      <c r="A28" s="21">
        <v>27</v>
      </c>
      <c r="B28" s="419" t="s">
        <v>157</v>
      </c>
      <c r="C28" s="420" t="s">
        <v>158</v>
      </c>
      <c r="D28" s="21">
        <v>521405</v>
      </c>
      <c r="E28" s="21">
        <v>12</v>
      </c>
      <c r="F28" s="256" t="s">
        <v>312</v>
      </c>
      <c r="G28" s="24"/>
    </row>
    <row r="29" ht="17.25" spans="1:8">
      <c r="A29" s="21">
        <v>28</v>
      </c>
      <c r="B29" s="419" t="s">
        <v>157</v>
      </c>
      <c r="C29" s="420" t="s">
        <v>158</v>
      </c>
      <c r="D29" s="105">
        <v>521406</v>
      </c>
      <c r="E29" s="105">
        <v>12</v>
      </c>
      <c r="F29" s="28" t="s">
        <v>313</v>
      </c>
      <c r="G29" s="24" t="s">
        <v>314</v>
      </c>
      <c r="H29" t="s">
        <v>315</v>
      </c>
    </row>
    <row r="30" ht="17.25" spans="1:7">
      <c r="A30" s="21">
        <v>29</v>
      </c>
      <c r="B30" s="419" t="s">
        <v>157</v>
      </c>
      <c r="C30" s="420" t="s">
        <v>158</v>
      </c>
      <c r="D30" s="308">
        <v>521407</v>
      </c>
      <c r="E30" s="308">
        <v>12</v>
      </c>
      <c r="F30" s="23" t="s">
        <v>316</v>
      </c>
      <c r="G30" s="24"/>
    </row>
    <row r="31" ht="14.25" spans="1:7">
      <c r="A31" s="21">
        <v>30</v>
      </c>
      <c r="B31" s="424"/>
      <c r="C31" s="21"/>
      <c r="D31" s="314">
        <v>521408</v>
      </c>
      <c r="E31" s="314"/>
      <c r="F31" s="329" t="s">
        <v>317</v>
      </c>
      <c r="G31" s="24"/>
    </row>
    <row r="32" ht="14.25" spans="1:7">
      <c r="A32" s="407">
        <v>31</v>
      </c>
      <c r="B32" s="422" t="s">
        <v>146</v>
      </c>
      <c r="C32" s="423"/>
      <c r="D32" s="336">
        <v>521408</v>
      </c>
      <c r="E32" s="336">
        <v>18</v>
      </c>
      <c r="F32" s="425" t="s">
        <v>318</v>
      </c>
      <c r="G32" s="24" t="s">
        <v>288</v>
      </c>
    </row>
    <row r="33" ht="14.25" spans="1:7">
      <c r="A33" s="407">
        <v>32</v>
      </c>
      <c r="B33" s="422" t="s">
        <v>146</v>
      </c>
      <c r="C33" s="423"/>
      <c r="D33" s="336">
        <v>521408</v>
      </c>
      <c r="E33" s="336">
        <v>28</v>
      </c>
      <c r="F33" s="425" t="s">
        <v>319</v>
      </c>
      <c r="G33" s="24" t="s">
        <v>288</v>
      </c>
    </row>
    <row r="34" ht="17.25" spans="1:7">
      <c r="A34" s="21">
        <v>33</v>
      </c>
      <c r="B34" s="419" t="s">
        <v>157</v>
      </c>
      <c r="C34" s="420" t="s">
        <v>158</v>
      </c>
      <c r="D34" s="308">
        <v>521409</v>
      </c>
      <c r="E34" s="308">
        <v>12</v>
      </c>
      <c r="F34" s="23" t="s">
        <v>320</v>
      </c>
      <c r="G34" s="24"/>
    </row>
    <row r="35" ht="14.25" spans="1:7">
      <c r="A35" s="407">
        <v>34</v>
      </c>
      <c r="B35" s="422" t="s">
        <v>146</v>
      </c>
      <c r="C35" s="423"/>
      <c r="D35" s="336">
        <v>521409</v>
      </c>
      <c r="E35" s="336">
        <v>6</v>
      </c>
      <c r="F35" s="425" t="s">
        <v>321</v>
      </c>
      <c r="G35" s="24"/>
    </row>
    <row r="36" ht="14.25" spans="1:7">
      <c r="A36" s="407">
        <v>35</v>
      </c>
      <c r="B36" s="422" t="s">
        <v>146</v>
      </c>
      <c r="C36" s="423"/>
      <c r="D36" s="336">
        <v>521409</v>
      </c>
      <c r="E36" s="336">
        <v>3</v>
      </c>
      <c r="F36" s="425" t="s">
        <v>322</v>
      </c>
      <c r="G36" s="24"/>
    </row>
    <row r="37" ht="14.25" spans="1:7">
      <c r="A37" s="407">
        <v>36</v>
      </c>
      <c r="B37" s="422" t="s">
        <v>146</v>
      </c>
      <c r="C37" s="423"/>
      <c r="D37" s="336">
        <v>521409</v>
      </c>
      <c r="E37" s="336">
        <v>4</v>
      </c>
      <c r="F37" s="425" t="s">
        <v>323</v>
      </c>
      <c r="G37" s="24"/>
    </row>
    <row r="38" ht="14.25" spans="1:7">
      <c r="A38" s="407">
        <v>37</v>
      </c>
      <c r="B38" s="422" t="s">
        <v>146</v>
      </c>
      <c r="C38" s="423"/>
      <c r="D38" s="336">
        <v>521409</v>
      </c>
      <c r="E38" s="336">
        <v>16</v>
      </c>
      <c r="F38" s="425" t="s">
        <v>324</v>
      </c>
      <c r="G38" s="24"/>
    </row>
    <row r="39" ht="17.25" spans="1:7">
      <c r="A39" s="21">
        <v>38</v>
      </c>
      <c r="B39" s="419" t="s">
        <v>157</v>
      </c>
      <c r="C39" s="420" t="s">
        <v>158</v>
      </c>
      <c r="D39" s="426">
        <v>521409</v>
      </c>
      <c r="E39" s="426">
        <v>21</v>
      </c>
      <c r="F39" s="427" t="s">
        <v>325</v>
      </c>
      <c r="G39" s="24"/>
    </row>
    <row r="40" ht="17.25" spans="1:7">
      <c r="A40" s="21">
        <v>39</v>
      </c>
      <c r="B40" s="419" t="s">
        <v>157</v>
      </c>
      <c r="C40" s="420" t="s">
        <v>158</v>
      </c>
      <c r="D40" s="426">
        <v>521409</v>
      </c>
      <c r="E40" s="426">
        <v>22</v>
      </c>
      <c r="F40" s="427" t="s">
        <v>326</v>
      </c>
      <c r="G40" s="24"/>
    </row>
    <row r="41" ht="34.5" spans="1:7">
      <c r="A41" s="21">
        <v>40</v>
      </c>
      <c r="B41" s="419" t="s">
        <v>263</v>
      </c>
      <c r="C41" s="428" t="s">
        <v>327</v>
      </c>
      <c r="D41" s="21">
        <v>521410</v>
      </c>
      <c r="E41" s="21">
        <v>12</v>
      </c>
      <c r="F41" s="23" t="s">
        <v>328</v>
      </c>
      <c r="G41" s="24"/>
    </row>
    <row r="42" ht="14.25" spans="1:7">
      <c r="A42" s="21">
        <v>41</v>
      </c>
      <c r="B42" s="424"/>
      <c r="C42" s="21"/>
      <c r="D42" s="429">
        <v>521411</v>
      </c>
      <c r="E42" s="429">
        <v>12</v>
      </c>
      <c r="F42" s="430" t="s">
        <v>329</v>
      </c>
      <c r="G42" s="24" t="s">
        <v>314</v>
      </c>
    </row>
    <row r="43" ht="17.25" spans="1:7">
      <c r="A43" s="21">
        <v>42</v>
      </c>
      <c r="B43" s="419" t="s">
        <v>157</v>
      </c>
      <c r="C43" s="420" t="s">
        <v>71</v>
      </c>
      <c r="D43" s="21">
        <v>521412</v>
      </c>
      <c r="E43" s="21">
        <v>0</v>
      </c>
      <c r="F43" s="23" t="s">
        <v>330</v>
      </c>
      <c r="G43" s="24"/>
    </row>
    <row r="44" ht="17.25" spans="1:7">
      <c r="A44" s="21">
        <v>43</v>
      </c>
      <c r="B44" s="419" t="s">
        <v>157</v>
      </c>
      <c r="C44" s="420" t="s">
        <v>71</v>
      </c>
      <c r="D44" s="21">
        <v>521413</v>
      </c>
      <c r="E44" s="21">
        <v>0</v>
      </c>
      <c r="F44" s="427" t="s">
        <v>331</v>
      </c>
      <c r="G44" s="24" t="s">
        <v>332</v>
      </c>
    </row>
    <row r="45" ht="17.25" spans="1:7">
      <c r="A45" s="21">
        <v>44</v>
      </c>
      <c r="B45" s="419" t="s">
        <v>157</v>
      </c>
      <c r="C45" s="420" t="s">
        <v>71</v>
      </c>
      <c r="D45" s="21">
        <v>521414</v>
      </c>
      <c r="E45" s="21">
        <v>0</v>
      </c>
      <c r="F45" s="23" t="s">
        <v>333</v>
      </c>
      <c r="G45" s="24"/>
    </row>
    <row r="46" ht="17.25" spans="1:7">
      <c r="A46" s="21">
        <v>45</v>
      </c>
      <c r="B46" s="419" t="s">
        <v>157</v>
      </c>
      <c r="C46" s="420" t="s">
        <v>71</v>
      </c>
      <c r="D46" s="21">
        <v>521415</v>
      </c>
      <c r="E46" s="21">
        <v>0</v>
      </c>
      <c r="F46" s="23" t="s">
        <v>334</v>
      </c>
      <c r="G46" s="24"/>
    </row>
    <row r="47" ht="14.25" spans="1:7">
      <c r="A47" s="407">
        <v>46</v>
      </c>
      <c r="B47" s="422" t="s">
        <v>146</v>
      </c>
      <c r="C47" s="423"/>
      <c r="D47" s="407">
        <v>521415</v>
      </c>
      <c r="E47" s="407">
        <v>1</v>
      </c>
      <c r="F47" s="425" t="s">
        <v>335</v>
      </c>
      <c r="G47" s="24"/>
    </row>
    <row r="48" ht="17.25" spans="1:7">
      <c r="A48" s="21">
        <v>47</v>
      </c>
      <c r="B48" s="419" t="s">
        <v>157</v>
      </c>
      <c r="C48" s="420" t="s">
        <v>71</v>
      </c>
      <c r="D48" s="21">
        <v>521415</v>
      </c>
      <c r="E48" s="21">
        <v>23</v>
      </c>
      <c r="F48" s="23" t="s">
        <v>336</v>
      </c>
      <c r="G48" s="24"/>
    </row>
    <row r="49" ht="17.25" spans="1:7">
      <c r="A49" s="21">
        <v>48</v>
      </c>
      <c r="B49" s="419" t="s">
        <v>157</v>
      </c>
      <c r="C49" s="420" t="s">
        <v>71</v>
      </c>
      <c r="D49" s="21">
        <v>521416</v>
      </c>
      <c r="E49" s="21">
        <v>0</v>
      </c>
      <c r="F49" s="23" t="s">
        <v>337</v>
      </c>
      <c r="G49" s="24"/>
    </row>
    <row r="50" ht="14.25" spans="1:7">
      <c r="A50" s="407">
        <v>49</v>
      </c>
      <c r="B50" s="422" t="s">
        <v>146</v>
      </c>
      <c r="C50" s="423"/>
      <c r="D50" s="407">
        <v>521416</v>
      </c>
      <c r="E50" s="407">
        <v>1</v>
      </c>
      <c r="F50" s="258" t="s">
        <v>338</v>
      </c>
      <c r="G50" s="24"/>
    </row>
    <row r="51" ht="17.25" spans="1:7">
      <c r="A51" s="21">
        <v>50</v>
      </c>
      <c r="B51" s="419" t="s">
        <v>157</v>
      </c>
      <c r="C51" s="420" t="s">
        <v>71</v>
      </c>
      <c r="D51" s="21">
        <v>521416</v>
      </c>
      <c r="E51" s="21">
        <v>23</v>
      </c>
      <c r="F51" s="256" t="s">
        <v>339</v>
      </c>
      <c r="G51" s="24"/>
    </row>
    <row r="52" ht="17.25" spans="1:7">
      <c r="A52" s="21">
        <v>51</v>
      </c>
      <c r="B52" s="419" t="s">
        <v>157</v>
      </c>
      <c r="C52" s="420" t="s">
        <v>158</v>
      </c>
      <c r="D52" s="21">
        <v>521417</v>
      </c>
      <c r="E52" s="21">
        <v>1</v>
      </c>
      <c r="F52" s="256" t="s">
        <v>340</v>
      </c>
      <c r="G52" s="24"/>
    </row>
    <row r="53" ht="17.25" spans="1:7">
      <c r="A53" s="21">
        <v>52</v>
      </c>
      <c r="B53" s="419" t="s">
        <v>157</v>
      </c>
      <c r="C53" s="420" t="s">
        <v>71</v>
      </c>
      <c r="D53" s="21">
        <v>521418</v>
      </c>
      <c r="E53" s="21">
        <v>0</v>
      </c>
      <c r="F53" s="256" t="s">
        <v>341</v>
      </c>
      <c r="G53" s="24"/>
    </row>
    <row r="54" ht="17.25" spans="1:7">
      <c r="A54" s="21">
        <v>53</v>
      </c>
      <c r="B54" s="419" t="s">
        <v>157</v>
      </c>
      <c r="C54" s="420" t="s">
        <v>158</v>
      </c>
      <c r="D54" s="21">
        <v>521419</v>
      </c>
      <c r="E54" s="21">
        <v>12</v>
      </c>
      <c r="F54" s="256" t="s">
        <v>342</v>
      </c>
      <c r="G54" s="24"/>
    </row>
    <row r="55" ht="17.25" spans="1:7">
      <c r="A55" s="21">
        <v>54</v>
      </c>
      <c r="B55" s="419" t="s">
        <v>157</v>
      </c>
      <c r="C55" s="420" t="s">
        <v>158</v>
      </c>
      <c r="D55" s="21">
        <v>521414</v>
      </c>
      <c r="E55" s="21">
        <v>19</v>
      </c>
      <c r="F55" s="256" t="s">
        <v>343</v>
      </c>
      <c r="G55" s="24" t="s">
        <v>267</v>
      </c>
    </row>
    <row r="56" ht="17.25" spans="1:7">
      <c r="A56" s="21">
        <v>55</v>
      </c>
      <c r="B56" s="419" t="s">
        <v>157</v>
      </c>
      <c r="C56" s="420" t="s">
        <v>158</v>
      </c>
      <c r="D56" s="21">
        <v>521414</v>
      </c>
      <c r="E56" s="21">
        <v>6</v>
      </c>
      <c r="F56" s="256" t="s">
        <v>344</v>
      </c>
      <c r="G56" s="24" t="s">
        <v>267</v>
      </c>
    </row>
    <row r="57" ht="17.25" spans="1:7">
      <c r="A57" s="21">
        <v>56</v>
      </c>
      <c r="B57" s="419" t="s">
        <v>157</v>
      </c>
      <c r="C57" s="420" t="s">
        <v>158</v>
      </c>
      <c r="D57" s="21">
        <v>521414</v>
      </c>
      <c r="E57" s="21">
        <v>3</v>
      </c>
      <c r="F57" s="256" t="s">
        <v>345</v>
      </c>
      <c r="G57" s="24" t="s">
        <v>267</v>
      </c>
    </row>
    <row r="58" ht="17.25" spans="1:7">
      <c r="A58" s="21">
        <v>57</v>
      </c>
      <c r="B58" s="419" t="s">
        <v>157</v>
      </c>
      <c r="C58" s="420" t="s">
        <v>158</v>
      </c>
      <c r="D58" s="21">
        <v>521414</v>
      </c>
      <c r="E58" s="21">
        <v>4</v>
      </c>
      <c r="F58" s="256" t="s">
        <v>346</v>
      </c>
      <c r="G58" s="24" t="s">
        <v>267</v>
      </c>
    </row>
    <row r="59" ht="17.25" spans="1:7">
      <c r="A59" s="21">
        <v>58</v>
      </c>
      <c r="B59" s="419" t="s">
        <v>157</v>
      </c>
      <c r="C59" s="420" t="s">
        <v>158</v>
      </c>
      <c r="D59" s="21">
        <v>521414</v>
      </c>
      <c r="E59" s="21">
        <v>16</v>
      </c>
      <c r="F59" s="256" t="s">
        <v>347</v>
      </c>
      <c r="G59" s="24" t="s">
        <v>267</v>
      </c>
    </row>
    <row r="60" ht="17.25" spans="1:7">
      <c r="A60" s="21">
        <v>59</v>
      </c>
      <c r="B60" s="419" t="s">
        <v>157</v>
      </c>
      <c r="C60" s="420" t="s">
        <v>158</v>
      </c>
      <c r="D60" s="21">
        <v>521414</v>
      </c>
      <c r="E60" s="21">
        <v>18</v>
      </c>
      <c r="F60" s="256" t="s">
        <v>348</v>
      </c>
      <c r="G60" s="24" t="s">
        <v>267</v>
      </c>
    </row>
    <row r="61" ht="16.5" spans="1:7">
      <c r="A61" s="431">
        <v>60</v>
      </c>
      <c r="B61" s="432" t="s">
        <v>157</v>
      </c>
      <c r="C61" s="433" t="s">
        <v>158</v>
      </c>
      <c r="D61" s="431">
        <v>521414</v>
      </c>
      <c r="E61" s="431">
        <v>23</v>
      </c>
      <c r="F61" s="264" t="s">
        <v>349</v>
      </c>
      <c r="G61" s="24" t="s">
        <v>267</v>
      </c>
    </row>
    <row r="62" ht="16.5" spans="1:7">
      <c r="A62" s="21">
        <v>61</v>
      </c>
      <c r="B62" s="434" t="s">
        <v>157</v>
      </c>
      <c r="C62" s="420" t="s">
        <v>158</v>
      </c>
      <c r="D62" s="21">
        <v>521414</v>
      </c>
      <c r="E62" s="21">
        <v>24</v>
      </c>
      <c r="F62" s="256" t="s">
        <v>350</v>
      </c>
      <c r="G62" s="24" t="s">
        <v>267</v>
      </c>
    </row>
    <row r="63" ht="27" spans="1:8">
      <c r="A63" s="21">
        <v>62</v>
      </c>
      <c r="B63" s="434" t="s">
        <v>157</v>
      </c>
      <c r="C63" s="420" t="s">
        <v>158</v>
      </c>
      <c r="D63" s="21">
        <v>521414</v>
      </c>
      <c r="E63" s="21">
        <v>12</v>
      </c>
      <c r="F63" s="435" t="s">
        <v>351</v>
      </c>
      <c r="G63" s="290" t="s">
        <v>352</v>
      </c>
      <c r="H63" t="s">
        <v>353</v>
      </c>
    </row>
    <row r="64" ht="25.5" customHeight="1" spans="1:7">
      <c r="A64" s="436" t="s">
        <v>354</v>
      </c>
      <c r="B64" s="437"/>
      <c r="C64" s="437"/>
      <c r="D64" s="437"/>
      <c r="E64" s="437"/>
      <c r="F64" s="437"/>
      <c r="G64" s="438"/>
    </row>
    <row r="65" spans="1:7">
      <c r="A65" s="85">
        <v>63</v>
      </c>
      <c r="B65" s="114" t="s">
        <v>157</v>
      </c>
      <c r="C65" s="24"/>
      <c r="D65" s="261">
        <v>522080</v>
      </c>
      <c r="E65" s="85">
        <v>12</v>
      </c>
      <c r="F65" s="255" t="s">
        <v>355</v>
      </c>
      <c r="G65" s="24" t="s">
        <v>356</v>
      </c>
    </row>
    <row r="66" spans="1:7">
      <c r="A66" s="85">
        <v>64</v>
      </c>
      <c r="B66" s="114" t="s">
        <v>157</v>
      </c>
      <c r="C66" s="24"/>
      <c r="D66" s="439"/>
      <c r="E66" s="85">
        <v>2</v>
      </c>
      <c r="F66" s="255" t="s">
        <v>357</v>
      </c>
      <c r="G66" s="24" t="s">
        <v>356</v>
      </c>
    </row>
    <row r="67" spans="1:7">
      <c r="A67" s="85">
        <v>65</v>
      </c>
      <c r="B67" s="440" t="s">
        <v>146</v>
      </c>
      <c r="C67" s="24"/>
      <c r="D67" s="261">
        <v>522081</v>
      </c>
      <c r="E67" s="85">
        <v>5</v>
      </c>
      <c r="F67" s="255"/>
      <c r="G67" s="24" t="s">
        <v>356</v>
      </c>
    </row>
    <row r="68" spans="1:8">
      <c r="A68" s="85">
        <v>66</v>
      </c>
      <c r="B68" s="440" t="s">
        <v>146</v>
      </c>
      <c r="C68" s="24"/>
      <c r="D68" s="441"/>
      <c r="E68" s="355">
        <v>12</v>
      </c>
      <c r="F68" s="255"/>
      <c r="G68" s="24" t="s">
        <v>356</v>
      </c>
      <c r="H68" s="358" t="s">
        <v>358</v>
      </c>
    </row>
    <row r="69" spans="1:7">
      <c r="A69" s="85">
        <v>67</v>
      </c>
      <c r="B69" s="440" t="s">
        <v>146</v>
      </c>
      <c r="C69" s="24"/>
      <c r="D69" s="441"/>
      <c r="E69" s="85">
        <v>3</v>
      </c>
      <c r="F69" s="255"/>
      <c r="G69" s="24" t="s">
        <v>356</v>
      </c>
    </row>
    <row r="70" spans="1:7">
      <c r="A70" s="85">
        <v>68</v>
      </c>
      <c r="B70" s="440" t="s">
        <v>146</v>
      </c>
      <c r="C70" s="24"/>
      <c r="D70" s="441"/>
      <c r="E70" s="85">
        <v>4</v>
      </c>
      <c r="F70" s="255"/>
      <c r="G70" s="24" t="s">
        <v>356</v>
      </c>
    </row>
    <row r="71" spans="1:7">
      <c r="A71" s="85">
        <v>69</v>
      </c>
      <c r="B71" s="114" t="s">
        <v>157</v>
      </c>
      <c r="C71" s="24"/>
      <c r="D71" s="441"/>
      <c r="E71" s="85">
        <v>6</v>
      </c>
      <c r="F71" s="255" t="s">
        <v>359</v>
      </c>
      <c r="G71" s="24" t="s">
        <v>356</v>
      </c>
    </row>
    <row r="72" spans="1:7">
      <c r="A72" s="85">
        <v>70</v>
      </c>
      <c r="B72" s="442" t="s">
        <v>146</v>
      </c>
      <c r="C72" s="262"/>
      <c r="D72" s="441"/>
      <c r="E72" s="441">
        <v>20</v>
      </c>
      <c r="F72" s="263"/>
      <c r="G72" s="24" t="s">
        <v>356</v>
      </c>
    </row>
    <row r="73" spans="1:7">
      <c r="A73" s="85">
        <v>71</v>
      </c>
      <c r="B73" s="114" t="s">
        <v>157</v>
      </c>
      <c r="C73" s="24"/>
      <c r="D73" s="439"/>
      <c r="E73" s="85">
        <v>21</v>
      </c>
      <c r="F73" s="255" t="s">
        <v>360</v>
      </c>
      <c r="G73" s="24" t="s">
        <v>356</v>
      </c>
    </row>
    <row r="74" spans="1:8">
      <c r="A74" s="85"/>
      <c r="B74" s="443" t="s">
        <v>146</v>
      </c>
      <c r="C74" s="24"/>
      <c r="D74" s="261">
        <v>522082</v>
      </c>
      <c r="E74" s="85">
        <v>5</v>
      </c>
      <c r="F74" s="255"/>
      <c r="G74" s="24"/>
      <c r="H74" s="358" t="s">
        <v>361</v>
      </c>
    </row>
    <row r="75" spans="1:8">
      <c r="A75" s="85"/>
      <c r="B75" s="443" t="s">
        <v>146</v>
      </c>
      <c r="C75" s="24"/>
      <c r="D75" s="441"/>
      <c r="E75" s="85">
        <v>3</v>
      </c>
      <c r="F75" s="255"/>
      <c r="G75" s="24"/>
      <c r="H75" s="358" t="s">
        <v>361</v>
      </c>
    </row>
    <row r="76" spans="1:8">
      <c r="A76" s="85"/>
      <c r="B76" s="443" t="s">
        <v>146</v>
      </c>
      <c r="C76" s="24"/>
      <c r="D76" s="441"/>
      <c r="E76" s="85">
        <v>4</v>
      </c>
      <c r="F76" s="255"/>
      <c r="G76" s="24"/>
      <c r="H76" s="358" t="s">
        <v>361</v>
      </c>
    </row>
    <row r="77" spans="1:8">
      <c r="A77" s="85"/>
      <c r="B77" s="444" t="s">
        <v>157</v>
      </c>
      <c r="C77" s="24"/>
      <c r="D77" s="441"/>
      <c r="E77" s="85">
        <v>6</v>
      </c>
      <c r="F77" s="255" t="s">
        <v>362</v>
      </c>
      <c r="G77" s="24"/>
      <c r="H77" s="358" t="s">
        <v>361</v>
      </c>
    </row>
    <row r="78" spans="1:8">
      <c r="A78" s="85"/>
      <c r="B78" s="443" t="s">
        <v>146</v>
      </c>
      <c r="C78" s="24"/>
      <c r="D78" s="441"/>
      <c r="E78" s="441">
        <v>20</v>
      </c>
      <c r="F78" s="255"/>
      <c r="G78" s="24"/>
      <c r="H78" s="358" t="s">
        <v>361</v>
      </c>
    </row>
    <row r="79" spans="1:8">
      <c r="A79" s="85">
        <v>72</v>
      </c>
      <c r="B79" s="444" t="s">
        <v>157</v>
      </c>
      <c r="C79" s="24"/>
      <c r="D79" s="439"/>
      <c r="E79" s="85">
        <v>21</v>
      </c>
      <c r="F79" s="255" t="s">
        <v>363</v>
      </c>
      <c r="G79" s="24"/>
      <c r="H79" s="358" t="s">
        <v>361</v>
      </c>
    </row>
    <row r="80" spans="1:7">
      <c r="A80" s="85">
        <v>73</v>
      </c>
      <c r="B80" s="114" t="s">
        <v>157</v>
      </c>
      <c r="C80" s="24"/>
      <c r="D80" s="85">
        <v>522085</v>
      </c>
      <c r="E80" s="85">
        <v>5</v>
      </c>
      <c r="F80" s="255" t="s">
        <v>364</v>
      </c>
      <c r="G80" s="24" t="s">
        <v>356</v>
      </c>
    </row>
    <row r="81" spans="1:7">
      <c r="A81" s="85">
        <v>74</v>
      </c>
      <c r="B81" s="114" t="s">
        <v>157</v>
      </c>
      <c r="C81" s="24"/>
      <c r="D81" s="261">
        <v>522093</v>
      </c>
      <c r="E81" s="85">
        <v>5</v>
      </c>
      <c r="F81" s="255" t="s">
        <v>365</v>
      </c>
      <c r="G81" s="24" t="s">
        <v>356</v>
      </c>
    </row>
    <row r="82" spans="1:7">
      <c r="A82" s="85">
        <v>75</v>
      </c>
      <c r="B82" s="114" t="s">
        <v>157</v>
      </c>
      <c r="C82" s="24"/>
      <c r="D82" s="441"/>
      <c r="E82" s="85">
        <v>4</v>
      </c>
      <c r="F82" s="255" t="s">
        <v>366</v>
      </c>
      <c r="G82" s="24" t="s">
        <v>356</v>
      </c>
    </row>
    <row r="83" spans="1:7">
      <c r="A83" s="85">
        <v>76</v>
      </c>
      <c r="B83" s="114" t="s">
        <v>157</v>
      </c>
      <c r="C83" s="24"/>
      <c r="D83" s="439"/>
      <c r="E83" s="85">
        <v>3</v>
      </c>
      <c r="F83" s="255" t="s">
        <v>367</v>
      </c>
      <c r="G83" s="24" t="s">
        <v>356</v>
      </c>
    </row>
    <row r="84" spans="1:7">
      <c r="A84" s="85">
        <v>77</v>
      </c>
      <c r="B84" s="114" t="s">
        <v>157</v>
      </c>
      <c r="C84" s="24"/>
      <c r="D84" s="261">
        <v>522094</v>
      </c>
      <c r="E84" s="85">
        <v>5</v>
      </c>
      <c r="F84" s="255" t="s">
        <v>368</v>
      </c>
      <c r="G84" s="24" t="s">
        <v>356</v>
      </c>
    </row>
    <row r="85" spans="1:7">
      <c r="A85" s="85">
        <v>78</v>
      </c>
      <c r="B85" s="114" t="s">
        <v>157</v>
      </c>
      <c r="C85" s="24"/>
      <c r="D85" s="441"/>
      <c r="E85" s="85">
        <v>4</v>
      </c>
      <c r="F85" s="255" t="s">
        <v>369</v>
      </c>
      <c r="G85" s="24" t="s">
        <v>356</v>
      </c>
    </row>
    <row r="86" spans="1:7">
      <c r="A86" s="85">
        <v>79</v>
      </c>
      <c r="B86" s="114" t="s">
        <v>157</v>
      </c>
      <c r="C86" s="24"/>
      <c r="D86" s="439"/>
      <c r="E86" s="85">
        <v>3</v>
      </c>
      <c r="F86" s="255" t="s">
        <v>370</v>
      </c>
      <c r="G86" s="24" t="s">
        <v>356</v>
      </c>
    </row>
    <row r="87" spans="1:7">
      <c r="A87" s="85">
        <v>80</v>
      </c>
      <c r="B87" s="114" t="s">
        <v>157</v>
      </c>
      <c r="C87" s="24"/>
      <c r="D87" s="261">
        <v>522095</v>
      </c>
      <c r="E87" s="85">
        <v>5</v>
      </c>
      <c r="F87" s="255" t="s">
        <v>371</v>
      </c>
      <c r="G87" s="24" t="s">
        <v>356</v>
      </c>
    </row>
    <row r="88" spans="1:7">
      <c r="A88" s="85">
        <v>81</v>
      </c>
      <c r="B88" s="114" t="s">
        <v>157</v>
      </c>
      <c r="C88" s="24"/>
      <c r="D88" s="441"/>
      <c r="E88" s="85">
        <v>4</v>
      </c>
      <c r="F88" s="255" t="s">
        <v>372</v>
      </c>
      <c r="G88" s="24" t="s">
        <v>356</v>
      </c>
    </row>
    <row r="89" spans="1:7">
      <c r="A89" s="85">
        <v>82</v>
      </c>
      <c r="B89" s="114" t="s">
        <v>157</v>
      </c>
      <c r="C89" s="24"/>
      <c r="D89" s="439"/>
      <c r="E89" s="85">
        <v>3</v>
      </c>
      <c r="F89" s="255" t="s">
        <v>373</v>
      </c>
      <c r="G89" s="24" t="s">
        <v>356</v>
      </c>
    </row>
    <row r="90" spans="1:7">
      <c r="A90" s="85">
        <v>83</v>
      </c>
      <c r="B90" s="114" t="s">
        <v>157</v>
      </c>
      <c r="C90" s="24"/>
      <c r="D90" s="261">
        <v>522096</v>
      </c>
      <c r="E90" s="85">
        <v>5</v>
      </c>
      <c r="F90" s="255" t="s">
        <v>374</v>
      </c>
      <c r="G90" s="24" t="s">
        <v>356</v>
      </c>
    </row>
    <row r="91" spans="1:7">
      <c r="A91" s="85">
        <v>84</v>
      </c>
      <c r="B91" s="114" t="s">
        <v>157</v>
      </c>
      <c r="C91" s="24"/>
      <c r="D91" s="441"/>
      <c r="E91" s="85">
        <v>4</v>
      </c>
      <c r="F91" s="255" t="s">
        <v>375</v>
      </c>
      <c r="G91" s="24" t="s">
        <v>356</v>
      </c>
    </row>
    <row r="92" spans="1:7">
      <c r="A92" s="85">
        <v>85</v>
      </c>
      <c r="B92" s="114" t="s">
        <v>157</v>
      </c>
      <c r="C92" s="24"/>
      <c r="D92" s="439"/>
      <c r="E92" s="85">
        <v>3</v>
      </c>
      <c r="F92" s="255" t="s">
        <v>376</v>
      </c>
      <c r="G92" s="24" t="s">
        <v>356</v>
      </c>
    </row>
    <row r="93" spans="1:7">
      <c r="A93" s="85">
        <v>86</v>
      </c>
      <c r="B93" s="114" t="s">
        <v>157</v>
      </c>
      <c r="C93" s="24"/>
      <c r="D93" s="261">
        <v>522097</v>
      </c>
      <c r="E93" s="85">
        <v>5</v>
      </c>
      <c r="F93" s="255" t="s">
        <v>377</v>
      </c>
      <c r="G93" s="24" t="s">
        <v>356</v>
      </c>
    </row>
    <row r="94" spans="1:7">
      <c r="A94" s="85">
        <v>87</v>
      </c>
      <c r="B94" s="114" t="s">
        <v>157</v>
      </c>
      <c r="C94" s="24"/>
      <c r="D94" s="441"/>
      <c r="E94" s="85">
        <v>4</v>
      </c>
      <c r="F94" s="255" t="s">
        <v>378</v>
      </c>
      <c r="G94" s="24" t="s">
        <v>356</v>
      </c>
    </row>
    <row r="95" spans="1:7">
      <c r="A95" s="85">
        <v>88</v>
      </c>
      <c r="B95" s="114" t="s">
        <v>157</v>
      </c>
      <c r="C95" s="24"/>
      <c r="D95" s="439"/>
      <c r="E95" s="85">
        <v>3</v>
      </c>
      <c r="F95" s="255" t="s">
        <v>379</v>
      </c>
      <c r="G95" s="24" t="s">
        <v>356</v>
      </c>
    </row>
    <row r="96" spans="1:7">
      <c r="A96" s="85">
        <v>89</v>
      </c>
      <c r="B96" s="114" t="s">
        <v>157</v>
      </c>
      <c r="C96" s="24"/>
      <c r="D96" s="261">
        <v>522099</v>
      </c>
      <c r="E96" s="85">
        <v>5</v>
      </c>
      <c r="F96" s="255" t="s">
        <v>380</v>
      </c>
      <c r="G96" s="24" t="s">
        <v>356</v>
      </c>
    </row>
    <row r="97" spans="1:7">
      <c r="A97" s="85">
        <v>90</v>
      </c>
      <c r="B97" s="114" t="s">
        <v>157</v>
      </c>
      <c r="C97" s="24"/>
      <c r="D97" s="441"/>
      <c r="E97" s="85">
        <v>4</v>
      </c>
      <c r="F97" s="255" t="s">
        <v>381</v>
      </c>
      <c r="G97" s="24" t="s">
        <v>356</v>
      </c>
    </row>
    <row r="98" spans="1:7">
      <c r="A98" s="85">
        <v>91</v>
      </c>
      <c r="B98" s="114" t="s">
        <v>157</v>
      </c>
      <c r="C98" s="24"/>
      <c r="D98" s="439"/>
      <c r="E98" s="85">
        <v>3</v>
      </c>
      <c r="F98" s="255" t="s">
        <v>382</v>
      </c>
      <c r="G98" s="24" t="s">
        <v>356</v>
      </c>
    </row>
    <row r="99" spans="1:7">
      <c r="A99" s="85">
        <v>92</v>
      </c>
      <c r="B99" s="114" t="s">
        <v>157</v>
      </c>
      <c r="C99" s="24"/>
      <c r="D99" s="85">
        <v>522100</v>
      </c>
      <c r="E99" s="85">
        <v>5</v>
      </c>
      <c r="F99" s="255" t="s">
        <v>383</v>
      </c>
      <c r="G99" s="24" t="s">
        <v>356</v>
      </c>
    </row>
    <row r="100" spans="1:7">
      <c r="A100" s="85">
        <v>93</v>
      </c>
      <c r="B100" s="114" t="s">
        <v>157</v>
      </c>
      <c r="C100" s="24"/>
      <c r="D100" s="85"/>
      <c r="E100" s="85">
        <v>4</v>
      </c>
      <c r="F100" s="255" t="s">
        <v>384</v>
      </c>
      <c r="G100" s="24" t="s">
        <v>356</v>
      </c>
    </row>
    <row r="101" spans="1:7">
      <c r="A101" s="85">
        <v>94</v>
      </c>
      <c r="B101" s="114" t="s">
        <v>157</v>
      </c>
      <c r="C101" s="24"/>
      <c r="D101" s="85"/>
      <c r="E101" s="85">
        <v>3</v>
      </c>
      <c r="F101" s="255" t="s">
        <v>385</v>
      </c>
      <c r="G101" s="24" t="s">
        <v>356</v>
      </c>
    </row>
    <row r="102" spans="1:7">
      <c r="A102" s="85">
        <v>95</v>
      </c>
      <c r="B102" s="114" t="s">
        <v>157</v>
      </c>
      <c r="C102" s="24"/>
      <c r="D102" s="85">
        <v>522102</v>
      </c>
      <c r="E102" s="85">
        <v>5</v>
      </c>
      <c r="F102" s="255" t="s">
        <v>386</v>
      </c>
      <c r="G102" s="24" t="s">
        <v>356</v>
      </c>
    </row>
    <row r="103" spans="1:7">
      <c r="A103" s="85">
        <v>96</v>
      </c>
      <c r="B103" s="114" t="s">
        <v>157</v>
      </c>
      <c r="C103" s="24"/>
      <c r="D103" s="85"/>
      <c r="E103" s="85">
        <v>4</v>
      </c>
      <c r="F103" s="255" t="s">
        <v>387</v>
      </c>
      <c r="G103" s="24" t="s">
        <v>356</v>
      </c>
    </row>
    <row r="104" spans="1:7">
      <c r="A104" s="85">
        <v>97</v>
      </c>
      <c r="B104" s="114" t="s">
        <v>157</v>
      </c>
      <c r="C104" s="24"/>
      <c r="D104" s="85"/>
      <c r="E104" s="85">
        <v>3</v>
      </c>
      <c r="F104" s="255" t="s">
        <v>388</v>
      </c>
      <c r="G104" s="24" t="s">
        <v>356</v>
      </c>
    </row>
    <row r="105" spans="1:7">
      <c r="A105" s="85">
        <v>98</v>
      </c>
      <c r="B105" s="114" t="s">
        <v>157</v>
      </c>
      <c r="C105" s="24"/>
      <c r="D105" s="85">
        <v>522103</v>
      </c>
      <c r="E105" s="85">
        <v>5</v>
      </c>
      <c r="F105" s="255" t="s">
        <v>389</v>
      </c>
      <c r="G105" s="24" t="s">
        <v>356</v>
      </c>
    </row>
    <row r="106" spans="1:7">
      <c r="A106" s="85">
        <v>99</v>
      </c>
      <c r="B106" s="114" t="s">
        <v>157</v>
      </c>
      <c r="C106" s="24"/>
      <c r="D106" s="85"/>
      <c r="E106" s="85">
        <v>4</v>
      </c>
      <c r="F106" s="255" t="s">
        <v>390</v>
      </c>
      <c r="G106" s="24" t="s">
        <v>356</v>
      </c>
    </row>
    <row r="107" spans="1:7">
      <c r="A107" s="85">
        <v>100</v>
      </c>
      <c r="B107" s="114" t="s">
        <v>157</v>
      </c>
      <c r="C107" s="24"/>
      <c r="D107" s="85"/>
      <c r="E107" s="85">
        <v>3</v>
      </c>
      <c r="F107" s="255" t="s">
        <v>391</v>
      </c>
      <c r="G107" s="24" t="s">
        <v>356</v>
      </c>
    </row>
    <row r="108" spans="1:7">
      <c r="A108" s="85">
        <v>101</v>
      </c>
      <c r="B108" s="114" t="s">
        <v>157</v>
      </c>
      <c r="C108" s="24"/>
      <c r="D108" s="85">
        <v>522104</v>
      </c>
      <c r="E108" s="85">
        <v>5</v>
      </c>
      <c r="F108" s="255" t="s">
        <v>392</v>
      </c>
      <c r="G108" s="24" t="s">
        <v>356</v>
      </c>
    </row>
    <row r="109" spans="1:7">
      <c r="A109" s="85">
        <v>102</v>
      </c>
      <c r="B109" s="114" t="s">
        <v>157</v>
      </c>
      <c r="C109" s="24"/>
      <c r="D109" s="85"/>
      <c r="E109" s="85">
        <v>4</v>
      </c>
      <c r="F109" s="255" t="s">
        <v>393</v>
      </c>
      <c r="G109" s="24" t="s">
        <v>356</v>
      </c>
    </row>
    <row r="110" spans="1:7">
      <c r="A110" s="85">
        <v>103</v>
      </c>
      <c r="B110" s="114" t="s">
        <v>157</v>
      </c>
      <c r="C110" s="24"/>
      <c r="D110" s="85"/>
      <c r="E110" s="85">
        <v>3</v>
      </c>
      <c r="F110" s="255" t="s">
        <v>394</v>
      </c>
      <c r="G110" s="24" t="s">
        <v>356</v>
      </c>
    </row>
    <row r="111" spans="1:7">
      <c r="A111" s="85">
        <v>104</v>
      </c>
      <c r="B111" s="114" t="s">
        <v>157</v>
      </c>
      <c r="C111" s="24"/>
      <c r="D111" s="85">
        <v>522106</v>
      </c>
      <c r="E111" s="85">
        <v>5</v>
      </c>
      <c r="F111" s="255" t="s">
        <v>395</v>
      </c>
      <c r="G111" s="24" t="s">
        <v>356</v>
      </c>
    </row>
    <row r="112" spans="1:7">
      <c r="A112" s="85">
        <v>105</v>
      </c>
      <c r="B112" s="114" t="s">
        <v>157</v>
      </c>
      <c r="C112" s="24"/>
      <c r="D112" s="85"/>
      <c r="E112" s="85">
        <v>4</v>
      </c>
      <c r="F112" s="255" t="s">
        <v>396</v>
      </c>
      <c r="G112" s="24" t="s">
        <v>356</v>
      </c>
    </row>
    <row r="113" spans="1:7">
      <c r="A113" s="85">
        <v>106</v>
      </c>
      <c r="B113" s="114" t="s">
        <v>157</v>
      </c>
      <c r="C113" s="24"/>
      <c r="D113" s="85"/>
      <c r="E113" s="85">
        <v>3</v>
      </c>
      <c r="F113" s="255" t="s">
        <v>397</v>
      </c>
      <c r="G113" s="24" t="s">
        <v>356</v>
      </c>
    </row>
    <row r="114" spans="1:8">
      <c r="A114" s="85">
        <v>107</v>
      </c>
      <c r="B114" s="114" t="s">
        <v>157</v>
      </c>
      <c r="C114" s="24"/>
      <c r="D114" s="261">
        <v>522107</v>
      </c>
      <c r="E114" s="355">
        <v>5</v>
      </c>
      <c r="F114" s="445" t="s">
        <v>398</v>
      </c>
      <c r="G114" s="24" t="s">
        <v>356</v>
      </c>
      <c r="H114" s="358" t="s">
        <v>358</v>
      </c>
    </row>
    <row r="115" spans="1:8">
      <c r="A115" s="85">
        <v>108</v>
      </c>
      <c r="B115" s="114" t="s">
        <v>157</v>
      </c>
      <c r="C115" s="24"/>
      <c r="D115" s="441"/>
      <c r="E115" s="446">
        <v>7</v>
      </c>
      <c r="F115" s="447" t="s">
        <v>399</v>
      </c>
      <c r="G115" s="24"/>
      <c r="H115" s="358" t="s">
        <v>361</v>
      </c>
    </row>
    <row r="116" spans="1:8">
      <c r="A116" s="85">
        <v>109</v>
      </c>
      <c r="B116" s="440" t="s">
        <v>146</v>
      </c>
      <c r="C116" s="24"/>
      <c r="D116" s="441"/>
      <c r="E116" s="85">
        <v>4</v>
      </c>
      <c r="F116" s="255" t="s">
        <v>400</v>
      </c>
      <c r="G116" s="24" t="s">
        <v>356</v>
      </c>
      <c r="H116" s="358" t="s">
        <v>401</v>
      </c>
    </row>
    <row r="117" spans="1:8">
      <c r="A117" s="85">
        <v>110</v>
      </c>
      <c r="B117" s="440" t="s">
        <v>146</v>
      </c>
      <c r="C117" s="24"/>
      <c r="D117" s="441"/>
      <c r="E117" s="85">
        <v>3</v>
      </c>
      <c r="F117" s="255" t="s">
        <v>402</v>
      </c>
      <c r="G117" s="24" t="s">
        <v>356</v>
      </c>
      <c r="H117" s="358" t="s">
        <v>401</v>
      </c>
    </row>
    <row r="118" spans="1:8">
      <c r="A118" s="85">
        <v>111</v>
      </c>
      <c r="B118" s="440" t="s">
        <v>146</v>
      </c>
      <c r="C118" s="24"/>
      <c r="D118" s="441"/>
      <c r="E118" s="85">
        <v>6</v>
      </c>
      <c r="F118" s="255"/>
      <c r="G118" s="24"/>
      <c r="H118" s="358" t="s">
        <v>361</v>
      </c>
    </row>
    <row r="119" spans="1:8">
      <c r="A119" s="85">
        <v>112</v>
      </c>
      <c r="B119" s="114" t="s">
        <v>157</v>
      </c>
      <c r="C119" s="24"/>
      <c r="D119" s="441"/>
      <c r="E119" s="360">
        <v>12</v>
      </c>
      <c r="F119" s="448" t="s">
        <v>403</v>
      </c>
      <c r="G119" s="24" t="s">
        <v>356</v>
      </c>
      <c r="H119" s="358" t="s">
        <v>358</v>
      </c>
    </row>
    <row r="120" spans="1:8">
      <c r="A120" s="85">
        <v>113</v>
      </c>
      <c r="B120" s="114" t="s">
        <v>157</v>
      </c>
      <c r="C120" s="24"/>
      <c r="D120" s="441"/>
      <c r="E120" s="360">
        <v>13</v>
      </c>
      <c r="F120" s="448" t="s">
        <v>404</v>
      </c>
      <c r="G120" s="24" t="s">
        <v>356</v>
      </c>
      <c r="H120" s="358" t="s">
        <v>358</v>
      </c>
    </row>
    <row r="121" spans="1:8">
      <c r="A121" s="85">
        <v>114</v>
      </c>
      <c r="B121" s="114" t="s">
        <v>157</v>
      </c>
      <c r="C121" s="24"/>
      <c r="D121" s="441"/>
      <c r="E121" s="355">
        <v>2</v>
      </c>
      <c r="F121" s="445" t="s">
        <v>405</v>
      </c>
      <c r="G121" s="24" t="s">
        <v>356</v>
      </c>
      <c r="H121" s="358" t="s">
        <v>358</v>
      </c>
    </row>
    <row r="122" spans="1:8">
      <c r="A122" s="85">
        <v>115</v>
      </c>
      <c r="B122" s="114" t="s">
        <v>157</v>
      </c>
      <c r="C122" s="24"/>
      <c r="D122" s="439"/>
      <c r="E122" s="446">
        <v>21</v>
      </c>
      <c r="F122" s="447" t="s">
        <v>406</v>
      </c>
      <c r="G122" s="24"/>
      <c r="H122" s="358" t="s">
        <v>361</v>
      </c>
    </row>
    <row r="123" spans="1:8">
      <c r="A123" s="85">
        <v>116</v>
      </c>
      <c r="B123" s="114" t="s">
        <v>157</v>
      </c>
      <c r="C123" s="24"/>
      <c r="D123" s="261">
        <v>522108</v>
      </c>
      <c r="E123" s="446">
        <v>7</v>
      </c>
      <c r="F123" s="447" t="s">
        <v>407</v>
      </c>
      <c r="G123" s="24"/>
      <c r="H123" s="358" t="s">
        <v>361</v>
      </c>
    </row>
    <row r="124" spans="1:7">
      <c r="A124" s="85">
        <v>117</v>
      </c>
      <c r="B124" s="114" t="s">
        <v>157</v>
      </c>
      <c r="C124" s="24"/>
      <c r="D124" s="441"/>
      <c r="E124" s="85">
        <v>5</v>
      </c>
      <c r="F124" s="255" t="s">
        <v>408</v>
      </c>
      <c r="G124" s="24" t="s">
        <v>356</v>
      </c>
    </row>
    <row r="125" spans="1:8">
      <c r="A125" s="85">
        <v>118</v>
      </c>
      <c r="B125" s="440" t="s">
        <v>146</v>
      </c>
      <c r="C125" s="24"/>
      <c r="D125" s="441"/>
      <c r="E125" s="446">
        <v>4</v>
      </c>
      <c r="F125" s="447" t="s">
        <v>409</v>
      </c>
      <c r="G125" s="24" t="s">
        <v>356</v>
      </c>
      <c r="H125" s="358" t="s">
        <v>401</v>
      </c>
    </row>
    <row r="126" spans="1:8">
      <c r="A126" s="85">
        <v>119</v>
      </c>
      <c r="B126" s="440" t="s">
        <v>146</v>
      </c>
      <c r="C126" s="24"/>
      <c r="D126" s="441"/>
      <c r="E126" s="131">
        <v>3</v>
      </c>
      <c r="F126" s="147" t="s">
        <v>410</v>
      </c>
      <c r="G126" s="24" t="s">
        <v>356</v>
      </c>
      <c r="H126" s="358" t="s">
        <v>401</v>
      </c>
    </row>
    <row r="127" spans="1:8">
      <c r="A127" s="85">
        <v>120</v>
      </c>
      <c r="B127" s="114" t="s">
        <v>157</v>
      </c>
      <c r="C127" s="24"/>
      <c r="D127" s="441"/>
      <c r="E127" s="131">
        <v>20</v>
      </c>
      <c r="F127" s="147" t="s">
        <v>411</v>
      </c>
      <c r="G127" s="24"/>
      <c r="H127" s="358" t="s">
        <v>361</v>
      </c>
    </row>
    <row r="128" spans="1:8">
      <c r="A128" s="85">
        <v>121</v>
      </c>
      <c r="B128" s="114" t="s">
        <v>157</v>
      </c>
      <c r="C128" s="24"/>
      <c r="D128" s="441"/>
      <c r="E128" s="131">
        <v>21</v>
      </c>
      <c r="F128" s="147" t="s">
        <v>412</v>
      </c>
      <c r="G128" s="24"/>
      <c r="H128" s="358" t="s">
        <v>361</v>
      </c>
    </row>
    <row r="129" spans="1:7">
      <c r="A129" s="85">
        <v>122</v>
      </c>
      <c r="B129" s="114" t="s">
        <v>157</v>
      </c>
      <c r="C129" s="24"/>
      <c r="D129" s="441"/>
      <c r="E129" s="360">
        <v>12</v>
      </c>
      <c r="F129" s="448" t="s">
        <v>413</v>
      </c>
      <c r="G129" s="24" t="s">
        <v>356</v>
      </c>
    </row>
    <row r="130" spans="1:7">
      <c r="A130" s="85">
        <v>123</v>
      </c>
      <c r="B130" s="114" t="s">
        <v>157</v>
      </c>
      <c r="C130" s="24"/>
      <c r="D130" s="441"/>
      <c r="E130" s="360">
        <v>13</v>
      </c>
      <c r="F130" s="448" t="s">
        <v>414</v>
      </c>
      <c r="G130" s="24" t="s">
        <v>356</v>
      </c>
    </row>
    <row r="131" spans="1:7">
      <c r="A131" s="85">
        <v>124</v>
      </c>
      <c r="B131" s="114" t="s">
        <v>157</v>
      </c>
      <c r="C131" s="24"/>
      <c r="D131" s="439"/>
      <c r="E131" s="360">
        <v>2</v>
      </c>
      <c r="F131" s="448" t="s">
        <v>415</v>
      </c>
      <c r="G131" s="24" t="s">
        <v>356</v>
      </c>
    </row>
    <row r="132" spans="1:8">
      <c r="A132" s="85">
        <v>125</v>
      </c>
      <c r="B132" s="114" t="s">
        <v>157</v>
      </c>
      <c r="C132" s="24"/>
      <c r="D132" s="261">
        <v>522109</v>
      </c>
      <c r="E132" s="131">
        <v>7</v>
      </c>
      <c r="F132" s="447" t="s">
        <v>416</v>
      </c>
      <c r="G132" s="24"/>
      <c r="H132" s="358" t="s">
        <v>361</v>
      </c>
    </row>
    <row r="133" spans="1:7">
      <c r="A133" s="85">
        <v>126</v>
      </c>
      <c r="B133" s="114" t="s">
        <v>157</v>
      </c>
      <c r="C133" s="24"/>
      <c r="D133" s="441"/>
      <c r="E133" s="85">
        <v>5</v>
      </c>
      <c r="F133" s="255" t="s">
        <v>417</v>
      </c>
      <c r="G133" s="24" t="s">
        <v>356</v>
      </c>
    </row>
    <row r="134" spans="1:8">
      <c r="A134" s="85">
        <v>127</v>
      </c>
      <c r="B134" s="440" t="s">
        <v>146</v>
      </c>
      <c r="C134" s="24"/>
      <c r="D134" s="441"/>
      <c r="E134" s="446">
        <v>4</v>
      </c>
      <c r="F134" s="447" t="s">
        <v>418</v>
      </c>
      <c r="G134" s="24" t="s">
        <v>356</v>
      </c>
      <c r="H134" s="358" t="s">
        <v>401</v>
      </c>
    </row>
    <row r="135" spans="1:8">
      <c r="A135" s="85">
        <v>128</v>
      </c>
      <c r="B135" s="440" t="s">
        <v>146</v>
      </c>
      <c r="C135" s="24"/>
      <c r="D135" s="441"/>
      <c r="E135" s="131">
        <v>3</v>
      </c>
      <c r="F135" s="147" t="s">
        <v>419</v>
      </c>
      <c r="G135" s="24" t="s">
        <v>356</v>
      </c>
      <c r="H135" s="358" t="s">
        <v>401</v>
      </c>
    </row>
    <row r="136" spans="1:8">
      <c r="A136" s="85">
        <v>129</v>
      </c>
      <c r="B136" s="114" t="s">
        <v>157</v>
      </c>
      <c r="C136" s="24"/>
      <c r="D136" s="441"/>
      <c r="E136" s="131">
        <v>20</v>
      </c>
      <c r="F136" s="147" t="s">
        <v>420</v>
      </c>
      <c r="G136" s="24"/>
      <c r="H136" s="358" t="s">
        <v>361</v>
      </c>
    </row>
    <row r="137" spans="1:8">
      <c r="A137" s="85">
        <v>130</v>
      </c>
      <c r="B137" s="114" t="s">
        <v>157</v>
      </c>
      <c r="C137" s="24"/>
      <c r="D137" s="441"/>
      <c r="E137" s="131">
        <v>21</v>
      </c>
      <c r="F137" s="147" t="s">
        <v>421</v>
      </c>
      <c r="G137" s="24"/>
      <c r="H137" s="358" t="s">
        <v>361</v>
      </c>
    </row>
    <row r="138" spans="1:8">
      <c r="A138" s="85">
        <v>131</v>
      </c>
      <c r="B138" s="440" t="s">
        <v>146</v>
      </c>
      <c r="C138" s="24"/>
      <c r="D138" s="441"/>
      <c r="E138" s="85">
        <v>12</v>
      </c>
      <c r="F138" s="255" t="s">
        <v>422</v>
      </c>
      <c r="G138" s="24" t="s">
        <v>356</v>
      </c>
      <c r="H138" s="358" t="s">
        <v>401</v>
      </c>
    </row>
    <row r="139" spans="1:8">
      <c r="A139" s="85">
        <v>132</v>
      </c>
      <c r="B139" s="440" t="s">
        <v>146</v>
      </c>
      <c r="C139" s="24"/>
      <c r="D139" s="441"/>
      <c r="E139" s="85">
        <v>13</v>
      </c>
      <c r="F139" s="255" t="s">
        <v>423</v>
      </c>
      <c r="G139" s="24" t="s">
        <v>356</v>
      </c>
      <c r="H139" s="358" t="s">
        <v>401</v>
      </c>
    </row>
    <row r="140" spans="1:8">
      <c r="A140" s="85">
        <v>133</v>
      </c>
      <c r="B140" s="114" t="s">
        <v>157</v>
      </c>
      <c r="C140" s="24"/>
      <c r="D140" s="439"/>
      <c r="E140" s="355">
        <v>2</v>
      </c>
      <c r="F140" s="445" t="s">
        <v>424</v>
      </c>
      <c r="G140" s="24" t="s">
        <v>356</v>
      </c>
      <c r="H140" s="358" t="s">
        <v>358</v>
      </c>
    </row>
    <row r="141" spans="1:7">
      <c r="A141" s="85">
        <v>134</v>
      </c>
      <c r="B141" s="114" t="s">
        <v>157</v>
      </c>
      <c r="C141" s="24"/>
      <c r="D141" s="261">
        <v>522110</v>
      </c>
      <c r="E141" s="85">
        <v>5</v>
      </c>
      <c r="F141" s="255" t="s">
        <v>425</v>
      </c>
      <c r="G141" s="24" t="s">
        <v>356</v>
      </c>
    </row>
    <row r="142" spans="1:7">
      <c r="A142" s="85">
        <v>135</v>
      </c>
      <c r="B142" s="114" t="s">
        <v>157</v>
      </c>
      <c r="C142" s="24"/>
      <c r="D142" s="441"/>
      <c r="E142" s="85">
        <v>4</v>
      </c>
      <c r="F142" s="255" t="s">
        <v>426</v>
      </c>
      <c r="G142" s="24" t="s">
        <v>356</v>
      </c>
    </row>
    <row r="143" spans="1:7">
      <c r="A143" s="85">
        <v>136</v>
      </c>
      <c r="B143" s="114" t="s">
        <v>157</v>
      </c>
      <c r="C143" s="24"/>
      <c r="D143" s="439"/>
      <c r="E143" s="85">
        <v>3</v>
      </c>
      <c r="F143" s="255" t="s">
        <v>427</v>
      </c>
      <c r="G143" s="24" t="s">
        <v>356</v>
      </c>
    </row>
    <row r="144" spans="1:7">
      <c r="A144" s="85">
        <v>137</v>
      </c>
      <c r="B144" s="114" t="s">
        <v>157</v>
      </c>
      <c r="C144" s="24"/>
      <c r="D144" s="85">
        <v>522124</v>
      </c>
      <c r="E144" s="85">
        <v>18</v>
      </c>
      <c r="F144" s="255" t="s">
        <v>428</v>
      </c>
      <c r="G144" s="24" t="s">
        <v>356</v>
      </c>
    </row>
    <row r="145" spans="1:7">
      <c r="A145" s="85">
        <v>138</v>
      </c>
      <c r="B145" s="114" t="s">
        <v>157</v>
      </c>
      <c r="C145" s="24"/>
      <c r="D145" s="85">
        <v>522125</v>
      </c>
      <c r="E145" s="85">
        <v>18</v>
      </c>
      <c r="F145" s="255" t="s">
        <v>429</v>
      </c>
      <c r="G145" s="24" t="s">
        <v>356</v>
      </c>
    </row>
    <row r="146" spans="1:7">
      <c r="A146" s="85">
        <v>139</v>
      </c>
      <c r="B146" s="114" t="s">
        <v>157</v>
      </c>
      <c r="C146" s="24"/>
      <c r="D146" s="85">
        <v>522126</v>
      </c>
      <c r="E146" s="85">
        <v>18</v>
      </c>
      <c r="F146" s="255" t="s">
        <v>430</v>
      </c>
      <c r="G146" s="24" t="s">
        <v>356</v>
      </c>
    </row>
    <row r="147" spans="1:7">
      <c r="A147" s="85">
        <v>140</v>
      </c>
      <c r="B147" s="114" t="s">
        <v>157</v>
      </c>
      <c r="C147" s="24"/>
      <c r="D147" s="85">
        <v>522127</v>
      </c>
      <c r="E147" s="85">
        <v>18</v>
      </c>
      <c r="F147" s="255" t="s">
        <v>431</v>
      </c>
      <c r="G147" s="24" t="s">
        <v>356</v>
      </c>
    </row>
    <row r="148" spans="1:7">
      <c r="A148" s="85">
        <v>141</v>
      </c>
      <c r="B148" s="443" t="s">
        <v>146</v>
      </c>
      <c r="C148" s="24"/>
      <c r="D148" s="85">
        <v>522128</v>
      </c>
      <c r="E148" s="85">
        <v>6</v>
      </c>
      <c r="F148" s="255"/>
      <c r="G148" s="24" t="s">
        <v>356</v>
      </c>
    </row>
    <row r="149" spans="1:7">
      <c r="A149" s="85">
        <v>142</v>
      </c>
      <c r="B149" s="443" t="s">
        <v>146</v>
      </c>
      <c r="C149" s="24"/>
      <c r="D149" s="85"/>
      <c r="E149" s="85">
        <v>3</v>
      </c>
      <c r="F149" s="255"/>
      <c r="G149" s="24" t="s">
        <v>356</v>
      </c>
    </row>
    <row r="150" spans="1:7">
      <c r="A150" s="85">
        <v>143</v>
      </c>
      <c r="B150" s="443" t="s">
        <v>146</v>
      </c>
      <c r="C150" s="24"/>
      <c r="D150" s="85"/>
      <c r="E150" s="85">
        <v>4</v>
      </c>
      <c r="F150" s="255"/>
      <c r="G150" s="24" t="s">
        <v>356</v>
      </c>
    </row>
    <row r="151" spans="1:7">
      <c r="A151" s="85">
        <v>144</v>
      </c>
      <c r="B151" s="444" t="s">
        <v>157</v>
      </c>
      <c r="C151" s="24"/>
      <c r="D151" s="85"/>
      <c r="E151" s="85">
        <v>19</v>
      </c>
      <c r="F151" s="255" t="s">
        <v>432</v>
      </c>
      <c r="G151" s="24" t="s">
        <v>356</v>
      </c>
    </row>
    <row r="152" spans="1:7">
      <c r="A152" s="85">
        <v>145</v>
      </c>
      <c r="B152" s="444" t="s">
        <v>157</v>
      </c>
      <c r="C152" s="24"/>
      <c r="D152" s="85"/>
      <c r="E152" s="85">
        <v>16</v>
      </c>
      <c r="F152" s="255" t="s">
        <v>433</v>
      </c>
      <c r="G152" s="24" t="s">
        <v>356</v>
      </c>
    </row>
    <row r="153" spans="1:7">
      <c r="A153" s="85">
        <v>146</v>
      </c>
      <c r="B153" s="444" t="s">
        <v>157</v>
      </c>
      <c r="C153" s="24"/>
      <c r="D153" s="85"/>
      <c r="E153" s="85">
        <v>24</v>
      </c>
      <c r="F153" s="255" t="s">
        <v>434</v>
      </c>
      <c r="G153" s="24" t="s">
        <v>356</v>
      </c>
    </row>
    <row r="154" spans="1:7">
      <c r="A154" s="85">
        <v>147</v>
      </c>
      <c r="B154" s="443" t="s">
        <v>146</v>
      </c>
      <c r="C154" s="24"/>
      <c r="D154" s="85"/>
      <c r="E154" s="85">
        <v>20</v>
      </c>
      <c r="F154" s="255"/>
      <c r="G154" s="24" t="s">
        <v>356</v>
      </c>
    </row>
    <row r="155" spans="1:7">
      <c r="A155" s="85">
        <v>148</v>
      </c>
      <c r="B155" s="443" t="s">
        <v>146</v>
      </c>
      <c r="C155" s="24"/>
      <c r="D155" s="85"/>
      <c r="E155" s="85">
        <v>21</v>
      </c>
      <c r="F155" s="255"/>
      <c r="G155" s="24" t="s">
        <v>356</v>
      </c>
    </row>
    <row r="156" spans="1:7">
      <c r="A156" s="85">
        <v>149</v>
      </c>
      <c r="B156" s="443" t="s">
        <v>146</v>
      </c>
      <c r="C156" s="24"/>
      <c r="D156" s="85"/>
      <c r="E156" s="85">
        <v>15</v>
      </c>
      <c r="F156" s="255"/>
      <c r="G156" s="24" t="s">
        <v>356</v>
      </c>
    </row>
    <row r="157" spans="1:7">
      <c r="A157" s="85">
        <v>150</v>
      </c>
      <c r="B157" s="443" t="s">
        <v>146</v>
      </c>
      <c r="C157" s="24"/>
      <c r="D157" s="85"/>
      <c r="E157" s="85">
        <v>22</v>
      </c>
      <c r="F157" s="255"/>
      <c r="G157" s="24" t="s">
        <v>356</v>
      </c>
    </row>
    <row r="158" spans="1:7">
      <c r="A158" s="85">
        <v>151</v>
      </c>
      <c r="B158" s="443" t="s">
        <v>146</v>
      </c>
      <c r="C158" s="24"/>
      <c r="D158" s="85"/>
      <c r="E158" s="85">
        <v>23</v>
      </c>
      <c r="F158" s="255"/>
      <c r="G158" s="24" t="s">
        <v>356</v>
      </c>
    </row>
    <row r="159" spans="1:7">
      <c r="A159" s="85">
        <v>152</v>
      </c>
      <c r="B159" s="444" t="s">
        <v>157</v>
      </c>
      <c r="C159" s="24"/>
      <c r="D159" s="85"/>
      <c r="E159" s="85">
        <v>10</v>
      </c>
      <c r="F159" s="255" t="s">
        <v>435</v>
      </c>
      <c r="G159" s="24" t="s">
        <v>356</v>
      </c>
    </row>
  </sheetData>
  <mergeCells count="20">
    <mergeCell ref="A64:G64"/>
    <mergeCell ref="D65:D66"/>
    <mergeCell ref="D67:D73"/>
    <mergeCell ref="D74:D79"/>
    <mergeCell ref="D81:D83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D111:D113"/>
    <mergeCell ref="D114:D122"/>
    <mergeCell ref="D123:D131"/>
    <mergeCell ref="D132:D140"/>
    <mergeCell ref="D141:D143"/>
    <mergeCell ref="D148:D159"/>
  </mergeCells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13"/>
  <sheetViews>
    <sheetView workbookViewId="0">
      <selection activeCell="A1" sqref="A1"/>
    </sheetView>
  </sheetViews>
  <sheetFormatPr defaultColWidth="9" defaultRowHeight="13.5" outlineLevelCol="5"/>
  <cols>
    <col min="2" max="2" width="18" customWidth="1"/>
    <col min="5" max="5" width="48.75" customWidth="1"/>
    <col min="6" max="6" width="38.5" customWidth="1"/>
  </cols>
  <sheetData>
    <row r="1" ht="30.75" customHeight="1" spans="1:1">
      <c r="A1" s="1" t="s">
        <v>436</v>
      </c>
    </row>
    <row r="2" spans="1:5">
      <c r="A2" s="21" t="s">
        <v>125</v>
      </c>
      <c r="B2" s="21" t="s">
        <v>127</v>
      </c>
      <c r="C2" s="21" t="s">
        <v>128</v>
      </c>
      <c r="D2" s="22" t="s">
        <v>129</v>
      </c>
      <c r="E2" s="308" t="s">
        <v>283</v>
      </c>
    </row>
    <row r="3" ht="16.15" customHeight="1" spans="1:6">
      <c r="A3" s="21">
        <v>1</v>
      </c>
      <c r="B3" s="256" t="s">
        <v>437</v>
      </c>
      <c r="C3" s="21">
        <v>521950</v>
      </c>
      <c r="D3" s="21">
        <v>0</v>
      </c>
      <c r="E3" s="256" t="str">
        <f>"LSCU"&amp;":"&amp;B3&amp;"("&amp;C3&amp;","&amp;D3&amp;")"</f>
        <v>LSCU:输入欠压(521950,0)</v>
      </c>
      <c r="F3" t="s">
        <v>438</v>
      </c>
    </row>
    <row r="4" ht="16.15" customHeight="1" spans="1:6">
      <c r="A4" s="21">
        <v>2</v>
      </c>
      <c r="B4" s="256" t="s">
        <v>439</v>
      </c>
      <c r="C4" s="21">
        <v>521951</v>
      </c>
      <c r="D4" s="21">
        <v>0</v>
      </c>
      <c r="E4" s="256" t="str">
        <f>"LSCU"&amp;":"&amp;B4&amp;"("&amp;C4&amp;","&amp;D4&amp;")"</f>
        <v>LSCU:输入过压(521951,0)</v>
      </c>
      <c r="F4" t="s">
        <v>438</v>
      </c>
    </row>
    <row r="5" ht="16.15" customHeight="1" spans="1:6">
      <c r="A5" s="21">
        <v>3</v>
      </c>
      <c r="B5" s="256" t="s">
        <v>440</v>
      </c>
      <c r="C5" s="21">
        <v>521952</v>
      </c>
      <c r="D5" s="21">
        <v>12</v>
      </c>
      <c r="E5" s="256" t="str">
        <f>"LSCU"&amp;":"&amp;B5&amp;"("&amp;C5&amp;","&amp;D5&amp;")"</f>
        <v>LSCU:EEPROM故障(521952,12)</v>
      </c>
      <c r="F5" t="s">
        <v>438</v>
      </c>
    </row>
    <row r="6" ht="16.15" customHeight="1" spans="1:6">
      <c r="A6" s="21">
        <v>4</v>
      </c>
      <c r="B6" s="256" t="s">
        <v>441</v>
      </c>
      <c r="C6" s="21">
        <v>521953</v>
      </c>
      <c r="D6" s="21">
        <v>0</v>
      </c>
      <c r="E6" s="256" t="str">
        <f t="shared" ref="E6:E13" si="0">"LSCU"&amp;":"&amp;B6&amp;"("&amp;C6&amp;","&amp;D6&amp;")"</f>
        <v>LSCU:过流故障(521953,0)</v>
      </c>
      <c r="F6" t="s">
        <v>438</v>
      </c>
    </row>
    <row r="7" ht="16.15" customHeight="1" spans="1:6">
      <c r="A7" s="21">
        <v>5</v>
      </c>
      <c r="B7" s="256" t="s">
        <v>442</v>
      </c>
      <c r="C7" s="21">
        <v>521954</v>
      </c>
      <c r="D7" s="21">
        <v>0</v>
      </c>
      <c r="E7" s="256" t="str">
        <f t="shared" si="0"/>
        <v>LSCU:过温故障(521954,0)</v>
      </c>
      <c r="F7" t="s">
        <v>438</v>
      </c>
    </row>
    <row r="8" ht="16.15" customHeight="1" spans="1:6">
      <c r="A8" s="21">
        <v>6</v>
      </c>
      <c r="B8" s="256" t="s">
        <v>443</v>
      </c>
      <c r="C8" s="21">
        <v>521955</v>
      </c>
      <c r="D8" s="21">
        <v>0</v>
      </c>
      <c r="E8" s="256" t="str">
        <f t="shared" si="0"/>
        <v>LSCU:过载故障(521955,0)</v>
      </c>
      <c r="F8" t="s">
        <v>438</v>
      </c>
    </row>
    <row r="9" ht="16.15" customHeight="1" spans="1:6">
      <c r="A9" s="21">
        <v>7</v>
      </c>
      <c r="B9" s="256" t="s">
        <v>444</v>
      </c>
      <c r="C9" s="21">
        <v>521956</v>
      </c>
      <c r="D9" s="21">
        <v>8</v>
      </c>
      <c r="E9" s="256" t="str">
        <f t="shared" si="0"/>
        <v>LSCU:输出缺相(521956,8)</v>
      </c>
      <c r="F9" t="s">
        <v>438</v>
      </c>
    </row>
    <row r="10" ht="16.15" customHeight="1" spans="1:6">
      <c r="A10" s="21">
        <v>8</v>
      </c>
      <c r="B10" s="256" t="s">
        <v>445</v>
      </c>
      <c r="C10" s="21">
        <v>521957</v>
      </c>
      <c r="D10" s="21">
        <v>23</v>
      </c>
      <c r="E10" s="256" t="str">
        <f t="shared" si="0"/>
        <v>LSCU:CAN通讯中断故障(521957,23)</v>
      </c>
      <c r="F10" t="s">
        <v>438</v>
      </c>
    </row>
    <row r="11" ht="16.15" customHeight="1" spans="1:6">
      <c r="A11" s="21">
        <v>9</v>
      </c>
      <c r="B11" s="256" t="s">
        <v>446</v>
      </c>
      <c r="C11" s="308">
        <v>521957</v>
      </c>
      <c r="D11" s="308">
        <v>2</v>
      </c>
      <c r="E11" s="256" t="str">
        <f t="shared" si="0"/>
        <v>LSCU:CAN通讯超时故障(521957,2)</v>
      </c>
      <c r="F11" t="s">
        <v>438</v>
      </c>
    </row>
    <row r="12" ht="16.15" customHeight="1" spans="1:6">
      <c r="A12" s="21">
        <v>10</v>
      </c>
      <c r="B12" s="256" t="s">
        <v>447</v>
      </c>
      <c r="C12" s="308">
        <v>521958</v>
      </c>
      <c r="D12" s="308">
        <v>0</v>
      </c>
      <c r="E12" s="256" t="str">
        <f t="shared" si="0"/>
        <v>LSCU:电机过载故障(521958,0)</v>
      </c>
      <c r="F12" t="s">
        <v>438</v>
      </c>
    </row>
    <row r="13" ht="16.15" customHeight="1" spans="1:6">
      <c r="A13" s="21">
        <v>11</v>
      </c>
      <c r="B13" s="256" t="s">
        <v>448</v>
      </c>
      <c r="C13" s="308">
        <v>521959</v>
      </c>
      <c r="D13" s="308">
        <v>0</v>
      </c>
      <c r="E13" s="256" t="str">
        <f t="shared" si="0"/>
        <v>LSCU:电机过温故障(521959,0)</v>
      </c>
      <c r="F13" t="s">
        <v>438</v>
      </c>
    </row>
  </sheetData>
  <hyperlinks>
    <hyperlink ref="A1" location="'控制器源地址&amp;跳转页面'!A1" display="返回目录"/>
  </hyperlink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28"/>
  <sheetViews>
    <sheetView workbookViewId="0">
      <selection activeCell="A1" sqref="A1"/>
    </sheetView>
  </sheetViews>
  <sheetFormatPr defaultColWidth="9" defaultRowHeight="13.5" outlineLevelCol="7"/>
  <cols>
    <col min="1" max="1" width="9.25" customWidth="1"/>
    <col min="2" max="3" width="9" customWidth="1"/>
    <col min="4" max="4" width="23.625" style="52" customWidth="1"/>
    <col min="5" max="5" width="9.5" style="79" customWidth="1"/>
    <col min="6" max="6" width="11.375" style="79" customWidth="1"/>
    <col min="7" max="7" width="41.375" customWidth="1"/>
    <col min="8" max="8" width="23.75" customWidth="1"/>
  </cols>
  <sheetData>
    <row r="1" ht="31.5" customHeight="1" spans="1:1">
      <c r="A1" s="1" t="s">
        <v>436</v>
      </c>
    </row>
    <row r="2" s="79" customFormat="1" ht="18.6" customHeight="1" spans="1:7">
      <c r="A2" s="21" t="s">
        <v>125</v>
      </c>
      <c r="B2" s="21" t="s">
        <v>140</v>
      </c>
      <c r="C2" s="21" t="s">
        <v>141</v>
      </c>
      <c r="D2" s="21" t="s">
        <v>127</v>
      </c>
      <c r="E2" s="21" t="s">
        <v>128</v>
      </c>
      <c r="F2" s="22" t="s">
        <v>129</v>
      </c>
      <c r="G2" s="144" t="s">
        <v>283</v>
      </c>
    </row>
    <row r="3" ht="18.6" customHeight="1" spans="1:7">
      <c r="A3" s="21">
        <v>1</v>
      </c>
      <c r="B3" s="404" t="s">
        <v>148</v>
      </c>
      <c r="C3" s="26" t="s">
        <v>449</v>
      </c>
      <c r="D3" s="405" t="s">
        <v>450</v>
      </c>
      <c r="E3" s="21">
        <v>521900</v>
      </c>
      <c r="F3" s="21">
        <v>0</v>
      </c>
      <c r="G3" s="256" t="str">
        <f>"HSCU"&amp;":"&amp;D3&amp;"("&amp;E3&amp;","&amp;F3&amp;")"</f>
        <v>HSCU:输入欠压 (521900,0)</v>
      </c>
    </row>
    <row r="4" ht="18.6" customHeight="1" spans="1:7">
      <c r="A4" s="21">
        <v>2</v>
      </c>
      <c r="B4" s="404" t="s">
        <v>148</v>
      </c>
      <c r="C4" s="26" t="s">
        <v>451</v>
      </c>
      <c r="D4" s="405" t="s">
        <v>452</v>
      </c>
      <c r="E4" s="21">
        <v>521901</v>
      </c>
      <c r="F4" s="21">
        <v>0</v>
      </c>
      <c r="G4" s="256" t="str">
        <f t="shared" ref="G4:G27" si="0">"HSCU"&amp;":"&amp;D4&amp;"("&amp;E4&amp;","&amp;F4&amp;")"</f>
        <v>HSCU:输入过压 (521901,0)</v>
      </c>
    </row>
    <row r="5" ht="18.6" customHeight="1" spans="1:7">
      <c r="A5" s="21">
        <v>3</v>
      </c>
      <c r="B5" s="404" t="s">
        <v>148</v>
      </c>
      <c r="C5" s="26" t="s">
        <v>449</v>
      </c>
      <c r="D5" s="406" t="s">
        <v>453</v>
      </c>
      <c r="E5" s="21">
        <v>521902</v>
      </c>
      <c r="F5" s="21">
        <v>12</v>
      </c>
      <c r="G5" s="256" t="str">
        <f t="shared" si="0"/>
        <v>HSCU:EEPROM故障 (521902,12)</v>
      </c>
    </row>
    <row r="6" ht="18.6" customHeight="1" spans="1:7">
      <c r="A6" s="21">
        <v>4</v>
      </c>
      <c r="B6" s="404" t="s">
        <v>148</v>
      </c>
      <c r="C6" s="26" t="s">
        <v>449</v>
      </c>
      <c r="D6" s="405" t="s">
        <v>454</v>
      </c>
      <c r="E6" s="21">
        <v>521903</v>
      </c>
      <c r="F6" s="21">
        <v>0</v>
      </c>
      <c r="G6" s="256" t="str">
        <f t="shared" si="0"/>
        <v>HSCU:过流故障 (521903,0)</v>
      </c>
    </row>
    <row r="7" ht="18.6" customHeight="1" spans="1:7">
      <c r="A7" s="407">
        <v>5</v>
      </c>
      <c r="B7" s="407" t="s">
        <v>455</v>
      </c>
      <c r="C7" s="26"/>
      <c r="D7" s="408" t="s">
        <v>456</v>
      </c>
      <c r="E7" s="407">
        <v>521904</v>
      </c>
      <c r="F7" s="407">
        <v>0</v>
      </c>
      <c r="G7" s="258" t="str">
        <f t="shared" si="0"/>
        <v>HSCU:过温故障 (521904,0)</v>
      </c>
    </row>
    <row r="8" ht="18.6" customHeight="1" spans="1:8">
      <c r="A8" s="407">
        <v>6</v>
      </c>
      <c r="B8" s="407" t="s">
        <v>146</v>
      </c>
      <c r="C8" s="26"/>
      <c r="D8" s="408" t="s">
        <v>457</v>
      </c>
      <c r="E8" s="409">
        <v>521904</v>
      </c>
      <c r="F8" s="409">
        <v>16</v>
      </c>
      <c r="G8" s="258" t="str">
        <f t="shared" si="0"/>
        <v>HSCU:过温报警(521904,16)</v>
      </c>
      <c r="H8" t="s">
        <v>314</v>
      </c>
    </row>
    <row r="9" ht="18.6" customHeight="1" spans="1:7">
      <c r="A9" s="21">
        <v>7</v>
      </c>
      <c r="B9" s="25" t="s">
        <v>157</v>
      </c>
      <c r="C9" s="26" t="s">
        <v>449</v>
      </c>
      <c r="D9" s="405" t="s">
        <v>458</v>
      </c>
      <c r="E9" s="21">
        <v>521905</v>
      </c>
      <c r="F9" s="21">
        <v>0</v>
      </c>
      <c r="G9" s="256" t="str">
        <f t="shared" si="0"/>
        <v>HSCU:控制器过载故障 (521905,0)</v>
      </c>
    </row>
    <row r="10" ht="18.6" customHeight="1" spans="1:7">
      <c r="A10" s="21">
        <v>8</v>
      </c>
      <c r="B10" s="404" t="s">
        <v>148</v>
      </c>
      <c r="C10" s="26" t="s">
        <v>451</v>
      </c>
      <c r="D10" s="405" t="s">
        <v>459</v>
      </c>
      <c r="E10" s="21">
        <v>521906</v>
      </c>
      <c r="F10" s="21">
        <v>8</v>
      </c>
      <c r="G10" s="256" t="str">
        <f t="shared" si="0"/>
        <v>HSCU:输出缺相 (521906,8)</v>
      </c>
    </row>
    <row r="11" ht="18.6" customHeight="1" spans="1:7">
      <c r="A11" s="21">
        <v>9</v>
      </c>
      <c r="B11" s="25" t="s">
        <v>157</v>
      </c>
      <c r="C11" s="26" t="s">
        <v>460</v>
      </c>
      <c r="D11" s="406" t="s">
        <v>461</v>
      </c>
      <c r="E11" s="21">
        <v>521907</v>
      </c>
      <c r="F11" s="21">
        <v>23</v>
      </c>
      <c r="G11" s="256" t="str">
        <f t="shared" si="0"/>
        <v>HSCU:CAN 通讯中断故障 (521907,23)</v>
      </c>
    </row>
    <row r="12" ht="18.6" customHeight="1" spans="1:7">
      <c r="A12" s="21">
        <v>10</v>
      </c>
      <c r="B12" s="25" t="s">
        <v>157</v>
      </c>
      <c r="C12" s="26" t="s">
        <v>460</v>
      </c>
      <c r="D12" s="406" t="s">
        <v>462</v>
      </c>
      <c r="E12" s="308">
        <v>521907</v>
      </c>
      <c r="F12" s="308">
        <v>2</v>
      </c>
      <c r="G12" s="256" t="str">
        <f t="shared" si="0"/>
        <v>HSCU:CAN 通讯超时故障 (521907,2)</v>
      </c>
    </row>
    <row r="13" ht="18.6" customHeight="1" spans="1:7">
      <c r="A13" s="21">
        <v>11</v>
      </c>
      <c r="B13" s="404" t="s">
        <v>148</v>
      </c>
      <c r="C13" s="26" t="s">
        <v>460</v>
      </c>
      <c r="D13" s="405" t="s">
        <v>463</v>
      </c>
      <c r="E13" s="308">
        <v>521908</v>
      </c>
      <c r="F13" s="308">
        <v>0</v>
      </c>
      <c r="G13" s="256" t="str">
        <f t="shared" si="0"/>
        <v>HSCU:电机过载故障 (521908,0)</v>
      </c>
    </row>
    <row r="14" ht="18.6" customHeight="1" spans="1:8">
      <c r="A14" s="21">
        <v>12</v>
      </c>
      <c r="B14" s="404" t="s">
        <v>148</v>
      </c>
      <c r="C14" s="26" t="s">
        <v>449</v>
      </c>
      <c r="D14" s="410" t="s">
        <v>464</v>
      </c>
      <c r="E14" s="285">
        <v>521908</v>
      </c>
      <c r="F14" s="285">
        <v>12</v>
      </c>
      <c r="G14" s="260" t="str">
        <f t="shared" si="0"/>
        <v>HSCU:电流检测（零漂）故障(521908,12)</v>
      </c>
      <c r="H14" t="s">
        <v>465</v>
      </c>
    </row>
    <row r="15" ht="18.6" customHeight="1" spans="1:8">
      <c r="A15" s="21">
        <v>13</v>
      </c>
      <c r="B15" s="404" t="s">
        <v>148</v>
      </c>
      <c r="C15" s="26" t="s">
        <v>449</v>
      </c>
      <c r="D15" s="410" t="s">
        <v>466</v>
      </c>
      <c r="E15" s="285">
        <v>521909</v>
      </c>
      <c r="F15" s="285">
        <v>0</v>
      </c>
      <c r="G15" s="260" t="str">
        <f t="shared" si="0"/>
        <v>HSCU:控制器过温故障 (521909,0)</v>
      </c>
      <c r="H15" t="s">
        <v>465</v>
      </c>
    </row>
    <row r="16" ht="18.6" customHeight="1" spans="1:8">
      <c r="A16" s="21">
        <v>14</v>
      </c>
      <c r="B16" s="404" t="s">
        <v>148</v>
      </c>
      <c r="C16" s="26" t="s">
        <v>451</v>
      </c>
      <c r="D16" s="410" t="s">
        <v>467</v>
      </c>
      <c r="E16" s="285">
        <v>521909</v>
      </c>
      <c r="F16" s="285">
        <v>10</v>
      </c>
      <c r="G16" s="260" t="str">
        <f t="shared" si="0"/>
        <v>HSCU:转速偏差过大 (521909,10)</v>
      </c>
      <c r="H16" t="s">
        <v>465</v>
      </c>
    </row>
    <row r="17" ht="18.6" customHeight="1" spans="1:8">
      <c r="A17" s="21">
        <v>15</v>
      </c>
      <c r="B17" s="25" t="s">
        <v>157</v>
      </c>
      <c r="C17" s="26" t="s">
        <v>460</v>
      </c>
      <c r="D17" s="411" t="s">
        <v>468</v>
      </c>
      <c r="E17" s="412">
        <v>521909</v>
      </c>
      <c r="F17" s="412">
        <v>16</v>
      </c>
      <c r="G17" s="260" t="str">
        <f t="shared" si="0"/>
        <v>HSCU:控制器过温报警(521909,16)</v>
      </c>
      <c r="H17" t="s">
        <v>465</v>
      </c>
    </row>
    <row r="18" ht="18.6" customHeight="1" spans="1:8">
      <c r="A18" s="407">
        <v>16</v>
      </c>
      <c r="B18" s="407" t="s">
        <v>146</v>
      </c>
      <c r="C18" s="26"/>
      <c r="D18" s="413" t="s">
        <v>469</v>
      </c>
      <c r="E18" s="409">
        <v>521910</v>
      </c>
      <c r="F18" s="409">
        <v>12</v>
      </c>
      <c r="G18" s="258" t="str">
        <f t="shared" si="0"/>
        <v>HSCU:PT100 短路 (521910,12)</v>
      </c>
      <c r="H18" t="s">
        <v>465</v>
      </c>
    </row>
    <row r="19" ht="18.6" customHeight="1" spans="1:8">
      <c r="A19" s="407">
        <v>17</v>
      </c>
      <c r="B19" s="407" t="s">
        <v>146</v>
      </c>
      <c r="C19" s="26"/>
      <c r="D19" s="413" t="s">
        <v>470</v>
      </c>
      <c r="E19" s="409">
        <v>521910</v>
      </c>
      <c r="F19" s="409">
        <v>5</v>
      </c>
      <c r="G19" s="258" t="str">
        <f t="shared" si="0"/>
        <v>HSCU:PT100 开路 (521910,5)</v>
      </c>
      <c r="H19" t="s">
        <v>465</v>
      </c>
    </row>
    <row r="20" ht="18.6" customHeight="1" spans="1:8">
      <c r="A20" s="21">
        <v>18</v>
      </c>
      <c r="B20" s="404" t="s">
        <v>148</v>
      </c>
      <c r="C20" s="26" t="s">
        <v>449</v>
      </c>
      <c r="D20" s="410" t="s">
        <v>471</v>
      </c>
      <c r="E20" s="285">
        <v>521911</v>
      </c>
      <c r="F20" s="285">
        <v>0</v>
      </c>
      <c r="G20" s="260" t="str">
        <f t="shared" si="0"/>
        <v>HSCU:超速故障(521911,0)</v>
      </c>
      <c r="H20" t="s">
        <v>465</v>
      </c>
    </row>
    <row r="21" ht="18.6" customHeight="1" spans="1:8">
      <c r="A21" s="21">
        <v>19</v>
      </c>
      <c r="B21" s="404" t="s">
        <v>148</v>
      </c>
      <c r="C21" s="26" t="s">
        <v>449</v>
      </c>
      <c r="D21" s="410" t="s">
        <v>472</v>
      </c>
      <c r="E21" s="285">
        <v>521912</v>
      </c>
      <c r="F21" s="285">
        <v>7</v>
      </c>
      <c r="G21" s="260" t="str">
        <f t="shared" si="0"/>
        <v>HSCU:相间短路故障(521912,7)</v>
      </c>
      <c r="H21" t="s">
        <v>465</v>
      </c>
    </row>
    <row r="22" ht="18.6" customHeight="1" spans="1:8">
      <c r="A22" s="21">
        <v>20</v>
      </c>
      <c r="B22" s="404" t="s">
        <v>148</v>
      </c>
      <c r="C22" s="26" t="s">
        <v>449</v>
      </c>
      <c r="D22" s="410" t="s">
        <v>473</v>
      </c>
      <c r="E22" s="285">
        <v>521913</v>
      </c>
      <c r="F22" s="285">
        <v>7</v>
      </c>
      <c r="G22" s="260" t="str">
        <f t="shared" si="0"/>
        <v>HSCU:失调故障(521913,7)</v>
      </c>
      <c r="H22" t="s">
        <v>465</v>
      </c>
    </row>
    <row r="23" ht="18.6" customHeight="1" spans="1:8">
      <c r="A23" s="21">
        <v>21</v>
      </c>
      <c r="B23" s="404" t="s">
        <v>148</v>
      </c>
      <c r="C23" s="26" t="s">
        <v>449</v>
      </c>
      <c r="D23" s="410" t="s">
        <v>474</v>
      </c>
      <c r="E23" s="285">
        <v>521914</v>
      </c>
      <c r="F23" s="285">
        <v>12</v>
      </c>
      <c r="G23" s="260" t="str">
        <f t="shared" si="0"/>
        <v>HSCU:硬件故障(521914,12)</v>
      </c>
      <c r="H23" t="s">
        <v>465</v>
      </c>
    </row>
    <row r="24" ht="18.6" customHeight="1" spans="1:8">
      <c r="A24" s="21">
        <v>22</v>
      </c>
      <c r="B24" s="25" t="s">
        <v>157</v>
      </c>
      <c r="C24" s="26" t="s">
        <v>475</v>
      </c>
      <c r="D24" s="410" t="s">
        <v>476</v>
      </c>
      <c r="E24" s="285">
        <v>521915</v>
      </c>
      <c r="F24" s="285">
        <v>5</v>
      </c>
      <c r="G24" s="260" t="str">
        <f t="shared" si="0"/>
        <v>HSCU:控制器温度传感器断路故障(521915,5)</v>
      </c>
      <c r="H24" t="s">
        <v>465</v>
      </c>
    </row>
    <row r="25" ht="18.6" customHeight="1" spans="1:8">
      <c r="A25" s="21">
        <v>23</v>
      </c>
      <c r="B25" s="25" t="s">
        <v>157</v>
      </c>
      <c r="C25" s="26" t="s">
        <v>475</v>
      </c>
      <c r="D25" s="410" t="s">
        <v>477</v>
      </c>
      <c r="E25" s="285">
        <v>521915</v>
      </c>
      <c r="F25" s="285">
        <v>6</v>
      </c>
      <c r="G25" s="260" t="str">
        <f t="shared" si="0"/>
        <v>HSCU:控制器温度传感器短路故障(521915,6)</v>
      </c>
      <c r="H25" t="s">
        <v>465</v>
      </c>
    </row>
    <row r="26" ht="18.6" customHeight="1" spans="1:8">
      <c r="A26" s="21">
        <v>24</v>
      </c>
      <c r="B26" s="404" t="s">
        <v>148</v>
      </c>
      <c r="C26" s="26" t="s">
        <v>451</v>
      </c>
      <c r="D26" s="410" t="s">
        <v>478</v>
      </c>
      <c r="E26" s="285">
        <v>521916</v>
      </c>
      <c r="F26" s="285">
        <v>1</v>
      </c>
      <c r="G26" s="260" t="str">
        <f t="shared" si="0"/>
        <v>HSCU:辅助电源欠压(521916,1)</v>
      </c>
      <c r="H26" t="s">
        <v>465</v>
      </c>
    </row>
    <row r="27" ht="18.6" customHeight="1" spans="1:8">
      <c r="A27" s="407">
        <v>25</v>
      </c>
      <c r="B27" s="407" t="s">
        <v>146</v>
      </c>
      <c r="C27" s="26"/>
      <c r="D27" s="408" t="s">
        <v>479</v>
      </c>
      <c r="E27" s="409">
        <v>521916</v>
      </c>
      <c r="F27" s="409">
        <v>16</v>
      </c>
      <c r="G27" s="258" t="str">
        <f t="shared" si="0"/>
        <v>HSCU:辅助电源过压(521916,16)</v>
      </c>
      <c r="H27" t="s">
        <v>465</v>
      </c>
    </row>
    <row r="28" spans="5:8">
      <c r="E28" s="414"/>
      <c r="F28" s="414"/>
      <c r="G28" s="414"/>
      <c r="H28" s="414"/>
    </row>
  </sheetData>
  <hyperlinks>
    <hyperlink ref="A1" location="'控制器源地址&amp;跳转页面'!A1" display="返回目录"/>
  </hyperlink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79"/>
  <sheetViews>
    <sheetView zoomScale="115" zoomScaleNormal="115" workbookViewId="0">
      <pane ySplit="2" topLeftCell="A3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9.375" style="165" customWidth="1"/>
    <col min="2" max="2" width="8.5" style="165" customWidth="1"/>
    <col min="3" max="3" width="39.125" style="217" customWidth="1"/>
    <col min="4" max="4" width="17.25" style="372" customWidth="1"/>
    <col min="5" max="5" width="5.125" style="165" customWidth="1"/>
    <col min="6" max="6" width="72.5" style="217" customWidth="1"/>
    <col min="7" max="7" width="84.875" style="373" customWidth="1"/>
    <col min="8" max="16384" width="9" style="165"/>
  </cols>
  <sheetData>
    <row r="1" ht="14.25" spans="1:1">
      <c r="A1" s="374" t="s">
        <v>436</v>
      </c>
    </row>
    <row r="2" s="368" customFormat="1" ht="15" spans="1:7">
      <c r="A2" s="375" t="s">
        <v>125</v>
      </c>
      <c r="B2" s="375" t="s">
        <v>480</v>
      </c>
      <c r="C2" s="376" t="s">
        <v>481</v>
      </c>
      <c r="D2" s="178" t="s">
        <v>128</v>
      </c>
      <c r="E2" s="178" t="s">
        <v>129</v>
      </c>
      <c r="F2" s="178" t="s">
        <v>482</v>
      </c>
      <c r="G2" s="377" t="s">
        <v>483</v>
      </c>
    </row>
    <row r="3" ht="15" spans="1:7">
      <c r="A3" s="377">
        <v>1</v>
      </c>
      <c r="B3" s="378">
        <v>9800</v>
      </c>
      <c r="C3" s="379" t="s">
        <v>484</v>
      </c>
      <c r="D3" s="378">
        <v>523000</v>
      </c>
      <c r="E3" s="377">
        <v>3</v>
      </c>
      <c r="F3" s="379" t="s">
        <v>485</v>
      </c>
      <c r="G3" s="377"/>
    </row>
    <row r="4" ht="15" spans="1:7">
      <c r="A4" s="377">
        <v>2</v>
      </c>
      <c r="B4" s="378">
        <v>9801</v>
      </c>
      <c r="C4" s="379" t="s">
        <v>486</v>
      </c>
      <c r="D4" s="378">
        <v>523000</v>
      </c>
      <c r="E4" s="377">
        <v>4</v>
      </c>
      <c r="F4" s="379" t="s">
        <v>487</v>
      </c>
      <c r="G4" s="377"/>
    </row>
    <row r="5" ht="29.25" spans="1:7">
      <c r="A5" s="377">
        <v>5</v>
      </c>
      <c r="B5" s="378">
        <v>9809</v>
      </c>
      <c r="C5" s="379" t="s">
        <v>488</v>
      </c>
      <c r="D5" s="378">
        <v>523004</v>
      </c>
      <c r="E5" s="377">
        <v>3</v>
      </c>
      <c r="F5" s="379" t="s">
        <v>489</v>
      </c>
      <c r="G5" s="380" t="s">
        <v>490</v>
      </c>
    </row>
    <row r="6" ht="29.25" spans="1:7">
      <c r="A6" s="377">
        <v>6</v>
      </c>
      <c r="B6" s="378">
        <v>9810</v>
      </c>
      <c r="C6" s="379" t="s">
        <v>491</v>
      </c>
      <c r="D6" s="378">
        <v>523004</v>
      </c>
      <c r="E6" s="377">
        <v>4</v>
      </c>
      <c r="F6" s="379" t="s">
        <v>492</v>
      </c>
      <c r="G6" s="380" t="s">
        <v>490</v>
      </c>
    </row>
    <row r="7" ht="29.25" spans="1:7">
      <c r="A7" s="377">
        <v>7</v>
      </c>
      <c r="B7" s="378">
        <v>9811</v>
      </c>
      <c r="C7" s="379" t="s">
        <v>493</v>
      </c>
      <c r="D7" s="378">
        <v>523005</v>
      </c>
      <c r="E7" s="377">
        <v>3</v>
      </c>
      <c r="F7" s="379" t="s">
        <v>494</v>
      </c>
      <c r="G7" s="380" t="s">
        <v>490</v>
      </c>
    </row>
    <row r="8" ht="29.25" spans="1:7">
      <c r="A8" s="377">
        <v>8</v>
      </c>
      <c r="B8" s="378">
        <v>9812</v>
      </c>
      <c r="C8" s="379" t="s">
        <v>495</v>
      </c>
      <c r="D8" s="378">
        <v>523005</v>
      </c>
      <c r="E8" s="377">
        <v>4</v>
      </c>
      <c r="F8" s="379" t="s">
        <v>496</v>
      </c>
      <c r="G8" s="380" t="s">
        <v>490</v>
      </c>
    </row>
    <row r="9" ht="15" spans="1:7">
      <c r="A9" s="377">
        <v>11</v>
      </c>
      <c r="B9" s="378">
        <v>9815</v>
      </c>
      <c r="C9" s="379" t="s">
        <v>497</v>
      </c>
      <c r="D9" s="377">
        <v>523007</v>
      </c>
      <c r="E9" s="377">
        <v>12</v>
      </c>
      <c r="F9" s="379" t="s">
        <v>498</v>
      </c>
      <c r="G9" s="377"/>
    </row>
    <row r="10" ht="15" spans="1:7">
      <c r="A10" s="377">
        <v>12</v>
      </c>
      <c r="B10" s="378">
        <v>9816</v>
      </c>
      <c r="C10" s="379" t="s">
        <v>499</v>
      </c>
      <c r="D10" s="377">
        <v>523034</v>
      </c>
      <c r="E10" s="377">
        <v>8</v>
      </c>
      <c r="F10" s="379" t="s">
        <v>500</v>
      </c>
      <c r="G10" s="377"/>
    </row>
    <row r="11" ht="15" spans="1:7">
      <c r="A11" s="377">
        <v>13</v>
      </c>
      <c r="B11" s="378">
        <v>9817</v>
      </c>
      <c r="C11" s="379" t="s">
        <v>501</v>
      </c>
      <c r="D11" s="377">
        <v>523008</v>
      </c>
      <c r="E11" s="377">
        <v>8</v>
      </c>
      <c r="F11" s="379" t="s">
        <v>502</v>
      </c>
      <c r="G11" s="377"/>
    </row>
    <row r="12" ht="15" spans="1:7">
      <c r="A12" s="377">
        <v>14</v>
      </c>
      <c r="B12" s="378">
        <v>9818</v>
      </c>
      <c r="C12" s="379" t="s">
        <v>503</v>
      </c>
      <c r="D12" s="377">
        <v>523009</v>
      </c>
      <c r="E12" s="377">
        <v>8</v>
      </c>
      <c r="F12" s="379" t="s">
        <v>504</v>
      </c>
      <c r="G12" s="377"/>
    </row>
    <row r="13" ht="15" spans="1:7">
      <c r="A13" s="377">
        <v>15</v>
      </c>
      <c r="B13" s="378">
        <v>9819</v>
      </c>
      <c r="C13" s="379" t="s">
        <v>505</v>
      </c>
      <c r="D13" s="377">
        <v>523010</v>
      </c>
      <c r="E13" s="377">
        <v>8</v>
      </c>
      <c r="F13" s="379" t="s">
        <v>506</v>
      </c>
      <c r="G13" s="377"/>
    </row>
    <row r="14" s="369" customFormat="1" ht="15" spans="1:8">
      <c r="A14" s="381">
        <v>21</v>
      </c>
      <c r="B14" s="382">
        <v>9830</v>
      </c>
      <c r="C14" s="383" t="s">
        <v>507</v>
      </c>
      <c r="D14" s="381">
        <v>523020</v>
      </c>
      <c r="E14" s="381">
        <v>12</v>
      </c>
      <c r="F14" s="383" t="s">
        <v>508</v>
      </c>
      <c r="G14" s="381"/>
      <c r="H14" s="369" t="s">
        <v>509</v>
      </c>
    </row>
    <row r="15" s="369" customFormat="1" ht="15" spans="1:8">
      <c r="A15" s="381">
        <v>22</v>
      </c>
      <c r="B15" s="382">
        <v>9832</v>
      </c>
      <c r="C15" s="383" t="s">
        <v>510</v>
      </c>
      <c r="D15" s="381">
        <v>523022</v>
      </c>
      <c r="E15" s="381">
        <v>12</v>
      </c>
      <c r="F15" s="383" t="s">
        <v>511</v>
      </c>
      <c r="G15" s="381"/>
      <c r="H15" s="369" t="s">
        <v>509</v>
      </c>
    </row>
    <row r="16" ht="15" spans="1:7">
      <c r="A16" s="377">
        <v>23</v>
      </c>
      <c r="B16" s="378">
        <v>9833</v>
      </c>
      <c r="C16" s="379" t="s">
        <v>512</v>
      </c>
      <c r="D16" s="377">
        <v>523023</v>
      </c>
      <c r="E16" s="377">
        <v>12</v>
      </c>
      <c r="F16" s="379" t="s">
        <v>513</v>
      </c>
      <c r="G16" s="377"/>
    </row>
    <row r="17" ht="15" spans="1:7">
      <c r="A17" s="377">
        <v>24</v>
      </c>
      <c r="B17" s="378">
        <v>9834</v>
      </c>
      <c r="C17" s="379" t="s">
        <v>514</v>
      </c>
      <c r="D17" s="377">
        <v>523024</v>
      </c>
      <c r="E17" s="377">
        <v>12</v>
      </c>
      <c r="F17" s="379" t="s">
        <v>515</v>
      </c>
      <c r="G17" s="377"/>
    </row>
    <row r="18" ht="15" spans="1:7">
      <c r="A18" s="377">
        <v>25</v>
      </c>
      <c r="B18" s="378">
        <v>9835</v>
      </c>
      <c r="C18" s="379" t="s">
        <v>516</v>
      </c>
      <c r="D18" s="377">
        <v>523025</v>
      </c>
      <c r="E18" s="377">
        <v>12</v>
      </c>
      <c r="F18" s="379" t="s">
        <v>517</v>
      </c>
      <c r="G18" s="377"/>
    </row>
    <row r="19" ht="15" spans="1:7">
      <c r="A19" s="377">
        <v>26</v>
      </c>
      <c r="B19" s="378">
        <v>9836</v>
      </c>
      <c r="C19" s="379" t="s">
        <v>518</v>
      </c>
      <c r="D19" s="377">
        <v>523026</v>
      </c>
      <c r="E19" s="377">
        <v>12</v>
      </c>
      <c r="F19" s="379" t="s">
        <v>519</v>
      </c>
      <c r="G19" s="377"/>
    </row>
    <row r="20" ht="15" spans="1:7">
      <c r="A20" s="377">
        <v>27</v>
      </c>
      <c r="B20" s="378">
        <v>9837</v>
      </c>
      <c r="C20" s="379" t="s">
        <v>520</v>
      </c>
      <c r="D20" s="377">
        <v>523027</v>
      </c>
      <c r="E20" s="377">
        <v>12</v>
      </c>
      <c r="F20" s="379" t="s">
        <v>521</v>
      </c>
      <c r="G20" s="377"/>
    </row>
    <row r="21" ht="15" spans="1:7">
      <c r="A21" s="377">
        <v>28</v>
      </c>
      <c r="B21" s="378">
        <v>9838</v>
      </c>
      <c r="C21" s="379" t="s">
        <v>522</v>
      </c>
      <c r="D21" s="377">
        <v>523028</v>
      </c>
      <c r="E21" s="377">
        <v>12</v>
      </c>
      <c r="F21" s="379" t="s">
        <v>523</v>
      </c>
      <c r="G21" s="377"/>
    </row>
    <row r="22" ht="15" spans="1:7">
      <c r="A22" s="377">
        <v>29</v>
      </c>
      <c r="B22" s="378">
        <v>9839</v>
      </c>
      <c r="C22" s="379" t="s">
        <v>524</v>
      </c>
      <c r="D22" s="377">
        <v>523029</v>
      </c>
      <c r="E22" s="377">
        <v>12</v>
      </c>
      <c r="F22" s="379" t="s">
        <v>525</v>
      </c>
      <c r="G22" s="377"/>
    </row>
    <row r="23" ht="15" spans="1:7">
      <c r="A23" s="377">
        <v>30</v>
      </c>
      <c r="B23" s="378">
        <v>9840</v>
      </c>
      <c r="C23" s="379" t="s">
        <v>526</v>
      </c>
      <c r="D23" s="377">
        <v>523030</v>
      </c>
      <c r="E23" s="377">
        <v>12</v>
      </c>
      <c r="F23" s="379" t="s">
        <v>527</v>
      </c>
      <c r="G23" s="377"/>
    </row>
    <row r="24" ht="15" spans="1:8">
      <c r="A24" s="384"/>
      <c r="B24" s="385"/>
      <c r="C24" s="386" t="s">
        <v>528</v>
      </c>
      <c r="D24" s="384">
        <v>523031</v>
      </c>
      <c r="E24" s="384">
        <v>12</v>
      </c>
      <c r="F24" s="386" t="s">
        <v>529</v>
      </c>
      <c r="G24" s="384"/>
      <c r="H24" s="165" t="s">
        <v>530</v>
      </c>
    </row>
    <row r="25" ht="15" spans="1:8">
      <c r="A25" s="384"/>
      <c r="B25" s="385"/>
      <c r="C25" s="386" t="s">
        <v>531</v>
      </c>
      <c r="D25" s="384">
        <v>523032</v>
      </c>
      <c r="E25" s="384">
        <v>12</v>
      </c>
      <c r="F25" s="386" t="s">
        <v>532</v>
      </c>
      <c r="G25" s="384"/>
      <c r="H25" s="165" t="s">
        <v>530</v>
      </c>
    </row>
    <row r="26" s="370" customFormat="1" ht="15" spans="1:8">
      <c r="A26" s="381">
        <v>31</v>
      </c>
      <c r="B26" s="382">
        <v>9841</v>
      </c>
      <c r="C26" s="383" t="s">
        <v>533</v>
      </c>
      <c r="D26" s="381">
        <v>523031</v>
      </c>
      <c r="E26" s="381">
        <v>0</v>
      </c>
      <c r="F26" s="383" t="s">
        <v>534</v>
      </c>
      <c r="G26" s="381" t="s">
        <v>535</v>
      </c>
      <c r="H26" s="370" t="s">
        <v>509</v>
      </c>
    </row>
    <row r="27" s="370" customFormat="1" ht="15" spans="1:7">
      <c r="A27" s="381">
        <v>32</v>
      </c>
      <c r="B27" s="382">
        <v>9842</v>
      </c>
      <c r="C27" s="383" t="s">
        <v>536</v>
      </c>
      <c r="D27" s="381">
        <v>523032</v>
      </c>
      <c r="E27" s="381">
        <v>0</v>
      </c>
      <c r="F27" s="383" t="s">
        <v>537</v>
      </c>
      <c r="G27" s="381" t="s">
        <v>538</v>
      </c>
    </row>
    <row r="28" ht="15" spans="1:7">
      <c r="A28" s="377">
        <v>33</v>
      </c>
      <c r="B28" s="378">
        <v>9843</v>
      </c>
      <c r="C28" s="379" t="s">
        <v>539</v>
      </c>
      <c r="D28" s="377">
        <v>523033</v>
      </c>
      <c r="E28" s="377">
        <v>8</v>
      </c>
      <c r="F28" s="379" t="s">
        <v>540</v>
      </c>
      <c r="G28" s="377"/>
    </row>
    <row r="29" ht="29.25" spans="1:7">
      <c r="A29" s="377">
        <v>34</v>
      </c>
      <c r="B29" s="378">
        <v>9845</v>
      </c>
      <c r="C29" s="379" t="s">
        <v>541</v>
      </c>
      <c r="D29" s="377">
        <v>523036</v>
      </c>
      <c r="E29" s="377">
        <v>8</v>
      </c>
      <c r="F29" s="379" t="s">
        <v>542</v>
      </c>
      <c r="G29" s="377" t="s">
        <v>543</v>
      </c>
    </row>
    <row r="30" ht="29.25" spans="1:7">
      <c r="A30" s="377">
        <v>35</v>
      </c>
      <c r="B30" s="378">
        <v>9846</v>
      </c>
      <c r="C30" s="379" t="s">
        <v>544</v>
      </c>
      <c r="D30" s="377">
        <v>523037</v>
      </c>
      <c r="E30" s="377">
        <v>8</v>
      </c>
      <c r="F30" s="379" t="s">
        <v>545</v>
      </c>
      <c r="G30" s="377" t="s">
        <v>546</v>
      </c>
    </row>
    <row r="31" ht="15" spans="1:7">
      <c r="A31" s="377">
        <v>36</v>
      </c>
      <c r="B31" s="378">
        <v>9847</v>
      </c>
      <c r="C31" s="379" t="s">
        <v>547</v>
      </c>
      <c r="D31" s="377">
        <v>171</v>
      </c>
      <c r="E31" s="377">
        <v>2</v>
      </c>
      <c r="F31" s="379" t="s">
        <v>548</v>
      </c>
      <c r="G31" s="377" t="s">
        <v>549</v>
      </c>
    </row>
    <row r="32" ht="29.25" spans="1:7">
      <c r="A32" s="377">
        <v>37</v>
      </c>
      <c r="B32" s="378">
        <v>9848</v>
      </c>
      <c r="C32" s="379" t="s">
        <v>550</v>
      </c>
      <c r="D32" s="377">
        <v>171</v>
      </c>
      <c r="E32" s="377">
        <v>3</v>
      </c>
      <c r="F32" s="387" t="s">
        <v>551</v>
      </c>
      <c r="G32" s="377" t="s">
        <v>552</v>
      </c>
    </row>
    <row r="33" ht="29.25" spans="1:7">
      <c r="A33" s="377">
        <v>38</v>
      </c>
      <c r="B33" s="378">
        <v>9849</v>
      </c>
      <c r="C33" s="379" t="s">
        <v>553</v>
      </c>
      <c r="D33" s="377">
        <v>171</v>
      </c>
      <c r="E33" s="377">
        <v>4</v>
      </c>
      <c r="F33" s="379" t="s">
        <v>554</v>
      </c>
      <c r="G33" s="377" t="s">
        <v>555</v>
      </c>
    </row>
    <row r="34" ht="29.25" spans="1:8">
      <c r="A34" s="388">
        <v>39</v>
      </c>
      <c r="B34" s="389">
        <v>9850</v>
      </c>
      <c r="C34" s="390" t="s">
        <v>556</v>
      </c>
      <c r="D34" s="388">
        <v>177</v>
      </c>
      <c r="E34" s="388">
        <v>3</v>
      </c>
      <c r="F34" s="390" t="s">
        <v>557</v>
      </c>
      <c r="G34" s="388"/>
      <c r="H34" s="165" t="s">
        <v>509</v>
      </c>
    </row>
    <row r="35" s="370" customFormat="1" ht="15" spans="1:7">
      <c r="A35" s="381">
        <v>40</v>
      </c>
      <c r="B35" s="382">
        <v>9851</v>
      </c>
      <c r="C35" s="383" t="s">
        <v>558</v>
      </c>
      <c r="D35" s="381">
        <v>177</v>
      </c>
      <c r="E35" s="381">
        <v>4</v>
      </c>
      <c r="F35" s="383" t="s">
        <v>559</v>
      </c>
      <c r="G35" s="381"/>
    </row>
    <row r="36" s="370" customFormat="1" ht="15" spans="1:7">
      <c r="A36" s="381">
        <v>41</v>
      </c>
      <c r="B36" s="382">
        <v>9852</v>
      </c>
      <c r="C36" s="383" t="s">
        <v>560</v>
      </c>
      <c r="D36" s="381">
        <v>523038</v>
      </c>
      <c r="E36" s="381">
        <v>12</v>
      </c>
      <c r="F36" s="383" t="s">
        <v>561</v>
      </c>
      <c r="G36" s="381"/>
    </row>
    <row r="37" s="370" customFormat="1" ht="15" spans="1:7">
      <c r="A37" s="381">
        <v>42</v>
      </c>
      <c r="B37" s="382">
        <v>9853</v>
      </c>
      <c r="C37" s="383" t="s">
        <v>562</v>
      </c>
      <c r="D37" s="381">
        <v>523039</v>
      </c>
      <c r="E37" s="381">
        <v>12</v>
      </c>
      <c r="F37" s="383" t="s">
        <v>563</v>
      </c>
      <c r="G37" s="381"/>
    </row>
    <row r="38" s="370" customFormat="1" ht="15" spans="1:7">
      <c r="A38" s="381">
        <v>43</v>
      </c>
      <c r="B38" s="382">
        <v>9854</v>
      </c>
      <c r="C38" s="383" t="s">
        <v>564</v>
      </c>
      <c r="D38" s="381">
        <v>523040</v>
      </c>
      <c r="E38" s="381">
        <v>12</v>
      </c>
      <c r="F38" s="383" t="s">
        <v>565</v>
      </c>
      <c r="G38" s="381"/>
    </row>
    <row r="39" s="370" customFormat="1" ht="15" spans="1:7">
      <c r="A39" s="381">
        <v>44</v>
      </c>
      <c r="B39" s="382">
        <v>9855</v>
      </c>
      <c r="C39" s="383" t="s">
        <v>566</v>
      </c>
      <c r="D39" s="381">
        <v>523041</v>
      </c>
      <c r="E39" s="381">
        <v>1</v>
      </c>
      <c r="F39" s="383" t="s">
        <v>567</v>
      </c>
      <c r="G39" s="381" t="s">
        <v>568</v>
      </c>
    </row>
    <row r="40" s="371" customFormat="1" ht="29.25" spans="1:7">
      <c r="A40" s="391">
        <v>45</v>
      </c>
      <c r="B40" s="392">
        <v>9856</v>
      </c>
      <c r="C40" s="393" t="s">
        <v>569</v>
      </c>
      <c r="D40" s="391">
        <v>523042</v>
      </c>
      <c r="E40" s="391">
        <v>8</v>
      </c>
      <c r="F40" s="393" t="s">
        <v>570</v>
      </c>
      <c r="G40" s="394" t="s">
        <v>571</v>
      </c>
    </row>
    <row r="41" s="370" customFormat="1" ht="15" spans="1:7">
      <c r="A41" s="381">
        <v>46</v>
      </c>
      <c r="B41" s="382">
        <v>9857</v>
      </c>
      <c r="C41" s="383" t="s">
        <v>572</v>
      </c>
      <c r="D41" s="381">
        <v>523043</v>
      </c>
      <c r="E41" s="381">
        <v>8</v>
      </c>
      <c r="F41" s="383" t="s">
        <v>573</v>
      </c>
      <c r="G41" s="381"/>
    </row>
    <row r="42" s="370" customFormat="1" ht="15" spans="1:8">
      <c r="A42" s="381">
        <v>47</v>
      </c>
      <c r="B42" s="382">
        <v>9858</v>
      </c>
      <c r="C42" s="383" t="s">
        <v>574</v>
      </c>
      <c r="D42" s="381">
        <v>523044</v>
      </c>
      <c r="E42" s="381">
        <v>8</v>
      </c>
      <c r="F42" s="383" t="s">
        <v>575</v>
      </c>
      <c r="G42" s="381"/>
      <c r="H42" s="370" t="s">
        <v>509</v>
      </c>
    </row>
    <row r="43" s="371" customFormat="1" ht="15" spans="1:7">
      <c r="A43" s="391">
        <v>48</v>
      </c>
      <c r="B43" s="392">
        <v>9859</v>
      </c>
      <c r="C43" s="393" t="s">
        <v>576</v>
      </c>
      <c r="D43" s="391">
        <v>523045</v>
      </c>
      <c r="E43" s="391">
        <v>8</v>
      </c>
      <c r="F43" s="393" t="s">
        <v>577</v>
      </c>
      <c r="G43" s="393"/>
    </row>
    <row r="44" s="370" customFormat="1" ht="15" spans="1:8">
      <c r="A44" s="381">
        <v>49</v>
      </c>
      <c r="B44" s="381">
        <v>9860</v>
      </c>
      <c r="C44" s="383" t="s">
        <v>578</v>
      </c>
      <c r="D44" s="381">
        <v>523046</v>
      </c>
      <c r="E44" s="381">
        <v>8</v>
      </c>
      <c r="F44" s="383" t="s">
        <v>579</v>
      </c>
      <c r="G44" s="382"/>
      <c r="H44" s="370" t="s">
        <v>509</v>
      </c>
    </row>
    <row r="45" ht="15" spans="1:7">
      <c r="A45" s="377">
        <v>50</v>
      </c>
      <c r="B45" s="378">
        <v>9861</v>
      </c>
      <c r="C45" s="379" t="s">
        <v>580</v>
      </c>
      <c r="D45" s="395">
        <v>523047</v>
      </c>
      <c r="E45" s="395">
        <v>8</v>
      </c>
      <c r="F45" s="379" t="s">
        <v>581</v>
      </c>
      <c r="G45" s="199"/>
    </row>
    <row r="46" ht="14.25" spans="1:7">
      <c r="A46" s="378">
        <v>51</v>
      </c>
      <c r="B46" s="378">
        <v>9862</v>
      </c>
      <c r="C46" s="396" t="s">
        <v>582</v>
      </c>
      <c r="D46" s="395">
        <v>523048</v>
      </c>
      <c r="E46" s="395">
        <v>8</v>
      </c>
      <c r="F46" s="396" t="s">
        <v>583</v>
      </c>
      <c r="G46" s="397"/>
    </row>
    <row r="47" s="371" customFormat="1" ht="14.25" spans="1:7">
      <c r="A47" s="398">
        <v>52</v>
      </c>
      <c r="B47" s="398"/>
      <c r="C47" s="399" t="s">
        <v>584</v>
      </c>
      <c r="D47" s="400">
        <v>523051</v>
      </c>
      <c r="E47" s="400">
        <v>8</v>
      </c>
      <c r="F47" s="399" t="s">
        <v>584</v>
      </c>
      <c r="G47" s="401" t="s">
        <v>585</v>
      </c>
    </row>
    <row r="48" s="371" customFormat="1" ht="14.25" spans="1:7">
      <c r="A48" s="398">
        <v>53</v>
      </c>
      <c r="B48" s="398"/>
      <c r="C48" s="399" t="s">
        <v>586</v>
      </c>
      <c r="D48" s="400">
        <v>523052</v>
      </c>
      <c r="E48" s="400">
        <v>8</v>
      </c>
      <c r="F48" s="399" t="s">
        <v>586</v>
      </c>
      <c r="G48" s="402" t="s">
        <v>585</v>
      </c>
    </row>
    <row r="49" s="371" customFormat="1" ht="14.25" spans="1:7">
      <c r="A49" s="398">
        <v>54</v>
      </c>
      <c r="B49" s="398"/>
      <c r="C49" s="399" t="s">
        <v>587</v>
      </c>
      <c r="D49" s="400">
        <v>523053</v>
      </c>
      <c r="E49" s="400">
        <v>8</v>
      </c>
      <c r="F49" s="399" t="s">
        <v>587</v>
      </c>
      <c r="G49" s="402" t="s">
        <v>585</v>
      </c>
    </row>
    <row r="50" s="371" customFormat="1" ht="14.25" spans="1:7">
      <c r="A50" s="398">
        <v>55</v>
      </c>
      <c r="B50" s="398"/>
      <c r="C50" s="399" t="s">
        <v>588</v>
      </c>
      <c r="D50" s="400">
        <v>523054</v>
      </c>
      <c r="E50" s="400">
        <v>8</v>
      </c>
      <c r="F50" s="399" t="s">
        <v>588</v>
      </c>
      <c r="G50" s="402" t="s">
        <v>585</v>
      </c>
    </row>
    <row r="51" s="371" customFormat="1" ht="14.25" spans="1:7">
      <c r="A51" s="398">
        <v>56</v>
      </c>
      <c r="B51" s="398"/>
      <c r="C51" s="399" t="s">
        <v>589</v>
      </c>
      <c r="D51" s="400">
        <v>523055</v>
      </c>
      <c r="E51" s="400">
        <v>8</v>
      </c>
      <c r="F51" s="399" t="s">
        <v>589</v>
      </c>
      <c r="G51" s="402" t="s">
        <v>585</v>
      </c>
    </row>
    <row r="52" s="371" customFormat="1" ht="14.25" spans="1:7">
      <c r="A52" s="398">
        <v>57</v>
      </c>
      <c r="B52" s="398"/>
      <c r="C52" s="399" t="s">
        <v>590</v>
      </c>
      <c r="D52" s="400">
        <v>523056</v>
      </c>
      <c r="E52" s="400">
        <v>8</v>
      </c>
      <c r="F52" s="399" t="s">
        <v>590</v>
      </c>
      <c r="G52" s="402" t="s">
        <v>585</v>
      </c>
    </row>
    <row r="53" s="371" customFormat="1" ht="14.25" spans="1:7">
      <c r="A53" s="398">
        <v>58</v>
      </c>
      <c r="B53" s="398"/>
      <c r="C53" s="399" t="s">
        <v>591</v>
      </c>
      <c r="D53" s="400">
        <v>523057</v>
      </c>
      <c r="E53" s="400">
        <v>8</v>
      </c>
      <c r="F53" s="399" t="s">
        <v>591</v>
      </c>
      <c r="G53" s="402" t="s">
        <v>585</v>
      </c>
    </row>
    <row r="54" s="371" customFormat="1" ht="14.25" spans="1:7">
      <c r="A54" s="398">
        <v>59</v>
      </c>
      <c r="B54" s="398"/>
      <c r="C54" s="403" t="s">
        <v>592</v>
      </c>
      <c r="D54" s="400">
        <v>523058</v>
      </c>
      <c r="E54" s="400">
        <v>8</v>
      </c>
      <c r="F54" s="403" t="s">
        <v>592</v>
      </c>
      <c r="G54" s="402" t="s">
        <v>585</v>
      </c>
    </row>
    <row r="55" s="371" customFormat="1" ht="14.25" spans="1:7">
      <c r="A55" s="398">
        <v>60</v>
      </c>
      <c r="B55" s="398"/>
      <c r="C55" s="399" t="s">
        <v>593</v>
      </c>
      <c r="D55" s="400">
        <v>523059</v>
      </c>
      <c r="E55" s="400">
        <v>8</v>
      </c>
      <c r="F55" s="399" t="s">
        <v>593</v>
      </c>
      <c r="G55" s="402" t="s">
        <v>585</v>
      </c>
    </row>
    <row r="56" s="371" customFormat="1" ht="14.25" spans="1:7">
      <c r="A56" s="398">
        <v>61</v>
      </c>
      <c r="B56" s="398"/>
      <c r="C56" s="399" t="s">
        <v>594</v>
      </c>
      <c r="D56" s="400">
        <v>523060</v>
      </c>
      <c r="E56" s="400">
        <v>8</v>
      </c>
      <c r="F56" s="399" t="s">
        <v>594</v>
      </c>
      <c r="G56" s="402" t="s">
        <v>585</v>
      </c>
    </row>
    <row r="57" spans="3:7">
      <c r="C57" s="165"/>
      <c r="F57" s="165"/>
      <c r="G57" s="165"/>
    </row>
    <row r="58" spans="3:7">
      <c r="C58" s="165"/>
      <c r="F58" s="165"/>
      <c r="G58" s="165"/>
    </row>
    <row r="59" spans="3:7">
      <c r="C59" s="165"/>
      <c r="G59" s="165"/>
    </row>
    <row r="60" spans="3:7">
      <c r="C60" s="165"/>
      <c r="G60" s="165"/>
    </row>
    <row r="61" spans="3:7">
      <c r="C61" s="165"/>
      <c r="G61" s="165"/>
    </row>
    <row r="62" spans="3:7">
      <c r="C62" s="165"/>
      <c r="G62" s="165"/>
    </row>
    <row r="63" spans="3:7">
      <c r="C63" s="165"/>
      <c r="G63" s="165"/>
    </row>
    <row r="64" spans="3:7">
      <c r="C64" s="165"/>
      <c r="G64" s="165"/>
    </row>
    <row r="65" spans="3:7">
      <c r="C65" s="165"/>
      <c r="G65" s="165"/>
    </row>
    <row r="66" spans="3:7">
      <c r="C66" s="165"/>
      <c r="G66" s="165"/>
    </row>
    <row r="67" spans="3:7">
      <c r="C67" s="165"/>
      <c r="G67" s="165"/>
    </row>
    <row r="68" spans="3:7">
      <c r="C68" s="165"/>
      <c r="G68" s="165"/>
    </row>
    <row r="69" s="165" customFormat="1" spans="4:4">
      <c r="D69" s="372"/>
    </row>
    <row r="70" s="165" customFormat="1" spans="4:4">
      <c r="D70" s="372"/>
    </row>
    <row r="71" s="165" customFormat="1" spans="4:4">
      <c r="D71" s="372"/>
    </row>
    <row r="72" s="165" customFormat="1" spans="4:4">
      <c r="D72" s="372"/>
    </row>
    <row r="73" s="165" customFormat="1" spans="4:4">
      <c r="D73" s="372"/>
    </row>
    <row r="74" s="165" customFormat="1" spans="4:4">
      <c r="D74" s="372"/>
    </row>
    <row r="75" s="165" customFormat="1" spans="4:4">
      <c r="D75" s="372"/>
    </row>
    <row r="76" s="165" customFormat="1" spans="4:4">
      <c r="D76" s="372"/>
    </row>
    <row r="77" s="165" customFormat="1" spans="4:4">
      <c r="D77" s="372"/>
    </row>
    <row r="78" s="165" customFormat="1" spans="4:4">
      <c r="D78" s="372"/>
    </row>
    <row r="79" s="165" customFormat="1" spans="4:4">
      <c r="D79" s="372"/>
    </row>
  </sheetData>
  <hyperlinks>
    <hyperlink ref="A1" location="'控制器源地址&amp;跳转页面'!A1" display="返回目录"/>
  </hyperlinks>
  <pageMargins left="0.7" right="0.7" top="0.75" bottom="0.75" header="0.3" footer="0.3"/>
  <pageSetup paperSize="1" orientation="portrait" horizontalDpi="200" verticalDpi="200"/>
  <headerFooter/>
  <legacy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13"/>
  <sheetViews>
    <sheetView workbookViewId="0">
      <selection activeCell="A1" sqref="A1"/>
    </sheetView>
  </sheetViews>
  <sheetFormatPr defaultColWidth="9" defaultRowHeight="13.5" outlineLevelCol="5"/>
  <cols>
    <col min="2" max="2" width="22.5" customWidth="1"/>
    <col min="4" max="4" width="4.5" customWidth="1"/>
    <col min="5" max="5" width="38.75" customWidth="1"/>
  </cols>
  <sheetData>
    <row r="1" ht="27.75" customHeight="1" spans="1:1">
      <c r="A1" s="1" t="s">
        <v>436</v>
      </c>
    </row>
    <row r="2" spans="1:5">
      <c r="A2" s="367" t="s">
        <v>125</v>
      </c>
      <c r="B2" s="367" t="s">
        <v>127</v>
      </c>
      <c r="C2" s="367" t="s">
        <v>128</v>
      </c>
      <c r="D2" s="367" t="s">
        <v>129</v>
      </c>
      <c r="E2" s="367" t="s">
        <v>283</v>
      </c>
    </row>
    <row r="3" spans="1:6">
      <c r="A3" s="367">
        <v>1</v>
      </c>
      <c r="B3" s="367" t="s">
        <v>595</v>
      </c>
      <c r="C3" s="367">
        <v>524000</v>
      </c>
      <c r="D3" s="367">
        <v>0</v>
      </c>
      <c r="E3" s="367" t="s">
        <v>596</v>
      </c>
      <c r="F3" t="s">
        <v>597</v>
      </c>
    </row>
    <row r="4" spans="1:5">
      <c r="A4" s="367">
        <v>2</v>
      </c>
      <c r="B4" s="367" t="s">
        <v>598</v>
      </c>
      <c r="C4" s="367">
        <v>524000</v>
      </c>
      <c r="D4" s="367">
        <v>1</v>
      </c>
      <c r="E4" s="367" t="s">
        <v>599</v>
      </c>
    </row>
    <row r="5" spans="1:5">
      <c r="A5" s="367">
        <v>3</v>
      </c>
      <c r="B5" s="367" t="s">
        <v>600</v>
      </c>
      <c r="C5" s="367">
        <v>524001</v>
      </c>
      <c r="D5" s="367">
        <v>19</v>
      </c>
      <c r="E5" s="367" t="s">
        <v>601</v>
      </c>
    </row>
    <row r="6" spans="1:5">
      <c r="A6" s="367">
        <v>4</v>
      </c>
      <c r="B6" s="367" t="s">
        <v>602</v>
      </c>
      <c r="C6" s="367">
        <v>524002</v>
      </c>
      <c r="D6" s="367">
        <v>3</v>
      </c>
      <c r="E6" s="367" t="s">
        <v>603</v>
      </c>
    </row>
    <row r="7" spans="1:5">
      <c r="A7" s="367">
        <v>5</v>
      </c>
      <c r="B7" s="367" t="s">
        <v>604</v>
      </c>
      <c r="C7" s="367">
        <v>524002</v>
      </c>
      <c r="D7" s="367">
        <v>4</v>
      </c>
      <c r="E7" s="367" t="s">
        <v>605</v>
      </c>
    </row>
    <row r="8" spans="1:5">
      <c r="A8" s="367">
        <v>6</v>
      </c>
      <c r="B8" s="367" t="s">
        <v>606</v>
      </c>
      <c r="C8" s="367">
        <v>524003</v>
      </c>
      <c r="D8" s="367">
        <v>3</v>
      </c>
      <c r="E8" s="367" t="s">
        <v>607</v>
      </c>
    </row>
    <row r="9" spans="1:5">
      <c r="A9" s="367">
        <v>7</v>
      </c>
      <c r="B9" s="367" t="s">
        <v>608</v>
      </c>
      <c r="C9" s="367">
        <v>524003</v>
      </c>
      <c r="D9" s="367">
        <v>4</v>
      </c>
      <c r="E9" s="367" t="s">
        <v>609</v>
      </c>
    </row>
    <row r="10" spans="1:6">
      <c r="A10" s="367">
        <v>8</v>
      </c>
      <c r="B10" s="367" t="s">
        <v>610</v>
      </c>
      <c r="C10" s="367">
        <v>524004</v>
      </c>
      <c r="D10" s="367">
        <v>3</v>
      </c>
      <c r="E10" s="367" t="s">
        <v>611</v>
      </c>
      <c r="F10" t="s">
        <v>612</v>
      </c>
    </row>
    <row r="11" spans="1:6">
      <c r="A11" s="367">
        <v>9</v>
      </c>
      <c r="B11" s="367" t="s">
        <v>613</v>
      </c>
      <c r="C11" s="367">
        <v>524005</v>
      </c>
      <c r="D11" s="367">
        <v>3</v>
      </c>
      <c r="E11" s="367" t="s">
        <v>614</v>
      </c>
      <c r="F11" t="s">
        <v>615</v>
      </c>
    </row>
    <row r="12" spans="1:6">
      <c r="A12" s="367">
        <v>10</v>
      </c>
      <c r="B12" s="367" t="s">
        <v>616</v>
      </c>
      <c r="C12" s="367">
        <v>524006</v>
      </c>
      <c r="D12" s="367">
        <v>3</v>
      </c>
      <c r="E12" s="367" t="s">
        <v>617</v>
      </c>
      <c r="F12" t="s">
        <v>618</v>
      </c>
    </row>
    <row r="13" spans="1:5">
      <c r="A13" s="367">
        <v>11</v>
      </c>
      <c r="B13" s="367" t="s">
        <v>619</v>
      </c>
      <c r="C13" s="367">
        <v>524006</v>
      </c>
      <c r="D13" s="367">
        <v>4</v>
      </c>
      <c r="E13" s="367" t="s">
        <v>620</v>
      </c>
    </row>
  </sheetData>
  <hyperlinks>
    <hyperlink ref="A1" location="'控制器源地址&amp;跳转页面'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28"/>
  <sheetViews>
    <sheetView zoomScale="115" zoomScaleNormal="115" workbookViewId="0">
      <selection activeCell="A1" sqref="A1"/>
    </sheetView>
  </sheetViews>
  <sheetFormatPr defaultColWidth="9" defaultRowHeight="13.5" outlineLevelCol="5"/>
  <cols>
    <col min="1" max="1" width="8.625" style="52" customWidth="1"/>
    <col min="2" max="2" width="35" customWidth="1"/>
    <col min="3" max="3" width="10.75" style="79" customWidth="1"/>
    <col min="4" max="4" width="15.375" style="79" customWidth="1"/>
    <col min="5" max="5" width="62.375" customWidth="1"/>
    <col min="6" max="6" width="18.625" customWidth="1"/>
  </cols>
  <sheetData>
    <row r="1" ht="29.25" customHeight="1" spans="1:1">
      <c r="A1" s="340" t="s">
        <v>436</v>
      </c>
    </row>
    <row r="2" ht="20.1" customHeight="1" spans="1:5">
      <c r="A2" s="341" t="s">
        <v>125</v>
      </c>
      <c r="B2" s="342" t="s">
        <v>621</v>
      </c>
      <c r="C2" s="343" t="s">
        <v>142</v>
      </c>
      <c r="D2" s="344" t="s">
        <v>143</v>
      </c>
      <c r="E2" s="24" t="s">
        <v>283</v>
      </c>
    </row>
    <row r="3" ht="20.1" customHeight="1" spans="1:6">
      <c r="A3" s="345">
        <v>1</v>
      </c>
      <c r="B3" s="346" t="s">
        <v>622</v>
      </c>
      <c r="C3" s="85">
        <v>789</v>
      </c>
      <c r="D3" s="347">
        <v>8</v>
      </c>
      <c r="E3" s="348" t="s">
        <v>623</v>
      </c>
      <c r="F3" s="103" t="s">
        <v>624</v>
      </c>
    </row>
    <row r="4" ht="20.1" customHeight="1" spans="1:6">
      <c r="A4" s="345">
        <v>2</v>
      </c>
      <c r="B4" s="346" t="s">
        <v>625</v>
      </c>
      <c r="C4" s="85">
        <v>789</v>
      </c>
      <c r="D4" s="347">
        <v>12</v>
      </c>
      <c r="E4" s="348" t="s">
        <v>626</v>
      </c>
      <c r="F4" s="103" t="s">
        <v>624</v>
      </c>
    </row>
    <row r="5" ht="20.1" customHeight="1" spans="1:6">
      <c r="A5" s="345">
        <v>3</v>
      </c>
      <c r="B5" s="346" t="s">
        <v>627</v>
      </c>
      <c r="C5" s="85">
        <v>790</v>
      </c>
      <c r="D5" s="347">
        <v>8</v>
      </c>
      <c r="E5" s="348" t="s">
        <v>628</v>
      </c>
      <c r="F5" s="103" t="s">
        <v>624</v>
      </c>
    </row>
    <row r="6" ht="20.1" customHeight="1" spans="1:6">
      <c r="A6" s="345">
        <v>4</v>
      </c>
      <c r="B6" s="346" t="s">
        <v>629</v>
      </c>
      <c r="C6" s="85">
        <v>790</v>
      </c>
      <c r="D6" s="347">
        <v>12</v>
      </c>
      <c r="E6" s="348" t="s">
        <v>630</v>
      </c>
      <c r="F6" s="103" t="s">
        <v>624</v>
      </c>
    </row>
    <row r="7" ht="20.1" customHeight="1" spans="1:6">
      <c r="A7" s="345">
        <v>5</v>
      </c>
      <c r="B7" s="346" t="s">
        <v>631</v>
      </c>
      <c r="C7" s="85">
        <v>791</v>
      </c>
      <c r="D7" s="347">
        <v>8</v>
      </c>
      <c r="E7" s="348" t="s">
        <v>632</v>
      </c>
      <c r="F7" s="103" t="s">
        <v>624</v>
      </c>
    </row>
    <row r="8" ht="20.1" customHeight="1" spans="1:6">
      <c r="A8" s="345">
        <v>6</v>
      </c>
      <c r="B8" s="346" t="s">
        <v>633</v>
      </c>
      <c r="C8" s="85">
        <v>791</v>
      </c>
      <c r="D8" s="347">
        <v>12</v>
      </c>
      <c r="E8" s="348" t="s">
        <v>634</v>
      </c>
      <c r="F8" s="103" t="s">
        <v>624</v>
      </c>
    </row>
    <row r="9" ht="20.1" customHeight="1" spans="1:6">
      <c r="A9" s="345">
        <v>7</v>
      </c>
      <c r="B9" s="346" t="s">
        <v>635</v>
      </c>
      <c r="C9" s="85">
        <v>792</v>
      </c>
      <c r="D9" s="347">
        <v>8</v>
      </c>
      <c r="E9" s="348" t="s">
        <v>636</v>
      </c>
      <c r="F9" s="103" t="s">
        <v>624</v>
      </c>
    </row>
    <row r="10" ht="20.1" customHeight="1" spans="1:6">
      <c r="A10" s="345">
        <v>8</v>
      </c>
      <c r="B10" s="346" t="s">
        <v>637</v>
      </c>
      <c r="C10" s="85">
        <v>792</v>
      </c>
      <c r="D10" s="347">
        <v>12</v>
      </c>
      <c r="E10" s="348" t="s">
        <v>638</v>
      </c>
      <c r="F10" s="103" t="s">
        <v>624</v>
      </c>
    </row>
    <row r="11" ht="20.1" customHeight="1" spans="1:6">
      <c r="A11" s="345">
        <v>9</v>
      </c>
      <c r="B11" s="346" t="s">
        <v>639</v>
      </c>
      <c r="C11" s="85">
        <v>795</v>
      </c>
      <c r="D11" s="347">
        <v>4</v>
      </c>
      <c r="E11" s="348" t="s">
        <v>640</v>
      </c>
      <c r="F11" s="103" t="s">
        <v>624</v>
      </c>
    </row>
    <row r="12" ht="20.1" customHeight="1" spans="1:6">
      <c r="A12" s="345">
        <v>10</v>
      </c>
      <c r="B12" s="346" t="s">
        <v>641</v>
      </c>
      <c r="C12" s="85">
        <v>795</v>
      </c>
      <c r="D12" s="347">
        <v>5</v>
      </c>
      <c r="E12" s="348" t="s">
        <v>642</v>
      </c>
      <c r="F12" s="103" t="s">
        <v>624</v>
      </c>
    </row>
    <row r="13" ht="20.1" customHeight="1" spans="1:6">
      <c r="A13" s="345">
        <v>11</v>
      </c>
      <c r="B13" s="346" t="s">
        <v>643</v>
      </c>
      <c r="C13" s="85">
        <v>796</v>
      </c>
      <c r="D13" s="347">
        <v>4</v>
      </c>
      <c r="E13" s="348" t="s">
        <v>644</v>
      </c>
      <c r="F13" s="103" t="s">
        <v>624</v>
      </c>
    </row>
    <row r="14" ht="20.1" customHeight="1" spans="1:6">
      <c r="A14" s="345">
        <v>12</v>
      </c>
      <c r="B14" s="346" t="s">
        <v>645</v>
      </c>
      <c r="C14" s="85">
        <v>796</v>
      </c>
      <c r="D14" s="347">
        <v>5</v>
      </c>
      <c r="E14" s="348" t="s">
        <v>646</v>
      </c>
      <c r="F14" s="103" t="s">
        <v>624</v>
      </c>
    </row>
    <row r="15" ht="20.1" customHeight="1" spans="1:6">
      <c r="A15" s="345">
        <v>13</v>
      </c>
      <c r="B15" s="346" t="s">
        <v>647</v>
      </c>
      <c r="C15" s="85">
        <v>797</v>
      </c>
      <c r="D15" s="347">
        <v>4</v>
      </c>
      <c r="E15" s="348" t="s">
        <v>648</v>
      </c>
      <c r="F15" s="103" t="s">
        <v>624</v>
      </c>
    </row>
    <row r="16" ht="20.1" customHeight="1" spans="1:6">
      <c r="A16" s="345">
        <v>14</v>
      </c>
      <c r="B16" s="346" t="s">
        <v>649</v>
      </c>
      <c r="C16" s="85">
        <v>797</v>
      </c>
      <c r="D16" s="347">
        <v>5</v>
      </c>
      <c r="E16" s="348" t="s">
        <v>650</v>
      </c>
      <c r="F16" s="103" t="s">
        <v>624</v>
      </c>
    </row>
    <row r="17" ht="20.1" customHeight="1" spans="1:6">
      <c r="A17" s="345">
        <v>15</v>
      </c>
      <c r="B17" s="346" t="s">
        <v>651</v>
      </c>
      <c r="C17" s="85">
        <v>798</v>
      </c>
      <c r="D17" s="347">
        <v>4</v>
      </c>
      <c r="E17" s="348" t="s">
        <v>652</v>
      </c>
      <c r="F17" s="103" t="s">
        <v>624</v>
      </c>
    </row>
    <row r="18" ht="20.1" customHeight="1" spans="1:6">
      <c r="A18" s="345">
        <v>16</v>
      </c>
      <c r="B18" s="346" t="s">
        <v>653</v>
      </c>
      <c r="C18" s="85">
        <v>798</v>
      </c>
      <c r="D18" s="347">
        <v>5</v>
      </c>
      <c r="E18" s="348" t="s">
        <v>654</v>
      </c>
      <c r="F18" s="103" t="s">
        <v>624</v>
      </c>
    </row>
    <row r="19" ht="20.1" customHeight="1" spans="1:6">
      <c r="A19" s="349">
        <v>17</v>
      </c>
      <c r="B19" s="350" t="s">
        <v>655</v>
      </c>
      <c r="C19" s="112">
        <v>627</v>
      </c>
      <c r="D19" s="351">
        <v>3</v>
      </c>
      <c r="E19" s="348" t="s">
        <v>656</v>
      </c>
      <c r="F19" s="103" t="s">
        <v>657</v>
      </c>
    </row>
    <row r="20" ht="20.1" customHeight="1" spans="1:6">
      <c r="A20" s="349">
        <v>18</v>
      </c>
      <c r="B20" s="350" t="s">
        <v>658</v>
      </c>
      <c r="C20" s="112">
        <v>627</v>
      </c>
      <c r="D20" s="351">
        <v>4</v>
      </c>
      <c r="E20" s="348" t="s">
        <v>659</v>
      </c>
      <c r="F20" s="103" t="s">
        <v>657</v>
      </c>
    </row>
    <row r="21" ht="20.1" customHeight="1" spans="1:6">
      <c r="A21" s="345">
        <v>19</v>
      </c>
      <c r="B21" s="352" t="s">
        <v>660</v>
      </c>
      <c r="C21" s="85">
        <v>629</v>
      </c>
      <c r="D21" s="347">
        <v>12</v>
      </c>
      <c r="E21" s="348" t="s">
        <v>661</v>
      </c>
      <c r="F21" s="103" t="s">
        <v>624</v>
      </c>
    </row>
    <row r="22" ht="20.1" customHeight="1" spans="1:6">
      <c r="A22" s="353">
        <v>20</v>
      </c>
      <c r="B22" s="354" t="s">
        <v>662</v>
      </c>
      <c r="C22" s="355">
        <v>806</v>
      </c>
      <c r="D22" s="356">
        <v>4</v>
      </c>
      <c r="E22" s="357" t="s">
        <v>663</v>
      </c>
      <c r="F22" s="358" t="s">
        <v>664</v>
      </c>
    </row>
    <row r="23" ht="20.1" customHeight="1" spans="1:6">
      <c r="A23" s="345">
        <v>21</v>
      </c>
      <c r="B23" s="346" t="s">
        <v>665</v>
      </c>
      <c r="C23" s="85">
        <v>116</v>
      </c>
      <c r="D23" s="347">
        <v>4</v>
      </c>
      <c r="E23" s="348" t="s">
        <v>666</v>
      </c>
      <c r="F23" s="103" t="s">
        <v>624</v>
      </c>
    </row>
    <row r="24" ht="20.1" customHeight="1" spans="1:6">
      <c r="A24" s="345">
        <v>22</v>
      </c>
      <c r="B24" s="346" t="s">
        <v>667</v>
      </c>
      <c r="C24" s="85">
        <v>117</v>
      </c>
      <c r="D24" s="347">
        <v>4</v>
      </c>
      <c r="E24" s="348" t="s">
        <v>668</v>
      </c>
      <c r="F24" s="103" t="s">
        <v>624</v>
      </c>
    </row>
    <row r="25" ht="17.25" customHeight="1" spans="1:6">
      <c r="A25" s="359">
        <v>23</v>
      </c>
      <c r="B25" s="357" t="s">
        <v>669</v>
      </c>
      <c r="C25" s="360">
        <v>116</v>
      </c>
      <c r="D25" s="361">
        <v>5</v>
      </c>
      <c r="E25" s="357" t="s">
        <v>670</v>
      </c>
      <c r="F25" s="362" t="s">
        <v>664</v>
      </c>
    </row>
    <row r="26" ht="23.25" customHeight="1" spans="1:6">
      <c r="A26" s="363">
        <v>24</v>
      </c>
      <c r="B26" s="364" t="s">
        <v>671</v>
      </c>
      <c r="C26" s="365">
        <v>117</v>
      </c>
      <c r="D26" s="366">
        <v>5</v>
      </c>
      <c r="E26" s="357" t="s">
        <v>672</v>
      </c>
      <c r="F26" s="362" t="s">
        <v>664</v>
      </c>
    </row>
    <row r="27" spans="1:6">
      <c r="A27" s="255">
        <v>25</v>
      </c>
      <c r="B27" s="24" t="s">
        <v>673</v>
      </c>
      <c r="C27" s="85">
        <v>639</v>
      </c>
      <c r="D27" s="85">
        <v>4</v>
      </c>
      <c r="E27" s="135" t="s">
        <v>674</v>
      </c>
      <c r="F27" t="s">
        <v>675</v>
      </c>
    </row>
    <row r="28" spans="1:6">
      <c r="A28" s="255">
        <v>26</v>
      </c>
      <c r="B28" s="24" t="s">
        <v>673</v>
      </c>
      <c r="C28" s="85">
        <v>639</v>
      </c>
      <c r="D28" s="85">
        <v>5</v>
      </c>
      <c r="E28" s="59" t="s">
        <v>676</v>
      </c>
      <c r="F28" t="s">
        <v>675</v>
      </c>
    </row>
  </sheetData>
  <hyperlinks>
    <hyperlink ref="A1" location="'控制器源地址&amp;跳转页面'!A1" display="返回目录"/>
  </hyperlinks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M136"/>
  <sheetViews>
    <sheetView zoomScale="115" zoomScaleNormal="115" workbookViewId="0">
      <pane ySplit="2" topLeftCell="A81" activePane="bottomLeft" state="frozen"/>
      <selection/>
      <selection pane="bottomLeft" activeCell="A1" sqref="A1"/>
    </sheetView>
  </sheetViews>
  <sheetFormatPr defaultColWidth="22.375" defaultRowHeight="13.5"/>
  <cols>
    <col min="1" max="1" width="5.25" style="305" customWidth="1"/>
    <col min="2" max="2" width="9" style="305" customWidth="1"/>
    <col min="3" max="3" width="21.125" style="305" customWidth="1"/>
    <col min="4" max="4" width="10.625" style="305" customWidth="1"/>
    <col min="5" max="5" width="38.125" style="306" customWidth="1"/>
    <col min="6" max="6" width="14.625" style="305" customWidth="1"/>
    <col min="7" max="7" width="11.375" style="307" customWidth="1"/>
    <col min="8" max="8" width="50.75" style="306" customWidth="1"/>
    <col min="9" max="9" width="10.25" customWidth="1"/>
    <col min="10" max="10" width="16.75" customWidth="1"/>
    <col min="11" max="11" width="57" customWidth="1"/>
    <col min="12" max="12" width="27.5" customWidth="1"/>
  </cols>
  <sheetData>
    <row r="1" ht="32.45" customHeight="1" spans="1:11">
      <c r="A1" s="308" t="s">
        <v>125</v>
      </c>
      <c r="B1" s="308" t="s">
        <v>140</v>
      </c>
      <c r="C1" s="308" t="s">
        <v>141</v>
      </c>
      <c r="D1" s="308" t="s">
        <v>677</v>
      </c>
      <c r="E1" s="280" t="s">
        <v>127</v>
      </c>
      <c r="F1" s="309" t="s">
        <v>678</v>
      </c>
      <c r="G1" s="309" t="s">
        <v>143</v>
      </c>
      <c r="H1" s="310" t="s">
        <v>283</v>
      </c>
      <c r="I1" s="323" t="s">
        <v>679</v>
      </c>
      <c r="J1" s="24"/>
      <c r="K1" s="24" t="s">
        <v>680</v>
      </c>
    </row>
    <row r="2" ht="28.9" customHeight="1" spans="1:11">
      <c r="A2" s="308">
        <v>1</v>
      </c>
      <c r="B2" s="311" t="s">
        <v>157</v>
      </c>
      <c r="C2" s="312" t="s">
        <v>681</v>
      </c>
      <c r="D2" s="312"/>
      <c r="E2" s="142" t="s">
        <v>682</v>
      </c>
      <c r="F2" s="280">
        <v>521300</v>
      </c>
      <c r="G2" s="280">
        <v>17</v>
      </c>
      <c r="H2" s="142" t="s">
        <v>683</v>
      </c>
      <c r="I2" s="24"/>
      <c r="J2" s="24"/>
      <c r="K2" s="24"/>
    </row>
    <row r="3" ht="28.9" customHeight="1" spans="1:11">
      <c r="A3" s="308">
        <v>2</v>
      </c>
      <c r="B3" s="313" t="s">
        <v>148</v>
      </c>
      <c r="C3" s="312" t="s">
        <v>684</v>
      </c>
      <c r="D3" s="312"/>
      <c r="E3" s="142" t="s">
        <v>685</v>
      </c>
      <c r="F3" s="280">
        <v>521300</v>
      </c>
      <c r="G3" s="280">
        <v>18</v>
      </c>
      <c r="H3" s="142" t="s">
        <v>686</v>
      </c>
      <c r="I3" s="24"/>
      <c r="J3" s="24"/>
      <c r="K3" s="24"/>
    </row>
    <row r="4" ht="28.9" customHeight="1" spans="1:11">
      <c r="A4" s="308">
        <v>3</v>
      </c>
      <c r="B4" s="313" t="s">
        <v>148</v>
      </c>
      <c r="C4" s="312" t="s">
        <v>684</v>
      </c>
      <c r="D4" s="312"/>
      <c r="E4" s="142" t="s">
        <v>687</v>
      </c>
      <c r="F4" s="280">
        <v>521300</v>
      </c>
      <c r="G4" s="280">
        <v>1</v>
      </c>
      <c r="H4" s="142" t="s">
        <v>688</v>
      </c>
      <c r="I4" s="24"/>
      <c r="J4" s="24"/>
      <c r="K4" s="24"/>
    </row>
    <row r="5" ht="28.9" customHeight="1" spans="1:11">
      <c r="A5" s="308">
        <v>4</v>
      </c>
      <c r="B5" s="311" t="s">
        <v>157</v>
      </c>
      <c r="C5" s="312" t="s">
        <v>689</v>
      </c>
      <c r="D5" s="312"/>
      <c r="E5" s="142" t="s">
        <v>690</v>
      </c>
      <c r="F5" s="280">
        <v>521301</v>
      </c>
      <c r="G5" s="280">
        <v>15</v>
      </c>
      <c r="H5" s="142" t="s">
        <v>691</v>
      </c>
      <c r="I5" s="24"/>
      <c r="J5" s="24"/>
      <c r="K5" s="24"/>
    </row>
    <row r="6" ht="28.9" customHeight="1" spans="1:11">
      <c r="A6" s="308">
        <v>5</v>
      </c>
      <c r="B6" s="313" t="s">
        <v>148</v>
      </c>
      <c r="C6" s="312" t="s">
        <v>681</v>
      </c>
      <c r="D6" s="312"/>
      <c r="E6" s="142" t="s">
        <v>692</v>
      </c>
      <c r="F6" s="280">
        <v>521301</v>
      </c>
      <c r="G6" s="280">
        <v>16</v>
      </c>
      <c r="H6" s="142" t="s">
        <v>693</v>
      </c>
      <c r="I6" s="24"/>
      <c r="J6" s="24"/>
      <c r="K6" s="24"/>
    </row>
    <row r="7" ht="28.9" customHeight="1" spans="1:11">
      <c r="A7" s="308">
        <v>6</v>
      </c>
      <c r="B7" s="313" t="s">
        <v>148</v>
      </c>
      <c r="C7" s="312" t="s">
        <v>684</v>
      </c>
      <c r="D7" s="312"/>
      <c r="E7" s="142" t="s">
        <v>694</v>
      </c>
      <c r="F7" s="280">
        <v>521301</v>
      </c>
      <c r="G7" s="280">
        <v>0</v>
      </c>
      <c r="H7" s="142" t="s">
        <v>695</v>
      </c>
      <c r="I7" s="24"/>
      <c r="J7" s="24"/>
      <c r="K7" s="24"/>
    </row>
    <row r="8" ht="28.9" customHeight="1" spans="1:13">
      <c r="A8" s="308">
        <v>7</v>
      </c>
      <c r="B8" s="308"/>
      <c r="C8" s="314"/>
      <c r="D8" s="314"/>
      <c r="E8" s="315" t="s">
        <v>696</v>
      </c>
      <c r="F8" s="316">
        <v>521301</v>
      </c>
      <c r="G8" s="316">
        <v>17</v>
      </c>
      <c r="H8" s="315" t="s">
        <v>697</v>
      </c>
      <c r="I8" s="24"/>
      <c r="J8" s="24"/>
      <c r="K8" s="24"/>
      <c r="M8" s="324" t="s">
        <v>698</v>
      </c>
    </row>
    <row r="9" ht="28.9" customHeight="1" spans="1:13">
      <c r="A9" s="308">
        <v>8</v>
      </c>
      <c r="B9" s="308"/>
      <c r="C9" s="314"/>
      <c r="D9" s="314"/>
      <c r="E9" s="315" t="s">
        <v>699</v>
      </c>
      <c r="F9" s="316">
        <v>521301</v>
      </c>
      <c r="G9" s="316">
        <v>18</v>
      </c>
      <c r="H9" s="315" t="s">
        <v>700</v>
      </c>
      <c r="I9" s="24"/>
      <c r="J9" s="24"/>
      <c r="K9" s="24"/>
      <c r="M9" s="324" t="s">
        <v>698</v>
      </c>
    </row>
    <row r="10" ht="67.5" customHeight="1" spans="1:11">
      <c r="A10" s="308">
        <v>9</v>
      </c>
      <c r="B10" s="311" t="s">
        <v>263</v>
      </c>
      <c r="C10" s="312" t="s">
        <v>701</v>
      </c>
      <c r="D10" s="312"/>
      <c r="E10" s="142" t="s">
        <v>702</v>
      </c>
      <c r="F10" s="280">
        <v>521301</v>
      </c>
      <c r="G10" s="280">
        <v>1</v>
      </c>
      <c r="H10" s="142" t="s">
        <v>703</v>
      </c>
      <c r="I10" s="24"/>
      <c r="J10" s="24"/>
      <c r="K10" s="24"/>
    </row>
    <row r="11" ht="28.9" customHeight="1" spans="1:11">
      <c r="A11" s="308">
        <v>10</v>
      </c>
      <c r="B11" s="317" t="s">
        <v>455</v>
      </c>
      <c r="C11" s="308"/>
      <c r="D11" s="308"/>
      <c r="E11" s="142" t="s">
        <v>704</v>
      </c>
      <c r="F11" s="280">
        <v>521302</v>
      </c>
      <c r="G11" s="280">
        <v>15</v>
      </c>
      <c r="H11" s="142" t="s">
        <v>705</v>
      </c>
      <c r="I11" s="24"/>
      <c r="J11" s="24"/>
      <c r="K11" s="24"/>
    </row>
    <row r="12" ht="28.9" customHeight="1" spans="1:11">
      <c r="A12" s="308">
        <v>11</v>
      </c>
      <c r="B12" s="317" t="s">
        <v>146</v>
      </c>
      <c r="C12" s="308"/>
      <c r="D12" s="308"/>
      <c r="E12" s="142" t="s">
        <v>706</v>
      </c>
      <c r="F12" s="280">
        <v>521302</v>
      </c>
      <c r="G12" s="280">
        <v>16</v>
      </c>
      <c r="H12" s="142" t="s">
        <v>707</v>
      </c>
      <c r="I12" s="24"/>
      <c r="J12" s="24"/>
      <c r="K12" s="24"/>
    </row>
    <row r="13" ht="28.9" customHeight="1" spans="1:11">
      <c r="A13" s="308">
        <v>12</v>
      </c>
      <c r="B13" s="311" t="s">
        <v>157</v>
      </c>
      <c r="C13" s="312" t="s">
        <v>689</v>
      </c>
      <c r="D13" s="312"/>
      <c r="E13" s="142" t="s">
        <v>708</v>
      </c>
      <c r="F13" s="280">
        <v>521302</v>
      </c>
      <c r="G13" s="280">
        <v>0</v>
      </c>
      <c r="H13" s="142" t="s">
        <v>709</v>
      </c>
      <c r="I13" s="24"/>
      <c r="J13" s="24"/>
      <c r="K13" s="24"/>
    </row>
    <row r="14" ht="28.9" customHeight="1" spans="1:13">
      <c r="A14" s="308">
        <v>13</v>
      </c>
      <c r="B14" s="308"/>
      <c r="C14" s="314"/>
      <c r="D14" s="314"/>
      <c r="E14" s="315" t="s">
        <v>710</v>
      </c>
      <c r="F14" s="316">
        <v>521303</v>
      </c>
      <c r="G14" s="316">
        <v>0</v>
      </c>
      <c r="H14" s="315" t="s">
        <v>711</v>
      </c>
      <c r="I14" s="24"/>
      <c r="J14" s="24"/>
      <c r="K14" s="24"/>
      <c r="M14" s="324" t="s">
        <v>698</v>
      </c>
    </row>
    <row r="15" ht="28.9" customHeight="1" spans="1:13">
      <c r="A15" s="308">
        <v>14</v>
      </c>
      <c r="B15" s="308"/>
      <c r="C15" s="314"/>
      <c r="D15" s="314"/>
      <c r="E15" s="315" t="s">
        <v>712</v>
      </c>
      <c r="F15" s="316">
        <v>521303</v>
      </c>
      <c r="G15" s="316">
        <v>1</v>
      </c>
      <c r="H15" s="315" t="s">
        <v>713</v>
      </c>
      <c r="I15" s="24"/>
      <c r="J15" s="24"/>
      <c r="K15" s="24"/>
      <c r="M15" s="324" t="s">
        <v>698</v>
      </c>
    </row>
    <row r="16" ht="28.9" customHeight="1" spans="1:11">
      <c r="A16" s="308">
        <v>15</v>
      </c>
      <c r="B16" s="317" t="s">
        <v>146</v>
      </c>
      <c r="C16" s="308"/>
      <c r="D16" s="308"/>
      <c r="E16" s="142" t="s">
        <v>714</v>
      </c>
      <c r="F16" s="280">
        <v>521304</v>
      </c>
      <c r="G16" s="280">
        <v>15</v>
      </c>
      <c r="H16" s="142" t="s">
        <v>715</v>
      </c>
      <c r="I16" s="24"/>
      <c r="J16" s="24"/>
      <c r="K16" s="24"/>
    </row>
    <row r="17" ht="28.9" customHeight="1" spans="1:11">
      <c r="A17" s="308">
        <v>16</v>
      </c>
      <c r="B17" s="317" t="s">
        <v>146</v>
      </c>
      <c r="C17" s="308"/>
      <c r="D17" s="308"/>
      <c r="E17" s="142" t="s">
        <v>716</v>
      </c>
      <c r="F17" s="280">
        <v>521304</v>
      </c>
      <c r="G17" s="280">
        <v>16</v>
      </c>
      <c r="H17" s="142" t="s">
        <v>717</v>
      </c>
      <c r="I17" s="24"/>
      <c r="J17" s="24"/>
      <c r="K17" s="24"/>
    </row>
    <row r="18" ht="28.9" customHeight="1" spans="1:11">
      <c r="A18" s="308">
        <v>17</v>
      </c>
      <c r="B18" s="317" t="s">
        <v>146</v>
      </c>
      <c r="C18" s="308"/>
      <c r="D18" s="308"/>
      <c r="E18" s="142" t="s">
        <v>718</v>
      </c>
      <c r="F18" s="280">
        <v>521304</v>
      </c>
      <c r="G18" s="280">
        <v>0</v>
      </c>
      <c r="H18" s="142" t="s">
        <v>719</v>
      </c>
      <c r="I18" s="24"/>
      <c r="J18" s="24"/>
      <c r="K18" s="24"/>
    </row>
    <row r="19" ht="28.9" customHeight="1" spans="1:11">
      <c r="A19" s="308">
        <v>18</v>
      </c>
      <c r="B19" s="311" t="s">
        <v>157</v>
      </c>
      <c r="C19" s="312" t="s">
        <v>689</v>
      </c>
      <c r="D19" s="312"/>
      <c r="E19" s="142" t="s">
        <v>720</v>
      </c>
      <c r="F19" s="280">
        <v>521304</v>
      </c>
      <c r="G19" s="280">
        <v>17</v>
      </c>
      <c r="H19" s="142" t="s">
        <v>721</v>
      </c>
      <c r="I19" s="24"/>
      <c r="J19" s="24"/>
      <c r="K19" s="24"/>
    </row>
    <row r="20" ht="28.9" customHeight="1" spans="1:11">
      <c r="A20" s="308">
        <v>19</v>
      </c>
      <c r="B20" s="313" t="s">
        <v>148</v>
      </c>
      <c r="C20" s="312" t="s">
        <v>681</v>
      </c>
      <c r="D20" s="312"/>
      <c r="E20" s="142" t="s">
        <v>722</v>
      </c>
      <c r="F20" s="280">
        <v>521304</v>
      </c>
      <c r="G20" s="280">
        <v>18</v>
      </c>
      <c r="H20" s="142" t="s">
        <v>723</v>
      </c>
      <c r="I20" s="24"/>
      <c r="J20" s="24"/>
      <c r="K20" s="24"/>
    </row>
    <row r="21" ht="28.9" customHeight="1" spans="1:11">
      <c r="A21" s="308">
        <v>20</v>
      </c>
      <c r="B21" s="313" t="s">
        <v>148</v>
      </c>
      <c r="C21" s="312" t="s">
        <v>684</v>
      </c>
      <c r="D21" s="312"/>
      <c r="E21" s="142" t="s">
        <v>724</v>
      </c>
      <c r="F21" s="280">
        <v>521304</v>
      </c>
      <c r="G21" s="280">
        <v>1</v>
      </c>
      <c r="H21" s="142" t="s">
        <v>725</v>
      </c>
      <c r="I21" s="24"/>
      <c r="J21" s="24"/>
      <c r="K21" s="24"/>
    </row>
    <row r="22" ht="28.9" customHeight="1" spans="1:11">
      <c r="A22" s="308">
        <v>21</v>
      </c>
      <c r="B22" s="311" t="s">
        <v>157</v>
      </c>
      <c r="C22" s="312" t="s">
        <v>681</v>
      </c>
      <c r="D22" s="312"/>
      <c r="E22" s="23" t="s">
        <v>726</v>
      </c>
      <c r="F22" s="280">
        <v>521304</v>
      </c>
      <c r="G22" s="280">
        <v>23</v>
      </c>
      <c r="H22" s="142" t="s">
        <v>727</v>
      </c>
      <c r="I22" s="24"/>
      <c r="J22" s="24"/>
      <c r="K22" s="24"/>
    </row>
    <row r="23" ht="28.9" customHeight="1" spans="1:11">
      <c r="A23" s="308">
        <v>22</v>
      </c>
      <c r="B23" s="317" t="s">
        <v>146</v>
      </c>
      <c r="C23" s="308"/>
      <c r="D23" s="308"/>
      <c r="E23" s="142" t="s">
        <v>728</v>
      </c>
      <c r="F23" s="280">
        <v>521305</v>
      </c>
      <c r="G23" s="280">
        <v>15</v>
      </c>
      <c r="H23" s="142" t="s">
        <v>729</v>
      </c>
      <c r="I23" s="24" t="s">
        <v>509</v>
      </c>
      <c r="J23" s="24"/>
      <c r="K23" s="24"/>
    </row>
    <row r="24" ht="28.9" customHeight="1" spans="1:11">
      <c r="A24" s="308">
        <v>23</v>
      </c>
      <c r="B24" s="317" t="s">
        <v>146</v>
      </c>
      <c r="C24" s="308"/>
      <c r="D24" s="308"/>
      <c r="E24" s="142" t="s">
        <v>730</v>
      </c>
      <c r="F24" s="280">
        <v>521305</v>
      </c>
      <c r="G24" s="280">
        <v>16</v>
      </c>
      <c r="H24" s="142" t="s">
        <v>731</v>
      </c>
      <c r="I24" s="24"/>
      <c r="J24" s="24"/>
      <c r="K24" s="24"/>
    </row>
    <row r="25" ht="28.9" customHeight="1" spans="1:11">
      <c r="A25" s="308">
        <v>24</v>
      </c>
      <c r="B25" s="317" t="s">
        <v>146</v>
      </c>
      <c r="C25" s="308"/>
      <c r="D25" s="308"/>
      <c r="E25" s="142" t="s">
        <v>732</v>
      </c>
      <c r="F25" s="280">
        <v>521305</v>
      </c>
      <c r="G25" s="280">
        <v>0</v>
      </c>
      <c r="H25" s="142" t="s">
        <v>733</v>
      </c>
      <c r="I25" s="24"/>
      <c r="J25" s="24"/>
      <c r="K25" s="24"/>
    </row>
    <row r="26" ht="28.9" customHeight="1" spans="1:11">
      <c r="A26" s="308">
        <v>25</v>
      </c>
      <c r="B26" s="311" t="s">
        <v>157</v>
      </c>
      <c r="C26" s="312" t="s">
        <v>689</v>
      </c>
      <c r="D26" s="312"/>
      <c r="E26" s="142" t="s">
        <v>734</v>
      </c>
      <c r="F26" s="280">
        <v>521305</v>
      </c>
      <c r="G26" s="280">
        <v>17</v>
      </c>
      <c r="H26" s="142" t="s">
        <v>735</v>
      </c>
      <c r="I26" s="24"/>
      <c r="J26" s="24"/>
      <c r="K26" s="24"/>
    </row>
    <row r="27" ht="28.9" customHeight="1" spans="1:11">
      <c r="A27" s="308">
        <v>26</v>
      </c>
      <c r="B27" s="313" t="s">
        <v>148</v>
      </c>
      <c r="C27" s="312" t="s">
        <v>681</v>
      </c>
      <c r="D27" s="312"/>
      <c r="E27" s="142" t="s">
        <v>736</v>
      </c>
      <c r="F27" s="280">
        <v>521305</v>
      </c>
      <c r="G27" s="280">
        <v>18</v>
      </c>
      <c r="H27" s="142" t="s">
        <v>737</v>
      </c>
      <c r="I27" s="24"/>
      <c r="J27" s="24"/>
      <c r="K27" s="24"/>
    </row>
    <row r="28" ht="28.9" customHeight="1" spans="1:11">
      <c r="A28" s="308">
        <v>27</v>
      </c>
      <c r="B28" s="313" t="s">
        <v>148</v>
      </c>
      <c r="C28" s="312" t="s">
        <v>684</v>
      </c>
      <c r="D28" s="312"/>
      <c r="E28" s="142" t="s">
        <v>738</v>
      </c>
      <c r="F28" s="280">
        <v>521305</v>
      </c>
      <c r="G28" s="280">
        <v>1</v>
      </c>
      <c r="H28" s="142" t="s">
        <v>739</v>
      </c>
      <c r="I28" s="24"/>
      <c r="J28" s="24"/>
      <c r="K28" s="24"/>
    </row>
    <row r="29" ht="28.9" customHeight="1" spans="1:11">
      <c r="A29" s="308">
        <v>28</v>
      </c>
      <c r="B29" s="313" t="s">
        <v>148</v>
      </c>
      <c r="C29" s="312" t="s">
        <v>684</v>
      </c>
      <c r="D29" s="312"/>
      <c r="E29" s="318" t="s">
        <v>740</v>
      </c>
      <c r="F29" s="319">
        <v>521305</v>
      </c>
      <c r="G29" s="319">
        <v>12</v>
      </c>
      <c r="H29" s="320" t="s">
        <v>741</v>
      </c>
      <c r="I29" s="24"/>
      <c r="J29" s="117" t="s">
        <v>742</v>
      </c>
      <c r="K29" s="325" t="s">
        <v>741</v>
      </c>
    </row>
    <row r="30" ht="28.9" customHeight="1" spans="1:11">
      <c r="A30" s="308">
        <v>29</v>
      </c>
      <c r="B30" s="317" t="s">
        <v>146</v>
      </c>
      <c r="C30" s="308"/>
      <c r="D30" s="308"/>
      <c r="E30" s="142" t="s">
        <v>743</v>
      </c>
      <c r="F30" s="280">
        <v>521306</v>
      </c>
      <c r="G30" s="280">
        <v>15</v>
      </c>
      <c r="H30" s="142" t="s">
        <v>744</v>
      </c>
      <c r="I30" s="326" t="s">
        <v>509</v>
      </c>
      <c r="J30" s="327" t="s">
        <v>745</v>
      </c>
      <c r="K30" s="327" t="s">
        <v>746</v>
      </c>
    </row>
    <row r="31" ht="28.9" customHeight="1" spans="1:13">
      <c r="A31" s="308">
        <v>30</v>
      </c>
      <c r="B31" s="308"/>
      <c r="C31" s="308"/>
      <c r="D31" s="308"/>
      <c r="E31" s="315" t="s">
        <v>747</v>
      </c>
      <c r="F31" s="316">
        <v>521306</v>
      </c>
      <c r="G31" s="316">
        <v>16</v>
      </c>
      <c r="H31" s="315" t="s">
        <v>748</v>
      </c>
      <c r="I31" s="24"/>
      <c r="J31" s="24"/>
      <c r="K31" s="24"/>
      <c r="M31" s="324" t="s">
        <v>698</v>
      </c>
    </row>
    <row r="32" ht="28.9" customHeight="1" spans="1:13">
      <c r="A32" s="308">
        <v>31</v>
      </c>
      <c r="B32" s="308"/>
      <c r="C32" s="308"/>
      <c r="D32" s="308"/>
      <c r="E32" s="315" t="s">
        <v>749</v>
      </c>
      <c r="F32" s="316">
        <v>521306</v>
      </c>
      <c r="G32" s="316">
        <v>0</v>
      </c>
      <c r="H32" s="315" t="s">
        <v>750</v>
      </c>
      <c r="I32" s="24"/>
      <c r="J32" s="24"/>
      <c r="K32" s="24"/>
      <c r="M32" s="324" t="s">
        <v>698</v>
      </c>
    </row>
    <row r="33" ht="28.9" customHeight="1" spans="1:11">
      <c r="A33" s="308">
        <v>32</v>
      </c>
      <c r="B33" s="317" t="s">
        <v>455</v>
      </c>
      <c r="C33" s="308"/>
      <c r="D33" s="308"/>
      <c r="E33" s="142" t="s">
        <v>751</v>
      </c>
      <c r="F33" s="280">
        <v>521307</v>
      </c>
      <c r="G33" s="280">
        <v>15</v>
      </c>
      <c r="H33" s="142" t="s">
        <v>752</v>
      </c>
      <c r="I33" s="24" t="s">
        <v>509</v>
      </c>
      <c r="J33" s="327" t="s">
        <v>745</v>
      </c>
      <c r="K33" s="328" t="s">
        <v>753</v>
      </c>
    </row>
    <row r="34" ht="28.9" customHeight="1" spans="1:11">
      <c r="A34" s="308">
        <v>33</v>
      </c>
      <c r="B34" s="317" t="s">
        <v>146</v>
      </c>
      <c r="C34" s="308"/>
      <c r="D34" s="308"/>
      <c r="E34" s="142" t="s">
        <v>754</v>
      </c>
      <c r="F34" s="280">
        <v>521307</v>
      </c>
      <c r="G34" s="280">
        <v>16</v>
      </c>
      <c r="H34" s="142" t="s">
        <v>755</v>
      </c>
      <c r="I34" s="24"/>
      <c r="J34" s="327" t="s">
        <v>745</v>
      </c>
      <c r="K34" s="328" t="s">
        <v>756</v>
      </c>
    </row>
    <row r="35" ht="28.9" customHeight="1" spans="1:11">
      <c r="A35" s="308">
        <v>34</v>
      </c>
      <c r="B35" s="317" t="s">
        <v>146</v>
      </c>
      <c r="C35" s="308"/>
      <c r="D35" s="308"/>
      <c r="E35" s="142" t="s">
        <v>757</v>
      </c>
      <c r="F35" s="280">
        <v>521307</v>
      </c>
      <c r="G35" s="280">
        <v>0</v>
      </c>
      <c r="H35" s="142" t="s">
        <v>758</v>
      </c>
      <c r="I35" s="24"/>
      <c r="J35" s="327" t="s">
        <v>745</v>
      </c>
      <c r="K35" s="328" t="s">
        <v>759</v>
      </c>
    </row>
    <row r="36" ht="49.5" spans="1:11">
      <c r="A36" s="308">
        <v>35</v>
      </c>
      <c r="B36" s="311" t="s">
        <v>263</v>
      </c>
      <c r="C36" s="312" t="s">
        <v>760</v>
      </c>
      <c r="D36" s="312"/>
      <c r="E36" s="321" t="s">
        <v>761</v>
      </c>
      <c r="F36" s="319">
        <v>521307</v>
      </c>
      <c r="G36" s="319">
        <v>6</v>
      </c>
      <c r="H36" s="320" t="s">
        <v>762</v>
      </c>
      <c r="I36" s="24"/>
      <c r="J36" s="117" t="s">
        <v>742</v>
      </c>
      <c r="K36" s="325" t="s">
        <v>762</v>
      </c>
    </row>
    <row r="37" ht="28.9" customHeight="1" spans="1:11">
      <c r="A37" s="308">
        <v>36</v>
      </c>
      <c r="B37" s="317" t="s">
        <v>146</v>
      </c>
      <c r="C37" s="308"/>
      <c r="D37" s="308"/>
      <c r="E37" s="142" t="s">
        <v>763</v>
      </c>
      <c r="F37" s="280">
        <v>521308</v>
      </c>
      <c r="G37" s="280">
        <v>15</v>
      </c>
      <c r="H37" s="142" t="s">
        <v>764</v>
      </c>
      <c r="I37" s="24"/>
      <c r="J37" s="327" t="s">
        <v>745</v>
      </c>
      <c r="K37" s="328" t="s">
        <v>765</v>
      </c>
    </row>
    <row r="38" ht="28.9" customHeight="1" spans="1:11">
      <c r="A38" s="308">
        <v>37</v>
      </c>
      <c r="B38" s="317" t="s">
        <v>146</v>
      </c>
      <c r="C38" s="308"/>
      <c r="D38" s="308"/>
      <c r="E38" s="142" t="s">
        <v>766</v>
      </c>
      <c r="F38" s="280">
        <v>521308</v>
      </c>
      <c r="G38" s="280">
        <v>16</v>
      </c>
      <c r="H38" s="142" t="s">
        <v>767</v>
      </c>
      <c r="I38" s="24"/>
      <c r="J38" s="327" t="s">
        <v>745</v>
      </c>
      <c r="K38" s="328" t="s">
        <v>768</v>
      </c>
    </row>
    <row r="39" ht="28.9" customHeight="1" spans="1:11">
      <c r="A39" s="308">
        <v>38</v>
      </c>
      <c r="B39" s="311" t="s">
        <v>157</v>
      </c>
      <c r="C39" s="308" t="s">
        <v>769</v>
      </c>
      <c r="D39" s="308"/>
      <c r="E39" s="142" t="s">
        <v>770</v>
      </c>
      <c r="F39" s="280">
        <v>521308</v>
      </c>
      <c r="G39" s="280">
        <v>0</v>
      </c>
      <c r="H39" s="142" t="s">
        <v>771</v>
      </c>
      <c r="I39" s="24"/>
      <c r="J39" s="327" t="s">
        <v>745</v>
      </c>
      <c r="K39" s="328" t="s">
        <v>772</v>
      </c>
    </row>
    <row r="40" ht="28.9" customHeight="1" spans="1:11">
      <c r="A40" s="308">
        <v>39</v>
      </c>
      <c r="B40" s="317" t="s">
        <v>146</v>
      </c>
      <c r="C40" s="308"/>
      <c r="D40" s="308"/>
      <c r="E40" s="142" t="s">
        <v>773</v>
      </c>
      <c r="F40" s="280">
        <v>521309</v>
      </c>
      <c r="G40" s="280">
        <v>17</v>
      </c>
      <c r="H40" s="142" t="s">
        <v>774</v>
      </c>
      <c r="I40" s="24"/>
      <c r="J40" s="24"/>
      <c r="K40" s="24"/>
    </row>
    <row r="41" ht="28.9" customHeight="1" spans="1:11">
      <c r="A41" s="308">
        <v>40</v>
      </c>
      <c r="B41" s="311" t="s">
        <v>263</v>
      </c>
      <c r="C41" s="312" t="s">
        <v>775</v>
      </c>
      <c r="D41" s="312"/>
      <c r="E41" s="142" t="s">
        <v>776</v>
      </c>
      <c r="F41" s="280">
        <v>521309</v>
      </c>
      <c r="G41" s="280">
        <v>18</v>
      </c>
      <c r="H41" s="142" t="s">
        <v>777</v>
      </c>
      <c r="I41" s="24"/>
      <c r="J41" s="24"/>
      <c r="K41" s="24"/>
    </row>
    <row r="42" ht="28.9" customHeight="1" spans="1:11">
      <c r="A42" s="308">
        <v>41</v>
      </c>
      <c r="B42" s="311" t="s">
        <v>263</v>
      </c>
      <c r="C42" s="312" t="s">
        <v>778</v>
      </c>
      <c r="D42" s="312"/>
      <c r="E42" s="142" t="s">
        <v>779</v>
      </c>
      <c r="F42" s="280">
        <v>521309</v>
      </c>
      <c r="G42" s="280">
        <v>1</v>
      </c>
      <c r="H42" s="142" t="s">
        <v>780</v>
      </c>
      <c r="I42" s="24"/>
      <c r="J42" s="24"/>
      <c r="K42" s="24"/>
    </row>
    <row r="43" ht="28.9" customHeight="1" spans="1:11">
      <c r="A43" s="308">
        <v>42</v>
      </c>
      <c r="B43" s="317" t="s">
        <v>146</v>
      </c>
      <c r="C43" s="308"/>
      <c r="D43" s="308"/>
      <c r="E43" s="142" t="s">
        <v>781</v>
      </c>
      <c r="F43" s="280">
        <v>521309</v>
      </c>
      <c r="G43" s="280">
        <v>0</v>
      </c>
      <c r="H43" s="142" t="s">
        <v>782</v>
      </c>
      <c r="I43" s="24"/>
      <c r="J43" s="24"/>
      <c r="K43" s="24"/>
    </row>
    <row r="44" ht="28.9" customHeight="1" spans="1:11">
      <c r="A44" s="308">
        <v>43</v>
      </c>
      <c r="B44" s="317" t="s">
        <v>146</v>
      </c>
      <c r="C44" s="308"/>
      <c r="D44" s="308"/>
      <c r="E44" s="23" t="s">
        <v>783</v>
      </c>
      <c r="F44" s="280">
        <v>521309</v>
      </c>
      <c r="G44" s="280">
        <v>2</v>
      </c>
      <c r="H44" s="142" t="s">
        <v>784</v>
      </c>
      <c r="I44" s="24"/>
      <c r="J44" s="24"/>
      <c r="K44" s="24"/>
    </row>
    <row r="45" ht="28.9" customHeight="1" spans="1:11">
      <c r="A45" s="308">
        <v>44</v>
      </c>
      <c r="B45" s="313" t="s">
        <v>148</v>
      </c>
      <c r="C45" s="312" t="s">
        <v>684</v>
      </c>
      <c r="D45" s="312"/>
      <c r="E45" s="142" t="s">
        <v>785</v>
      </c>
      <c r="F45" s="280">
        <v>521310</v>
      </c>
      <c r="G45" s="280">
        <v>13</v>
      </c>
      <c r="H45" s="142" t="s">
        <v>786</v>
      </c>
      <c r="I45" s="24"/>
      <c r="J45" s="24"/>
      <c r="K45" s="24"/>
    </row>
    <row r="46" ht="28.9" customHeight="1" spans="1:11">
      <c r="A46" s="308">
        <v>45</v>
      </c>
      <c r="B46" s="313" t="s">
        <v>148</v>
      </c>
      <c r="C46" s="312" t="s">
        <v>684</v>
      </c>
      <c r="D46" s="312"/>
      <c r="E46" s="142" t="s">
        <v>787</v>
      </c>
      <c r="F46" s="280">
        <v>521311</v>
      </c>
      <c r="G46" s="280">
        <v>9</v>
      </c>
      <c r="H46" s="142" t="s">
        <v>788</v>
      </c>
      <c r="I46" s="24"/>
      <c r="J46" s="24"/>
      <c r="K46" s="24"/>
    </row>
    <row r="47" ht="51" customHeight="1" spans="1:11">
      <c r="A47" s="308">
        <v>46</v>
      </c>
      <c r="B47" s="311" t="s">
        <v>263</v>
      </c>
      <c r="C47" s="312" t="s">
        <v>789</v>
      </c>
      <c r="D47" s="312"/>
      <c r="E47" s="142" t="s">
        <v>790</v>
      </c>
      <c r="F47" s="280">
        <v>521312</v>
      </c>
      <c r="G47" s="280">
        <v>5</v>
      </c>
      <c r="H47" s="142" t="s">
        <v>791</v>
      </c>
      <c r="I47" s="24"/>
      <c r="J47" s="24"/>
      <c r="K47" s="24"/>
    </row>
    <row r="48" ht="28.9" customHeight="1" spans="1:13">
      <c r="A48" s="308">
        <v>47</v>
      </c>
      <c r="B48" s="308"/>
      <c r="C48" s="308"/>
      <c r="D48" s="308"/>
      <c r="E48" s="315" t="s">
        <v>792</v>
      </c>
      <c r="F48" s="316">
        <v>521313</v>
      </c>
      <c r="G48" s="316">
        <v>13</v>
      </c>
      <c r="H48" s="315" t="s">
        <v>793</v>
      </c>
      <c r="I48" s="24"/>
      <c r="J48" s="24"/>
      <c r="K48" s="24"/>
      <c r="M48" s="324" t="s">
        <v>698</v>
      </c>
    </row>
    <row r="49" ht="28.9" customHeight="1" spans="1:13">
      <c r="A49" s="308">
        <v>48</v>
      </c>
      <c r="B49" s="308"/>
      <c r="C49" s="308"/>
      <c r="D49" s="308"/>
      <c r="E49" s="315" t="s">
        <v>794</v>
      </c>
      <c r="F49" s="316">
        <v>521314</v>
      </c>
      <c r="G49" s="316"/>
      <c r="H49" s="315" t="s">
        <v>795</v>
      </c>
      <c r="I49" s="24"/>
      <c r="J49" s="24"/>
      <c r="K49" s="24"/>
      <c r="M49" s="324" t="s">
        <v>698</v>
      </c>
    </row>
    <row r="50" ht="28.9" customHeight="1" spans="1:13">
      <c r="A50" s="308">
        <v>49</v>
      </c>
      <c r="B50" s="308"/>
      <c r="C50" s="308"/>
      <c r="D50" s="308"/>
      <c r="E50" s="315" t="s">
        <v>796</v>
      </c>
      <c r="F50" s="316">
        <v>521315</v>
      </c>
      <c r="G50" s="316">
        <v>6</v>
      </c>
      <c r="H50" s="315" t="s">
        <v>797</v>
      </c>
      <c r="I50" s="24"/>
      <c r="J50" s="24"/>
      <c r="K50" s="24"/>
      <c r="M50" s="324" t="s">
        <v>698</v>
      </c>
    </row>
    <row r="51" ht="28.9" customHeight="1" spans="1:13">
      <c r="A51" s="308">
        <v>50</v>
      </c>
      <c r="B51" s="308"/>
      <c r="C51" s="308"/>
      <c r="D51" s="308"/>
      <c r="E51" s="315" t="s">
        <v>798</v>
      </c>
      <c r="F51" s="316">
        <v>521316</v>
      </c>
      <c r="G51" s="316">
        <v>6</v>
      </c>
      <c r="H51" s="315" t="s">
        <v>799</v>
      </c>
      <c r="I51" s="24"/>
      <c r="J51" s="24"/>
      <c r="K51" s="24"/>
      <c r="M51" s="324" t="s">
        <v>698</v>
      </c>
    </row>
    <row r="52" ht="28.9" customHeight="1" spans="1:13">
      <c r="A52" s="308">
        <v>51</v>
      </c>
      <c r="B52" s="308"/>
      <c r="C52" s="308"/>
      <c r="D52" s="308"/>
      <c r="E52" s="315" t="s">
        <v>800</v>
      </c>
      <c r="F52" s="316">
        <v>521317</v>
      </c>
      <c r="G52" s="316">
        <v>12</v>
      </c>
      <c r="H52" s="315" t="s">
        <v>801</v>
      </c>
      <c r="I52" s="24"/>
      <c r="J52" s="24"/>
      <c r="K52" s="24"/>
      <c r="M52" s="324" t="s">
        <v>698</v>
      </c>
    </row>
    <row r="53" ht="28.9" customHeight="1" spans="1:13">
      <c r="A53" s="308">
        <v>52</v>
      </c>
      <c r="B53" s="308"/>
      <c r="C53" s="308"/>
      <c r="D53" s="308"/>
      <c r="E53" s="315" t="s">
        <v>802</v>
      </c>
      <c r="F53" s="316">
        <v>521318</v>
      </c>
      <c r="G53" s="316">
        <v>4</v>
      </c>
      <c r="H53" s="315" t="s">
        <v>803</v>
      </c>
      <c r="I53" s="24"/>
      <c r="J53" s="24"/>
      <c r="K53" s="24"/>
      <c r="M53" s="324" t="s">
        <v>698</v>
      </c>
    </row>
    <row r="54" ht="28.9" customHeight="1" spans="1:13">
      <c r="A54" s="308">
        <v>53</v>
      </c>
      <c r="B54" s="308"/>
      <c r="C54" s="308"/>
      <c r="D54" s="308"/>
      <c r="E54" s="315" t="s">
        <v>804</v>
      </c>
      <c r="F54" s="316">
        <v>521319</v>
      </c>
      <c r="G54" s="316">
        <v>2</v>
      </c>
      <c r="H54" s="315" t="s">
        <v>805</v>
      </c>
      <c r="I54" s="24"/>
      <c r="J54" s="24"/>
      <c r="K54" s="24"/>
      <c r="M54" s="324" t="s">
        <v>698</v>
      </c>
    </row>
    <row r="55" ht="28.9" customHeight="1" spans="1:13">
      <c r="A55" s="308">
        <v>54</v>
      </c>
      <c r="B55" s="308"/>
      <c r="C55" s="308"/>
      <c r="D55" s="308"/>
      <c r="E55" s="315" t="s">
        <v>806</v>
      </c>
      <c r="F55" s="316">
        <v>521321</v>
      </c>
      <c r="G55" s="316">
        <v>2</v>
      </c>
      <c r="H55" s="315" t="s">
        <v>807</v>
      </c>
      <c r="I55" s="24"/>
      <c r="J55" s="24"/>
      <c r="K55" s="24"/>
      <c r="M55" s="324" t="s">
        <v>698</v>
      </c>
    </row>
    <row r="56" ht="28.9" customHeight="1" spans="1:13">
      <c r="A56" s="308">
        <v>55</v>
      </c>
      <c r="B56" s="308"/>
      <c r="C56" s="308"/>
      <c r="D56" s="308"/>
      <c r="E56" s="315" t="s">
        <v>808</v>
      </c>
      <c r="F56" s="316">
        <v>521322</v>
      </c>
      <c r="G56" s="316">
        <v>2</v>
      </c>
      <c r="H56" s="315" t="s">
        <v>809</v>
      </c>
      <c r="I56" s="24"/>
      <c r="J56" s="24"/>
      <c r="K56" s="24"/>
      <c r="M56" s="324" t="s">
        <v>698</v>
      </c>
    </row>
    <row r="57" ht="28.9" customHeight="1" spans="1:13">
      <c r="A57" s="308">
        <v>56</v>
      </c>
      <c r="B57" s="308"/>
      <c r="C57" s="308"/>
      <c r="D57" s="308"/>
      <c r="E57" s="315" t="s">
        <v>810</v>
      </c>
      <c r="F57" s="316">
        <v>521323</v>
      </c>
      <c r="G57" s="316">
        <v>12</v>
      </c>
      <c r="H57" s="315" t="s">
        <v>811</v>
      </c>
      <c r="I57" s="24"/>
      <c r="J57" s="24"/>
      <c r="K57" s="24"/>
      <c r="M57" s="324" t="s">
        <v>698</v>
      </c>
    </row>
    <row r="58" ht="28.9" customHeight="1" spans="1:13">
      <c r="A58" s="308">
        <v>57</v>
      </c>
      <c r="B58" s="308"/>
      <c r="C58" s="308"/>
      <c r="D58" s="308"/>
      <c r="E58" s="315" t="s">
        <v>812</v>
      </c>
      <c r="F58" s="316">
        <v>521324</v>
      </c>
      <c r="G58" s="316">
        <v>2</v>
      </c>
      <c r="H58" s="315" t="s">
        <v>813</v>
      </c>
      <c r="I58" s="24"/>
      <c r="J58" s="24"/>
      <c r="K58" s="24"/>
      <c r="M58" s="324" t="s">
        <v>698</v>
      </c>
    </row>
    <row r="59" ht="28.9" customHeight="1" spans="1:13">
      <c r="A59" s="308">
        <v>58</v>
      </c>
      <c r="B59" s="308"/>
      <c r="C59" s="308"/>
      <c r="D59" s="308"/>
      <c r="E59" s="315" t="s">
        <v>814</v>
      </c>
      <c r="F59" s="316">
        <v>521325</v>
      </c>
      <c r="G59" s="316">
        <v>3</v>
      </c>
      <c r="H59" s="315" t="s">
        <v>815</v>
      </c>
      <c r="I59" s="24"/>
      <c r="J59" s="24"/>
      <c r="K59" s="24"/>
      <c r="M59" s="324" t="s">
        <v>698</v>
      </c>
    </row>
    <row r="60" ht="28.9" customHeight="1" spans="1:11">
      <c r="A60" s="308">
        <v>59</v>
      </c>
      <c r="B60" s="313" t="s">
        <v>148</v>
      </c>
      <c r="C60" s="312" t="s">
        <v>684</v>
      </c>
      <c r="D60" s="312"/>
      <c r="E60" s="142" t="s">
        <v>816</v>
      </c>
      <c r="F60" s="280">
        <v>521327</v>
      </c>
      <c r="G60" s="280">
        <v>5</v>
      </c>
      <c r="H60" s="142" t="s">
        <v>817</v>
      </c>
      <c r="I60" s="24"/>
      <c r="J60" s="24"/>
      <c r="K60" s="24"/>
    </row>
    <row r="61" ht="28.9" customHeight="1" spans="1:11">
      <c r="A61" s="308">
        <v>60</v>
      </c>
      <c r="B61" s="311" t="s">
        <v>157</v>
      </c>
      <c r="C61" s="312" t="s">
        <v>681</v>
      </c>
      <c r="D61" s="312"/>
      <c r="E61" s="142" t="s">
        <v>818</v>
      </c>
      <c r="F61" s="280">
        <v>521327</v>
      </c>
      <c r="G61" s="280">
        <v>3</v>
      </c>
      <c r="H61" s="142" t="s">
        <v>819</v>
      </c>
      <c r="I61" s="24"/>
      <c r="J61" s="24"/>
      <c r="K61" s="24"/>
    </row>
    <row r="62" ht="28.9" customHeight="1" spans="1:11">
      <c r="A62" s="308">
        <v>61</v>
      </c>
      <c r="B62" s="313" t="s">
        <v>148</v>
      </c>
      <c r="C62" s="312" t="s">
        <v>684</v>
      </c>
      <c r="D62" s="312"/>
      <c r="E62" s="322" t="s">
        <v>820</v>
      </c>
      <c r="F62" s="319">
        <v>521328</v>
      </c>
      <c r="G62" s="319">
        <v>5</v>
      </c>
      <c r="H62" s="320" t="s">
        <v>821</v>
      </c>
      <c r="I62" s="24"/>
      <c r="J62" s="325" t="s">
        <v>742</v>
      </c>
      <c r="K62" s="325" t="s">
        <v>821</v>
      </c>
    </row>
    <row r="63" ht="28.9" customHeight="1" spans="1:11">
      <c r="A63" s="308">
        <v>62</v>
      </c>
      <c r="B63" s="311" t="s">
        <v>157</v>
      </c>
      <c r="C63" s="312" t="s">
        <v>681</v>
      </c>
      <c r="D63" s="312"/>
      <c r="E63" s="322" t="s">
        <v>822</v>
      </c>
      <c r="F63" s="319">
        <v>521328</v>
      </c>
      <c r="G63" s="319">
        <v>3</v>
      </c>
      <c r="H63" s="320" t="s">
        <v>823</v>
      </c>
      <c r="I63" s="24"/>
      <c r="J63" s="325" t="s">
        <v>742</v>
      </c>
      <c r="K63" s="325" t="s">
        <v>823</v>
      </c>
    </row>
    <row r="64" ht="28.9" customHeight="1" spans="1:11">
      <c r="A64" s="308">
        <v>63</v>
      </c>
      <c r="B64" s="311" t="s">
        <v>157</v>
      </c>
      <c r="C64" s="312" t="s">
        <v>681</v>
      </c>
      <c r="D64" s="312"/>
      <c r="E64" s="142" t="s">
        <v>824</v>
      </c>
      <c r="F64" s="280">
        <v>521329</v>
      </c>
      <c r="G64" s="280">
        <v>5</v>
      </c>
      <c r="H64" s="142" t="s">
        <v>825</v>
      </c>
      <c r="I64" s="24"/>
      <c r="J64" s="327" t="s">
        <v>745</v>
      </c>
      <c r="K64" s="328" t="s">
        <v>826</v>
      </c>
    </row>
    <row r="65" ht="28.9" customHeight="1" spans="1:11">
      <c r="A65" s="308">
        <v>64</v>
      </c>
      <c r="B65" s="311" t="s">
        <v>157</v>
      </c>
      <c r="C65" s="312" t="s">
        <v>681</v>
      </c>
      <c r="D65" s="312"/>
      <c r="E65" s="142" t="s">
        <v>827</v>
      </c>
      <c r="F65" s="280">
        <v>521329</v>
      </c>
      <c r="G65" s="280">
        <v>3</v>
      </c>
      <c r="H65" s="142" t="s">
        <v>828</v>
      </c>
      <c r="I65" s="24"/>
      <c r="J65" s="327" t="s">
        <v>745</v>
      </c>
      <c r="K65" s="328" t="s">
        <v>829</v>
      </c>
    </row>
    <row r="66" ht="28.9" customHeight="1" spans="1:11">
      <c r="A66" s="308">
        <v>65</v>
      </c>
      <c r="B66" s="308"/>
      <c r="C66" s="308"/>
      <c r="D66" s="308"/>
      <c r="E66" s="142" t="s">
        <v>794</v>
      </c>
      <c r="F66" s="280">
        <v>521329</v>
      </c>
      <c r="G66" s="280">
        <v>2</v>
      </c>
      <c r="H66" s="142" t="s">
        <v>830</v>
      </c>
      <c r="I66" s="24" t="s">
        <v>831</v>
      </c>
      <c r="J66" s="24"/>
      <c r="K66" s="24"/>
    </row>
    <row r="67" ht="28.9" customHeight="1" spans="1:11">
      <c r="A67" s="308">
        <v>66</v>
      </c>
      <c r="B67" s="311" t="s">
        <v>157</v>
      </c>
      <c r="C67" s="312" t="s">
        <v>681</v>
      </c>
      <c r="D67" s="312"/>
      <c r="E67" s="142" t="s">
        <v>832</v>
      </c>
      <c r="F67" s="280">
        <v>521330</v>
      </c>
      <c r="G67" s="280">
        <v>5</v>
      </c>
      <c r="H67" s="142" t="s">
        <v>833</v>
      </c>
      <c r="I67" s="24"/>
      <c r="J67" s="327" t="s">
        <v>745</v>
      </c>
      <c r="K67" s="328" t="s">
        <v>834</v>
      </c>
    </row>
    <row r="68" ht="28.9" customHeight="1" spans="1:11">
      <c r="A68" s="308">
        <v>67</v>
      </c>
      <c r="B68" s="311" t="s">
        <v>157</v>
      </c>
      <c r="C68" s="312" t="s">
        <v>681</v>
      </c>
      <c r="D68" s="312"/>
      <c r="E68" s="142" t="s">
        <v>835</v>
      </c>
      <c r="F68" s="280">
        <v>521330</v>
      </c>
      <c r="G68" s="280">
        <v>3</v>
      </c>
      <c r="H68" s="142" t="s">
        <v>836</v>
      </c>
      <c r="I68" s="24"/>
      <c r="J68" s="327" t="s">
        <v>745</v>
      </c>
      <c r="K68" s="328" t="s">
        <v>837</v>
      </c>
    </row>
    <row r="69" ht="28.9" customHeight="1" spans="1:11">
      <c r="A69" s="308">
        <v>68</v>
      </c>
      <c r="B69" s="311" t="s">
        <v>157</v>
      </c>
      <c r="C69" s="312" t="s">
        <v>681</v>
      </c>
      <c r="D69" s="312"/>
      <c r="E69" s="322" t="s">
        <v>838</v>
      </c>
      <c r="F69" s="319">
        <v>521331</v>
      </c>
      <c r="G69" s="319">
        <v>5</v>
      </c>
      <c r="H69" s="320" t="s">
        <v>839</v>
      </c>
      <c r="I69" s="24"/>
      <c r="J69" s="117" t="s">
        <v>742</v>
      </c>
      <c r="K69" s="325" t="s">
        <v>839</v>
      </c>
    </row>
    <row r="70" ht="28.9" customHeight="1" spans="1:11">
      <c r="A70" s="308">
        <v>69</v>
      </c>
      <c r="B70" s="311" t="s">
        <v>157</v>
      </c>
      <c r="C70" s="312" t="s">
        <v>681</v>
      </c>
      <c r="D70" s="312"/>
      <c r="E70" s="322" t="s">
        <v>840</v>
      </c>
      <c r="F70" s="319">
        <v>521331</v>
      </c>
      <c r="G70" s="319">
        <v>3</v>
      </c>
      <c r="H70" s="320" t="s">
        <v>841</v>
      </c>
      <c r="I70" s="24"/>
      <c r="J70" s="117" t="s">
        <v>742</v>
      </c>
      <c r="K70" s="325" t="s">
        <v>841</v>
      </c>
    </row>
    <row r="71" ht="28.9" customHeight="1" spans="1:11">
      <c r="A71" s="308">
        <v>70</v>
      </c>
      <c r="B71" s="311" t="s">
        <v>157</v>
      </c>
      <c r="C71" s="312" t="s">
        <v>681</v>
      </c>
      <c r="D71" s="312"/>
      <c r="E71" s="322" t="s">
        <v>842</v>
      </c>
      <c r="F71" s="319">
        <v>521332</v>
      </c>
      <c r="G71" s="319">
        <v>5</v>
      </c>
      <c r="H71" s="320" t="s">
        <v>843</v>
      </c>
      <c r="I71" s="24"/>
      <c r="J71" s="117" t="s">
        <v>742</v>
      </c>
      <c r="K71" s="325" t="s">
        <v>843</v>
      </c>
    </row>
    <row r="72" ht="28.9" customHeight="1" spans="1:11">
      <c r="A72" s="308">
        <v>71</v>
      </c>
      <c r="B72" s="311" t="s">
        <v>157</v>
      </c>
      <c r="C72" s="312" t="s">
        <v>681</v>
      </c>
      <c r="D72" s="312"/>
      <c r="E72" s="322" t="s">
        <v>844</v>
      </c>
      <c r="F72" s="319">
        <v>521332</v>
      </c>
      <c r="G72" s="319">
        <v>3</v>
      </c>
      <c r="H72" s="320" t="s">
        <v>845</v>
      </c>
      <c r="I72" s="24"/>
      <c r="J72" s="117" t="s">
        <v>742</v>
      </c>
      <c r="K72" s="325" t="s">
        <v>845</v>
      </c>
    </row>
    <row r="73" ht="28.9" customHeight="1" spans="1:11">
      <c r="A73" s="308">
        <v>72</v>
      </c>
      <c r="B73" s="311" t="s">
        <v>157</v>
      </c>
      <c r="C73" s="312" t="s">
        <v>681</v>
      </c>
      <c r="D73" s="312"/>
      <c r="E73" s="142" t="s">
        <v>846</v>
      </c>
      <c r="F73" s="280">
        <v>521333</v>
      </c>
      <c r="G73" s="280">
        <v>5</v>
      </c>
      <c r="H73" s="142" t="s">
        <v>847</v>
      </c>
      <c r="I73" s="24"/>
      <c r="J73" s="24"/>
      <c r="K73" s="24"/>
    </row>
    <row r="74" ht="28.9" customHeight="1" spans="1:11">
      <c r="A74" s="308">
        <v>73</v>
      </c>
      <c r="B74" s="313" t="s">
        <v>148</v>
      </c>
      <c r="C74" s="312" t="s">
        <v>684</v>
      </c>
      <c r="D74" s="312"/>
      <c r="E74" s="142" t="s">
        <v>848</v>
      </c>
      <c r="F74" s="280">
        <v>521334</v>
      </c>
      <c r="G74" s="280">
        <v>3</v>
      </c>
      <c r="H74" s="142" t="s">
        <v>849</v>
      </c>
      <c r="I74" s="24"/>
      <c r="J74" s="24"/>
      <c r="K74" s="24"/>
    </row>
    <row r="75" ht="48" customHeight="1" spans="1:11">
      <c r="A75" s="308">
        <v>74</v>
      </c>
      <c r="B75" s="313" t="s">
        <v>850</v>
      </c>
      <c r="C75" s="312" t="s">
        <v>851</v>
      </c>
      <c r="D75" s="312"/>
      <c r="E75" s="142" t="s">
        <v>852</v>
      </c>
      <c r="F75" s="280">
        <v>521335</v>
      </c>
      <c r="G75" s="280">
        <v>3</v>
      </c>
      <c r="H75" s="142" t="s">
        <v>853</v>
      </c>
      <c r="I75" s="24"/>
      <c r="J75" s="24"/>
      <c r="K75" s="24"/>
    </row>
    <row r="76" ht="28.9" customHeight="1" spans="1:13">
      <c r="A76" s="308">
        <v>75</v>
      </c>
      <c r="B76" s="308"/>
      <c r="C76" s="314"/>
      <c r="D76" s="314"/>
      <c r="E76" s="315" t="s">
        <v>854</v>
      </c>
      <c r="F76" s="316">
        <v>521336</v>
      </c>
      <c r="G76" s="316">
        <v>5</v>
      </c>
      <c r="H76" s="315" t="s">
        <v>855</v>
      </c>
      <c r="I76" s="24"/>
      <c r="J76" s="24"/>
      <c r="K76" s="24"/>
      <c r="M76" s="324" t="s">
        <v>698</v>
      </c>
    </row>
    <row r="77" ht="51" customHeight="1" spans="1:11">
      <c r="A77" s="308">
        <v>76</v>
      </c>
      <c r="B77" s="311" t="s">
        <v>263</v>
      </c>
      <c r="C77" s="312" t="s">
        <v>856</v>
      </c>
      <c r="D77" s="312"/>
      <c r="E77" s="142" t="s">
        <v>857</v>
      </c>
      <c r="F77" s="280">
        <v>521336</v>
      </c>
      <c r="G77" s="280">
        <v>16</v>
      </c>
      <c r="H77" s="142" t="s">
        <v>858</v>
      </c>
      <c r="I77" s="24"/>
      <c r="J77" s="24"/>
      <c r="K77" s="24"/>
    </row>
    <row r="78" ht="51" customHeight="1" spans="1:11">
      <c r="A78" s="308">
        <v>77</v>
      </c>
      <c r="B78" s="313" t="s">
        <v>850</v>
      </c>
      <c r="C78" s="312" t="s">
        <v>859</v>
      </c>
      <c r="D78" s="312"/>
      <c r="E78" s="142" t="s">
        <v>860</v>
      </c>
      <c r="F78" s="280">
        <v>521336</v>
      </c>
      <c r="G78" s="280">
        <v>0</v>
      </c>
      <c r="H78" s="142" t="s">
        <v>861</v>
      </c>
      <c r="I78" s="24"/>
      <c r="J78" s="24"/>
      <c r="K78" s="24"/>
    </row>
    <row r="79" ht="28.9" customHeight="1" spans="1:11">
      <c r="A79" s="308">
        <v>78</v>
      </c>
      <c r="B79" s="311" t="s">
        <v>157</v>
      </c>
      <c r="C79" s="312" t="s">
        <v>681</v>
      </c>
      <c r="D79" s="312"/>
      <c r="E79" s="142" t="s">
        <v>862</v>
      </c>
      <c r="F79" s="280">
        <v>521344</v>
      </c>
      <c r="G79" s="280">
        <v>5</v>
      </c>
      <c r="H79" s="142" t="s">
        <v>863</v>
      </c>
      <c r="I79" s="24"/>
      <c r="J79" s="327" t="s">
        <v>745</v>
      </c>
      <c r="K79" s="328" t="s">
        <v>864</v>
      </c>
    </row>
    <row r="80" ht="28.9" customHeight="1" spans="1:11">
      <c r="A80" s="308">
        <v>79</v>
      </c>
      <c r="B80" s="311" t="s">
        <v>157</v>
      </c>
      <c r="C80" s="312" t="s">
        <v>681</v>
      </c>
      <c r="D80" s="312"/>
      <c r="E80" s="142" t="s">
        <v>865</v>
      </c>
      <c r="F80" s="280">
        <v>521344</v>
      </c>
      <c r="G80" s="280">
        <v>3</v>
      </c>
      <c r="H80" s="142" t="s">
        <v>866</v>
      </c>
      <c r="I80" s="24"/>
      <c r="J80" s="327" t="s">
        <v>745</v>
      </c>
      <c r="K80" s="328" t="s">
        <v>867</v>
      </c>
    </row>
    <row r="81" ht="28.9" customHeight="1" spans="1:13">
      <c r="A81" s="308">
        <v>80</v>
      </c>
      <c r="B81" s="308"/>
      <c r="C81" s="314"/>
      <c r="D81" s="314"/>
      <c r="E81" s="315" t="s">
        <v>868</v>
      </c>
      <c r="F81" s="316">
        <v>521345</v>
      </c>
      <c r="G81" s="316">
        <v>13</v>
      </c>
      <c r="H81" s="315" t="s">
        <v>869</v>
      </c>
      <c r="I81" s="24"/>
      <c r="J81" s="24"/>
      <c r="K81" s="24"/>
      <c r="M81" s="324" t="s">
        <v>698</v>
      </c>
    </row>
    <row r="82" ht="28.9" customHeight="1" spans="1:13">
      <c r="A82" s="308">
        <v>81</v>
      </c>
      <c r="B82" s="308"/>
      <c r="C82" s="314"/>
      <c r="D82" s="314"/>
      <c r="E82" s="315" t="s">
        <v>870</v>
      </c>
      <c r="F82" s="316">
        <v>521346</v>
      </c>
      <c r="G82" s="316">
        <v>13</v>
      </c>
      <c r="H82" s="315" t="s">
        <v>871</v>
      </c>
      <c r="I82" s="24"/>
      <c r="J82" s="24"/>
      <c r="K82" s="24"/>
      <c r="M82" s="324" t="s">
        <v>698</v>
      </c>
    </row>
    <row r="83" ht="28.9" customHeight="1" spans="1:13">
      <c r="A83" s="308">
        <v>82</v>
      </c>
      <c r="B83" s="308"/>
      <c r="C83" s="314"/>
      <c r="D83" s="314"/>
      <c r="E83" s="315" t="s">
        <v>872</v>
      </c>
      <c r="F83" s="316">
        <v>521347</v>
      </c>
      <c r="G83" s="316">
        <v>0</v>
      </c>
      <c r="H83" s="315" t="s">
        <v>873</v>
      </c>
      <c r="I83" s="24"/>
      <c r="J83" s="24"/>
      <c r="K83" s="24"/>
      <c r="M83" s="324" t="s">
        <v>698</v>
      </c>
    </row>
    <row r="84" ht="28.9" customHeight="1" spans="1:13">
      <c r="A84" s="308">
        <v>83</v>
      </c>
      <c r="B84" s="308"/>
      <c r="C84" s="314"/>
      <c r="D84" s="314"/>
      <c r="E84" s="315" t="s">
        <v>874</v>
      </c>
      <c r="F84" s="314">
        <v>521348</v>
      </c>
      <c r="G84" s="316">
        <v>0</v>
      </c>
      <c r="H84" s="315" t="s">
        <v>875</v>
      </c>
      <c r="I84" s="24"/>
      <c r="J84" s="24"/>
      <c r="K84" s="24"/>
      <c r="M84" s="324" t="s">
        <v>698</v>
      </c>
    </row>
    <row r="85" ht="28.9" customHeight="1" spans="1:13">
      <c r="A85" s="308">
        <v>84</v>
      </c>
      <c r="B85" s="308"/>
      <c r="C85" s="314"/>
      <c r="D85" s="314"/>
      <c r="E85" s="329" t="s">
        <v>876</v>
      </c>
      <c r="F85" s="314">
        <v>521348</v>
      </c>
      <c r="G85" s="316">
        <v>2</v>
      </c>
      <c r="H85" s="315" t="s">
        <v>877</v>
      </c>
      <c r="I85" s="24"/>
      <c r="J85" s="24"/>
      <c r="K85" s="24"/>
      <c r="M85" s="324" t="s">
        <v>698</v>
      </c>
    </row>
    <row r="86" ht="28.9" customHeight="1" spans="1:13">
      <c r="A86" s="308">
        <v>85</v>
      </c>
      <c r="B86" s="308"/>
      <c r="C86" s="314"/>
      <c r="D86" s="314"/>
      <c r="E86" s="329" t="s">
        <v>878</v>
      </c>
      <c r="F86" s="316">
        <v>521349</v>
      </c>
      <c r="G86" s="316">
        <v>5</v>
      </c>
      <c r="H86" s="315" t="s">
        <v>879</v>
      </c>
      <c r="I86" s="24"/>
      <c r="J86" s="24"/>
      <c r="K86" s="24"/>
      <c r="M86" s="324" t="s">
        <v>698</v>
      </c>
    </row>
    <row r="87" ht="28.9" customHeight="1" spans="1:11">
      <c r="A87" s="308">
        <v>86</v>
      </c>
      <c r="B87" s="311" t="s">
        <v>157</v>
      </c>
      <c r="C87" s="312" t="s">
        <v>681</v>
      </c>
      <c r="D87" s="312"/>
      <c r="E87" s="23" t="s">
        <v>880</v>
      </c>
      <c r="F87" s="280">
        <v>521350</v>
      </c>
      <c r="G87" s="280">
        <v>12</v>
      </c>
      <c r="H87" s="142" t="s">
        <v>881</v>
      </c>
      <c r="I87" s="24"/>
      <c r="J87" s="24"/>
      <c r="K87" s="24"/>
    </row>
    <row r="88" ht="28.9" customHeight="1" spans="1:11">
      <c r="A88" s="308">
        <v>87</v>
      </c>
      <c r="B88" s="317" t="s">
        <v>146</v>
      </c>
      <c r="C88" s="308"/>
      <c r="D88" s="308"/>
      <c r="E88" s="321" t="s">
        <v>882</v>
      </c>
      <c r="F88" s="319">
        <v>521353</v>
      </c>
      <c r="G88" s="319">
        <v>0</v>
      </c>
      <c r="H88" s="320" t="s">
        <v>883</v>
      </c>
      <c r="I88" s="24"/>
      <c r="J88" s="117" t="s">
        <v>742</v>
      </c>
      <c r="K88" s="117" t="s">
        <v>884</v>
      </c>
    </row>
    <row r="89" ht="28.9" customHeight="1" spans="1:11">
      <c r="A89" s="308">
        <v>88</v>
      </c>
      <c r="B89" s="311" t="s">
        <v>157</v>
      </c>
      <c r="C89" s="312" t="s">
        <v>681</v>
      </c>
      <c r="D89" s="312"/>
      <c r="E89" s="321" t="s">
        <v>885</v>
      </c>
      <c r="F89" s="319">
        <v>521360</v>
      </c>
      <c r="G89" s="319">
        <v>15</v>
      </c>
      <c r="H89" s="320" t="s">
        <v>886</v>
      </c>
      <c r="I89" s="24"/>
      <c r="J89" s="117" t="s">
        <v>742</v>
      </c>
      <c r="K89" s="117" t="s">
        <v>887</v>
      </c>
    </row>
    <row r="90" ht="28.9" customHeight="1" spans="1:11">
      <c r="A90" s="308">
        <v>89</v>
      </c>
      <c r="B90" s="311" t="s">
        <v>157</v>
      </c>
      <c r="C90" s="312" t="s">
        <v>681</v>
      </c>
      <c r="D90" s="312"/>
      <c r="E90" s="321" t="s">
        <v>885</v>
      </c>
      <c r="F90" s="319">
        <v>521360</v>
      </c>
      <c r="G90" s="319">
        <v>16</v>
      </c>
      <c r="H90" s="320" t="s">
        <v>888</v>
      </c>
      <c r="I90" s="24"/>
      <c r="J90" s="117" t="s">
        <v>742</v>
      </c>
      <c r="K90" s="117" t="s">
        <v>889</v>
      </c>
    </row>
    <row r="91" ht="28.9" customHeight="1" spans="1:11">
      <c r="A91" s="308">
        <v>90</v>
      </c>
      <c r="B91" s="311" t="s">
        <v>157</v>
      </c>
      <c r="C91" s="312" t="s">
        <v>681</v>
      </c>
      <c r="D91" s="312"/>
      <c r="E91" s="321" t="s">
        <v>885</v>
      </c>
      <c r="F91" s="319">
        <v>521360</v>
      </c>
      <c r="G91" s="319">
        <v>0</v>
      </c>
      <c r="H91" s="320" t="s">
        <v>890</v>
      </c>
      <c r="I91" s="24"/>
      <c r="J91" s="117" t="s">
        <v>742</v>
      </c>
      <c r="K91" s="117" t="s">
        <v>891</v>
      </c>
    </row>
    <row r="92" ht="28.9" customHeight="1" spans="1:11">
      <c r="A92" s="308">
        <v>91</v>
      </c>
      <c r="B92" s="317" t="s">
        <v>146</v>
      </c>
      <c r="C92" s="308"/>
      <c r="D92" s="308"/>
      <c r="E92" s="321" t="s">
        <v>892</v>
      </c>
      <c r="F92" s="319">
        <v>521361</v>
      </c>
      <c r="G92" s="319">
        <v>15</v>
      </c>
      <c r="H92" s="320" t="s">
        <v>893</v>
      </c>
      <c r="I92" s="24"/>
      <c r="J92" s="117" t="s">
        <v>742</v>
      </c>
      <c r="K92" s="117" t="s">
        <v>894</v>
      </c>
    </row>
    <row r="93" ht="28.9" customHeight="1" spans="1:11">
      <c r="A93" s="308">
        <v>92</v>
      </c>
      <c r="B93" s="317" t="s">
        <v>146</v>
      </c>
      <c r="C93" s="308"/>
      <c r="D93" s="308"/>
      <c r="E93" s="321" t="s">
        <v>892</v>
      </c>
      <c r="F93" s="319">
        <v>521361</v>
      </c>
      <c r="G93" s="319">
        <v>16</v>
      </c>
      <c r="H93" s="320" t="s">
        <v>895</v>
      </c>
      <c r="I93" s="24"/>
      <c r="J93" s="117" t="s">
        <v>742</v>
      </c>
      <c r="K93" s="117" t="s">
        <v>896</v>
      </c>
    </row>
    <row r="94" ht="28.9" customHeight="1" spans="1:11">
      <c r="A94" s="308">
        <v>93</v>
      </c>
      <c r="B94" s="317" t="s">
        <v>146</v>
      </c>
      <c r="C94" s="308"/>
      <c r="D94" s="308"/>
      <c r="E94" s="321" t="s">
        <v>892</v>
      </c>
      <c r="F94" s="319">
        <v>521361</v>
      </c>
      <c r="G94" s="319">
        <v>0</v>
      </c>
      <c r="H94" s="320" t="s">
        <v>897</v>
      </c>
      <c r="I94" s="24"/>
      <c r="J94" s="117" t="s">
        <v>742</v>
      </c>
      <c r="K94" s="117" t="s">
        <v>898</v>
      </c>
    </row>
    <row r="95" ht="28.9" customHeight="1" spans="1:11">
      <c r="A95" s="308">
        <v>94</v>
      </c>
      <c r="B95" s="313" t="s">
        <v>148</v>
      </c>
      <c r="C95" s="312" t="s">
        <v>681</v>
      </c>
      <c r="D95" s="312"/>
      <c r="E95" s="322" t="s">
        <v>899</v>
      </c>
      <c r="F95" s="319">
        <v>521362</v>
      </c>
      <c r="G95" s="319">
        <v>7</v>
      </c>
      <c r="H95" s="320" t="s">
        <v>900</v>
      </c>
      <c r="I95" s="24"/>
      <c r="J95" s="117" t="s">
        <v>742</v>
      </c>
      <c r="K95" s="117" t="s">
        <v>901</v>
      </c>
    </row>
    <row r="96" ht="28.9" customHeight="1" spans="1:11">
      <c r="A96" s="308">
        <v>95</v>
      </c>
      <c r="B96" s="313" t="s">
        <v>148</v>
      </c>
      <c r="C96" s="312" t="s">
        <v>681</v>
      </c>
      <c r="D96" s="312"/>
      <c r="E96" s="322" t="s">
        <v>902</v>
      </c>
      <c r="F96" s="319">
        <v>521363</v>
      </c>
      <c r="G96" s="319">
        <v>7</v>
      </c>
      <c r="H96" s="320" t="s">
        <v>903</v>
      </c>
      <c r="I96" s="24"/>
      <c r="J96" s="117" t="s">
        <v>742</v>
      </c>
      <c r="K96" s="117" t="s">
        <v>904</v>
      </c>
    </row>
    <row r="97" ht="28.9" customHeight="1" spans="1:11">
      <c r="A97" s="308">
        <v>96</v>
      </c>
      <c r="B97" s="317" t="s">
        <v>146</v>
      </c>
      <c r="C97" s="308"/>
      <c r="D97" s="308"/>
      <c r="E97" s="322" t="s">
        <v>905</v>
      </c>
      <c r="F97" s="319">
        <v>521364</v>
      </c>
      <c r="G97" s="319">
        <v>12</v>
      </c>
      <c r="H97" s="320" t="s">
        <v>906</v>
      </c>
      <c r="I97" s="24"/>
      <c r="J97" s="117" t="s">
        <v>742</v>
      </c>
      <c r="K97" s="117" t="s">
        <v>907</v>
      </c>
    </row>
    <row r="98" ht="28.9" customHeight="1" spans="1:11">
      <c r="A98" s="308">
        <v>97</v>
      </c>
      <c r="B98" s="311" t="s">
        <v>157</v>
      </c>
      <c r="C98" s="312" t="s">
        <v>681</v>
      </c>
      <c r="D98" s="312"/>
      <c r="E98" s="321" t="s">
        <v>908</v>
      </c>
      <c r="F98" s="319">
        <v>521365</v>
      </c>
      <c r="G98" s="319">
        <v>12</v>
      </c>
      <c r="H98" s="320" t="s">
        <v>909</v>
      </c>
      <c r="I98" s="24"/>
      <c r="J98" s="117" t="s">
        <v>742</v>
      </c>
      <c r="K98" s="117" t="s">
        <v>910</v>
      </c>
    </row>
    <row r="99" ht="28.9" customHeight="1" spans="1:11">
      <c r="A99" s="308">
        <v>98</v>
      </c>
      <c r="B99" s="317" t="s">
        <v>146</v>
      </c>
      <c r="C99" s="308"/>
      <c r="D99" s="308"/>
      <c r="E99" s="322" t="s">
        <v>911</v>
      </c>
      <c r="F99" s="319">
        <v>521366</v>
      </c>
      <c r="G99" s="319">
        <v>5</v>
      </c>
      <c r="H99" s="320" t="s">
        <v>912</v>
      </c>
      <c r="I99" s="24"/>
      <c r="J99" s="117" t="s">
        <v>742</v>
      </c>
      <c r="K99" s="117" t="s">
        <v>913</v>
      </c>
    </row>
    <row r="100" ht="28.9" customHeight="1" spans="1:11">
      <c r="A100" s="308">
        <v>99</v>
      </c>
      <c r="B100" s="317" t="s">
        <v>146</v>
      </c>
      <c r="C100" s="308"/>
      <c r="D100" s="308"/>
      <c r="E100" s="322" t="s">
        <v>914</v>
      </c>
      <c r="F100" s="319">
        <v>521366</v>
      </c>
      <c r="G100" s="319">
        <v>3</v>
      </c>
      <c r="H100" s="320" t="s">
        <v>915</v>
      </c>
      <c r="I100" s="24"/>
      <c r="J100" s="117" t="s">
        <v>742</v>
      </c>
      <c r="K100" s="117" t="s">
        <v>916</v>
      </c>
    </row>
    <row r="101" ht="28.9" customHeight="1" spans="1:11">
      <c r="A101" s="308">
        <v>100</v>
      </c>
      <c r="B101" s="317" t="s">
        <v>146</v>
      </c>
      <c r="C101" s="308"/>
      <c r="D101" s="308"/>
      <c r="E101" s="322" t="s">
        <v>917</v>
      </c>
      <c r="F101" s="319">
        <v>521367</v>
      </c>
      <c r="G101" s="319">
        <v>5</v>
      </c>
      <c r="H101" s="320" t="s">
        <v>918</v>
      </c>
      <c r="I101" s="24"/>
      <c r="J101" s="117" t="s">
        <v>742</v>
      </c>
      <c r="K101" s="117" t="s">
        <v>919</v>
      </c>
    </row>
    <row r="102" ht="28.9" customHeight="1" spans="1:11">
      <c r="A102" s="308">
        <v>101</v>
      </c>
      <c r="B102" s="317" t="s">
        <v>146</v>
      </c>
      <c r="C102" s="308"/>
      <c r="D102" s="308"/>
      <c r="E102" s="322" t="s">
        <v>920</v>
      </c>
      <c r="F102" s="319">
        <v>521367</v>
      </c>
      <c r="G102" s="319">
        <v>3</v>
      </c>
      <c r="H102" s="320" t="s">
        <v>921</v>
      </c>
      <c r="I102" s="24"/>
      <c r="J102" s="117" t="s">
        <v>742</v>
      </c>
      <c r="K102" s="117" t="s">
        <v>922</v>
      </c>
    </row>
    <row r="103" ht="28.9" customHeight="1" spans="1:13">
      <c r="A103" s="308">
        <v>102</v>
      </c>
      <c r="B103" s="308"/>
      <c r="C103" s="314"/>
      <c r="D103" s="314"/>
      <c r="E103" s="330" t="s">
        <v>923</v>
      </c>
      <c r="F103" s="314">
        <v>521415</v>
      </c>
      <c r="G103" s="316">
        <v>0</v>
      </c>
      <c r="H103" s="315" t="s">
        <v>924</v>
      </c>
      <c r="I103" s="128"/>
      <c r="J103" s="24"/>
      <c r="K103" s="24"/>
      <c r="M103" s="324" t="s">
        <v>698</v>
      </c>
    </row>
    <row r="104" ht="28.9" customHeight="1" spans="1:11">
      <c r="A104" s="308">
        <v>103</v>
      </c>
      <c r="B104" s="311" t="s">
        <v>157</v>
      </c>
      <c r="C104" s="312" t="s">
        <v>681</v>
      </c>
      <c r="D104" s="312"/>
      <c r="E104" s="331" t="s">
        <v>925</v>
      </c>
      <c r="F104" s="144">
        <v>522138</v>
      </c>
      <c r="G104" s="280">
        <v>0</v>
      </c>
      <c r="H104" s="142" t="s">
        <v>926</v>
      </c>
      <c r="I104" s="24"/>
      <c r="J104" s="24"/>
      <c r="K104" s="24"/>
    </row>
    <row r="105" ht="49.5" customHeight="1" spans="1:11">
      <c r="A105" s="308">
        <v>104</v>
      </c>
      <c r="B105" s="313" t="s">
        <v>850</v>
      </c>
      <c r="C105" s="312" t="s">
        <v>859</v>
      </c>
      <c r="D105" s="312"/>
      <c r="E105" s="141" t="s">
        <v>927</v>
      </c>
      <c r="F105" s="144">
        <v>522139</v>
      </c>
      <c r="G105" s="144">
        <v>1</v>
      </c>
      <c r="H105" s="142" t="s">
        <v>928</v>
      </c>
      <c r="I105" s="24"/>
      <c r="J105" s="24"/>
      <c r="K105" s="24"/>
    </row>
    <row r="106" ht="28.9" customHeight="1" spans="1:11">
      <c r="A106" s="308">
        <v>105</v>
      </c>
      <c r="B106" s="311" t="s">
        <v>157</v>
      </c>
      <c r="C106" s="312" t="s">
        <v>681</v>
      </c>
      <c r="D106" s="312"/>
      <c r="E106" s="141" t="s">
        <v>929</v>
      </c>
      <c r="F106" s="144">
        <v>522140</v>
      </c>
      <c r="G106" s="144">
        <v>9</v>
      </c>
      <c r="H106" s="142" t="s">
        <v>930</v>
      </c>
      <c r="I106" s="24"/>
      <c r="J106" s="24"/>
      <c r="K106" s="24"/>
    </row>
    <row r="107" ht="51" customHeight="1" spans="1:11">
      <c r="A107" s="308">
        <v>106</v>
      </c>
      <c r="B107" s="311" t="s">
        <v>263</v>
      </c>
      <c r="C107" s="312" t="s">
        <v>856</v>
      </c>
      <c r="D107" s="312"/>
      <c r="E107" s="141" t="s">
        <v>931</v>
      </c>
      <c r="F107" s="144">
        <v>522141</v>
      </c>
      <c r="G107" s="144">
        <v>9</v>
      </c>
      <c r="H107" s="142" t="s">
        <v>932</v>
      </c>
      <c r="I107" s="24"/>
      <c r="J107" s="24"/>
      <c r="K107" s="24"/>
    </row>
    <row r="108" ht="28.9" customHeight="1" spans="1:11">
      <c r="A108" s="308">
        <v>107</v>
      </c>
      <c r="B108" s="311" t="s">
        <v>157</v>
      </c>
      <c r="C108" s="312" t="s">
        <v>681</v>
      </c>
      <c r="D108" s="312"/>
      <c r="E108" s="141" t="s">
        <v>933</v>
      </c>
      <c r="F108" s="144">
        <v>522142</v>
      </c>
      <c r="G108" s="144">
        <v>0</v>
      </c>
      <c r="H108" s="142" t="s">
        <v>934</v>
      </c>
      <c r="I108" s="24"/>
      <c r="J108" s="24"/>
      <c r="K108" s="24"/>
    </row>
    <row r="109" ht="28.9" customHeight="1" spans="1:11">
      <c r="A109" s="308">
        <v>108</v>
      </c>
      <c r="B109" s="317" t="s">
        <v>146</v>
      </c>
      <c r="C109" s="308"/>
      <c r="D109" s="308"/>
      <c r="E109" s="141" t="s">
        <v>935</v>
      </c>
      <c r="F109" s="144">
        <v>522143</v>
      </c>
      <c r="G109" s="144">
        <v>5</v>
      </c>
      <c r="H109" s="142" t="s">
        <v>936</v>
      </c>
      <c r="I109" s="24"/>
      <c r="J109" s="24"/>
      <c r="K109" s="24"/>
    </row>
    <row r="110" ht="28.9" customHeight="1" spans="1:11">
      <c r="A110" s="308">
        <v>109</v>
      </c>
      <c r="B110" s="317" t="s">
        <v>146</v>
      </c>
      <c r="C110" s="308"/>
      <c r="D110" s="308"/>
      <c r="E110" s="141" t="s">
        <v>937</v>
      </c>
      <c r="F110" s="144">
        <v>522144</v>
      </c>
      <c r="G110" s="144">
        <v>5</v>
      </c>
      <c r="H110" s="142" t="s">
        <v>938</v>
      </c>
      <c r="I110" s="24"/>
      <c r="J110" s="24"/>
      <c r="K110" s="24"/>
    </row>
    <row r="111" ht="28.9" customHeight="1" spans="1:13">
      <c r="A111" s="308">
        <v>110</v>
      </c>
      <c r="B111" s="311" t="s">
        <v>157</v>
      </c>
      <c r="C111" s="332" t="s">
        <v>939</v>
      </c>
      <c r="D111" s="332" t="s">
        <v>940</v>
      </c>
      <c r="E111" s="152" t="s">
        <v>941</v>
      </c>
      <c r="F111" s="333">
        <v>522240</v>
      </c>
      <c r="G111" s="333">
        <v>5</v>
      </c>
      <c r="H111" s="162" t="s">
        <v>942</v>
      </c>
      <c r="I111" s="246"/>
      <c r="J111" s="246" t="s">
        <v>943</v>
      </c>
      <c r="K111" s="24"/>
      <c r="M111" s="337"/>
    </row>
    <row r="112" ht="39" customHeight="1" spans="1:11">
      <c r="A112" s="332">
        <v>111</v>
      </c>
      <c r="B112" s="311" t="s">
        <v>157</v>
      </c>
      <c r="C112" s="332" t="s">
        <v>939</v>
      </c>
      <c r="D112" s="332" t="s">
        <v>940</v>
      </c>
      <c r="E112" s="162" t="s">
        <v>944</v>
      </c>
      <c r="F112" s="334">
        <v>522240</v>
      </c>
      <c r="G112" s="334">
        <v>12</v>
      </c>
      <c r="H112" s="162" t="s">
        <v>945</v>
      </c>
      <c r="I112" s="246"/>
      <c r="J112" s="246" t="s">
        <v>943</v>
      </c>
      <c r="K112" s="24"/>
    </row>
    <row r="113" ht="39" customHeight="1" spans="1:11">
      <c r="A113" s="308">
        <v>112</v>
      </c>
      <c r="B113" s="311" t="s">
        <v>157</v>
      </c>
      <c r="C113" s="308" t="s">
        <v>939</v>
      </c>
      <c r="D113" s="308" t="s">
        <v>940</v>
      </c>
      <c r="E113" s="141" t="s">
        <v>946</v>
      </c>
      <c r="F113" s="144">
        <v>522241</v>
      </c>
      <c r="G113" s="144">
        <v>16</v>
      </c>
      <c r="H113" s="142" t="s">
        <v>947</v>
      </c>
      <c r="I113" s="24"/>
      <c r="J113" s="24"/>
      <c r="K113" s="24"/>
    </row>
    <row r="114" ht="39" customHeight="1" spans="1:11">
      <c r="A114" s="308">
        <v>113</v>
      </c>
      <c r="B114" s="313" t="s">
        <v>148</v>
      </c>
      <c r="C114" s="308" t="s">
        <v>71</v>
      </c>
      <c r="D114" s="308" t="s">
        <v>940</v>
      </c>
      <c r="E114" s="141" t="s">
        <v>948</v>
      </c>
      <c r="F114" s="144">
        <v>522242</v>
      </c>
      <c r="G114" s="144">
        <v>5</v>
      </c>
      <c r="H114" s="142" t="s">
        <v>949</v>
      </c>
      <c r="I114" s="24"/>
      <c r="J114" s="24"/>
      <c r="K114" s="24"/>
    </row>
    <row r="115" ht="39" customHeight="1" spans="1:11">
      <c r="A115" s="308">
        <v>114</v>
      </c>
      <c r="B115" s="313" t="s">
        <v>148</v>
      </c>
      <c r="C115" s="308" t="s">
        <v>71</v>
      </c>
      <c r="D115" s="308" t="s">
        <v>940</v>
      </c>
      <c r="E115" s="141" t="s">
        <v>950</v>
      </c>
      <c r="F115" s="308">
        <v>522243</v>
      </c>
      <c r="G115" s="308">
        <v>5</v>
      </c>
      <c r="H115" s="142" t="s">
        <v>951</v>
      </c>
      <c r="I115" s="24"/>
      <c r="J115" s="24"/>
      <c r="K115" s="24"/>
    </row>
    <row r="116" ht="39" customHeight="1" spans="1:11">
      <c r="A116" s="308">
        <v>115</v>
      </c>
      <c r="B116" s="313" t="s">
        <v>148</v>
      </c>
      <c r="C116" s="308" t="s">
        <v>71</v>
      </c>
      <c r="D116" s="308" t="s">
        <v>940</v>
      </c>
      <c r="E116" s="335" t="s">
        <v>946</v>
      </c>
      <c r="F116" s="144">
        <v>522244</v>
      </c>
      <c r="G116" s="144">
        <v>0</v>
      </c>
      <c r="H116" s="142" t="s">
        <v>952</v>
      </c>
      <c r="I116" s="24"/>
      <c r="J116" s="24"/>
      <c r="K116" s="24"/>
    </row>
    <row r="117" ht="39" customHeight="1" spans="1:11">
      <c r="A117" s="308">
        <v>116</v>
      </c>
      <c r="B117" s="313" t="s">
        <v>148</v>
      </c>
      <c r="C117" s="308" t="s">
        <v>71</v>
      </c>
      <c r="D117" s="308" t="s">
        <v>940</v>
      </c>
      <c r="E117" s="335" t="s">
        <v>953</v>
      </c>
      <c r="F117" s="308">
        <v>522245</v>
      </c>
      <c r="G117" s="308">
        <v>9</v>
      </c>
      <c r="H117" s="142" t="s">
        <v>954</v>
      </c>
      <c r="I117" s="24"/>
      <c r="J117" s="24"/>
      <c r="K117" s="24"/>
    </row>
    <row r="118" ht="38.45" customHeight="1" spans="1:12">
      <c r="A118" s="308">
        <v>117</v>
      </c>
      <c r="B118" s="336" t="s">
        <v>146</v>
      </c>
      <c r="C118" s="308"/>
      <c r="D118" s="308" t="s">
        <v>940</v>
      </c>
      <c r="E118" s="335" t="s">
        <v>955</v>
      </c>
      <c r="F118" s="308">
        <v>522243</v>
      </c>
      <c r="G118" s="308" t="s">
        <v>956</v>
      </c>
      <c r="H118" s="142" t="s">
        <v>957</v>
      </c>
      <c r="I118" s="24"/>
      <c r="J118" s="24" t="s">
        <v>958</v>
      </c>
      <c r="K118" s="24"/>
      <c r="L118" s="338" t="s">
        <v>959</v>
      </c>
    </row>
    <row r="119" ht="38.45" customHeight="1" spans="1:12">
      <c r="A119" s="308">
        <v>118</v>
      </c>
      <c r="B119" s="336" t="s">
        <v>146</v>
      </c>
      <c r="C119" s="308"/>
      <c r="D119" s="308" t="s">
        <v>940</v>
      </c>
      <c r="E119" s="142" t="s">
        <v>960</v>
      </c>
      <c r="F119" s="308" t="s">
        <v>961</v>
      </c>
      <c r="G119" s="308" t="s">
        <v>962</v>
      </c>
      <c r="H119" s="142" t="s">
        <v>963</v>
      </c>
      <c r="I119" s="24"/>
      <c r="J119" s="24" t="s">
        <v>958</v>
      </c>
      <c r="K119" s="24"/>
      <c r="L119" s="338" t="s">
        <v>959</v>
      </c>
    </row>
    <row r="120" ht="38.45" customHeight="1" spans="1:12">
      <c r="A120" s="308">
        <v>119</v>
      </c>
      <c r="B120" s="336" t="s">
        <v>146</v>
      </c>
      <c r="C120" s="308"/>
      <c r="D120" s="308" t="s">
        <v>940</v>
      </c>
      <c r="E120" s="142" t="s">
        <v>964</v>
      </c>
      <c r="F120" s="308" t="s">
        <v>961</v>
      </c>
      <c r="G120" s="308" t="s">
        <v>965</v>
      </c>
      <c r="H120" s="142" t="s">
        <v>966</v>
      </c>
      <c r="I120" s="24"/>
      <c r="J120" s="24" t="s">
        <v>958</v>
      </c>
      <c r="K120" s="24"/>
      <c r="L120" s="338" t="s">
        <v>959</v>
      </c>
    </row>
    <row r="121" ht="34.15" customHeight="1" spans="1:13">
      <c r="A121" s="308">
        <v>120</v>
      </c>
      <c r="B121" s="314"/>
      <c r="C121" s="314"/>
      <c r="D121" s="314"/>
      <c r="E121" s="315" t="s">
        <v>946</v>
      </c>
      <c r="F121" s="314">
        <v>522241</v>
      </c>
      <c r="G121" s="314">
        <v>15</v>
      </c>
      <c r="H121" s="315" t="s">
        <v>967</v>
      </c>
      <c r="I121" s="128"/>
      <c r="J121" s="128" t="s">
        <v>958</v>
      </c>
      <c r="K121" s="24"/>
      <c r="L121" s="259" t="s">
        <v>968</v>
      </c>
      <c r="M121" s="324" t="s">
        <v>698</v>
      </c>
    </row>
    <row r="122" ht="34.15" customHeight="1" spans="1:13">
      <c r="A122" s="308">
        <v>121</v>
      </c>
      <c r="B122" s="314"/>
      <c r="C122" s="314"/>
      <c r="D122" s="314"/>
      <c r="E122" s="315" t="s">
        <v>946</v>
      </c>
      <c r="F122" s="314">
        <v>522241</v>
      </c>
      <c r="G122" s="314">
        <v>16</v>
      </c>
      <c r="H122" s="315" t="s">
        <v>969</v>
      </c>
      <c r="I122" s="128"/>
      <c r="J122" s="128" t="s">
        <v>958</v>
      </c>
      <c r="K122" s="24"/>
      <c r="L122" s="259" t="s">
        <v>968</v>
      </c>
      <c r="M122" s="324" t="s">
        <v>698</v>
      </c>
    </row>
    <row r="123" ht="34.15" customHeight="1" spans="1:13">
      <c r="A123" s="308">
        <v>122</v>
      </c>
      <c r="B123" s="314"/>
      <c r="C123" s="314"/>
      <c r="D123" s="314"/>
      <c r="E123" s="315" t="s">
        <v>946</v>
      </c>
      <c r="F123" s="314">
        <v>522241</v>
      </c>
      <c r="G123" s="314">
        <v>0</v>
      </c>
      <c r="H123" s="315" t="s">
        <v>970</v>
      </c>
      <c r="I123" s="128"/>
      <c r="J123" s="128" t="s">
        <v>958</v>
      </c>
      <c r="K123" s="24"/>
      <c r="L123" s="259" t="s">
        <v>968</v>
      </c>
      <c r="M123" s="324" t="s">
        <v>698</v>
      </c>
    </row>
    <row r="124" ht="34.15" customHeight="1" spans="1:13">
      <c r="A124" s="308">
        <v>123</v>
      </c>
      <c r="B124" s="314"/>
      <c r="C124" s="314"/>
      <c r="D124" s="314"/>
      <c r="E124" s="315" t="s">
        <v>948</v>
      </c>
      <c r="F124" s="314">
        <v>522242</v>
      </c>
      <c r="G124" s="314">
        <v>7</v>
      </c>
      <c r="H124" s="315" t="s">
        <v>971</v>
      </c>
      <c r="I124" s="128"/>
      <c r="J124" s="128" t="s">
        <v>958</v>
      </c>
      <c r="K124" s="24"/>
      <c r="L124" s="259" t="s">
        <v>968</v>
      </c>
      <c r="M124" s="324" t="s">
        <v>698</v>
      </c>
    </row>
    <row r="125" ht="34.15" customHeight="1" spans="1:12">
      <c r="A125" s="308">
        <v>124</v>
      </c>
      <c r="B125" s="311" t="s">
        <v>157</v>
      </c>
      <c r="C125" s="308" t="s">
        <v>939</v>
      </c>
      <c r="D125" s="308" t="s">
        <v>940</v>
      </c>
      <c r="E125" s="142" t="s">
        <v>972</v>
      </c>
      <c r="F125" s="308">
        <v>522244</v>
      </c>
      <c r="G125" s="308">
        <v>5</v>
      </c>
      <c r="H125" s="142" t="s">
        <v>973</v>
      </c>
      <c r="I125" s="24"/>
      <c r="J125" s="24"/>
      <c r="K125" s="24"/>
      <c r="L125" s="259" t="s">
        <v>968</v>
      </c>
    </row>
    <row r="126" ht="34.15" customHeight="1" spans="1:13">
      <c r="A126" s="308">
        <v>125</v>
      </c>
      <c r="B126" s="308"/>
      <c r="C126" s="308"/>
      <c r="D126" s="308"/>
      <c r="E126" s="315" t="s">
        <v>974</v>
      </c>
      <c r="F126" s="314">
        <v>522239</v>
      </c>
      <c r="G126" s="314">
        <v>12</v>
      </c>
      <c r="H126" s="315" t="s">
        <v>975</v>
      </c>
      <c r="I126" s="128"/>
      <c r="J126" s="128" t="s">
        <v>958</v>
      </c>
      <c r="K126" s="24"/>
      <c r="L126" s="259" t="s">
        <v>968</v>
      </c>
      <c r="M126" s="324" t="s">
        <v>698</v>
      </c>
    </row>
    <row r="127" ht="34.15" customHeight="1" spans="1:13">
      <c r="A127" s="308">
        <v>126</v>
      </c>
      <c r="B127" s="308"/>
      <c r="C127" s="308"/>
      <c r="D127" s="308"/>
      <c r="E127" s="315" t="s">
        <v>976</v>
      </c>
      <c r="F127" s="314">
        <v>522238</v>
      </c>
      <c r="G127" s="314">
        <v>13</v>
      </c>
      <c r="H127" s="315" t="s">
        <v>977</v>
      </c>
      <c r="I127" s="128"/>
      <c r="J127" s="128" t="s">
        <v>958</v>
      </c>
      <c r="K127" s="24"/>
      <c r="L127" s="259" t="s">
        <v>968</v>
      </c>
      <c r="M127" s="324" t="s">
        <v>698</v>
      </c>
    </row>
    <row r="128" ht="34.15" customHeight="1" spans="1:13">
      <c r="A128" s="308">
        <v>127</v>
      </c>
      <c r="B128" s="308"/>
      <c r="C128" s="308"/>
      <c r="D128" s="308"/>
      <c r="E128" s="315" t="s">
        <v>978</v>
      </c>
      <c r="F128" s="314">
        <v>522237</v>
      </c>
      <c r="G128" s="314">
        <v>23</v>
      </c>
      <c r="H128" s="315" t="s">
        <v>979</v>
      </c>
      <c r="I128" s="128"/>
      <c r="J128" s="128" t="s">
        <v>958</v>
      </c>
      <c r="K128" s="24"/>
      <c r="L128" s="259" t="s">
        <v>968</v>
      </c>
      <c r="M128" s="324" t="s">
        <v>698</v>
      </c>
    </row>
    <row r="129" ht="16.5" spans="1:12">
      <c r="A129" s="308">
        <v>128</v>
      </c>
      <c r="B129" s="313" t="s">
        <v>148</v>
      </c>
      <c r="C129" s="312" t="s">
        <v>681</v>
      </c>
      <c r="D129" s="312"/>
      <c r="E129" s="162" t="s">
        <v>980</v>
      </c>
      <c r="F129" s="332">
        <v>521313</v>
      </c>
      <c r="G129" s="332">
        <v>7</v>
      </c>
      <c r="H129" s="162" t="s">
        <v>981</v>
      </c>
      <c r="I129" s="246"/>
      <c r="J129" s="246"/>
      <c r="K129" s="246"/>
      <c r="L129" s="339" t="s">
        <v>982</v>
      </c>
    </row>
    <row r="130" ht="16.5" spans="1:12">
      <c r="A130" s="308">
        <v>129</v>
      </c>
      <c r="B130" s="313" t="s">
        <v>148</v>
      </c>
      <c r="C130" s="312" t="s">
        <v>681</v>
      </c>
      <c r="D130" s="312"/>
      <c r="E130" s="162" t="s">
        <v>983</v>
      </c>
      <c r="F130" s="332">
        <v>521316</v>
      </c>
      <c r="G130" s="332">
        <v>12</v>
      </c>
      <c r="H130" s="162" t="s">
        <v>984</v>
      </c>
      <c r="I130" s="246"/>
      <c r="J130" s="246"/>
      <c r="K130" s="246"/>
      <c r="L130" s="339" t="s">
        <v>982</v>
      </c>
    </row>
    <row r="131" ht="16.5" spans="1:12">
      <c r="A131" s="308">
        <v>130</v>
      </c>
      <c r="B131" s="311" t="s">
        <v>157</v>
      </c>
      <c r="C131" s="312" t="s">
        <v>681</v>
      </c>
      <c r="D131" s="312"/>
      <c r="E131" s="162" t="s">
        <v>985</v>
      </c>
      <c r="F131" s="332">
        <v>521314</v>
      </c>
      <c r="G131" s="332">
        <v>3</v>
      </c>
      <c r="H131" s="162" t="s">
        <v>986</v>
      </c>
      <c r="I131" s="246"/>
      <c r="J131" s="246"/>
      <c r="K131" s="246"/>
      <c r="L131" s="339" t="s">
        <v>982</v>
      </c>
    </row>
    <row r="132" ht="16.5" spans="1:12">
      <c r="A132" s="308">
        <v>131</v>
      </c>
      <c r="B132" s="311" t="s">
        <v>157</v>
      </c>
      <c r="C132" s="312" t="s">
        <v>681</v>
      </c>
      <c r="D132" s="312"/>
      <c r="E132" s="162" t="s">
        <v>987</v>
      </c>
      <c r="F132" s="332">
        <v>521315</v>
      </c>
      <c r="G132" s="332">
        <v>5</v>
      </c>
      <c r="H132" s="162" t="s">
        <v>988</v>
      </c>
      <c r="I132" s="246"/>
      <c r="J132" s="246"/>
      <c r="K132" s="246"/>
      <c r="L132" s="339" t="s">
        <v>982</v>
      </c>
    </row>
    <row r="133" ht="16.5" spans="1:12">
      <c r="A133" s="308">
        <v>131</v>
      </c>
      <c r="B133" s="311" t="s">
        <v>157</v>
      </c>
      <c r="C133" s="312" t="s">
        <v>681</v>
      </c>
      <c r="D133" s="312"/>
      <c r="E133" s="162" t="s">
        <v>989</v>
      </c>
      <c r="F133" s="332">
        <v>521317</v>
      </c>
      <c r="G133" s="332">
        <v>3</v>
      </c>
      <c r="H133" s="162" t="s">
        <v>990</v>
      </c>
      <c r="I133" s="246"/>
      <c r="J133" s="246"/>
      <c r="K133" s="246"/>
      <c r="L133" s="339" t="s">
        <v>982</v>
      </c>
    </row>
    <row r="134" ht="16.5" spans="1:12">
      <c r="A134" s="308">
        <v>131</v>
      </c>
      <c r="B134" s="311" t="s">
        <v>157</v>
      </c>
      <c r="C134" s="312" t="s">
        <v>681</v>
      </c>
      <c r="D134" s="312"/>
      <c r="E134" s="162" t="s">
        <v>991</v>
      </c>
      <c r="F134" s="332">
        <v>521318</v>
      </c>
      <c r="G134" s="332">
        <v>5</v>
      </c>
      <c r="H134" s="162" t="s">
        <v>992</v>
      </c>
      <c r="I134" s="246"/>
      <c r="J134" s="246"/>
      <c r="K134" s="246"/>
      <c r="L134" s="339" t="s">
        <v>982</v>
      </c>
    </row>
    <row r="135" spans="1:12">
      <c r="A135" s="308">
        <v>131</v>
      </c>
      <c r="B135" s="308"/>
      <c r="C135" s="308"/>
      <c r="D135" s="308"/>
      <c r="E135" s="142"/>
      <c r="F135" s="308"/>
      <c r="G135" s="308"/>
      <c r="H135" s="142"/>
      <c r="I135" s="24"/>
      <c r="J135" s="24"/>
      <c r="K135" s="24"/>
      <c r="L135" s="259"/>
    </row>
    <row r="136" spans="1:12">
      <c r="A136" s="308">
        <v>131</v>
      </c>
      <c r="B136" s="308"/>
      <c r="C136" s="308"/>
      <c r="D136" s="308"/>
      <c r="E136" s="142"/>
      <c r="F136" s="308"/>
      <c r="G136" s="308"/>
      <c r="H136" s="142"/>
      <c r="I136" s="24"/>
      <c r="J136" s="24"/>
      <c r="K136" s="24"/>
      <c r="L136" s="259"/>
    </row>
  </sheetData>
  <autoFilter ref="A1:L136">
    <extLst/>
  </autoFilter>
  <sortState ref="A1:J122">
    <sortCondition ref="F1"/>
  </sortState>
  <pageMargins left="0.7" right="0.7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115" zoomScaleNormal="115" workbookViewId="0">
      <selection activeCell="A1" sqref="A1"/>
    </sheetView>
  </sheetViews>
  <sheetFormatPr defaultColWidth="9" defaultRowHeight="13.5"/>
  <cols>
    <col min="1" max="1" width="5.25" customWidth="1"/>
    <col min="2" max="3" width="9" customWidth="1"/>
    <col min="4" max="4" width="46.75" style="40" customWidth="1"/>
    <col min="5" max="6" width="9.5" customWidth="1"/>
    <col min="7" max="7" width="61.5" customWidth="1"/>
    <col min="8" max="8" width="28.875" customWidth="1"/>
    <col min="9" max="9" width="19" customWidth="1"/>
  </cols>
  <sheetData>
    <row r="1" spans="1:7">
      <c r="A1" s="24"/>
      <c r="B1" s="24"/>
      <c r="C1" s="24"/>
      <c r="D1" s="290"/>
      <c r="E1" s="24"/>
      <c r="F1" s="24"/>
      <c r="G1" s="24"/>
    </row>
    <row r="2" ht="20.1" customHeight="1" spans="1:7">
      <c r="A2" s="231" t="s">
        <v>125</v>
      </c>
      <c r="B2" s="231" t="s">
        <v>140</v>
      </c>
      <c r="C2" s="231" t="s">
        <v>141</v>
      </c>
      <c r="D2" s="240" t="s">
        <v>127</v>
      </c>
      <c r="E2" s="231" t="s">
        <v>142</v>
      </c>
      <c r="F2" s="231" t="s">
        <v>143</v>
      </c>
      <c r="G2" s="231" t="s">
        <v>283</v>
      </c>
    </row>
    <row r="3" ht="26.45" customHeight="1" spans="1:7">
      <c r="A3" s="231">
        <v>1</v>
      </c>
      <c r="B3" s="291" t="s">
        <v>146</v>
      </c>
      <c r="C3" s="231"/>
      <c r="D3" s="142" t="s">
        <v>993</v>
      </c>
      <c r="E3" s="231">
        <v>521700</v>
      </c>
      <c r="F3" s="231">
        <v>16</v>
      </c>
      <c r="G3" s="24" t="str">
        <f>"MCU"&amp;":"&amp;D3&amp;"("&amp;E3&amp;","&amp;F3&amp;")"</f>
        <v>MCU:母线过压保护(521700,16)</v>
      </c>
    </row>
    <row r="4" spans="1:7">
      <c r="A4" s="231">
        <v>2</v>
      </c>
      <c r="B4" s="292" t="s">
        <v>157</v>
      </c>
      <c r="C4" s="231" t="s">
        <v>449</v>
      </c>
      <c r="D4" s="142" t="s">
        <v>994</v>
      </c>
      <c r="E4" s="231">
        <v>521700</v>
      </c>
      <c r="F4" s="231">
        <v>0</v>
      </c>
      <c r="G4" s="24" t="str">
        <f t="shared" ref="G4:G57" si="0">"MCU"&amp;":"&amp;D4&amp;"("&amp;E4&amp;","&amp;F4&amp;")"</f>
        <v>MCU:母线过压停机，高于最高工作电压（软件保护）(521700,0)</v>
      </c>
    </row>
    <row r="5" ht="27" customHeight="1" spans="1:7">
      <c r="A5" s="231">
        <v>3</v>
      </c>
      <c r="B5" s="292" t="s">
        <v>157</v>
      </c>
      <c r="C5" s="231" t="s">
        <v>449</v>
      </c>
      <c r="D5" s="142" t="s">
        <v>995</v>
      </c>
      <c r="E5" s="231">
        <v>521700</v>
      </c>
      <c r="F5" s="231">
        <v>22</v>
      </c>
      <c r="G5" s="24" t="str">
        <f t="shared" si="0"/>
        <v>MCU:母线过压停机，高于最高工作电压（硬件保护）(521700,22)</v>
      </c>
    </row>
    <row r="6" ht="20.1" customHeight="1" spans="1:7">
      <c r="A6" s="231">
        <v>4</v>
      </c>
      <c r="B6" s="291" t="s">
        <v>146</v>
      </c>
      <c r="C6" s="231"/>
      <c r="D6" s="142" t="s">
        <v>996</v>
      </c>
      <c r="E6" s="231">
        <v>521700</v>
      </c>
      <c r="F6" s="231">
        <v>18</v>
      </c>
      <c r="G6" s="24" t="str">
        <f t="shared" si="0"/>
        <v>MCU:母线欠压保护(521700,18)</v>
      </c>
    </row>
    <row r="7" ht="20.1" customHeight="1" spans="1:7">
      <c r="A7" s="231">
        <v>5</v>
      </c>
      <c r="B7" s="292" t="s">
        <v>157</v>
      </c>
      <c r="C7" s="231" t="s">
        <v>449</v>
      </c>
      <c r="D7" s="142" t="s">
        <v>997</v>
      </c>
      <c r="E7" s="231">
        <v>521700</v>
      </c>
      <c r="F7" s="231">
        <v>1</v>
      </c>
      <c r="G7" s="24" t="str">
        <f t="shared" si="0"/>
        <v>MCU:母线欠压停机，低于最低工作电压(521700,1)</v>
      </c>
    </row>
    <row r="8" ht="20.1" customHeight="1" spans="1:7">
      <c r="A8" s="231">
        <v>6</v>
      </c>
      <c r="B8" s="292" t="s">
        <v>157</v>
      </c>
      <c r="C8" s="231" t="s">
        <v>449</v>
      </c>
      <c r="D8" s="142" t="s">
        <v>998</v>
      </c>
      <c r="E8" s="231">
        <v>521701</v>
      </c>
      <c r="F8" s="231">
        <v>0</v>
      </c>
      <c r="G8" s="24" t="str">
        <f t="shared" si="0"/>
        <v>MCU:母线电流过流停机，软件保护(521701,0)</v>
      </c>
    </row>
    <row r="9" ht="20.1" customHeight="1" spans="1:7">
      <c r="A9" s="231">
        <v>7</v>
      </c>
      <c r="B9" s="292" t="s">
        <v>157</v>
      </c>
      <c r="C9" s="231" t="s">
        <v>449</v>
      </c>
      <c r="D9" s="142" t="s">
        <v>999</v>
      </c>
      <c r="E9" s="231">
        <v>521701</v>
      </c>
      <c r="F9" s="231">
        <v>22</v>
      </c>
      <c r="G9" s="24" t="str">
        <f t="shared" si="0"/>
        <v>MCU:母线电流过流停机，硬件保护(521701,22)</v>
      </c>
    </row>
    <row r="10" ht="20.1" customHeight="1" spans="1:9">
      <c r="A10" s="231">
        <v>8</v>
      </c>
      <c r="B10" s="292" t="s">
        <v>157</v>
      </c>
      <c r="C10" s="231" t="s">
        <v>460</v>
      </c>
      <c r="D10" s="142" t="s">
        <v>1000</v>
      </c>
      <c r="E10" s="231">
        <v>521702</v>
      </c>
      <c r="F10" s="231">
        <v>16</v>
      </c>
      <c r="G10" s="24" t="s">
        <v>1001</v>
      </c>
      <c r="H10" t="s">
        <v>1002</v>
      </c>
      <c r="I10" t="s">
        <v>1003</v>
      </c>
    </row>
    <row r="11" spans="1:9">
      <c r="A11" s="231">
        <v>9</v>
      </c>
      <c r="B11" s="292" t="s">
        <v>157</v>
      </c>
      <c r="C11" s="231" t="s">
        <v>449</v>
      </c>
      <c r="D11" s="142" t="s">
        <v>1004</v>
      </c>
      <c r="E11" s="231">
        <v>521702</v>
      </c>
      <c r="F11" s="231">
        <v>0</v>
      </c>
      <c r="G11" s="24" t="s">
        <v>1005</v>
      </c>
      <c r="H11" t="s">
        <v>1006</v>
      </c>
      <c r="I11" t="s">
        <v>1003</v>
      </c>
    </row>
    <row r="12" ht="20.1" customHeight="1" spans="1:7">
      <c r="A12" s="231">
        <v>10</v>
      </c>
      <c r="B12" s="291" t="s">
        <v>146</v>
      </c>
      <c r="C12" s="231"/>
      <c r="D12" s="142" t="s">
        <v>1007</v>
      </c>
      <c r="E12" s="231">
        <v>521703</v>
      </c>
      <c r="F12" s="231">
        <v>16</v>
      </c>
      <c r="G12" s="24" t="str">
        <f t="shared" si="0"/>
        <v>MCU:电机绕组过温保护(521703,16)</v>
      </c>
    </row>
    <row r="13" ht="20.1" customHeight="1" spans="1:7">
      <c r="A13" s="231">
        <v>11</v>
      </c>
      <c r="B13" s="292" t="s">
        <v>157</v>
      </c>
      <c r="C13" s="231" t="s">
        <v>449</v>
      </c>
      <c r="D13" s="142" t="s">
        <v>1008</v>
      </c>
      <c r="E13" s="231">
        <v>521703</v>
      </c>
      <c r="F13" s="231">
        <v>0</v>
      </c>
      <c r="G13" s="24" t="str">
        <f t="shared" si="0"/>
        <v>MCU:电机绕组过温停机(521703,0)</v>
      </c>
    </row>
    <row r="14" ht="20.1" customHeight="1" spans="1:7">
      <c r="A14" s="231">
        <v>12</v>
      </c>
      <c r="B14" s="291" t="s">
        <v>146</v>
      </c>
      <c r="C14" s="231"/>
      <c r="D14" s="142" t="s">
        <v>1009</v>
      </c>
      <c r="E14" s="231">
        <v>521704</v>
      </c>
      <c r="F14" s="231">
        <v>16</v>
      </c>
      <c r="G14" s="24" t="str">
        <f t="shared" si="0"/>
        <v>MCU:功率模块温度过温保护(521704,16)</v>
      </c>
    </row>
    <row r="15" ht="20.1" customHeight="1" spans="1:7">
      <c r="A15" s="231">
        <v>13</v>
      </c>
      <c r="B15" s="292" t="s">
        <v>157</v>
      </c>
      <c r="C15" s="231" t="s">
        <v>449</v>
      </c>
      <c r="D15" s="142" t="s">
        <v>1010</v>
      </c>
      <c r="E15" s="231">
        <v>521704</v>
      </c>
      <c r="F15" s="231">
        <v>0</v>
      </c>
      <c r="G15" s="24" t="str">
        <f t="shared" si="0"/>
        <v>MCU:功率模块温度过温停机(521704,0)</v>
      </c>
    </row>
    <row r="16" ht="20.1" customHeight="1" spans="1:7">
      <c r="A16" s="231">
        <v>14</v>
      </c>
      <c r="B16" s="293" t="s">
        <v>148</v>
      </c>
      <c r="C16" s="231" t="s">
        <v>449</v>
      </c>
      <c r="D16" s="241" t="s">
        <v>1011</v>
      </c>
      <c r="E16" s="231">
        <v>521705</v>
      </c>
      <c r="F16" s="231">
        <v>22</v>
      </c>
      <c r="G16" s="24" t="str">
        <f t="shared" si="0"/>
        <v>MCU:功率模块故障(521705,22)</v>
      </c>
    </row>
    <row r="17" ht="20.1" customHeight="1" spans="1:7">
      <c r="A17" s="231">
        <v>15</v>
      </c>
      <c r="B17" s="291" t="s">
        <v>146</v>
      </c>
      <c r="C17" s="231"/>
      <c r="D17" s="241" t="s">
        <v>1012</v>
      </c>
      <c r="E17" s="231">
        <v>521706</v>
      </c>
      <c r="F17" s="231">
        <v>16</v>
      </c>
      <c r="G17" s="24" t="str">
        <f t="shared" si="0"/>
        <v>MCU:相电流过载，软件保护(521706,16)</v>
      </c>
    </row>
    <row r="18" ht="20.1" customHeight="1" spans="1:7">
      <c r="A18" s="231">
        <v>16</v>
      </c>
      <c r="B18" s="231"/>
      <c r="C18" s="231"/>
      <c r="D18" s="241" t="s">
        <v>1013</v>
      </c>
      <c r="E18" s="231">
        <v>521706</v>
      </c>
      <c r="F18" s="231">
        <v>0</v>
      </c>
      <c r="G18" s="24" t="str">
        <f t="shared" si="0"/>
        <v>MCU:相电流过流，软件保护(521706,0)</v>
      </c>
    </row>
    <row r="19" ht="20.1" customHeight="1" spans="1:7">
      <c r="A19" s="231">
        <v>17</v>
      </c>
      <c r="B19" s="231"/>
      <c r="C19" s="231"/>
      <c r="D19" s="241" t="s">
        <v>1014</v>
      </c>
      <c r="E19" s="231">
        <v>521706</v>
      </c>
      <c r="F19" s="231">
        <v>22</v>
      </c>
      <c r="G19" s="24" t="str">
        <f t="shared" si="0"/>
        <v>MCU:相电流过流，硬件保护，最严重等级(521706,22)</v>
      </c>
    </row>
    <row r="20" ht="20.1" customHeight="1" spans="1:7">
      <c r="A20" s="231">
        <v>18</v>
      </c>
      <c r="B20" s="292" t="s">
        <v>157</v>
      </c>
      <c r="C20" s="231" t="s">
        <v>449</v>
      </c>
      <c r="D20" s="241" t="s">
        <v>1015</v>
      </c>
      <c r="E20" s="231">
        <v>168</v>
      </c>
      <c r="F20" s="231">
        <v>0</v>
      </c>
      <c r="G20" s="24" t="str">
        <f t="shared" si="0"/>
        <v>MCU:24V供电电源过压，高于最高工作电压(168,0)</v>
      </c>
    </row>
    <row r="21" ht="20.1" customHeight="1" spans="1:7">
      <c r="A21" s="231">
        <v>19</v>
      </c>
      <c r="B21" s="292" t="s">
        <v>157</v>
      </c>
      <c r="C21" s="231" t="s">
        <v>449</v>
      </c>
      <c r="D21" s="241" t="s">
        <v>1016</v>
      </c>
      <c r="E21" s="231">
        <v>168</v>
      </c>
      <c r="F21" s="231">
        <v>1</v>
      </c>
      <c r="G21" s="24" t="str">
        <f t="shared" si="0"/>
        <v>MCU:24V供电电源欠压，低于最低工作电压(168,1)</v>
      </c>
    </row>
    <row r="22" ht="20.1" customHeight="1" spans="1:7">
      <c r="A22" s="231">
        <v>20</v>
      </c>
      <c r="B22" s="292" t="s">
        <v>157</v>
      </c>
      <c r="C22" s="231" t="s">
        <v>449</v>
      </c>
      <c r="D22" s="241" t="s">
        <v>1017</v>
      </c>
      <c r="E22" s="231">
        <v>521708</v>
      </c>
      <c r="F22" s="231">
        <v>2</v>
      </c>
      <c r="G22" s="24" t="str">
        <f t="shared" si="0"/>
        <v>MCU:U相电流传感器零偏过大(521708,2)</v>
      </c>
    </row>
    <row r="23" ht="20.1" customHeight="1" spans="1:7">
      <c r="A23" s="231">
        <v>21</v>
      </c>
      <c r="B23" s="293" t="s">
        <v>148</v>
      </c>
      <c r="C23" s="231" t="s">
        <v>449</v>
      </c>
      <c r="D23" s="241" t="s">
        <v>1018</v>
      </c>
      <c r="E23" s="231">
        <v>521708</v>
      </c>
      <c r="F23" s="231">
        <v>4</v>
      </c>
      <c r="G23" s="24" t="str">
        <f t="shared" si="0"/>
        <v>MCU:U相电流传感器与地短路、断线(521708,4)</v>
      </c>
    </row>
    <row r="24" ht="20.1" customHeight="1" spans="1:7">
      <c r="A24" s="231">
        <v>22</v>
      </c>
      <c r="B24" s="293" t="s">
        <v>148</v>
      </c>
      <c r="C24" s="231" t="s">
        <v>449</v>
      </c>
      <c r="D24" s="241" t="s">
        <v>1019</v>
      </c>
      <c r="E24" s="231">
        <v>521708</v>
      </c>
      <c r="F24" s="231">
        <v>3</v>
      </c>
      <c r="G24" s="24" t="str">
        <f t="shared" si="0"/>
        <v>MCU:U相电流传感器与电源短路(521708,3)</v>
      </c>
    </row>
    <row r="25" ht="20.1" customHeight="1" spans="1:7">
      <c r="A25" s="231">
        <v>23</v>
      </c>
      <c r="B25" s="292" t="s">
        <v>157</v>
      </c>
      <c r="C25" s="231" t="s">
        <v>449</v>
      </c>
      <c r="D25" s="241" t="s">
        <v>1020</v>
      </c>
      <c r="E25" s="231">
        <v>521710</v>
      </c>
      <c r="F25" s="231">
        <v>2</v>
      </c>
      <c r="G25" s="24" t="str">
        <f t="shared" si="0"/>
        <v>MCU:W相电流传感器零偏过大(521710,2)</v>
      </c>
    </row>
    <row r="26" ht="20.1" customHeight="1" spans="1:7">
      <c r="A26" s="231">
        <v>24</v>
      </c>
      <c r="B26" s="293" t="s">
        <v>148</v>
      </c>
      <c r="C26" s="231" t="s">
        <v>449</v>
      </c>
      <c r="D26" s="241" t="s">
        <v>1021</v>
      </c>
      <c r="E26" s="231">
        <v>521710</v>
      </c>
      <c r="F26" s="231">
        <v>4</v>
      </c>
      <c r="G26" s="24" t="str">
        <f t="shared" si="0"/>
        <v>MCU:W相电流传感器与地短路、断线(521710,4)</v>
      </c>
    </row>
    <row r="27" ht="20.1" customHeight="1" spans="1:7">
      <c r="A27" s="231">
        <v>25</v>
      </c>
      <c r="B27" s="293" t="s">
        <v>148</v>
      </c>
      <c r="C27" s="231" t="s">
        <v>449</v>
      </c>
      <c r="D27" s="241" t="s">
        <v>1022</v>
      </c>
      <c r="E27" s="231">
        <v>521710</v>
      </c>
      <c r="F27" s="231">
        <v>3</v>
      </c>
      <c r="G27" s="24" t="str">
        <f t="shared" si="0"/>
        <v>MCU:W相电流传感器与电源短路(521710,3)</v>
      </c>
    </row>
    <row r="28" ht="20.1" customHeight="1" spans="1:7">
      <c r="A28" s="231">
        <v>26</v>
      </c>
      <c r="B28" s="292" t="s">
        <v>157</v>
      </c>
      <c r="C28" s="231" t="s">
        <v>460</v>
      </c>
      <c r="D28" s="241" t="s">
        <v>1023</v>
      </c>
      <c r="E28" s="231">
        <v>521713</v>
      </c>
      <c r="F28" s="231">
        <v>2</v>
      </c>
      <c r="G28" s="24" t="str">
        <f t="shared" si="0"/>
        <v>MCU:电机温度传感器断线(521713,2)</v>
      </c>
    </row>
    <row r="29" ht="20.1" customHeight="1" spans="1:8">
      <c r="A29" s="231">
        <v>27</v>
      </c>
      <c r="B29" s="292" t="s">
        <v>157</v>
      </c>
      <c r="C29" s="231" t="s">
        <v>460</v>
      </c>
      <c r="D29" s="294" t="s">
        <v>1024</v>
      </c>
      <c r="E29" s="295">
        <v>521713</v>
      </c>
      <c r="F29" s="295">
        <v>4</v>
      </c>
      <c r="G29" s="246" t="str">
        <f t="shared" si="0"/>
        <v>MCU:电机温度传感器对地短路 (521713,4)</v>
      </c>
      <c r="H29" t="s">
        <v>465</v>
      </c>
    </row>
    <row r="30" ht="20.1" customHeight="1" spans="1:8">
      <c r="A30" s="231">
        <v>28</v>
      </c>
      <c r="B30" s="292" t="s">
        <v>157</v>
      </c>
      <c r="C30" s="231" t="s">
        <v>460</v>
      </c>
      <c r="D30" s="294" t="s">
        <v>1025</v>
      </c>
      <c r="E30" s="295">
        <v>521714</v>
      </c>
      <c r="F30" s="295">
        <v>2</v>
      </c>
      <c r="G30" s="246" t="str">
        <f t="shared" si="0"/>
        <v>MCU:控制器温度传感器断线 (521714,2)</v>
      </c>
      <c r="H30" t="s">
        <v>465</v>
      </c>
    </row>
    <row r="31" ht="20.1" customHeight="1" spans="1:8">
      <c r="A31" s="231">
        <v>29</v>
      </c>
      <c r="B31" s="292" t="s">
        <v>157</v>
      </c>
      <c r="C31" s="231" t="s">
        <v>460</v>
      </c>
      <c r="D31" s="294" t="s">
        <v>1026</v>
      </c>
      <c r="E31" s="295">
        <v>521714</v>
      </c>
      <c r="F31" s="295">
        <v>4</v>
      </c>
      <c r="G31" s="246" t="str">
        <f t="shared" si="0"/>
        <v>MCU:控制器温度传感器对地短路 (521714,4)</v>
      </c>
      <c r="H31" t="s">
        <v>465</v>
      </c>
    </row>
    <row r="32" ht="19.9" customHeight="1" spans="1:7">
      <c r="A32" s="231">
        <v>30</v>
      </c>
      <c r="B32" s="291" t="s">
        <v>146</v>
      </c>
      <c r="C32" s="231"/>
      <c r="D32" s="241" t="s">
        <v>1027</v>
      </c>
      <c r="E32" s="231">
        <v>630</v>
      </c>
      <c r="F32" s="231">
        <v>12</v>
      </c>
      <c r="G32" s="24" t="str">
        <f t="shared" si="0"/>
        <v>MCU:控制器软件错误(630,12)</v>
      </c>
    </row>
    <row r="33" ht="20.1" customHeight="1" spans="1:7">
      <c r="A33" s="231">
        <v>31</v>
      </c>
      <c r="B33" s="292" t="s">
        <v>157</v>
      </c>
      <c r="C33" s="231" t="s">
        <v>449</v>
      </c>
      <c r="D33" s="241" t="s">
        <v>1028</v>
      </c>
      <c r="E33" s="231">
        <v>639</v>
      </c>
      <c r="F33" s="231">
        <v>9</v>
      </c>
      <c r="G33" s="24" t="str">
        <f t="shared" si="0"/>
        <v>MCU:CAN通讯数据不连续或收不到，丢帧(639,9)</v>
      </c>
    </row>
    <row r="34" ht="20.1" customHeight="1" spans="1:7">
      <c r="A34" s="231">
        <v>32</v>
      </c>
      <c r="B34" s="291" t="s">
        <v>146</v>
      </c>
      <c r="C34" s="231"/>
      <c r="D34" s="241" t="s">
        <v>1029</v>
      </c>
      <c r="E34" s="231">
        <v>521717</v>
      </c>
      <c r="F34" s="231">
        <v>23</v>
      </c>
      <c r="G34" s="24" t="str">
        <f t="shared" si="0"/>
        <v>MCU:电机堵转(521717,23)</v>
      </c>
    </row>
    <row r="35" ht="20.1" customHeight="1" spans="1:8">
      <c r="A35" s="231">
        <v>33</v>
      </c>
      <c r="B35" s="231"/>
      <c r="C35" s="231"/>
      <c r="D35" s="296" t="s">
        <v>1030</v>
      </c>
      <c r="E35" s="297">
        <v>521718</v>
      </c>
      <c r="F35" s="297">
        <v>11</v>
      </c>
      <c r="G35" s="128" t="str">
        <f t="shared" si="0"/>
        <v>MCU:10s之内同一故障出现3次(521718,11)</v>
      </c>
      <c r="H35" t="s">
        <v>314</v>
      </c>
    </row>
    <row r="36" ht="20.1" customHeight="1" spans="1:7">
      <c r="A36" s="231">
        <v>34</v>
      </c>
      <c r="B36" s="231"/>
      <c r="C36" s="231"/>
      <c r="D36" s="241" t="s">
        <v>1031</v>
      </c>
      <c r="E36" s="231">
        <v>521719</v>
      </c>
      <c r="F36" s="231">
        <v>0</v>
      </c>
      <c r="G36" s="24" t="str">
        <f t="shared" si="0"/>
        <v>MCU:UVW三相绝缘故障(521719,0)</v>
      </c>
    </row>
    <row r="37" ht="20.1" customHeight="1" spans="1:7">
      <c r="A37" s="231">
        <v>35</v>
      </c>
      <c r="B37" s="231"/>
      <c r="C37" s="231"/>
      <c r="D37" s="241" t="s">
        <v>1032</v>
      </c>
      <c r="E37" s="231">
        <v>521720</v>
      </c>
      <c r="F37" s="231">
        <v>0</v>
      </c>
      <c r="G37" s="24" t="str">
        <f t="shared" si="0"/>
        <v>MCU:电压传感器信号超过最大范围(521720,0)</v>
      </c>
    </row>
    <row r="38" ht="20.1" customHeight="1" spans="1:7">
      <c r="A38" s="231">
        <v>36</v>
      </c>
      <c r="B38" s="292" t="s">
        <v>157</v>
      </c>
      <c r="C38" s="231" t="s">
        <v>449</v>
      </c>
      <c r="D38" s="241" t="s">
        <v>1033</v>
      </c>
      <c r="E38" s="231">
        <v>521721</v>
      </c>
      <c r="F38" s="231">
        <v>0</v>
      </c>
      <c r="G38" s="24" t="str">
        <f t="shared" si="0"/>
        <v>MCU:IGBT温度传感器信号超过最大范围(521721,0)</v>
      </c>
    </row>
    <row r="39" ht="20.1" customHeight="1" spans="1:7">
      <c r="A39" s="231">
        <v>37</v>
      </c>
      <c r="B39" s="292" t="s">
        <v>157</v>
      </c>
      <c r="C39" s="231" t="s">
        <v>449</v>
      </c>
      <c r="D39" s="241" t="s">
        <v>1034</v>
      </c>
      <c r="E39" s="231">
        <v>521721</v>
      </c>
      <c r="F39" s="231">
        <v>4</v>
      </c>
      <c r="G39" s="24" t="str">
        <f t="shared" si="0"/>
        <v>MCU:IGBT温度传感器信号超过最小范围(521721,4)</v>
      </c>
    </row>
    <row r="40" ht="20.1" customHeight="1" spans="1:7">
      <c r="A40" s="231">
        <v>38</v>
      </c>
      <c r="B40" s="292" t="s">
        <v>157</v>
      </c>
      <c r="C40" s="231" t="s">
        <v>449</v>
      </c>
      <c r="D40" s="241" t="s">
        <v>1035</v>
      </c>
      <c r="E40" s="231">
        <v>521722</v>
      </c>
      <c r="F40" s="231">
        <v>0</v>
      </c>
      <c r="G40" s="24" t="str">
        <f t="shared" si="0"/>
        <v>MCU:电机温度传感器信号超过最大范围(521722,0)</v>
      </c>
    </row>
    <row r="41" ht="20.1" customHeight="1" spans="1:7">
      <c r="A41" s="231">
        <v>39</v>
      </c>
      <c r="B41" s="292" t="s">
        <v>157</v>
      </c>
      <c r="C41" s="231" t="s">
        <v>449</v>
      </c>
      <c r="D41" s="241" t="s">
        <v>1036</v>
      </c>
      <c r="E41" s="231">
        <v>521722</v>
      </c>
      <c r="F41" s="231">
        <v>4</v>
      </c>
      <c r="G41" s="24" t="str">
        <f t="shared" si="0"/>
        <v>MCU:电机温度传感器信号超过最小范围(521722,4)</v>
      </c>
    </row>
    <row r="42" ht="20.1" customHeight="1" spans="1:7">
      <c r="A42" s="231">
        <v>40</v>
      </c>
      <c r="B42" s="293" t="s">
        <v>148</v>
      </c>
      <c r="C42" s="231" t="s">
        <v>449</v>
      </c>
      <c r="D42" s="241" t="s">
        <v>1037</v>
      </c>
      <c r="E42" s="231">
        <v>521723</v>
      </c>
      <c r="F42" s="231">
        <v>2</v>
      </c>
      <c r="G42" s="24" t="str">
        <f t="shared" si="0"/>
        <v>MCU:转速传感器信号错误(521723,2)</v>
      </c>
    </row>
    <row r="43" ht="20.1" customHeight="1" spans="1:7">
      <c r="A43" s="231">
        <v>41</v>
      </c>
      <c r="B43" s="292" t="s">
        <v>157</v>
      </c>
      <c r="C43" s="231" t="s">
        <v>449</v>
      </c>
      <c r="D43" s="241" t="s">
        <v>1038</v>
      </c>
      <c r="E43" s="231">
        <v>521724</v>
      </c>
      <c r="F43" s="231">
        <v>0</v>
      </c>
      <c r="G43" s="24" t="str">
        <f t="shared" si="0"/>
        <v>MCU:高压线路断路(521724,0)</v>
      </c>
    </row>
    <row r="44" ht="20.1" customHeight="1" spans="1:7">
      <c r="A44" s="231">
        <v>42</v>
      </c>
      <c r="B44" s="292" t="s">
        <v>157</v>
      </c>
      <c r="C44" s="231" t="s">
        <v>449</v>
      </c>
      <c r="D44" s="241" t="s">
        <v>1039</v>
      </c>
      <c r="E44" s="231">
        <v>521725</v>
      </c>
      <c r="F44" s="231">
        <v>0</v>
      </c>
      <c r="G44" s="24" t="str">
        <f t="shared" si="0"/>
        <v>MCU:初始化的所有故障(521725,0)</v>
      </c>
    </row>
    <row r="45" ht="20.1" customHeight="1" spans="1:7">
      <c r="A45" s="231">
        <v>43</v>
      </c>
      <c r="B45" s="292" t="s">
        <v>157</v>
      </c>
      <c r="C45" s="231" t="s">
        <v>449</v>
      </c>
      <c r="D45" s="241" t="s">
        <v>1040</v>
      </c>
      <c r="E45" s="231">
        <v>521726</v>
      </c>
      <c r="F45" s="231">
        <v>2</v>
      </c>
      <c r="G45" s="24" t="str">
        <f t="shared" si="0"/>
        <v>MCU:电流传感器偏移超出范围(521726,2)</v>
      </c>
    </row>
    <row r="46" ht="20.45" customHeight="1" spans="1:7">
      <c r="A46" s="118">
        <v>44</v>
      </c>
      <c r="B46" s="293" t="s">
        <v>148</v>
      </c>
      <c r="C46" s="231" t="s">
        <v>449</v>
      </c>
      <c r="D46" s="298" t="s">
        <v>1041</v>
      </c>
      <c r="E46" s="112">
        <v>521727</v>
      </c>
      <c r="F46" s="112">
        <v>16</v>
      </c>
      <c r="G46" s="49" t="str">
        <f t="shared" si="0"/>
        <v>MCU:输出缺相故障(521727,16)</v>
      </c>
    </row>
    <row r="47" ht="20.45" customHeight="1" spans="1:7">
      <c r="A47" s="118">
        <v>45</v>
      </c>
      <c r="B47" s="291" t="s">
        <v>146</v>
      </c>
      <c r="C47" s="231"/>
      <c r="D47" s="298" t="s">
        <v>1042</v>
      </c>
      <c r="E47" s="112">
        <v>521728</v>
      </c>
      <c r="F47" s="112">
        <v>3</v>
      </c>
      <c r="G47" s="49" t="str">
        <f t="shared" si="0"/>
        <v>MCU:转速偏差过大故障(521728,3)</v>
      </c>
    </row>
    <row r="48" ht="20.45" customHeight="1" spans="1:7">
      <c r="A48" s="118">
        <v>46</v>
      </c>
      <c r="B48" s="291" t="s">
        <v>146</v>
      </c>
      <c r="C48" s="231"/>
      <c r="D48" s="298" t="s">
        <v>1043</v>
      </c>
      <c r="E48" s="112">
        <v>521729</v>
      </c>
      <c r="F48" s="112">
        <v>16</v>
      </c>
      <c r="G48" s="49" t="str">
        <f t="shared" si="0"/>
        <v>MCU:主动放电故障(521729,16)</v>
      </c>
    </row>
    <row r="49" ht="20.45" customHeight="1" spans="1:8">
      <c r="A49" s="118">
        <v>47</v>
      </c>
      <c r="B49" s="293" t="s">
        <v>148</v>
      </c>
      <c r="C49" s="231" t="s">
        <v>449</v>
      </c>
      <c r="D49" s="299" t="s">
        <v>1044</v>
      </c>
      <c r="E49" s="300">
        <v>521730</v>
      </c>
      <c r="F49" s="300">
        <v>22</v>
      </c>
      <c r="G49" s="246" t="str">
        <f t="shared" si="0"/>
        <v>MCU:功能模块校核故障(521730,22)</v>
      </c>
      <c r="H49" t="s">
        <v>465</v>
      </c>
    </row>
    <row r="50" ht="20.45" customHeight="1" spans="1:8">
      <c r="A50" s="118">
        <v>48</v>
      </c>
      <c r="B50" s="293" t="s">
        <v>148</v>
      </c>
      <c r="C50" s="231" t="s">
        <v>449</v>
      </c>
      <c r="D50" s="299" t="s">
        <v>1045</v>
      </c>
      <c r="E50" s="300">
        <v>521731</v>
      </c>
      <c r="F50" s="300">
        <v>2</v>
      </c>
      <c r="G50" s="246" t="str">
        <f t="shared" si="0"/>
        <v>MCU:目标转矩异常增大故障(521731,2)</v>
      </c>
      <c r="H50" t="s">
        <v>465</v>
      </c>
    </row>
    <row r="51" ht="20.45" customHeight="1" spans="1:8">
      <c r="A51" s="118">
        <v>49</v>
      </c>
      <c r="B51" s="293" t="s">
        <v>148</v>
      </c>
      <c r="C51" s="231" t="s">
        <v>449</v>
      </c>
      <c r="D51" s="299" t="s">
        <v>1046</v>
      </c>
      <c r="E51" s="300">
        <v>521732</v>
      </c>
      <c r="F51" s="300">
        <v>0</v>
      </c>
      <c r="G51" s="246" t="str">
        <f t="shared" si="0"/>
        <v>MCU:电机零位偏差停机故障(521732,0)</v>
      </c>
      <c r="H51" t="s">
        <v>465</v>
      </c>
    </row>
    <row r="52" ht="20.45" customHeight="1" spans="1:8">
      <c r="A52" s="118">
        <v>50</v>
      </c>
      <c r="B52" s="292" t="s">
        <v>157</v>
      </c>
      <c r="C52" s="231" t="s">
        <v>460</v>
      </c>
      <c r="D52" s="299" t="s">
        <v>1047</v>
      </c>
      <c r="E52" s="300">
        <v>521732</v>
      </c>
      <c r="F52" s="300">
        <v>16</v>
      </c>
      <c r="G52" s="246" t="str">
        <f t="shared" si="0"/>
        <v>MCU:电机零位偏差限功率故障(521732,16)</v>
      </c>
      <c r="H52" t="s">
        <v>465</v>
      </c>
    </row>
    <row r="53" ht="20.45" customHeight="1" spans="1:8">
      <c r="A53" s="118">
        <v>51</v>
      </c>
      <c r="B53" s="293" t="s">
        <v>148</v>
      </c>
      <c r="C53" s="231" t="s">
        <v>449</v>
      </c>
      <c r="D53" s="299" t="s">
        <v>1048</v>
      </c>
      <c r="E53" s="300">
        <v>521732</v>
      </c>
      <c r="F53" s="300">
        <v>2</v>
      </c>
      <c r="G53" s="246" t="str">
        <f t="shared" si="0"/>
        <v>MCU:电机零位不一致故障(521732,2)</v>
      </c>
      <c r="H53" t="s">
        <v>465</v>
      </c>
    </row>
    <row r="54" ht="20.45" customHeight="1" spans="1:8">
      <c r="A54" s="118">
        <v>52</v>
      </c>
      <c r="B54" s="293" t="s">
        <v>148</v>
      </c>
      <c r="C54" s="231" t="s">
        <v>449</v>
      </c>
      <c r="D54" s="299" t="s">
        <v>1049</v>
      </c>
      <c r="E54" s="300">
        <v>521733</v>
      </c>
      <c r="F54" s="300">
        <v>0</v>
      </c>
      <c r="G54" s="246" t="str">
        <f t="shared" si="0"/>
        <v>MCU:估算转矩偏差停机故障(521733,0)</v>
      </c>
      <c r="H54" t="s">
        <v>465</v>
      </c>
    </row>
    <row r="55" ht="20.45" customHeight="1" spans="1:8">
      <c r="A55" s="118">
        <v>53</v>
      </c>
      <c r="B55" s="291" t="s">
        <v>146</v>
      </c>
      <c r="C55" s="231"/>
      <c r="D55" s="299" t="s">
        <v>1050</v>
      </c>
      <c r="E55" s="300">
        <v>521733</v>
      </c>
      <c r="F55" s="300">
        <v>16</v>
      </c>
      <c r="G55" s="246" t="str">
        <f t="shared" si="0"/>
        <v>MCU:估算转矩偏差报警故障(521733,16)</v>
      </c>
      <c r="H55" t="s">
        <v>465</v>
      </c>
    </row>
    <row r="56" ht="20.45" customHeight="1" spans="1:8">
      <c r="A56" s="118">
        <v>54</v>
      </c>
      <c r="B56" s="291" t="s">
        <v>146</v>
      </c>
      <c r="C56" s="231"/>
      <c r="D56" s="299" t="s">
        <v>1051</v>
      </c>
      <c r="E56" s="300">
        <v>521734</v>
      </c>
      <c r="F56" s="300">
        <v>2</v>
      </c>
      <c r="G56" s="246" t="str">
        <f t="shared" si="0"/>
        <v>MCU:操作顺序保护报警(521734,2)</v>
      </c>
      <c r="H56" t="s">
        <v>465</v>
      </c>
    </row>
    <row r="57" ht="20.45" customHeight="1" spans="1:8">
      <c r="A57" s="118">
        <v>55</v>
      </c>
      <c r="B57" s="291" t="s">
        <v>146</v>
      </c>
      <c r="C57" s="231"/>
      <c r="D57" s="299" t="s">
        <v>1052</v>
      </c>
      <c r="E57" s="300">
        <v>521735</v>
      </c>
      <c r="F57" s="300">
        <v>2</v>
      </c>
      <c r="G57" s="246" t="str">
        <f t="shared" si="0"/>
        <v>MCU:高速误挂挡保护报警(521735,2)</v>
      </c>
      <c r="H57" t="s">
        <v>465</v>
      </c>
    </row>
    <row r="58" ht="22.15" customHeight="1" spans="1:8">
      <c r="A58" s="118">
        <v>56</v>
      </c>
      <c r="B58" s="118"/>
      <c r="C58" s="118"/>
      <c r="D58" s="301" t="s">
        <v>1053</v>
      </c>
      <c r="E58" s="302">
        <v>521736</v>
      </c>
      <c r="F58" s="302">
        <v>3</v>
      </c>
      <c r="G58" s="302" t="s">
        <v>1054</v>
      </c>
      <c r="H58" t="s">
        <v>1055</v>
      </c>
    </row>
    <row r="59" ht="22.15" customHeight="1" spans="1:8">
      <c r="A59" s="118">
        <v>57</v>
      </c>
      <c r="B59" s="118"/>
      <c r="C59" s="118"/>
      <c r="D59" s="301" t="s">
        <v>1056</v>
      </c>
      <c r="E59" s="302">
        <v>521736</v>
      </c>
      <c r="F59" s="302">
        <v>4</v>
      </c>
      <c r="G59" s="302" t="s">
        <v>1057</v>
      </c>
      <c r="H59" t="s">
        <v>1058</v>
      </c>
    </row>
    <row r="60" ht="22.15" customHeight="1" spans="1:8">
      <c r="A60" s="118">
        <v>58</v>
      </c>
      <c r="B60" s="118"/>
      <c r="C60" s="118"/>
      <c r="D60" s="303" t="s">
        <v>1059</v>
      </c>
      <c r="E60" s="302">
        <v>521736</v>
      </c>
      <c r="F60" s="302">
        <v>22</v>
      </c>
      <c r="G60" s="304" t="s">
        <v>1060</v>
      </c>
      <c r="H60" t="s">
        <v>1061</v>
      </c>
    </row>
    <row r="61" ht="22.15" customHeight="1" spans="1:8">
      <c r="A61" s="118">
        <v>59</v>
      </c>
      <c r="B61" s="118"/>
      <c r="C61" s="118"/>
      <c r="D61" s="301" t="s">
        <v>1062</v>
      </c>
      <c r="E61" s="302">
        <v>521736</v>
      </c>
      <c r="F61" s="302">
        <v>6</v>
      </c>
      <c r="G61" s="302" t="s">
        <v>1063</v>
      </c>
      <c r="H61" t="s">
        <v>1064</v>
      </c>
    </row>
    <row r="62" ht="22.15" customHeight="1" spans="1:8">
      <c r="A62" s="118">
        <v>60</v>
      </c>
      <c r="B62" s="118"/>
      <c r="C62" s="118"/>
      <c r="D62" s="301" t="s">
        <v>1065</v>
      </c>
      <c r="E62" s="302">
        <v>521736</v>
      </c>
      <c r="F62" s="302">
        <v>7</v>
      </c>
      <c r="G62" s="302" t="s">
        <v>1066</v>
      </c>
      <c r="H62" t="s">
        <v>1067</v>
      </c>
    </row>
    <row r="63" ht="22.15" customHeight="1" spans="1:8">
      <c r="A63" s="118">
        <v>61</v>
      </c>
      <c r="B63" s="118"/>
      <c r="C63" s="118"/>
      <c r="D63" s="301" t="s">
        <v>1068</v>
      </c>
      <c r="E63" s="302">
        <v>521736</v>
      </c>
      <c r="F63" s="302">
        <v>16</v>
      </c>
      <c r="G63" s="302" t="s">
        <v>1069</v>
      </c>
      <c r="H63" t="s">
        <v>1070</v>
      </c>
    </row>
    <row r="64" ht="22.15" customHeight="1" spans="1:8">
      <c r="A64" s="118">
        <v>62</v>
      </c>
      <c r="B64" s="118"/>
      <c r="C64" s="118"/>
      <c r="D64" s="301" t="s">
        <v>1071</v>
      </c>
      <c r="E64" s="302">
        <v>521736</v>
      </c>
      <c r="F64" s="302">
        <v>0</v>
      </c>
      <c r="G64" s="302" t="s">
        <v>1072</v>
      </c>
      <c r="H64" t="s">
        <v>1073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E19" sqref="E19:F22"/>
    </sheetView>
  </sheetViews>
  <sheetFormatPr defaultColWidth="9" defaultRowHeight="13.5" outlineLevelCol="7"/>
  <cols>
    <col min="1" max="1" width="8.5" customWidth="1"/>
    <col min="2" max="3" width="9" customWidth="1"/>
    <col min="4" max="4" width="24.75" style="52" customWidth="1"/>
    <col min="5" max="6" width="11.375" customWidth="1"/>
    <col min="7" max="7" width="50.125" style="52" customWidth="1"/>
    <col min="8" max="8" width="25.25" customWidth="1"/>
  </cols>
  <sheetData>
    <row r="1" ht="35.25" customHeight="1" spans="1:1">
      <c r="A1" s="1" t="s">
        <v>436</v>
      </c>
    </row>
    <row r="2" ht="20.1" customHeight="1" spans="1:7">
      <c r="A2" s="280" t="s">
        <v>125</v>
      </c>
      <c r="B2" s="280" t="s">
        <v>140</v>
      </c>
      <c r="C2" s="280" t="s">
        <v>141</v>
      </c>
      <c r="D2" s="280" t="s">
        <v>127</v>
      </c>
      <c r="E2" s="280" t="s">
        <v>678</v>
      </c>
      <c r="F2" s="280" t="s">
        <v>1074</v>
      </c>
      <c r="G2" s="281" t="s">
        <v>283</v>
      </c>
    </row>
    <row r="3" ht="16.9" customHeight="1" spans="1:7">
      <c r="A3" s="280">
        <v>1</v>
      </c>
      <c r="B3" s="282" t="s">
        <v>148</v>
      </c>
      <c r="C3" s="26" t="s">
        <v>449</v>
      </c>
      <c r="D3" s="142" t="s">
        <v>1075</v>
      </c>
      <c r="E3" s="280">
        <v>521801</v>
      </c>
      <c r="F3" s="280">
        <v>12</v>
      </c>
      <c r="G3" s="142" t="str">
        <f>"空压机"&amp;":"&amp;D3&amp;"("&amp;E3&amp;","&amp;F3&amp;")"</f>
        <v>空压机:电流检测故障(521801,12)</v>
      </c>
    </row>
    <row r="4" ht="16.9" customHeight="1" spans="1:7">
      <c r="A4" s="280">
        <v>2</v>
      </c>
      <c r="B4" s="282" t="s">
        <v>148</v>
      </c>
      <c r="C4" s="26" t="s">
        <v>475</v>
      </c>
      <c r="D4" s="142" t="s">
        <v>1076</v>
      </c>
      <c r="E4" s="280">
        <v>521803</v>
      </c>
      <c r="F4" s="280">
        <v>3</v>
      </c>
      <c r="G4" s="142" t="str">
        <f t="shared" ref="G4:G29" si="0">"空压机"&amp;":"&amp;D4&amp;"("&amp;E4&amp;","&amp;F4&amp;")"</f>
        <v>空压机:控制器过载故障(521803,3)</v>
      </c>
    </row>
    <row r="5" ht="16.9" customHeight="1" spans="1:7">
      <c r="A5" s="280">
        <v>3</v>
      </c>
      <c r="B5" s="282" t="s">
        <v>148</v>
      </c>
      <c r="C5" s="26" t="s">
        <v>449</v>
      </c>
      <c r="D5" s="142" t="s">
        <v>1077</v>
      </c>
      <c r="E5" s="280">
        <v>521803</v>
      </c>
      <c r="F5" s="280">
        <v>12</v>
      </c>
      <c r="G5" s="142" t="str">
        <f t="shared" si="0"/>
        <v>空压机:输出过流(521803,12)</v>
      </c>
    </row>
    <row r="6" ht="16.9" customHeight="1" spans="1:7">
      <c r="A6" s="280">
        <v>4</v>
      </c>
      <c r="B6" s="283" t="s">
        <v>146</v>
      </c>
      <c r="C6" s="26"/>
      <c r="D6" s="142" t="s">
        <v>1078</v>
      </c>
      <c r="E6" s="280">
        <v>521808</v>
      </c>
      <c r="F6" s="280">
        <v>12</v>
      </c>
      <c r="G6" s="142" t="str">
        <f t="shared" si="0"/>
        <v>空压机:PT100短路(521808,12)</v>
      </c>
    </row>
    <row r="7" ht="16.9" customHeight="1" spans="1:7">
      <c r="A7" s="280">
        <v>5</v>
      </c>
      <c r="B7" s="283" t="s">
        <v>146</v>
      </c>
      <c r="C7" s="26"/>
      <c r="D7" s="142" t="s">
        <v>1079</v>
      </c>
      <c r="E7" s="280">
        <v>521808</v>
      </c>
      <c r="F7" s="280">
        <v>5</v>
      </c>
      <c r="G7" s="142" t="str">
        <f t="shared" si="0"/>
        <v>空压机:PT100开路(521808,5)</v>
      </c>
    </row>
    <row r="8" ht="16.9" customHeight="1" spans="1:8">
      <c r="A8" s="280">
        <v>6</v>
      </c>
      <c r="B8" s="284" t="s">
        <v>157</v>
      </c>
      <c r="C8" s="26" t="s">
        <v>475</v>
      </c>
      <c r="D8" s="236" t="s">
        <v>476</v>
      </c>
      <c r="E8" s="285">
        <v>521809</v>
      </c>
      <c r="F8" s="285">
        <v>5</v>
      </c>
      <c r="G8" s="162" t="s">
        <v>1080</v>
      </c>
      <c r="H8" s="157" t="s">
        <v>465</v>
      </c>
    </row>
    <row r="9" ht="16.9" customHeight="1" spans="1:8">
      <c r="A9" s="280">
        <v>7</v>
      </c>
      <c r="B9" s="284" t="s">
        <v>157</v>
      </c>
      <c r="C9" s="26" t="s">
        <v>475</v>
      </c>
      <c r="D9" s="236" t="s">
        <v>477</v>
      </c>
      <c r="E9" s="285">
        <v>521809</v>
      </c>
      <c r="F9" s="285">
        <v>6</v>
      </c>
      <c r="G9" s="162" t="s">
        <v>1081</v>
      </c>
      <c r="H9" s="157" t="s">
        <v>465</v>
      </c>
    </row>
    <row r="10" ht="16.9" customHeight="1" spans="1:8">
      <c r="A10" s="280">
        <v>8</v>
      </c>
      <c r="B10" s="282" t="s">
        <v>148</v>
      </c>
      <c r="C10" s="26" t="s">
        <v>451</v>
      </c>
      <c r="D10" s="236" t="s">
        <v>478</v>
      </c>
      <c r="E10" s="285">
        <v>521810</v>
      </c>
      <c r="F10" s="285">
        <v>1</v>
      </c>
      <c r="G10" s="162" t="str">
        <f t="shared" si="0"/>
        <v>空压机:辅助电源欠压(521810,1)</v>
      </c>
      <c r="H10" s="157" t="s">
        <v>465</v>
      </c>
    </row>
    <row r="11" ht="16.9" customHeight="1" spans="1:8">
      <c r="A11" s="280">
        <v>9</v>
      </c>
      <c r="B11" s="283" t="s">
        <v>146</v>
      </c>
      <c r="C11" s="26"/>
      <c r="D11" s="236" t="s">
        <v>479</v>
      </c>
      <c r="E11" s="285">
        <v>521810</v>
      </c>
      <c r="F11" s="285">
        <v>16</v>
      </c>
      <c r="G11" s="162" t="str">
        <f t="shared" si="0"/>
        <v>空压机:辅助电源过压(521810,16)</v>
      </c>
      <c r="H11" s="157" t="s">
        <v>465</v>
      </c>
    </row>
    <row r="12" ht="16.9" customHeight="1" spans="1:7">
      <c r="A12" s="280">
        <v>10</v>
      </c>
      <c r="B12" s="282" t="s">
        <v>148</v>
      </c>
      <c r="C12" s="26" t="s">
        <v>449</v>
      </c>
      <c r="D12" s="142" t="s">
        <v>437</v>
      </c>
      <c r="E12" s="280">
        <v>521817</v>
      </c>
      <c r="F12" s="280">
        <v>4</v>
      </c>
      <c r="G12" s="142" t="str">
        <f t="shared" si="0"/>
        <v>空压机:输入欠压(521817,4)</v>
      </c>
    </row>
    <row r="13" ht="16.9" customHeight="1" spans="1:7">
      <c r="A13" s="280">
        <v>11</v>
      </c>
      <c r="B13" s="282" t="s">
        <v>148</v>
      </c>
      <c r="C13" s="26" t="s">
        <v>449</v>
      </c>
      <c r="D13" s="142" t="s">
        <v>439</v>
      </c>
      <c r="E13" s="280">
        <v>521817</v>
      </c>
      <c r="F13" s="280">
        <v>3</v>
      </c>
      <c r="G13" s="142" t="str">
        <f t="shared" si="0"/>
        <v>空压机:输入过压(521817,3)</v>
      </c>
    </row>
    <row r="14" ht="16.9" customHeight="1" spans="1:7">
      <c r="A14" s="280">
        <v>12</v>
      </c>
      <c r="B14" s="282" t="s">
        <v>148</v>
      </c>
      <c r="C14" s="26" t="s">
        <v>449</v>
      </c>
      <c r="D14" s="142" t="s">
        <v>1082</v>
      </c>
      <c r="E14" s="280">
        <v>521819</v>
      </c>
      <c r="F14" s="280">
        <v>0</v>
      </c>
      <c r="G14" s="142" t="str">
        <f t="shared" si="0"/>
        <v>空压机:控制器过温故障(521819,0)</v>
      </c>
    </row>
    <row r="15" ht="16.9" customHeight="1" spans="1:7">
      <c r="A15" s="280">
        <v>13</v>
      </c>
      <c r="B15" s="284" t="s">
        <v>157</v>
      </c>
      <c r="C15" s="26" t="s">
        <v>475</v>
      </c>
      <c r="D15" s="142" t="s">
        <v>1083</v>
      </c>
      <c r="E15" s="280">
        <v>521819</v>
      </c>
      <c r="F15" s="280">
        <v>3</v>
      </c>
      <c r="G15" s="142" t="str">
        <f t="shared" si="0"/>
        <v>空压机:控制器过温告警(521819,3)</v>
      </c>
    </row>
    <row r="16" ht="16.9" customHeight="1" spans="1:7">
      <c r="A16" s="280">
        <v>14</v>
      </c>
      <c r="B16" s="283" t="s">
        <v>146</v>
      </c>
      <c r="C16" s="26"/>
      <c r="D16" s="142" t="s">
        <v>448</v>
      </c>
      <c r="E16" s="280">
        <v>521820</v>
      </c>
      <c r="F16" s="280">
        <v>0</v>
      </c>
      <c r="G16" s="142" t="str">
        <f t="shared" si="0"/>
        <v>空压机:电机过温故障(521820,0)</v>
      </c>
    </row>
    <row r="17" ht="16.9" customHeight="1" spans="1:7">
      <c r="A17" s="280">
        <v>15</v>
      </c>
      <c r="B17" s="283" t="s">
        <v>455</v>
      </c>
      <c r="C17" s="26"/>
      <c r="D17" s="142" t="s">
        <v>1084</v>
      </c>
      <c r="E17" s="280">
        <v>521820</v>
      </c>
      <c r="F17" s="280">
        <v>3</v>
      </c>
      <c r="G17" s="142" t="str">
        <f t="shared" si="0"/>
        <v>空压机:电机过温告警(521820,3)</v>
      </c>
    </row>
    <row r="18" ht="16.9" customHeight="1" spans="1:7">
      <c r="A18" s="280">
        <v>16</v>
      </c>
      <c r="B18" s="282" t="s">
        <v>148</v>
      </c>
      <c r="C18" s="26" t="s">
        <v>449</v>
      </c>
      <c r="D18" s="142" t="s">
        <v>444</v>
      </c>
      <c r="E18" s="280">
        <v>521835</v>
      </c>
      <c r="F18" s="280">
        <v>2</v>
      </c>
      <c r="G18" s="142" t="str">
        <f t="shared" si="0"/>
        <v>空压机:输出缺相(521835,2)</v>
      </c>
    </row>
    <row r="19" ht="16.9" customHeight="1" spans="1:8">
      <c r="A19" s="280">
        <v>17</v>
      </c>
      <c r="B19" s="282" t="s">
        <v>148</v>
      </c>
      <c r="C19" s="26" t="s">
        <v>449</v>
      </c>
      <c r="D19" s="236" t="s">
        <v>474</v>
      </c>
      <c r="E19" s="285">
        <v>521840</v>
      </c>
      <c r="F19" s="285">
        <v>12</v>
      </c>
      <c r="G19" s="162" t="str">
        <f t="shared" si="0"/>
        <v>空压机:硬件故障(521840,12)</v>
      </c>
      <c r="H19" t="s">
        <v>465</v>
      </c>
    </row>
    <row r="20" ht="16.9" customHeight="1" spans="1:8">
      <c r="A20" s="280">
        <v>18</v>
      </c>
      <c r="B20" s="282" t="s">
        <v>148</v>
      </c>
      <c r="C20" s="26" t="s">
        <v>449</v>
      </c>
      <c r="D20" s="236" t="s">
        <v>471</v>
      </c>
      <c r="E20" s="285">
        <v>521841</v>
      </c>
      <c r="F20" s="285">
        <v>0</v>
      </c>
      <c r="G20" s="162" t="str">
        <f t="shared" si="0"/>
        <v>空压机:超速故障(521841,0)</v>
      </c>
      <c r="H20" t="s">
        <v>465</v>
      </c>
    </row>
    <row r="21" ht="16.9" customHeight="1" spans="1:8">
      <c r="A21" s="280">
        <v>19</v>
      </c>
      <c r="B21" s="282" t="s">
        <v>148</v>
      </c>
      <c r="C21" s="26" t="s">
        <v>449</v>
      </c>
      <c r="D21" s="237" t="s">
        <v>1085</v>
      </c>
      <c r="E21" s="285">
        <v>521842</v>
      </c>
      <c r="F21" s="285">
        <v>12</v>
      </c>
      <c r="G21" s="162" t="str">
        <f t="shared" si="0"/>
        <v>空压机:EEPROM故障(521842,12)</v>
      </c>
      <c r="H21" t="s">
        <v>465</v>
      </c>
    </row>
    <row r="22" ht="16.9" customHeight="1" spans="1:8">
      <c r="A22" s="280">
        <v>20</v>
      </c>
      <c r="B22" s="282" t="s">
        <v>148</v>
      </c>
      <c r="C22" s="26" t="s">
        <v>449</v>
      </c>
      <c r="D22" s="236" t="s">
        <v>472</v>
      </c>
      <c r="E22" s="285">
        <v>521843</v>
      </c>
      <c r="F22" s="285">
        <v>7</v>
      </c>
      <c r="G22" s="162" t="str">
        <f t="shared" si="0"/>
        <v>空压机:相间短路故障(521843,7)</v>
      </c>
      <c r="H22" t="s">
        <v>465</v>
      </c>
    </row>
    <row r="23" ht="16.9" customHeight="1" spans="1:7">
      <c r="A23" s="280">
        <v>21</v>
      </c>
      <c r="B23" s="282" t="s">
        <v>148</v>
      </c>
      <c r="C23" s="26" t="s">
        <v>449</v>
      </c>
      <c r="D23" s="142" t="s">
        <v>1086</v>
      </c>
      <c r="E23" s="280">
        <v>521844</v>
      </c>
      <c r="F23" s="280">
        <v>6</v>
      </c>
      <c r="G23" s="142" t="str">
        <f t="shared" si="0"/>
        <v>空压机:对地短路(521844,6)</v>
      </c>
    </row>
    <row r="24" ht="16.9" customHeight="1" spans="1:7">
      <c r="A24" s="280">
        <v>22</v>
      </c>
      <c r="B24" s="282" t="s">
        <v>148</v>
      </c>
      <c r="C24" s="26" t="s">
        <v>449</v>
      </c>
      <c r="D24" s="142" t="s">
        <v>473</v>
      </c>
      <c r="E24" s="280">
        <v>521845</v>
      </c>
      <c r="F24" s="280">
        <v>12</v>
      </c>
      <c r="G24" s="142" t="str">
        <f t="shared" si="0"/>
        <v>空压机:失调故障(521845,12)</v>
      </c>
    </row>
    <row r="25" ht="16.9" customHeight="1" spans="1:7">
      <c r="A25" s="280">
        <v>23</v>
      </c>
      <c r="B25" s="282" t="s">
        <v>148</v>
      </c>
      <c r="C25" s="26" t="s">
        <v>449</v>
      </c>
      <c r="D25" s="142" t="s">
        <v>1087</v>
      </c>
      <c r="E25" s="280">
        <v>521846</v>
      </c>
      <c r="F25" s="280">
        <v>10</v>
      </c>
      <c r="G25" s="142" t="str">
        <f t="shared" si="0"/>
        <v>空压机:速度偏差(521846,10)</v>
      </c>
    </row>
    <row r="26" ht="16.9" customHeight="1" spans="1:8">
      <c r="A26" s="280">
        <v>24</v>
      </c>
      <c r="B26" s="282" t="s">
        <v>148</v>
      </c>
      <c r="C26" s="26" t="s">
        <v>449</v>
      </c>
      <c r="D26" s="286" t="s">
        <v>1088</v>
      </c>
      <c r="E26" s="287">
        <v>521847</v>
      </c>
      <c r="F26" s="287">
        <v>0</v>
      </c>
      <c r="G26" s="286" t="str">
        <f t="shared" si="0"/>
        <v>空压机:电机过载(521847,0)</v>
      </c>
      <c r="H26" t="s">
        <v>1089</v>
      </c>
    </row>
    <row r="27" ht="16.9" customHeight="1" spans="1:8">
      <c r="A27" s="280">
        <v>25</v>
      </c>
      <c r="B27" s="284" t="s">
        <v>157</v>
      </c>
      <c r="C27" s="26" t="s">
        <v>475</v>
      </c>
      <c r="D27" s="142" t="s">
        <v>1090</v>
      </c>
      <c r="E27" s="280">
        <v>521848</v>
      </c>
      <c r="F27" s="280">
        <v>0</v>
      </c>
      <c r="G27" s="142" t="str">
        <f t="shared" si="0"/>
        <v>空压机:超长时间输出报警 (521848,0)</v>
      </c>
      <c r="H27" t="s">
        <v>1091</v>
      </c>
    </row>
    <row r="28" ht="16.9" customHeight="1" spans="1:8">
      <c r="A28" s="280">
        <v>26</v>
      </c>
      <c r="B28" s="284" t="s">
        <v>157</v>
      </c>
      <c r="C28" s="26" t="s">
        <v>475</v>
      </c>
      <c r="D28" s="142" t="s">
        <v>1092</v>
      </c>
      <c r="E28" s="280">
        <v>521848</v>
      </c>
      <c r="F28" s="280">
        <v>23</v>
      </c>
      <c r="G28" s="142" t="str">
        <f t="shared" si="0"/>
        <v>空压机:通讯故障 (521848,23)</v>
      </c>
      <c r="H28" t="s">
        <v>1091</v>
      </c>
    </row>
    <row r="29" ht="16.9" customHeight="1" spans="1:8">
      <c r="A29" s="280">
        <v>27</v>
      </c>
      <c r="B29" s="284" t="s">
        <v>157</v>
      </c>
      <c r="C29" s="26" t="s">
        <v>475</v>
      </c>
      <c r="D29" s="142" t="s">
        <v>1093</v>
      </c>
      <c r="E29" s="280">
        <v>521849</v>
      </c>
      <c r="F29" s="280">
        <v>2</v>
      </c>
      <c r="G29" s="142" t="str">
        <f t="shared" si="0"/>
        <v>空压机:压力开关故障 (521849,2)</v>
      </c>
      <c r="H29" t="s">
        <v>1091</v>
      </c>
    </row>
    <row r="30" ht="16.5" spans="1:8">
      <c r="A30" s="280">
        <v>28</v>
      </c>
      <c r="B30" s="284" t="s">
        <v>157</v>
      </c>
      <c r="C30" s="288" t="s">
        <v>5</v>
      </c>
      <c r="D30" s="289" t="s">
        <v>1093</v>
      </c>
      <c r="E30" s="284">
        <v>521849</v>
      </c>
      <c r="F30" s="284">
        <v>3</v>
      </c>
      <c r="G30" s="289" t="s">
        <v>1094</v>
      </c>
      <c r="H30" t="s">
        <v>1095</v>
      </c>
    </row>
    <row r="31" ht="16.5" spans="1:8">
      <c r="A31" s="280">
        <v>29</v>
      </c>
      <c r="B31" s="284" t="s">
        <v>157</v>
      </c>
      <c r="C31" s="288"/>
      <c r="D31" s="289" t="s">
        <v>1093</v>
      </c>
      <c r="E31" s="284">
        <v>521849</v>
      </c>
      <c r="F31" s="284">
        <v>4</v>
      </c>
      <c r="G31" s="289" t="s">
        <v>1096</v>
      </c>
      <c r="H31" t="s">
        <v>1095</v>
      </c>
    </row>
  </sheetData>
  <hyperlinks>
    <hyperlink ref="A1" location="'控制器源地址&amp;跳转页面'!A1" display="返回目录"/>
  </hyperlink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zoomScale="130" zoomScaleNormal="130" workbookViewId="0">
      <selection activeCell="D13" sqref="D13"/>
    </sheetView>
  </sheetViews>
  <sheetFormatPr defaultColWidth="9" defaultRowHeight="13.5"/>
  <cols>
    <col min="1" max="1" width="8.75" style="79" customWidth="1"/>
    <col min="2" max="2" width="9" style="79" customWidth="1"/>
    <col min="3" max="3" width="23.75" customWidth="1"/>
    <col min="4" max="4" width="44.5" customWidth="1"/>
    <col min="5" max="5" width="9.5" style="52" customWidth="1"/>
    <col min="6" max="6" width="9.5" style="79" customWidth="1"/>
    <col min="7" max="7" width="50.75" style="79" customWidth="1"/>
    <col min="8" max="8" width="33.125" customWidth="1"/>
    <col min="9" max="9" width="25.875" customWidth="1"/>
    <col min="10" max="10" width="7.875" customWidth="1"/>
  </cols>
  <sheetData>
    <row r="1" ht="24" customHeight="1" spans="1:3">
      <c r="A1" s="80" t="s">
        <v>436</v>
      </c>
      <c r="C1" s="1"/>
    </row>
    <row r="2" ht="20.1" customHeight="1" spans="1:7">
      <c r="A2" s="247" t="s">
        <v>125</v>
      </c>
      <c r="B2" s="247" t="s">
        <v>140</v>
      </c>
      <c r="C2" s="247" t="s">
        <v>1097</v>
      </c>
      <c r="D2" s="247" t="s">
        <v>127</v>
      </c>
      <c r="E2" s="248" t="s">
        <v>142</v>
      </c>
      <c r="F2" s="247" t="s">
        <v>143</v>
      </c>
      <c r="G2" s="240" t="s">
        <v>283</v>
      </c>
    </row>
    <row r="3" ht="20.1" customHeight="1" spans="1:7">
      <c r="A3" s="247">
        <v>1</v>
      </c>
      <c r="B3" s="249" t="s">
        <v>157</v>
      </c>
      <c r="C3" s="248" t="s">
        <v>1098</v>
      </c>
      <c r="D3" s="248" t="s">
        <v>1099</v>
      </c>
      <c r="E3" s="250">
        <v>1378</v>
      </c>
      <c r="F3" s="251">
        <v>1</v>
      </c>
      <c r="G3" s="24" t="s">
        <v>1100</v>
      </c>
    </row>
    <row r="4" ht="20.1" customHeight="1" spans="1:7">
      <c r="A4" s="247">
        <v>2</v>
      </c>
      <c r="B4" s="249" t="s">
        <v>157</v>
      </c>
      <c r="C4" s="248" t="s">
        <v>1098</v>
      </c>
      <c r="D4" s="248" t="s">
        <v>1101</v>
      </c>
      <c r="E4" s="250">
        <v>1378</v>
      </c>
      <c r="F4" s="251">
        <v>2</v>
      </c>
      <c r="G4" s="24" t="s">
        <v>1102</v>
      </c>
    </row>
    <row r="5" ht="20.1" customHeight="1" spans="1:8">
      <c r="A5" s="247">
        <v>3</v>
      </c>
      <c r="B5" s="249" t="s">
        <v>157</v>
      </c>
      <c r="C5" s="248" t="s">
        <v>1103</v>
      </c>
      <c r="D5" s="248" t="s">
        <v>1104</v>
      </c>
      <c r="E5" s="250">
        <v>1824</v>
      </c>
      <c r="F5" s="251">
        <v>8</v>
      </c>
      <c r="G5" s="24" t="s">
        <v>1105</v>
      </c>
      <c r="H5" s="41" t="s">
        <v>1106</v>
      </c>
    </row>
    <row r="6" ht="20.1" customHeight="1" spans="1:8">
      <c r="A6" s="247">
        <v>4</v>
      </c>
      <c r="B6" s="249" t="s">
        <v>157</v>
      </c>
      <c r="C6" s="248" t="s">
        <v>1103</v>
      </c>
      <c r="D6" s="248" t="s">
        <v>1107</v>
      </c>
      <c r="E6" s="250">
        <v>1824</v>
      </c>
      <c r="F6" s="251">
        <v>4</v>
      </c>
      <c r="G6" s="24" t="s">
        <v>1108</v>
      </c>
      <c r="H6" s="41" t="s">
        <v>1106</v>
      </c>
    </row>
    <row r="7" ht="20.1" customHeight="1" spans="1:7">
      <c r="A7" s="247">
        <v>5</v>
      </c>
      <c r="B7" s="252" t="s">
        <v>148</v>
      </c>
      <c r="C7" s="248" t="s">
        <v>1098</v>
      </c>
      <c r="D7" s="248" t="s">
        <v>1109</v>
      </c>
      <c r="E7" s="250">
        <v>54786</v>
      </c>
      <c r="F7" s="251">
        <v>4</v>
      </c>
      <c r="G7" s="24" t="s">
        <v>1110</v>
      </c>
    </row>
    <row r="8" ht="20.1" customHeight="1" spans="1:7">
      <c r="A8" s="247">
        <v>6</v>
      </c>
      <c r="B8" s="249" t="s">
        <v>157</v>
      </c>
      <c r="C8" s="248" t="s">
        <v>1111</v>
      </c>
      <c r="D8" s="248" t="s">
        <v>1112</v>
      </c>
      <c r="E8" s="250">
        <v>5953</v>
      </c>
      <c r="F8" s="251">
        <v>1</v>
      </c>
      <c r="G8" s="24" t="s">
        <v>1113</v>
      </c>
    </row>
    <row r="9" ht="20.1" customHeight="1" spans="1:7">
      <c r="A9" s="247">
        <v>7</v>
      </c>
      <c r="B9" s="249" t="s">
        <v>157</v>
      </c>
      <c r="C9" s="248" t="s">
        <v>1111</v>
      </c>
      <c r="D9" s="248" t="s">
        <v>1114</v>
      </c>
      <c r="E9" s="250">
        <v>5953</v>
      </c>
      <c r="F9" s="251">
        <v>2</v>
      </c>
      <c r="G9" s="24" t="s">
        <v>1115</v>
      </c>
    </row>
    <row r="10" ht="20.1" customHeight="1" spans="1:7">
      <c r="A10" s="247">
        <v>8</v>
      </c>
      <c r="B10" s="249" t="s">
        <v>157</v>
      </c>
      <c r="C10" s="248" t="s">
        <v>1116</v>
      </c>
      <c r="D10" s="248" t="s">
        <v>1117</v>
      </c>
      <c r="E10" s="250">
        <v>5953</v>
      </c>
      <c r="F10" s="251">
        <v>8</v>
      </c>
      <c r="G10" s="24" t="s">
        <v>1118</v>
      </c>
    </row>
    <row r="11" ht="20.1" customHeight="1" spans="1:7">
      <c r="A11" s="247">
        <v>9</v>
      </c>
      <c r="B11" s="249" t="s">
        <v>157</v>
      </c>
      <c r="C11" s="248" t="s">
        <v>1119</v>
      </c>
      <c r="D11" s="248" t="s">
        <v>1120</v>
      </c>
      <c r="E11" s="250">
        <v>5954</v>
      </c>
      <c r="F11" s="251">
        <v>1</v>
      </c>
      <c r="G11" s="24" t="s">
        <v>1121</v>
      </c>
    </row>
    <row r="12" ht="20.1" customHeight="1" spans="1:7">
      <c r="A12" s="247">
        <v>10</v>
      </c>
      <c r="B12" s="249" t="s">
        <v>157</v>
      </c>
      <c r="C12" s="248" t="s">
        <v>1119</v>
      </c>
      <c r="D12" s="248" t="s">
        <v>1122</v>
      </c>
      <c r="E12" s="250">
        <v>5954</v>
      </c>
      <c r="F12" s="251">
        <v>2</v>
      </c>
      <c r="G12" s="24" t="s">
        <v>1123</v>
      </c>
    </row>
    <row r="13" ht="20.1" customHeight="1" spans="1:7">
      <c r="A13" s="247">
        <v>11</v>
      </c>
      <c r="B13" s="249" t="s">
        <v>157</v>
      </c>
      <c r="C13" s="248" t="s">
        <v>1116</v>
      </c>
      <c r="D13" s="248" t="s">
        <v>1124</v>
      </c>
      <c r="E13" s="250">
        <v>5954</v>
      </c>
      <c r="F13" s="251">
        <v>8</v>
      </c>
      <c r="G13" s="24" t="s">
        <v>1125</v>
      </c>
    </row>
    <row r="14" ht="20.1" customHeight="1" spans="1:7">
      <c r="A14" s="247">
        <v>12</v>
      </c>
      <c r="B14" s="249" t="s">
        <v>157</v>
      </c>
      <c r="C14" s="248" t="s">
        <v>1111</v>
      </c>
      <c r="D14" s="248" t="s">
        <v>1126</v>
      </c>
      <c r="E14" s="250">
        <v>5969</v>
      </c>
      <c r="F14" s="251">
        <v>8</v>
      </c>
      <c r="G14" s="24" t="s">
        <v>1127</v>
      </c>
    </row>
    <row r="15" ht="20.1" customHeight="1" spans="1:7">
      <c r="A15" s="247">
        <v>13</v>
      </c>
      <c r="B15" s="249" t="s">
        <v>157</v>
      </c>
      <c r="C15" s="248" t="s">
        <v>1103</v>
      </c>
      <c r="D15" s="248" t="s">
        <v>1128</v>
      </c>
      <c r="E15" s="250">
        <v>5971</v>
      </c>
      <c r="F15" s="251">
        <v>8</v>
      </c>
      <c r="G15" s="24" t="s">
        <v>1129</v>
      </c>
    </row>
    <row r="16" ht="20.1" customHeight="1" spans="1:7">
      <c r="A16" s="247">
        <v>14</v>
      </c>
      <c r="B16" s="252" t="s">
        <v>148</v>
      </c>
      <c r="C16" s="248" t="s">
        <v>1103</v>
      </c>
      <c r="D16" s="248" t="s">
        <v>1130</v>
      </c>
      <c r="E16" s="250">
        <v>6208</v>
      </c>
      <c r="F16" s="251">
        <v>8</v>
      </c>
      <c r="G16" s="24" t="s">
        <v>1131</v>
      </c>
    </row>
    <row r="17" ht="20.1" customHeight="1" spans="1:8">
      <c r="A17" s="247">
        <v>15</v>
      </c>
      <c r="B17" s="249" t="s">
        <v>157</v>
      </c>
      <c r="C17" s="248" t="s">
        <v>1116</v>
      </c>
      <c r="D17" s="248" t="s">
        <v>1132</v>
      </c>
      <c r="E17" s="250">
        <v>5990</v>
      </c>
      <c r="F17" s="253">
        <v>8</v>
      </c>
      <c r="G17" s="246" t="s">
        <v>1133</v>
      </c>
      <c r="H17" s="41" t="s">
        <v>1134</v>
      </c>
    </row>
    <row r="18" ht="20.1" customHeight="1" spans="1:8">
      <c r="A18" s="247">
        <v>16</v>
      </c>
      <c r="B18" s="252" t="s">
        <v>148</v>
      </c>
      <c r="C18" s="248" t="s">
        <v>1116</v>
      </c>
      <c r="D18" s="248" t="s">
        <v>1135</v>
      </c>
      <c r="E18" s="250">
        <v>5991</v>
      </c>
      <c r="F18" s="253">
        <v>8</v>
      </c>
      <c r="G18" s="246" t="s">
        <v>1136</v>
      </c>
      <c r="H18" s="41" t="s">
        <v>1134</v>
      </c>
    </row>
    <row r="19" ht="20.1" customHeight="1" spans="1:8">
      <c r="A19" s="247">
        <v>17</v>
      </c>
      <c r="B19" s="252" t="s">
        <v>148</v>
      </c>
      <c r="C19" s="248" t="s">
        <v>1116</v>
      </c>
      <c r="D19" s="248" t="s">
        <v>1137</v>
      </c>
      <c r="E19" s="250">
        <v>5992</v>
      </c>
      <c r="F19" s="253">
        <v>8</v>
      </c>
      <c r="G19" s="246" t="s">
        <v>1138</v>
      </c>
      <c r="H19" s="41" t="s">
        <v>1134</v>
      </c>
    </row>
    <row r="20" ht="20.1" customHeight="1" spans="1:8">
      <c r="A20" s="247">
        <v>18</v>
      </c>
      <c r="B20" s="249" t="s">
        <v>157</v>
      </c>
      <c r="C20" s="248" t="s">
        <v>1116</v>
      </c>
      <c r="D20" s="254" t="s">
        <v>1139</v>
      </c>
      <c r="E20" s="250">
        <v>5977</v>
      </c>
      <c r="F20" s="251">
        <v>1</v>
      </c>
      <c r="G20" s="24" t="s">
        <v>1140</v>
      </c>
      <c r="H20" s="41" t="s">
        <v>1106</v>
      </c>
    </row>
    <row r="21" ht="20.1" customHeight="1" spans="1:8">
      <c r="A21" s="247">
        <v>19</v>
      </c>
      <c r="B21" s="249" t="s">
        <v>157</v>
      </c>
      <c r="C21" s="248" t="s">
        <v>1116</v>
      </c>
      <c r="D21" s="254" t="s">
        <v>139</v>
      </c>
      <c r="E21" s="250">
        <v>153</v>
      </c>
      <c r="F21" s="251">
        <v>0</v>
      </c>
      <c r="G21" s="24" t="s">
        <v>1141</v>
      </c>
      <c r="H21" s="41" t="s">
        <v>1106</v>
      </c>
    </row>
    <row r="22" spans="1:7">
      <c r="A22" s="247">
        <v>20</v>
      </c>
      <c r="B22" s="249" t="s">
        <v>157</v>
      </c>
      <c r="C22" s="248" t="s">
        <v>1142</v>
      </c>
      <c r="D22" s="248" t="s">
        <v>1143</v>
      </c>
      <c r="E22" s="255">
        <v>7670</v>
      </c>
      <c r="F22" s="85">
        <v>4</v>
      </c>
      <c r="G22" s="24" t="s">
        <v>1144</v>
      </c>
    </row>
    <row r="23" spans="1:7">
      <c r="A23" s="247">
        <v>21</v>
      </c>
      <c r="B23" s="249" t="s">
        <v>157</v>
      </c>
      <c r="C23" s="248" t="s">
        <v>1142</v>
      </c>
      <c r="D23" s="248" t="s">
        <v>1145</v>
      </c>
      <c r="E23" s="255">
        <v>7670</v>
      </c>
      <c r="F23" s="85">
        <v>5</v>
      </c>
      <c r="G23" s="24" t="s">
        <v>1146</v>
      </c>
    </row>
    <row r="24" spans="1:7">
      <c r="A24" s="85">
        <v>22</v>
      </c>
      <c r="B24" s="249" t="s">
        <v>157</v>
      </c>
      <c r="C24" s="248" t="s">
        <v>1147</v>
      </c>
      <c r="D24" s="256" t="s">
        <v>1148</v>
      </c>
      <c r="E24" s="256">
        <v>520200</v>
      </c>
      <c r="F24" s="256">
        <v>7</v>
      </c>
      <c r="G24" s="256" t="s">
        <v>1149</v>
      </c>
    </row>
    <row r="25" spans="1:7">
      <c r="A25" s="85">
        <v>23</v>
      </c>
      <c r="B25" s="249" t="s">
        <v>157</v>
      </c>
      <c r="C25" s="248" t="s">
        <v>1147</v>
      </c>
      <c r="D25" s="256" t="s">
        <v>1150</v>
      </c>
      <c r="E25" s="256">
        <v>520201</v>
      </c>
      <c r="F25" s="256">
        <v>7</v>
      </c>
      <c r="G25" s="256" t="s">
        <v>1151</v>
      </c>
    </row>
    <row r="26" spans="1:7">
      <c r="A26" s="85">
        <v>24</v>
      </c>
      <c r="B26" s="249" t="s">
        <v>157</v>
      </c>
      <c r="C26" s="248" t="s">
        <v>1147</v>
      </c>
      <c r="D26" s="256" t="s">
        <v>1152</v>
      </c>
      <c r="E26" s="256">
        <v>520202</v>
      </c>
      <c r="F26" s="256">
        <v>7</v>
      </c>
      <c r="G26" s="256" t="s">
        <v>1153</v>
      </c>
    </row>
    <row r="27" spans="1:7">
      <c r="A27" s="85">
        <v>25</v>
      </c>
      <c r="B27" s="249" t="s">
        <v>157</v>
      </c>
      <c r="C27" s="248" t="s">
        <v>1147</v>
      </c>
      <c r="D27" s="256" t="s">
        <v>1154</v>
      </c>
      <c r="E27" s="256">
        <v>520203</v>
      </c>
      <c r="F27" s="256">
        <v>7</v>
      </c>
      <c r="G27" s="256" t="s">
        <v>1155</v>
      </c>
    </row>
    <row r="28" spans="1:7">
      <c r="A28" s="85">
        <v>26</v>
      </c>
      <c r="B28" s="249" t="s">
        <v>157</v>
      </c>
      <c r="C28" s="248" t="s">
        <v>1147</v>
      </c>
      <c r="D28" s="256" t="s">
        <v>1156</v>
      </c>
      <c r="E28" s="256">
        <v>520204</v>
      </c>
      <c r="F28" s="256">
        <v>7</v>
      </c>
      <c r="G28" s="256" t="s">
        <v>1157</v>
      </c>
    </row>
    <row r="29" spans="1:7">
      <c r="A29" s="85">
        <v>27</v>
      </c>
      <c r="B29" s="249" t="s">
        <v>157</v>
      </c>
      <c r="C29" s="248" t="s">
        <v>1147</v>
      </c>
      <c r="D29" s="256" t="s">
        <v>1158</v>
      </c>
      <c r="E29" s="256">
        <v>520205</v>
      </c>
      <c r="F29" s="256">
        <v>7</v>
      </c>
      <c r="G29" s="256" t="s">
        <v>1159</v>
      </c>
    </row>
    <row r="30" spans="1:7">
      <c r="A30" s="257">
        <v>28</v>
      </c>
      <c r="B30" s="257" t="s">
        <v>146</v>
      </c>
      <c r="C30" s="248" t="s">
        <v>1147</v>
      </c>
      <c r="D30" s="258" t="s">
        <v>1160</v>
      </c>
      <c r="E30" s="258">
        <v>520206</v>
      </c>
      <c r="F30" s="258">
        <v>7</v>
      </c>
      <c r="G30" s="258" t="s">
        <v>1161</v>
      </c>
    </row>
    <row r="31" spans="1:7">
      <c r="A31" s="85">
        <v>29</v>
      </c>
      <c r="B31" s="249" t="s">
        <v>157</v>
      </c>
      <c r="C31" s="248" t="s">
        <v>1147</v>
      </c>
      <c r="D31" s="256" t="s">
        <v>1162</v>
      </c>
      <c r="E31" s="256">
        <v>520207</v>
      </c>
      <c r="F31" s="256">
        <v>7</v>
      </c>
      <c r="G31" s="256" t="s">
        <v>1163</v>
      </c>
    </row>
    <row r="32" spans="1:7">
      <c r="A32" s="85">
        <v>30</v>
      </c>
      <c r="B32" s="252" t="s">
        <v>148</v>
      </c>
      <c r="C32" s="248" t="s">
        <v>1147</v>
      </c>
      <c r="D32" s="256" t="s">
        <v>1164</v>
      </c>
      <c r="E32" s="256">
        <v>520208</v>
      </c>
      <c r="F32" s="256">
        <v>7</v>
      </c>
      <c r="G32" s="256" t="s">
        <v>1165</v>
      </c>
    </row>
    <row r="33" spans="1:7">
      <c r="A33" s="85">
        <v>31</v>
      </c>
      <c r="B33" s="252" t="s">
        <v>148</v>
      </c>
      <c r="C33" s="248" t="s">
        <v>1147</v>
      </c>
      <c r="D33" s="256" t="s">
        <v>1166</v>
      </c>
      <c r="E33" s="256">
        <v>520209</v>
      </c>
      <c r="F33" s="256">
        <v>7</v>
      </c>
      <c r="G33" s="256" t="s">
        <v>1167</v>
      </c>
    </row>
    <row r="34" spans="1:7">
      <c r="A34" s="85">
        <v>32</v>
      </c>
      <c r="B34" s="252" t="s">
        <v>148</v>
      </c>
      <c r="C34" s="248" t="s">
        <v>1147</v>
      </c>
      <c r="D34" s="256" t="s">
        <v>1168</v>
      </c>
      <c r="E34" s="256">
        <v>520213</v>
      </c>
      <c r="F34" s="256">
        <v>7</v>
      </c>
      <c r="G34" s="256" t="s">
        <v>1169</v>
      </c>
    </row>
    <row r="35" spans="1:8">
      <c r="A35" s="85">
        <v>33</v>
      </c>
      <c r="B35" s="249" t="s">
        <v>157</v>
      </c>
      <c r="C35" s="248" t="s">
        <v>1111</v>
      </c>
      <c r="D35" s="24" t="s">
        <v>1170</v>
      </c>
      <c r="E35" s="255">
        <v>7649</v>
      </c>
      <c r="F35" s="85">
        <v>1</v>
      </c>
      <c r="G35" s="256" t="s">
        <v>1171</v>
      </c>
      <c r="H35" s="259" t="s">
        <v>968</v>
      </c>
    </row>
    <row r="36" spans="1:8">
      <c r="A36" s="85">
        <v>34</v>
      </c>
      <c r="B36" s="249" t="s">
        <v>157</v>
      </c>
      <c r="C36" s="248" t="s">
        <v>1111</v>
      </c>
      <c r="D36" s="24" t="s">
        <v>1172</v>
      </c>
      <c r="E36" s="255">
        <v>7649</v>
      </c>
      <c r="F36" s="85">
        <v>2</v>
      </c>
      <c r="G36" s="256" t="s">
        <v>1173</v>
      </c>
      <c r="H36" s="259" t="s">
        <v>968</v>
      </c>
    </row>
    <row r="37" spans="1:9">
      <c r="A37" s="85">
        <v>35</v>
      </c>
      <c r="B37" s="249" t="s">
        <v>157</v>
      </c>
      <c r="C37" s="24"/>
      <c r="D37" s="24" t="s">
        <v>1174</v>
      </c>
      <c r="E37" s="255">
        <v>1824</v>
      </c>
      <c r="F37" s="85">
        <v>1</v>
      </c>
      <c r="G37" s="260" t="s">
        <v>1175</v>
      </c>
      <c r="H37" s="259" t="s">
        <v>968</v>
      </c>
      <c r="I37" s="41" t="s">
        <v>1176</v>
      </c>
    </row>
    <row r="38" spans="1:8">
      <c r="A38" s="85">
        <v>36</v>
      </c>
      <c r="B38" s="249" t="s">
        <v>157</v>
      </c>
      <c r="C38" s="24"/>
      <c r="D38" s="24" t="s">
        <v>1177</v>
      </c>
      <c r="E38" s="255">
        <v>1810</v>
      </c>
      <c r="F38" s="85">
        <v>2</v>
      </c>
      <c r="G38" s="256" t="s">
        <v>1178</v>
      </c>
      <c r="H38" s="259" t="s">
        <v>968</v>
      </c>
    </row>
    <row r="39" spans="1:8">
      <c r="A39" s="85">
        <v>37</v>
      </c>
      <c r="B39" s="85"/>
      <c r="C39" s="24"/>
      <c r="D39" s="24" t="s">
        <v>1179</v>
      </c>
      <c r="E39" s="255">
        <v>1810</v>
      </c>
      <c r="F39" s="85">
        <v>11</v>
      </c>
      <c r="G39" s="256" t="s">
        <v>1180</v>
      </c>
      <c r="H39" s="259" t="s">
        <v>968</v>
      </c>
    </row>
    <row r="40" spans="1:8">
      <c r="A40" s="85">
        <v>38</v>
      </c>
      <c r="B40" s="85"/>
      <c r="C40" s="24"/>
      <c r="D40" s="24" t="s">
        <v>1181</v>
      </c>
      <c r="E40" s="255">
        <v>518310</v>
      </c>
      <c r="F40" s="85">
        <v>12</v>
      </c>
      <c r="G40" s="256" t="s">
        <v>1182</v>
      </c>
      <c r="H40" s="259" t="s">
        <v>968</v>
      </c>
    </row>
    <row r="41" spans="1:8">
      <c r="A41" s="85">
        <v>39</v>
      </c>
      <c r="B41" s="85"/>
      <c r="C41" s="24"/>
      <c r="D41" s="24" t="s">
        <v>1183</v>
      </c>
      <c r="E41" s="255">
        <v>5997</v>
      </c>
      <c r="F41" s="85">
        <v>12</v>
      </c>
      <c r="G41" s="256" t="s">
        <v>1184</v>
      </c>
      <c r="H41" s="259" t="s">
        <v>968</v>
      </c>
    </row>
    <row r="42" spans="1:8">
      <c r="A42" s="85">
        <v>40</v>
      </c>
      <c r="B42" s="85"/>
      <c r="C42" s="24"/>
      <c r="D42" s="24" t="s">
        <v>1185</v>
      </c>
      <c r="E42" s="255">
        <v>5997</v>
      </c>
      <c r="F42" s="85">
        <v>13</v>
      </c>
      <c r="G42" s="256" t="s">
        <v>1186</v>
      </c>
      <c r="H42" s="259" t="s">
        <v>968</v>
      </c>
    </row>
    <row r="43" spans="1:8">
      <c r="A43" s="85">
        <v>41</v>
      </c>
      <c r="B43" s="85"/>
      <c r="C43" s="24"/>
      <c r="D43" s="24" t="s">
        <v>1187</v>
      </c>
      <c r="E43" s="255">
        <v>7673</v>
      </c>
      <c r="F43" s="85">
        <v>7</v>
      </c>
      <c r="G43" s="256" t="s">
        <v>1188</v>
      </c>
      <c r="H43" s="259" t="s">
        <v>968</v>
      </c>
    </row>
    <row r="44" spans="1:8">
      <c r="A44" s="85">
        <v>42</v>
      </c>
      <c r="B44" s="85"/>
      <c r="C44" s="24"/>
      <c r="D44" s="24" t="s">
        <v>1189</v>
      </c>
      <c r="E44" s="255">
        <v>7673</v>
      </c>
      <c r="F44" s="85">
        <v>15</v>
      </c>
      <c r="G44" s="256" t="s">
        <v>1190</v>
      </c>
      <c r="H44" s="259" t="s">
        <v>968</v>
      </c>
    </row>
    <row r="45" spans="1:8">
      <c r="A45" s="85">
        <v>43</v>
      </c>
      <c r="B45" s="85"/>
      <c r="C45" s="24"/>
      <c r="D45" s="24" t="s">
        <v>1191</v>
      </c>
      <c r="E45" s="255">
        <v>7673</v>
      </c>
      <c r="F45" s="85">
        <v>16</v>
      </c>
      <c r="G45" s="256" t="s">
        <v>1192</v>
      </c>
      <c r="H45" s="259" t="s">
        <v>968</v>
      </c>
    </row>
    <row r="46" spans="1:8">
      <c r="A46" s="85">
        <v>44</v>
      </c>
      <c r="B46" s="85"/>
      <c r="C46" s="24"/>
      <c r="D46" s="24" t="s">
        <v>1193</v>
      </c>
      <c r="E46" s="255">
        <v>520213</v>
      </c>
      <c r="F46" s="85">
        <v>5</v>
      </c>
      <c r="G46" s="256" t="s">
        <v>1194</v>
      </c>
      <c r="H46" s="259" t="s">
        <v>968</v>
      </c>
    </row>
    <row r="47" spans="1:8">
      <c r="A47" s="85">
        <v>45</v>
      </c>
      <c r="B47" s="85"/>
      <c r="C47" s="24"/>
      <c r="D47" s="24" t="s">
        <v>1195</v>
      </c>
      <c r="E47" s="255">
        <v>520213</v>
      </c>
      <c r="F47" s="85">
        <v>6</v>
      </c>
      <c r="G47" s="256" t="s">
        <v>1196</v>
      </c>
      <c r="H47" s="259" t="s">
        <v>968</v>
      </c>
    </row>
    <row r="48" spans="1:8">
      <c r="A48" s="85">
        <v>46</v>
      </c>
      <c r="B48" s="85"/>
      <c r="C48" s="24"/>
      <c r="D48" s="24" t="s">
        <v>1197</v>
      </c>
      <c r="E48" s="255">
        <v>520213</v>
      </c>
      <c r="F48" s="85">
        <v>8</v>
      </c>
      <c r="G48" s="256" t="s">
        <v>1198</v>
      </c>
      <c r="H48" s="259" t="s">
        <v>968</v>
      </c>
    </row>
    <row r="49" spans="1:8">
      <c r="A49" s="85">
        <v>47</v>
      </c>
      <c r="B49" s="85"/>
      <c r="C49" s="24"/>
      <c r="D49" s="24" t="s">
        <v>1199</v>
      </c>
      <c r="E49" s="255">
        <v>520213</v>
      </c>
      <c r="F49" s="85">
        <v>9</v>
      </c>
      <c r="G49" s="256" t="s">
        <v>1200</v>
      </c>
      <c r="H49" s="259" t="s">
        <v>968</v>
      </c>
    </row>
    <row r="50" spans="1:8">
      <c r="A50" s="85">
        <v>48</v>
      </c>
      <c r="B50" s="85"/>
      <c r="C50" s="24"/>
      <c r="D50" s="24" t="s">
        <v>1201</v>
      </c>
      <c r="E50" s="255">
        <v>520213</v>
      </c>
      <c r="F50" s="85">
        <v>10</v>
      </c>
      <c r="G50" s="256" t="s">
        <v>1202</v>
      </c>
      <c r="H50" s="259" t="s">
        <v>968</v>
      </c>
    </row>
    <row r="51" spans="1:8">
      <c r="A51" s="85">
        <v>49</v>
      </c>
      <c r="B51" s="85"/>
      <c r="C51" s="24"/>
      <c r="D51" s="24" t="s">
        <v>1203</v>
      </c>
      <c r="E51" s="255">
        <v>520213</v>
      </c>
      <c r="F51" s="85">
        <v>16</v>
      </c>
      <c r="G51" s="256" t="s">
        <v>1204</v>
      </c>
      <c r="H51" s="259" t="s">
        <v>968</v>
      </c>
    </row>
    <row r="52" spans="1:8">
      <c r="A52" s="85">
        <v>50</v>
      </c>
      <c r="B52" s="85"/>
      <c r="C52" s="24"/>
      <c r="D52" s="24" t="s">
        <v>1205</v>
      </c>
      <c r="E52" s="255">
        <v>520214</v>
      </c>
      <c r="F52" s="85">
        <v>7</v>
      </c>
      <c r="G52" s="256" t="s">
        <v>1206</v>
      </c>
      <c r="H52" s="259" t="s">
        <v>968</v>
      </c>
    </row>
    <row r="53" spans="1:8">
      <c r="A53" s="85">
        <v>51</v>
      </c>
      <c r="B53" s="85"/>
      <c r="C53" s="24"/>
      <c r="D53" s="24" t="s">
        <v>1207</v>
      </c>
      <c r="E53" s="255">
        <v>177</v>
      </c>
      <c r="F53" s="85">
        <v>0</v>
      </c>
      <c r="G53" s="256" t="s">
        <v>1208</v>
      </c>
      <c r="H53" s="259" t="s">
        <v>968</v>
      </c>
    </row>
    <row r="54" spans="1:8">
      <c r="A54" s="85">
        <v>52</v>
      </c>
      <c r="B54" s="85"/>
      <c r="C54" s="24"/>
      <c r="D54" s="24" t="s">
        <v>1209</v>
      </c>
      <c r="E54" s="255">
        <v>177</v>
      </c>
      <c r="F54" s="85">
        <v>16</v>
      </c>
      <c r="G54" s="256" t="s">
        <v>1210</v>
      </c>
      <c r="H54" s="259" t="s">
        <v>968</v>
      </c>
    </row>
    <row r="55" spans="1:8">
      <c r="A55" s="85">
        <v>53</v>
      </c>
      <c r="B55" s="85"/>
      <c r="C55" s="24"/>
      <c r="D55" s="24" t="s">
        <v>1211</v>
      </c>
      <c r="E55" s="255">
        <v>6031</v>
      </c>
      <c r="F55" s="85">
        <v>4</v>
      </c>
      <c r="G55" s="256" t="s">
        <v>1212</v>
      </c>
      <c r="H55" s="259" t="s">
        <v>968</v>
      </c>
    </row>
    <row r="56" spans="1:8">
      <c r="A56" s="85">
        <v>54</v>
      </c>
      <c r="B56" s="85"/>
      <c r="C56" s="24"/>
      <c r="D56" s="24" t="s">
        <v>1213</v>
      </c>
      <c r="E56" s="255">
        <v>6031</v>
      </c>
      <c r="F56" s="85">
        <v>3</v>
      </c>
      <c r="G56" s="256" t="s">
        <v>1214</v>
      </c>
      <c r="H56" s="259" t="s">
        <v>968</v>
      </c>
    </row>
    <row r="57" spans="1:8">
      <c r="A57" s="85">
        <v>55</v>
      </c>
      <c r="B57" s="85"/>
      <c r="C57" s="24"/>
      <c r="D57" s="24" t="s">
        <v>1215</v>
      </c>
      <c r="E57" s="255">
        <v>518389</v>
      </c>
      <c r="F57" s="85">
        <v>7</v>
      </c>
      <c r="G57" s="256" t="s">
        <v>1216</v>
      </c>
      <c r="H57" s="259" t="s">
        <v>968</v>
      </c>
    </row>
    <row r="58" spans="1:8">
      <c r="A58" s="85">
        <v>56</v>
      </c>
      <c r="B58" s="85"/>
      <c r="C58" s="24"/>
      <c r="D58" s="24" t="s">
        <v>1217</v>
      </c>
      <c r="E58" s="255">
        <v>518390</v>
      </c>
      <c r="F58" s="85">
        <v>7</v>
      </c>
      <c r="G58" s="256" t="s">
        <v>1218</v>
      </c>
      <c r="H58" s="259" t="s">
        <v>968</v>
      </c>
    </row>
    <row r="59" spans="1:8">
      <c r="A59" s="85">
        <v>57</v>
      </c>
      <c r="B59" s="85"/>
      <c r="C59" s="24"/>
      <c r="D59" s="24" t="s">
        <v>1219</v>
      </c>
      <c r="E59" s="255">
        <v>518391</v>
      </c>
      <c r="F59" s="85">
        <v>7</v>
      </c>
      <c r="G59" s="256" t="s">
        <v>1220</v>
      </c>
      <c r="H59" s="259" t="s">
        <v>968</v>
      </c>
    </row>
    <row r="60" spans="1:9">
      <c r="A60" s="85">
        <v>58</v>
      </c>
      <c r="B60" s="85"/>
      <c r="C60" s="24"/>
      <c r="D60" s="24" t="s">
        <v>1221</v>
      </c>
      <c r="E60" s="255">
        <v>518392</v>
      </c>
      <c r="F60" s="85">
        <v>7</v>
      </c>
      <c r="G60" s="256" t="s">
        <v>1222</v>
      </c>
      <c r="H60" s="259" t="s">
        <v>968</v>
      </c>
      <c r="I60" s="259" t="s">
        <v>1223</v>
      </c>
    </row>
    <row r="61" spans="1:9">
      <c r="A61" s="85">
        <v>59</v>
      </c>
      <c r="B61" s="85"/>
      <c r="C61" s="24"/>
      <c r="D61" s="24" t="s">
        <v>1224</v>
      </c>
      <c r="E61" s="255">
        <v>518393</v>
      </c>
      <c r="F61" s="85">
        <v>7</v>
      </c>
      <c r="G61" s="256" t="s">
        <v>1225</v>
      </c>
      <c r="H61" s="259" t="s">
        <v>968</v>
      </c>
      <c r="I61" s="259" t="s">
        <v>1223</v>
      </c>
    </row>
    <row r="62" spans="1:9">
      <c r="A62" s="85">
        <v>60</v>
      </c>
      <c r="B62" s="85"/>
      <c r="C62" s="24"/>
      <c r="D62" s="24" t="s">
        <v>1226</v>
      </c>
      <c r="E62" s="255">
        <v>518394</v>
      </c>
      <c r="F62" s="85">
        <v>7</v>
      </c>
      <c r="G62" s="256" t="s">
        <v>1227</v>
      </c>
      <c r="H62" s="259" t="s">
        <v>968</v>
      </c>
      <c r="I62" s="259" t="s">
        <v>1223</v>
      </c>
    </row>
    <row r="63" spans="1:8">
      <c r="A63" s="85">
        <v>61</v>
      </c>
      <c r="B63" s="85"/>
      <c r="C63" s="24"/>
      <c r="D63" s="24" t="s">
        <v>1228</v>
      </c>
      <c r="E63" s="255">
        <v>518395</v>
      </c>
      <c r="F63" s="85">
        <v>7</v>
      </c>
      <c r="G63" s="256" t="s">
        <v>1229</v>
      </c>
      <c r="H63" s="259" t="s">
        <v>968</v>
      </c>
    </row>
    <row r="64" spans="1:8">
      <c r="A64" s="85">
        <v>62</v>
      </c>
      <c r="B64" s="85"/>
      <c r="C64" s="24"/>
      <c r="D64" s="24" t="s">
        <v>1230</v>
      </c>
      <c r="E64" s="255">
        <v>518332</v>
      </c>
      <c r="F64" s="85">
        <v>13</v>
      </c>
      <c r="G64" s="256" t="s">
        <v>1231</v>
      </c>
      <c r="H64" s="259" t="s">
        <v>968</v>
      </c>
    </row>
    <row r="65" spans="1:8">
      <c r="A65" s="85">
        <v>63</v>
      </c>
      <c r="B65" s="85"/>
      <c r="C65" s="24"/>
      <c r="D65" s="24" t="s">
        <v>1232</v>
      </c>
      <c r="E65" s="255">
        <v>518332</v>
      </c>
      <c r="F65" s="85">
        <v>14</v>
      </c>
      <c r="G65" s="256" t="s">
        <v>1233</v>
      </c>
      <c r="H65" s="259" t="s">
        <v>968</v>
      </c>
    </row>
    <row r="66" spans="1:8">
      <c r="A66" s="85">
        <v>64</v>
      </c>
      <c r="B66" s="85"/>
      <c r="C66" s="24"/>
      <c r="D66" s="24" t="s">
        <v>1234</v>
      </c>
      <c r="E66" s="255">
        <v>518333</v>
      </c>
      <c r="F66" s="85">
        <v>13</v>
      </c>
      <c r="G66" s="256" t="s">
        <v>1235</v>
      </c>
      <c r="H66" s="259" t="s">
        <v>968</v>
      </c>
    </row>
    <row r="67" spans="1:8">
      <c r="A67" s="85">
        <v>65</v>
      </c>
      <c r="B67" s="261"/>
      <c r="C67" s="262"/>
      <c r="D67" s="262" t="s">
        <v>1236</v>
      </c>
      <c r="E67" s="263">
        <v>518333</v>
      </c>
      <c r="F67" s="261">
        <v>14</v>
      </c>
      <c r="G67" s="264" t="s">
        <v>1237</v>
      </c>
      <c r="H67" s="259" t="s">
        <v>968</v>
      </c>
    </row>
    <row r="68" spans="1:8">
      <c r="A68" s="85">
        <v>66</v>
      </c>
      <c r="B68" s="114" t="s">
        <v>157</v>
      </c>
      <c r="C68" s="59"/>
      <c r="D68" s="59" t="s">
        <v>1238</v>
      </c>
      <c r="E68" s="53">
        <v>1824</v>
      </c>
      <c r="F68" s="118">
        <v>1</v>
      </c>
      <c r="G68" s="23" t="s">
        <v>1239</v>
      </c>
      <c r="H68" s="24" t="s">
        <v>1240</v>
      </c>
    </row>
    <row r="69" spans="1:9">
      <c r="A69" s="85"/>
      <c r="B69" s="114" t="s">
        <v>157</v>
      </c>
      <c r="C69" s="248" t="s">
        <v>1119</v>
      </c>
      <c r="D69" s="59" t="s">
        <v>1177</v>
      </c>
      <c r="E69" s="53">
        <v>1810</v>
      </c>
      <c r="F69" s="118">
        <v>2</v>
      </c>
      <c r="G69" s="153" t="s">
        <v>1178</v>
      </c>
      <c r="H69" s="24"/>
      <c r="I69" t="s">
        <v>1241</v>
      </c>
    </row>
    <row r="70" spans="1:9">
      <c r="A70" s="85">
        <v>67</v>
      </c>
      <c r="B70" s="114" t="s">
        <v>157</v>
      </c>
      <c r="C70" s="248" t="s">
        <v>1119</v>
      </c>
      <c r="D70" s="59" t="s">
        <v>1183</v>
      </c>
      <c r="E70" s="53">
        <v>1810</v>
      </c>
      <c r="F70" s="118">
        <v>12</v>
      </c>
      <c r="G70" s="153" t="s">
        <v>1242</v>
      </c>
      <c r="H70" s="24" t="s">
        <v>1240</v>
      </c>
      <c r="I70" t="s">
        <v>1241</v>
      </c>
    </row>
    <row r="71" spans="1:9">
      <c r="A71" s="85">
        <v>68</v>
      </c>
      <c r="B71" s="114" t="s">
        <v>157</v>
      </c>
      <c r="C71" s="248" t="s">
        <v>1119</v>
      </c>
      <c r="D71" s="59" t="s">
        <v>1185</v>
      </c>
      <c r="E71" s="53">
        <v>1810</v>
      </c>
      <c r="F71" s="118">
        <v>13</v>
      </c>
      <c r="G71" s="153" t="s">
        <v>1243</v>
      </c>
      <c r="H71" s="24" t="s">
        <v>1240</v>
      </c>
      <c r="I71" t="s">
        <v>1241</v>
      </c>
    </row>
    <row r="72" spans="1:9">
      <c r="A72" s="85">
        <v>69</v>
      </c>
      <c r="B72" s="114" t="s">
        <v>157</v>
      </c>
      <c r="C72" s="248" t="s">
        <v>1119</v>
      </c>
      <c r="D72" s="59" t="s">
        <v>1244</v>
      </c>
      <c r="E72" s="53">
        <v>1810</v>
      </c>
      <c r="F72" s="118">
        <v>14</v>
      </c>
      <c r="G72" s="153" t="s">
        <v>1245</v>
      </c>
      <c r="H72" s="24" t="s">
        <v>1240</v>
      </c>
      <c r="I72" t="s">
        <v>1241</v>
      </c>
    </row>
    <row r="73" spans="1:9">
      <c r="A73" s="85">
        <v>70</v>
      </c>
      <c r="B73" s="114" t="s">
        <v>157</v>
      </c>
      <c r="C73" s="248" t="s">
        <v>1119</v>
      </c>
      <c r="D73" s="59" t="s">
        <v>1246</v>
      </c>
      <c r="E73" s="53">
        <v>1810</v>
      </c>
      <c r="F73" s="118">
        <v>4</v>
      </c>
      <c r="G73" s="153" t="s">
        <v>1247</v>
      </c>
      <c r="H73" s="24" t="s">
        <v>1240</v>
      </c>
      <c r="I73" t="s">
        <v>1241</v>
      </c>
    </row>
    <row r="74" spans="1:8">
      <c r="A74" s="85">
        <v>71</v>
      </c>
      <c r="B74" s="114" t="s">
        <v>157</v>
      </c>
      <c r="C74" s="248" t="s">
        <v>1119</v>
      </c>
      <c r="D74" s="59" t="s">
        <v>1248</v>
      </c>
      <c r="E74" s="53">
        <v>518332</v>
      </c>
      <c r="F74" s="118">
        <v>11</v>
      </c>
      <c r="G74" s="23" t="s">
        <v>1249</v>
      </c>
      <c r="H74" s="24" t="s">
        <v>1240</v>
      </c>
    </row>
    <row r="75" spans="1:8">
      <c r="A75" s="85">
        <v>72</v>
      </c>
      <c r="B75" s="114" t="s">
        <v>157</v>
      </c>
      <c r="C75" s="248" t="s">
        <v>1119</v>
      </c>
      <c r="D75" s="59" t="s">
        <v>1250</v>
      </c>
      <c r="E75" s="53">
        <v>7670</v>
      </c>
      <c r="F75" s="118">
        <v>6</v>
      </c>
      <c r="G75" s="23" t="s">
        <v>1251</v>
      </c>
      <c r="H75" s="24" t="s">
        <v>1240</v>
      </c>
    </row>
    <row r="76" spans="1:8">
      <c r="A76" s="85">
        <v>73</v>
      </c>
      <c r="B76" s="114" t="s">
        <v>157</v>
      </c>
      <c r="C76" s="248" t="s">
        <v>1119</v>
      </c>
      <c r="D76" s="59" t="s">
        <v>1252</v>
      </c>
      <c r="E76" s="53">
        <v>7670</v>
      </c>
      <c r="F76" s="118">
        <v>7</v>
      </c>
      <c r="G76" s="23" t="s">
        <v>1253</v>
      </c>
      <c r="H76" s="24" t="s">
        <v>1240</v>
      </c>
    </row>
    <row r="77" spans="1:8">
      <c r="A77" s="85">
        <v>74</v>
      </c>
      <c r="B77" s="114" t="s">
        <v>157</v>
      </c>
      <c r="C77" s="248" t="s">
        <v>1119</v>
      </c>
      <c r="D77" s="59" t="s">
        <v>1254</v>
      </c>
      <c r="E77" s="53">
        <v>7670</v>
      </c>
      <c r="F77" s="118">
        <v>8</v>
      </c>
      <c r="G77" s="23" t="s">
        <v>1255</v>
      </c>
      <c r="H77" s="24" t="s">
        <v>1240</v>
      </c>
    </row>
    <row r="78" spans="1:8">
      <c r="A78" s="85">
        <v>75</v>
      </c>
      <c r="B78" s="114" t="s">
        <v>157</v>
      </c>
      <c r="C78" s="136" t="s">
        <v>1256</v>
      </c>
      <c r="D78" s="59" t="s">
        <v>1257</v>
      </c>
      <c r="E78" s="255">
        <v>522110</v>
      </c>
      <c r="F78" s="85">
        <v>5</v>
      </c>
      <c r="G78" s="255" t="s">
        <v>1258</v>
      </c>
      <c r="H78" s="24" t="s">
        <v>353</v>
      </c>
    </row>
    <row r="79" spans="1:8">
      <c r="A79" s="85">
        <v>76</v>
      </c>
      <c r="B79" s="114" t="s">
        <v>157</v>
      </c>
      <c r="C79" s="136" t="s">
        <v>1256</v>
      </c>
      <c r="D79" s="136" t="s">
        <v>1259</v>
      </c>
      <c r="E79" s="255">
        <v>522111</v>
      </c>
      <c r="F79" s="85">
        <v>8</v>
      </c>
      <c r="G79" s="255" t="s">
        <v>1260</v>
      </c>
      <c r="H79" s="24"/>
    </row>
    <row r="80" spans="1:8">
      <c r="A80" s="85">
        <v>77</v>
      </c>
      <c r="B80" s="114" t="s">
        <v>157</v>
      </c>
      <c r="C80" s="136" t="s">
        <v>1256</v>
      </c>
      <c r="D80" s="136" t="s">
        <v>1261</v>
      </c>
      <c r="E80" s="255">
        <v>522111</v>
      </c>
      <c r="F80" s="85">
        <v>6</v>
      </c>
      <c r="G80" s="255" t="s">
        <v>1262</v>
      </c>
      <c r="H80" s="24"/>
    </row>
    <row r="81" spans="1:8">
      <c r="A81" s="85">
        <v>78</v>
      </c>
      <c r="B81" s="114" t="s">
        <v>157</v>
      </c>
      <c r="C81" s="136" t="s">
        <v>1256</v>
      </c>
      <c r="D81" s="136" t="s">
        <v>1263</v>
      </c>
      <c r="E81" s="255">
        <v>522111</v>
      </c>
      <c r="F81" s="85">
        <v>7</v>
      </c>
      <c r="G81" s="154" t="s">
        <v>1264</v>
      </c>
      <c r="H81" s="246" t="s">
        <v>1265</v>
      </c>
    </row>
    <row r="82" spans="1:8">
      <c r="A82" s="85">
        <v>79</v>
      </c>
      <c r="B82" s="265" t="s">
        <v>148</v>
      </c>
      <c r="C82" s="136" t="s">
        <v>1256</v>
      </c>
      <c r="D82" s="59" t="s">
        <v>1266</v>
      </c>
      <c r="E82" s="255">
        <v>522117</v>
      </c>
      <c r="F82" s="85">
        <v>12</v>
      </c>
      <c r="G82" s="255" t="s">
        <v>1267</v>
      </c>
      <c r="H82" s="24" t="s">
        <v>353</v>
      </c>
    </row>
    <row r="83" spans="1:8">
      <c r="A83" s="85">
        <v>80</v>
      </c>
      <c r="B83" s="265" t="s">
        <v>148</v>
      </c>
      <c r="C83" s="24" t="s">
        <v>1256</v>
      </c>
      <c r="D83" s="24" t="s">
        <v>1268</v>
      </c>
      <c r="E83" s="255">
        <v>522119</v>
      </c>
      <c r="F83" s="85">
        <v>12</v>
      </c>
      <c r="G83" s="255" t="s">
        <v>1269</v>
      </c>
      <c r="H83" s="24" t="s">
        <v>353</v>
      </c>
    </row>
    <row r="84" spans="1:8">
      <c r="A84" s="85">
        <v>81</v>
      </c>
      <c r="B84" s="114" t="s">
        <v>157</v>
      </c>
      <c r="C84" s="248" t="s">
        <v>1119</v>
      </c>
      <c r="D84" s="24" t="s">
        <v>1211</v>
      </c>
      <c r="E84" s="255">
        <v>177</v>
      </c>
      <c r="F84" s="85">
        <v>2</v>
      </c>
      <c r="G84" s="255" t="s">
        <v>1270</v>
      </c>
      <c r="H84" s="24" t="s">
        <v>1271</v>
      </c>
    </row>
    <row r="85" spans="1:8">
      <c r="A85" s="85">
        <v>82</v>
      </c>
      <c r="B85" s="114" t="s">
        <v>157</v>
      </c>
      <c r="C85" s="248" t="s">
        <v>1119</v>
      </c>
      <c r="D85" s="24" t="s">
        <v>1213</v>
      </c>
      <c r="E85" s="255">
        <v>177</v>
      </c>
      <c r="F85" s="85">
        <v>3</v>
      </c>
      <c r="G85" s="255" t="s">
        <v>1272</v>
      </c>
      <c r="H85" s="24" t="s">
        <v>1271</v>
      </c>
    </row>
    <row r="86" spans="1:8">
      <c r="A86" s="85">
        <v>83</v>
      </c>
      <c r="B86" s="114" t="s">
        <v>157</v>
      </c>
      <c r="C86" s="248" t="s">
        <v>1119</v>
      </c>
      <c r="D86" s="24" t="s">
        <v>1209</v>
      </c>
      <c r="E86" s="255">
        <v>177</v>
      </c>
      <c r="F86" s="85">
        <v>16</v>
      </c>
      <c r="G86" s="256" t="s">
        <v>1210</v>
      </c>
      <c r="H86" s="24" t="s">
        <v>1271</v>
      </c>
    </row>
    <row r="87" spans="1:8">
      <c r="A87" s="85">
        <v>84</v>
      </c>
      <c r="B87" s="114" t="s">
        <v>157</v>
      </c>
      <c r="C87" s="248" t="s">
        <v>1119</v>
      </c>
      <c r="D87" s="24" t="s">
        <v>1207</v>
      </c>
      <c r="E87" s="255">
        <v>177</v>
      </c>
      <c r="F87" s="85">
        <v>0</v>
      </c>
      <c r="G87" s="256" t="s">
        <v>1208</v>
      </c>
      <c r="H87" s="24" t="s">
        <v>1271</v>
      </c>
    </row>
    <row r="88" spans="1:9">
      <c r="A88" s="85">
        <v>85</v>
      </c>
      <c r="B88" s="114" t="s">
        <v>157</v>
      </c>
      <c r="C88" s="248" t="s">
        <v>1119</v>
      </c>
      <c r="D88" s="266" t="s">
        <v>1273</v>
      </c>
      <c r="E88" s="267">
        <v>7665</v>
      </c>
      <c r="F88" s="268">
        <v>3</v>
      </c>
      <c r="G88" s="269" t="s">
        <v>1274</v>
      </c>
      <c r="H88" s="24" t="s">
        <v>1271</v>
      </c>
      <c r="I88" t="s">
        <v>1241</v>
      </c>
    </row>
    <row r="89" spans="1:9">
      <c r="A89" s="85">
        <v>86</v>
      </c>
      <c r="B89" s="114" t="s">
        <v>157</v>
      </c>
      <c r="C89" s="248" t="s">
        <v>1119</v>
      </c>
      <c r="D89" s="266" t="s">
        <v>1275</v>
      </c>
      <c r="E89" s="267">
        <v>7669</v>
      </c>
      <c r="F89" s="268">
        <v>1</v>
      </c>
      <c r="G89" s="269" t="s">
        <v>1276</v>
      </c>
      <c r="H89" s="24" t="s">
        <v>1271</v>
      </c>
      <c r="I89" t="s">
        <v>1241</v>
      </c>
    </row>
    <row r="90" spans="1:9">
      <c r="A90" s="85">
        <v>87</v>
      </c>
      <c r="B90" s="114" t="s">
        <v>157</v>
      </c>
      <c r="C90" s="270" t="s">
        <v>1147</v>
      </c>
      <c r="D90" s="271" t="s">
        <v>1277</v>
      </c>
      <c r="E90" s="272">
        <v>4178</v>
      </c>
      <c r="F90" s="273">
        <v>5</v>
      </c>
      <c r="G90" s="274" t="s">
        <v>1278</v>
      </c>
      <c r="H90" s="246" t="s">
        <v>1279</v>
      </c>
      <c r="I90" t="s">
        <v>1241</v>
      </c>
    </row>
    <row r="91" spans="1:8">
      <c r="A91" s="85">
        <v>88</v>
      </c>
      <c r="B91" s="114" t="s">
        <v>157</v>
      </c>
      <c r="C91" s="270" t="s">
        <v>1147</v>
      </c>
      <c r="D91" s="271" t="s">
        <v>1280</v>
      </c>
      <c r="E91" s="272">
        <v>4178</v>
      </c>
      <c r="F91" s="273">
        <v>3</v>
      </c>
      <c r="G91" s="274" t="s">
        <v>1281</v>
      </c>
      <c r="H91" s="246" t="s">
        <v>1279</v>
      </c>
    </row>
    <row r="92" spans="1:8">
      <c r="A92" s="85">
        <v>89</v>
      </c>
      <c r="B92" s="114" t="s">
        <v>157</v>
      </c>
      <c r="C92" s="270" t="s">
        <v>1147</v>
      </c>
      <c r="D92" s="271" t="s">
        <v>1282</v>
      </c>
      <c r="E92" s="272">
        <v>4178</v>
      </c>
      <c r="F92" s="273">
        <v>4</v>
      </c>
      <c r="G92" s="274" t="s">
        <v>1283</v>
      </c>
      <c r="H92" s="246" t="s">
        <v>1279</v>
      </c>
    </row>
    <row r="93" spans="1:8">
      <c r="A93" s="85">
        <v>90</v>
      </c>
      <c r="B93" s="114" t="s">
        <v>157</v>
      </c>
      <c r="C93" s="270" t="s">
        <v>1119</v>
      </c>
      <c r="D93" s="275" t="s">
        <v>1284</v>
      </c>
      <c r="E93" s="272">
        <v>7665</v>
      </c>
      <c r="F93" s="273">
        <v>6</v>
      </c>
      <c r="G93" s="274" t="s">
        <v>1285</v>
      </c>
      <c r="H93" s="246" t="s">
        <v>1279</v>
      </c>
    </row>
    <row r="94" spans="1:10">
      <c r="A94" s="85">
        <v>91</v>
      </c>
      <c r="B94" s="114" t="s">
        <v>157</v>
      </c>
      <c r="C94" s="271" t="s">
        <v>1256</v>
      </c>
      <c r="D94" s="276" t="s">
        <v>1286</v>
      </c>
      <c r="E94" s="277">
        <v>5935</v>
      </c>
      <c r="F94" s="278">
        <v>1</v>
      </c>
      <c r="G94" s="274" t="s">
        <v>1287</v>
      </c>
      <c r="H94" s="246" t="s">
        <v>1279</v>
      </c>
      <c r="J94" s="279"/>
    </row>
    <row r="95" spans="1:10">
      <c r="A95" s="85">
        <v>92</v>
      </c>
      <c r="B95" s="114" t="s">
        <v>157</v>
      </c>
      <c r="C95" s="271" t="s">
        <v>1256</v>
      </c>
      <c r="D95" s="276" t="s">
        <v>1288</v>
      </c>
      <c r="E95" s="277">
        <v>5935</v>
      </c>
      <c r="F95" s="278">
        <v>2</v>
      </c>
      <c r="G95" s="274" t="s">
        <v>1289</v>
      </c>
      <c r="H95" s="246" t="s">
        <v>1279</v>
      </c>
      <c r="J95" s="279"/>
    </row>
    <row r="96" spans="1:10">
      <c r="A96" s="85">
        <v>93</v>
      </c>
      <c r="B96" s="114" t="s">
        <v>157</v>
      </c>
      <c r="C96" s="271" t="s">
        <v>1256</v>
      </c>
      <c r="D96" s="276" t="s">
        <v>1290</v>
      </c>
      <c r="E96" s="277">
        <v>5935</v>
      </c>
      <c r="F96" s="278">
        <v>4</v>
      </c>
      <c r="G96" s="274" t="s">
        <v>1291</v>
      </c>
      <c r="H96" s="246" t="s">
        <v>1279</v>
      </c>
      <c r="J96" s="279"/>
    </row>
    <row r="97" spans="1:10">
      <c r="A97" s="85">
        <v>94</v>
      </c>
      <c r="B97" s="114" t="s">
        <v>157</v>
      </c>
      <c r="C97" s="271" t="s">
        <v>1256</v>
      </c>
      <c r="D97" s="276" t="s">
        <v>1292</v>
      </c>
      <c r="E97" s="277">
        <v>5935</v>
      </c>
      <c r="F97" s="278">
        <v>3</v>
      </c>
      <c r="G97" s="274" t="s">
        <v>1293</v>
      </c>
      <c r="H97" s="246" t="s">
        <v>1279</v>
      </c>
      <c r="J97" s="279"/>
    </row>
    <row r="98" spans="1:10">
      <c r="A98" s="85">
        <v>95</v>
      </c>
      <c r="B98" s="114" t="s">
        <v>157</v>
      </c>
      <c r="C98" s="271" t="s">
        <v>1256</v>
      </c>
      <c r="D98" s="276" t="s">
        <v>1294</v>
      </c>
      <c r="E98" s="277">
        <v>5935</v>
      </c>
      <c r="F98" s="278">
        <v>9</v>
      </c>
      <c r="G98" s="274" t="s">
        <v>1295</v>
      </c>
      <c r="H98" s="246" t="s">
        <v>1279</v>
      </c>
      <c r="J98" s="279"/>
    </row>
    <row r="99" spans="1:10">
      <c r="A99" s="85">
        <v>96</v>
      </c>
      <c r="B99" s="114" t="s">
        <v>157</v>
      </c>
      <c r="C99" s="271" t="s">
        <v>1256</v>
      </c>
      <c r="D99" s="276" t="s">
        <v>1296</v>
      </c>
      <c r="E99" s="277">
        <v>5935</v>
      </c>
      <c r="F99" s="278">
        <v>10</v>
      </c>
      <c r="G99" s="274" t="s">
        <v>1297</v>
      </c>
      <c r="H99" s="246" t="s">
        <v>1279</v>
      </c>
      <c r="J99" s="279"/>
    </row>
    <row r="100" spans="1:10">
      <c r="A100" s="85">
        <v>97</v>
      </c>
      <c r="B100" s="114" t="s">
        <v>157</v>
      </c>
      <c r="C100" s="271" t="s">
        <v>1256</v>
      </c>
      <c r="D100" s="276" t="s">
        <v>1298</v>
      </c>
      <c r="E100" s="277">
        <v>5935</v>
      </c>
      <c r="F100" s="278">
        <v>8</v>
      </c>
      <c r="G100" s="274" t="s">
        <v>1299</v>
      </c>
      <c r="H100" s="246" t="s">
        <v>1279</v>
      </c>
      <c r="J100" s="279"/>
    </row>
    <row r="101" spans="1:10">
      <c r="A101" s="85">
        <v>98</v>
      </c>
      <c r="B101" s="114" t="s">
        <v>157</v>
      </c>
      <c r="C101" s="271" t="s">
        <v>1256</v>
      </c>
      <c r="D101" s="276" t="s">
        <v>1300</v>
      </c>
      <c r="E101" s="277">
        <v>1824</v>
      </c>
      <c r="F101" s="278">
        <v>2</v>
      </c>
      <c r="G101" s="274" t="s">
        <v>1301</v>
      </c>
      <c r="H101" s="246" t="s">
        <v>1279</v>
      </c>
      <c r="J101" s="279"/>
    </row>
    <row r="102" spans="1:10">
      <c r="A102" s="85">
        <v>99</v>
      </c>
      <c r="B102" s="114" t="s">
        <v>157</v>
      </c>
      <c r="C102" s="271" t="s">
        <v>1256</v>
      </c>
      <c r="D102" s="276" t="s">
        <v>1302</v>
      </c>
      <c r="E102" s="277">
        <v>522112</v>
      </c>
      <c r="F102" s="278">
        <v>13</v>
      </c>
      <c r="G102" s="274" t="s">
        <v>1303</v>
      </c>
      <c r="H102" s="246" t="s">
        <v>1279</v>
      </c>
      <c r="J102" s="279"/>
    </row>
    <row r="103" spans="1:10">
      <c r="A103" s="85">
        <v>100</v>
      </c>
      <c r="B103" s="114" t="s">
        <v>157</v>
      </c>
      <c r="C103" s="271" t="s">
        <v>1256</v>
      </c>
      <c r="D103" s="276" t="s">
        <v>1304</v>
      </c>
      <c r="E103" s="277">
        <v>522112</v>
      </c>
      <c r="F103" s="278">
        <v>2</v>
      </c>
      <c r="G103" s="274" t="s">
        <v>1305</v>
      </c>
      <c r="H103" s="246" t="s">
        <v>1279</v>
      </c>
      <c r="J103" s="279"/>
    </row>
    <row r="104" spans="1:10">
      <c r="A104" s="85">
        <v>101</v>
      </c>
      <c r="B104" s="114" t="s">
        <v>157</v>
      </c>
      <c r="C104" s="271" t="s">
        <v>1256</v>
      </c>
      <c r="D104" s="276" t="s">
        <v>1306</v>
      </c>
      <c r="E104" s="277">
        <v>522112</v>
      </c>
      <c r="F104" s="278">
        <v>7</v>
      </c>
      <c r="G104" s="274" t="s">
        <v>1307</v>
      </c>
      <c r="H104" s="246" t="s">
        <v>1279</v>
      </c>
      <c r="J104" s="279"/>
    </row>
    <row r="105" spans="1:10">
      <c r="A105" s="85">
        <v>102</v>
      </c>
      <c r="B105" s="114" t="s">
        <v>157</v>
      </c>
      <c r="C105" s="271" t="s">
        <v>1256</v>
      </c>
      <c r="D105" s="276" t="s">
        <v>1308</v>
      </c>
      <c r="E105" s="277">
        <v>522112</v>
      </c>
      <c r="F105" s="278">
        <v>8</v>
      </c>
      <c r="G105" s="274" t="s">
        <v>1309</v>
      </c>
      <c r="H105" s="246" t="s">
        <v>1279</v>
      </c>
      <c r="J105" s="279"/>
    </row>
    <row r="106" spans="1:10">
      <c r="A106" s="85">
        <v>103</v>
      </c>
      <c r="B106" s="114" t="s">
        <v>157</v>
      </c>
      <c r="C106" s="271" t="s">
        <v>1256</v>
      </c>
      <c r="D106" s="276" t="s">
        <v>1310</v>
      </c>
      <c r="E106" s="277">
        <v>6208</v>
      </c>
      <c r="F106" s="278">
        <v>7</v>
      </c>
      <c r="G106" s="274" t="s">
        <v>1311</v>
      </c>
      <c r="H106" s="246" t="s">
        <v>1279</v>
      </c>
      <c r="J106" s="279"/>
    </row>
    <row r="107" spans="1:10">
      <c r="A107" s="85">
        <v>104</v>
      </c>
      <c r="B107" s="114" t="s">
        <v>157</v>
      </c>
      <c r="C107" s="271" t="s">
        <v>1256</v>
      </c>
      <c r="D107" s="276" t="s">
        <v>1312</v>
      </c>
      <c r="E107" s="277">
        <v>522113</v>
      </c>
      <c r="F107" s="278">
        <v>13</v>
      </c>
      <c r="G107" s="274" t="s">
        <v>1313</v>
      </c>
      <c r="H107" s="246" t="s">
        <v>1279</v>
      </c>
      <c r="J107" s="279"/>
    </row>
    <row r="108" spans="1:10">
      <c r="A108" s="85">
        <v>105</v>
      </c>
      <c r="B108" s="114" t="s">
        <v>157</v>
      </c>
      <c r="C108" s="271" t="s">
        <v>1256</v>
      </c>
      <c r="D108" s="276" t="s">
        <v>1314</v>
      </c>
      <c r="E108" s="277">
        <v>522114</v>
      </c>
      <c r="F108" s="278">
        <v>13</v>
      </c>
      <c r="G108" s="274" t="s">
        <v>1315</v>
      </c>
      <c r="H108" s="246" t="s">
        <v>1279</v>
      </c>
      <c r="J108" s="279"/>
    </row>
    <row r="109" spans="1:10">
      <c r="A109" s="85">
        <v>106</v>
      </c>
      <c r="B109" s="114" t="s">
        <v>157</v>
      </c>
      <c r="C109" s="271" t="s">
        <v>1256</v>
      </c>
      <c r="D109" s="276" t="s">
        <v>1316</v>
      </c>
      <c r="E109" s="277">
        <v>522118</v>
      </c>
      <c r="F109" s="278">
        <v>9</v>
      </c>
      <c r="G109" s="274" t="s">
        <v>1317</v>
      </c>
      <c r="H109" s="246" t="s">
        <v>1279</v>
      </c>
      <c r="J109" s="279"/>
    </row>
    <row r="110" spans="1:10">
      <c r="A110" s="85">
        <v>107</v>
      </c>
      <c r="B110" s="114" t="s">
        <v>157</v>
      </c>
      <c r="C110" s="271" t="s">
        <v>1256</v>
      </c>
      <c r="D110" s="276" t="s">
        <v>1318</v>
      </c>
      <c r="E110" s="277">
        <v>522120</v>
      </c>
      <c r="F110" s="278">
        <v>9</v>
      </c>
      <c r="G110" s="274" t="s">
        <v>1319</v>
      </c>
      <c r="H110" s="246" t="s">
        <v>1279</v>
      </c>
      <c r="J110" s="279"/>
    </row>
    <row r="111" spans="1:10">
      <c r="A111" s="85">
        <v>108</v>
      </c>
      <c r="B111" s="114" t="s">
        <v>157</v>
      </c>
      <c r="C111" s="271" t="s">
        <v>1256</v>
      </c>
      <c r="D111" s="276" t="s">
        <v>1320</v>
      </c>
      <c r="E111" s="277">
        <v>522121</v>
      </c>
      <c r="F111" s="278">
        <v>9</v>
      </c>
      <c r="G111" s="274" t="s">
        <v>1321</v>
      </c>
      <c r="H111" s="246" t="s">
        <v>1279</v>
      </c>
      <c r="J111" s="279"/>
    </row>
    <row r="112" spans="1:10">
      <c r="A112" s="85">
        <v>109</v>
      </c>
      <c r="B112" s="114" t="s">
        <v>157</v>
      </c>
      <c r="C112" s="271" t="s">
        <v>1256</v>
      </c>
      <c r="D112" s="276" t="s">
        <v>1322</v>
      </c>
      <c r="E112" s="277">
        <v>522115</v>
      </c>
      <c r="F112" s="278">
        <v>8</v>
      </c>
      <c r="G112" s="274" t="s">
        <v>1323</v>
      </c>
      <c r="H112" s="246" t="s">
        <v>1279</v>
      </c>
      <c r="J112" s="279"/>
    </row>
    <row r="113" spans="1:10">
      <c r="A113" s="85">
        <v>110</v>
      </c>
      <c r="B113" s="114" t="s">
        <v>157</v>
      </c>
      <c r="C113" s="271" t="s">
        <v>1256</v>
      </c>
      <c r="D113" s="276" t="s">
        <v>1324</v>
      </c>
      <c r="E113" s="277">
        <v>522116</v>
      </c>
      <c r="F113" s="278">
        <v>8</v>
      </c>
      <c r="G113" s="274" t="s">
        <v>1325</v>
      </c>
      <c r="H113" s="246" t="s">
        <v>1279</v>
      </c>
      <c r="J113" s="279"/>
    </row>
    <row r="114" spans="5:6">
      <c r="E114" s="54"/>
      <c r="F114" s="229"/>
    </row>
  </sheetData>
  <autoFilter ref="A2:I113">
    <extLst/>
  </autoFilter>
  <hyperlinks>
    <hyperlink ref="A1" location="'控制器源地址&amp;跳转页面'!A1" display="返回目录"/>
  </hyperlink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A1"/>
    </sheetView>
  </sheetViews>
  <sheetFormatPr defaultColWidth="9" defaultRowHeight="13.5" outlineLevelCol="7"/>
  <cols>
    <col min="1" max="1" width="9.375" style="79" customWidth="1"/>
    <col min="2" max="3" width="9" style="79" customWidth="1"/>
    <col min="4" max="4" width="19.375" style="52" customWidth="1"/>
    <col min="5" max="6" width="9.5" customWidth="1"/>
    <col min="7" max="7" width="35.875" style="52" customWidth="1"/>
    <col min="8" max="8" width="23.75" customWidth="1"/>
    <col min="13" max="13" width="43.875" customWidth="1"/>
  </cols>
  <sheetData>
    <row r="1" ht="30.75" customHeight="1" spans="1:1">
      <c r="A1" s="80" t="s">
        <v>436</v>
      </c>
    </row>
    <row r="2" ht="20.1" customHeight="1" spans="1:7">
      <c r="A2" s="240" t="s">
        <v>125</v>
      </c>
      <c r="B2" s="240" t="s">
        <v>140</v>
      </c>
      <c r="C2" s="240" t="s">
        <v>141</v>
      </c>
      <c r="D2" s="230" t="s">
        <v>127</v>
      </c>
      <c r="E2" s="230" t="s">
        <v>142</v>
      </c>
      <c r="F2" s="230" t="s">
        <v>143</v>
      </c>
      <c r="G2" s="241" t="s">
        <v>283</v>
      </c>
    </row>
    <row r="3" ht="17.45" customHeight="1" spans="1:7">
      <c r="A3" s="240">
        <v>1</v>
      </c>
      <c r="B3" s="242" t="s">
        <v>157</v>
      </c>
      <c r="C3" s="26" t="s">
        <v>451</v>
      </c>
      <c r="D3" s="243" t="s">
        <v>1326</v>
      </c>
      <c r="E3" s="244">
        <v>521500</v>
      </c>
      <c r="F3" s="244">
        <v>0</v>
      </c>
      <c r="G3" s="232" t="str">
        <f>"DCDC"&amp;":"&amp;D3&amp;"("&amp;E3&amp;","&amp;F3&amp;")"</f>
        <v>DCDC:输出严重过压 (521500,0)</v>
      </c>
    </row>
    <row r="4" ht="17.45" customHeight="1" spans="1:7">
      <c r="A4" s="240">
        <v>2</v>
      </c>
      <c r="B4" s="242" t="s">
        <v>157</v>
      </c>
      <c r="C4" s="26" t="s">
        <v>475</v>
      </c>
      <c r="D4" s="243" t="s">
        <v>1327</v>
      </c>
      <c r="E4" s="244">
        <v>521500</v>
      </c>
      <c r="F4" s="244">
        <v>16</v>
      </c>
      <c r="G4" s="232" t="s">
        <v>1328</v>
      </c>
    </row>
    <row r="5" ht="17.45" customHeight="1" spans="1:7">
      <c r="A5" s="240">
        <v>3</v>
      </c>
      <c r="B5" s="242" t="s">
        <v>157</v>
      </c>
      <c r="C5" s="245" t="s">
        <v>451</v>
      </c>
      <c r="D5" s="243" t="s">
        <v>1329</v>
      </c>
      <c r="E5" s="244">
        <v>521501</v>
      </c>
      <c r="F5" s="244">
        <v>0</v>
      </c>
      <c r="G5" s="232" t="s">
        <v>1330</v>
      </c>
    </row>
    <row r="6" ht="17.45" customHeight="1" spans="1:7">
      <c r="A6" s="240">
        <v>4</v>
      </c>
      <c r="B6" s="242" t="s">
        <v>157</v>
      </c>
      <c r="C6" s="26" t="s">
        <v>451</v>
      </c>
      <c r="D6" s="243" t="s">
        <v>1331</v>
      </c>
      <c r="E6" s="244">
        <v>521502</v>
      </c>
      <c r="F6" s="244">
        <v>7</v>
      </c>
      <c r="G6" s="232" t="s">
        <v>1332</v>
      </c>
    </row>
    <row r="7" ht="17.45" customHeight="1" spans="1:7">
      <c r="A7" s="240">
        <v>5</v>
      </c>
      <c r="B7" s="242" t="s">
        <v>157</v>
      </c>
      <c r="C7" s="26" t="s">
        <v>451</v>
      </c>
      <c r="D7" s="243" t="s">
        <v>1333</v>
      </c>
      <c r="E7" s="244">
        <v>521503</v>
      </c>
      <c r="F7" s="244">
        <v>0</v>
      </c>
      <c r="G7" s="232" t="s">
        <v>1334</v>
      </c>
    </row>
    <row r="8" ht="17.45" customHeight="1" spans="1:7">
      <c r="A8" s="240">
        <v>6</v>
      </c>
      <c r="B8" s="242" t="s">
        <v>157</v>
      </c>
      <c r="C8" s="26" t="s">
        <v>449</v>
      </c>
      <c r="D8" s="243" t="s">
        <v>1335</v>
      </c>
      <c r="E8" s="244">
        <v>521504</v>
      </c>
      <c r="F8" s="244">
        <v>4</v>
      </c>
      <c r="G8" s="232" t="s">
        <v>1336</v>
      </c>
    </row>
    <row r="9" ht="17.45" customHeight="1" spans="1:7">
      <c r="A9" s="240">
        <v>7</v>
      </c>
      <c r="B9" s="242" t="s">
        <v>157</v>
      </c>
      <c r="C9" s="26" t="s">
        <v>460</v>
      </c>
      <c r="D9" s="243" t="s">
        <v>1337</v>
      </c>
      <c r="E9" s="244">
        <v>521505</v>
      </c>
      <c r="F9" s="244">
        <v>3</v>
      </c>
      <c r="G9" s="232" t="s">
        <v>1338</v>
      </c>
    </row>
    <row r="10" ht="17.45" customHeight="1" spans="1:8">
      <c r="A10" s="240">
        <v>8</v>
      </c>
      <c r="B10" s="242" t="s">
        <v>157</v>
      </c>
      <c r="C10" s="26" t="s">
        <v>451</v>
      </c>
      <c r="D10" s="236" t="s">
        <v>1339</v>
      </c>
      <c r="E10" s="237">
        <v>521506</v>
      </c>
      <c r="F10" s="237">
        <v>1</v>
      </c>
      <c r="G10" s="246" t="s">
        <v>1340</v>
      </c>
      <c r="H10" t="s">
        <v>465</v>
      </c>
    </row>
    <row r="11" ht="17.45" customHeight="1" spans="1:8">
      <c r="A11" s="240">
        <v>9</v>
      </c>
      <c r="B11" s="242" t="s">
        <v>157</v>
      </c>
      <c r="C11" s="26" t="s">
        <v>475</v>
      </c>
      <c r="D11" s="236" t="s">
        <v>1341</v>
      </c>
      <c r="E11" s="237">
        <v>521507</v>
      </c>
      <c r="F11" s="237">
        <v>12</v>
      </c>
      <c r="G11" s="246" t="s">
        <v>1342</v>
      </c>
      <c r="H11" t="s">
        <v>465</v>
      </c>
    </row>
    <row r="12" ht="17.45" customHeight="1" spans="1:8">
      <c r="A12" s="240">
        <v>10</v>
      </c>
      <c r="B12" s="242" t="s">
        <v>157</v>
      </c>
      <c r="C12" s="26" t="s">
        <v>451</v>
      </c>
      <c r="D12" s="236" t="s">
        <v>1343</v>
      </c>
      <c r="E12" s="237">
        <v>521508</v>
      </c>
      <c r="F12" s="237">
        <v>11</v>
      </c>
      <c r="G12" s="246" t="s">
        <v>1344</v>
      </c>
      <c r="H12" t="s">
        <v>465</v>
      </c>
    </row>
    <row r="13" ht="17.45" customHeight="1" spans="1:8">
      <c r="A13" s="240">
        <v>11</v>
      </c>
      <c r="B13" s="242" t="s">
        <v>157</v>
      </c>
      <c r="C13" s="26" t="s">
        <v>460</v>
      </c>
      <c r="D13" s="236" t="s">
        <v>1343</v>
      </c>
      <c r="E13" s="237">
        <v>521508</v>
      </c>
      <c r="F13" s="237">
        <v>7</v>
      </c>
      <c r="G13" s="246" t="s">
        <v>1345</v>
      </c>
      <c r="H13" t="s">
        <v>465</v>
      </c>
    </row>
    <row r="14" ht="17.45" customHeight="1" spans="1:8">
      <c r="A14" s="240">
        <v>12</v>
      </c>
      <c r="B14" s="242" t="s">
        <v>157</v>
      </c>
      <c r="C14" s="26" t="s">
        <v>451</v>
      </c>
      <c r="D14" s="236" t="s">
        <v>1346</v>
      </c>
      <c r="E14" s="237">
        <v>521509</v>
      </c>
      <c r="F14" s="237">
        <v>1</v>
      </c>
      <c r="G14" s="246" t="s">
        <v>1347</v>
      </c>
      <c r="H14" t="s">
        <v>465</v>
      </c>
    </row>
    <row r="15" ht="17.45" customHeight="1" spans="1:8">
      <c r="A15" s="240">
        <v>13</v>
      </c>
      <c r="B15" s="242" t="s">
        <v>157</v>
      </c>
      <c r="C15" s="26" t="s">
        <v>451</v>
      </c>
      <c r="D15" s="236" t="s">
        <v>1348</v>
      </c>
      <c r="E15" s="237">
        <v>521509</v>
      </c>
      <c r="F15" s="237">
        <v>0</v>
      </c>
      <c r="G15" s="246" t="s">
        <v>1349</v>
      </c>
      <c r="H15" t="s">
        <v>465</v>
      </c>
    </row>
    <row r="16" ht="17.45" customHeight="1" spans="1:8">
      <c r="A16" s="240">
        <v>14</v>
      </c>
      <c r="B16" s="242" t="s">
        <v>157</v>
      </c>
      <c r="C16" s="26" t="s">
        <v>451</v>
      </c>
      <c r="D16" s="236" t="s">
        <v>1350</v>
      </c>
      <c r="E16" s="237">
        <v>521510</v>
      </c>
      <c r="F16" s="237">
        <v>0</v>
      </c>
      <c r="G16" s="246" t="s">
        <v>1351</v>
      </c>
      <c r="H16" t="s">
        <v>465</v>
      </c>
    </row>
    <row r="17" ht="17.45" customHeight="1" spans="1:8">
      <c r="A17" s="240">
        <v>15</v>
      </c>
      <c r="B17" s="242" t="s">
        <v>157</v>
      </c>
      <c r="C17" s="26" t="s">
        <v>451</v>
      </c>
      <c r="D17" s="236" t="s">
        <v>1352</v>
      </c>
      <c r="E17" s="237">
        <v>521511</v>
      </c>
      <c r="F17" s="237">
        <v>0</v>
      </c>
      <c r="G17" s="246" t="s">
        <v>1353</v>
      </c>
      <c r="H17" t="s">
        <v>465</v>
      </c>
    </row>
    <row r="18" ht="17.45" customHeight="1" spans="1:8">
      <c r="A18" s="240">
        <v>16</v>
      </c>
      <c r="B18" s="242" t="s">
        <v>157</v>
      </c>
      <c r="C18" s="26" t="s">
        <v>449</v>
      </c>
      <c r="D18" s="236" t="s">
        <v>1354</v>
      </c>
      <c r="E18" s="237">
        <v>521512</v>
      </c>
      <c r="F18" s="237">
        <v>0</v>
      </c>
      <c r="G18" s="246" t="s">
        <v>1355</v>
      </c>
      <c r="H18" t="s">
        <v>465</v>
      </c>
    </row>
    <row r="19" ht="17.45" customHeight="1" spans="1:8">
      <c r="A19" s="240">
        <v>17</v>
      </c>
      <c r="B19" s="242" t="s">
        <v>157</v>
      </c>
      <c r="C19" s="26" t="s">
        <v>449</v>
      </c>
      <c r="D19" s="237" t="s">
        <v>1085</v>
      </c>
      <c r="E19" s="237">
        <v>521513</v>
      </c>
      <c r="F19" s="237">
        <v>12</v>
      </c>
      <c r="G19" s="246" t="s">
        <v>1356</v>
      </c>
      <c r="H19" t="s">
        <v>465</v>
      </c>
    </row>
    <row r="20" ht="17.45" customHeight="1" spans="1:8">
      <c r="A20" s="240">
        <v>18</v>
      </c>
      <c r="B20" s="242" t="s">
        <v>157</v>
      </c>
      <c r="C20" s="26" t="s">
        <v>475</v>
      </c>
      <c r="D20" s="236" t="s">
        <v>1357</v>
      </c>
      <c r="E20" s="237">
        <v>521514</v>
      </c>
      <c r="F20" s="237">
        <v>16</v>
      </c>
      <c r="G20" s="246" t="s">
        <v>1358</v>
      </c>
      <c r="H20" t="s">
        <v>465</v>
      </c>
    </row>
    <row r="21" ht="17.45" customHeight="1" spans="1:8">
      <c r="A21" s="240">
        <v>19</v>
      </c>
      <c r="B21" s="242" t="s">
        <v>157</v>
      </c>
      <c r="C21" s="26" t="s">
        <v>449</v>
      </c>
      <c r="D21" s="236" t="s">
        <v>1359</v>
      </c>
      <c r="E21" s="237">
        <v>521515</v>
      </c>
      <c r="F21" s="237">
        <v>7</v>
      </c>
      <c r="G21" s="246" t="s">
        <v>1360</v>
      </c>
      <c r="H21" t="s">
        <v>465</v>
      </c>
    </row>
  </sheetData>
  <hyperlinks>
    <hyperlink ref="A1" location="'控制器源地址&amp;跳转页面'!A1" display="返回目录"/>
  </hyperlink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A1" sqref="A1"/>
    </sheetView>
  </sheetViews>
  <sheetFormatPr defaultColWidth="9" defaultRowHeight="13.5" outlineLevelCol="7"/>
  <cols>
    <col min="1" max="1" width="10.875" style="79" customWidth="1"/>
    <col min="2" max="3" width="9" style="79" customWidth="1"/>
    <col min="4" max="4" width="23.625" style="52" customWidth="1"/>
    <col min="5" max="6" width="9.5" customWidth="1"/>
    <col min="7" max="7" width="56.25" customWidth="1"/>
    <col min="8" max="8" width="37.75" customWidth="1"/>
  </cols>
  <sheetData>
    <row r="1" ht="20.1" customHeight="1" spans="1:6">
      <c r="A1" s="80" t="s">
        <v>436</v>
      </c>
      <c r="B1" s="229"/>
      <c r="C1" s="229"/>
      <c r="D1" s="54"/>
      <c r="E1" s="55"/>
      <c r="F1" s="55"/>
    </row>
    <row r="2" ht="18.6" customHeight="1" spans="1:7">
      <c r="A2" s="118" t="s">
        <v>125</v>
      </c>
      <c r="B2" s="118" t="s">
        <v>140</v>
      </c>
      <c r="C2" s="118" t="s">
        <v>141</v>
      </c>
      <c r="D2" s="230" t="s">
        <v>127</v>
      </c>
      <c r="E2" s="230" t="s">
        <v>142</v>
      </c>
      <c r="F2" s="230" t="s">
        <v>143</v>
      </c>
      <c r="G2" s="231" t="s">
        <v>283</v>
      </c>
    </row>
    <row r="3" ht="18" customHeight="1" spans="1:7">
      <c r="A3" s="118">
        <v>1</v>
      </c>
      <c r="B3" s="137" t="s">
        <v>148</v>
      </c>
      <c r="C3" s="118" t="s">
        <v>449</v>
      </c>
      <c r="D3" s="232" t="s">
        <v>1361</v>
      </c>
      <c r="E3" s="230">
        <v>521550</v>
      </c>
      <c r="F3" s="230">
        <v>3</v>
      </c>
      <c r="G3" s="24" t="str">
        <f>"PDU"&amp;":"&amp;D3&amp;"("&amp;E3&amp;","&amp;F3&amp;")"</f>
        <v>PDU:输出短路(521550,3)</v>
      </c>
    </row>
    <row r="4" ht="18" customHeight="1" spans="1:7">
      <c r="A4" s="118">
        <v>2</v>
      </c>
      <c r="B4" s="137" t="s">
        <v>148</v>
      </c>
      <c r="C4" s="118"/>
      <c r="D4" s="232" t="s">
        <v>1362</v>
      </c>
      <c r="E4" s="230">
        <v>521551</v>
      </c>
      <c r="F4" s="230">
        <v>15</v>
      </c>
      <c r="G4" s="24" t="str">
        <f t="shared" ref="G4:G31" si="0">"PDU"&amp;":"&amp;D4&amp;"("&amp;E4&amp;","&amp;F4&amp;")"</f>
        <v>PDU:负载电容过大(521551,15)</v>
      </c>
    </row>
    <row r="5" ht="18" customHeight="1" spans="1:7">
      <c r="A5" s="118">
        <v>3</v>
      </c>
      <c r="B5" s="137" t="s">
        <v>148</v>
      </c>
      <c r="C5" s="118" t="s">
        <v>449</v>
      </c>
      <c r="D5" s="232" t="s">
        <v>1363</v>
      </c>
      <c r="E5" s="230">
        <v>521552</v>
      </c>
      <c r="F5" s="230">
        <v>5</v>
      </c>
      <c r="G5" s="24" t="str">
        <f t="shared" si="0"/>
        <v>PDU:外部输入高压失电超过3S(521552,5)</v>
      </c>
    </row>
    <row r="6" ht="18" customHeight="1" spans="1:7">
      <c r="A6" s="118">
        <v>4</v>
      </c>
      <c r="B6" s="137" t="s">
        <v>148</v>
      </c>
      <c r="C6" s="118"/>
      <c r="D6" s="232" t="s">
        <v>1364</v>
      </c>
      <c r="E6" s="230">
        <v>521553</v>
      </c>
      <c r="F6" s="230">
        <v>15</v>
      </c>
      <c r="G6" s="24" t="str">
        <f t="shared" si="0"/>
        <v>PDU:预充高压压差过大(521553,15)</v>
      </c>
    </row>
    <row r="7" ht="18" customHeight="1" spans="1:8">
      <c r="A7" s="118">
        <v>5</v>
      </c>
      <c r="B7" s="137" t="s">
        <v>148</v>
      </c>
      <c r="C7" s="118"/>
      <c r="D7" s="233" t="s">
        <v>1365</v>
      </c>
      <c r="E7" s="234">
        <v>521554</v>
      </c>
      <c r="F7" s="234">
        <v>31</v>
      </c>
      <c r="G7" s="235" t="str">
        <f t="shared" si="0"/>
        <v>PDU:预充失败(521554,31)</v>
      </c>
      <c r="H7" t="s">
        <v>1366</v>
      </c>
    </row>
    <row r="8" ht="18" customHeight="1" spans="1:8">
      <c r="A8" s="118">
        <v>6</v>
      </c>
      <c r="B8" s="137" t="s">
        <v>148</v>
      </c>
      <c r="C8" s="118"/>
      <c r="D8" s="236" t="s">
        <v>1367</v>
      </c>
      <c r="E8" s="237">
        <v>521554</v>
      </c>
      <c r="F8" s="237">
        <v>31</v>
      </c>
      <c r="G8" s="238" t="str">
        <f t="shared" si="0"/>
        <v>PDU:主驱接触器预充失败 (521554,31)</v>
      </c>
      <c r="H8" t="s">
        <v>465</v>
      </c>
    </row>
    <row r="9" ht="18" customHeight="1" spans="1:8">
      <c r="A9" s="118">
        <v>7</v>
      </c>
      <c r="B9" s="137" t="s">
        <v>148</v>
      </c>
      <c r="C9" s="118"/>
      <c r="D9" s="236" t="s">
        <v>1368</v>
      </c>
      <c r="E9" s="237">
        <v>521554</v>
      </c>
      <c r="F9" s="237">
        <v>30</v>
      </c>
      <c r="G9" s="238" t="str">
        <f t="shared" si="0"/>
        <v>PDU:辅驱接触器预充失败(521554,30)</v>
      </c>
      <c r="H9" t="s">
        <v>465</v>
      </c>
    </row>
    <row r="10" ht="18" customHeight="1" spans="1:8">
      <c r="A10" s="118">
        <v>8</v>
      </c>
      <c r="B10" s="137" t="s">
        <v>148</v>
      </c>
      <c r="C10" s="118"/>
      <c r="D10" s="236" t="s">
        <v>1369</v>
      </c>
      <c r="E10" s="237">
        <v>521554</v>
      </c>
      <c r="F10" s="237">
        <v>29</v>
      </c>
      <c r="G10" s="238" t="str">
        <f t="shared" si="0"/>
        <v>PDU:上装接触器预充失败(521554,29)</v>
      </c>
      <c r="H10" t="s">
        <v>465</v>
      </c>
    </row>
    <row r="11" ht="18" customHeight="1" spans="1:7">
      <c r="A11" s="118">
        <v>9</v>
      </c>
      <c r="B11" s="123" t="s">
        <v>146</v>
      </c>
      <c r="C11" s="118"/>
      <c r="D11" s="232" t="s">
        <v>1370</v>
      </c>
      <c r="E11" s="230">
        <v>521555</v>
      </c>
      <c r="F11" s="230">
        <v>2</v>
      </c>
      <c r="G11" s="24" t="str">
        <f t="shared" si="0"/>
        <v>PDU:MCU欠压复位(521555,2)</v>
      </c>
    </row>
    <row r="12" ht="18" customHeight="1" spans="1:8">
      <c r="A12" s="118">
        <v>10</v>
      </c>
      <c r="B12" s="137" t="s">
        <v>148</v>
      </c>
      <c r="C12" s="118" t="s">
        <v>460</v>
      </c>
      <c r="D12" s="236" t="s">
        <v>478</v>
      </c>
      <c r="E12" s="237">
        <v>521555</v>
      </c>
      <c r="F12" s="237">
        <v>1</v>
      </c>
      <c r="G12" s="238" t="str">
        <f t="shared" si="0"/>
        <v>PDU:辅助电源欠压(521555,1)</v>
      </c>
      <c r="H12" t="s">
        <v>465</v>
      </c>
    </row>
    <row r="13" ht="18" customHeight="1" spans="1:8">
      <c r="A13" s="118">
        <v>11</v>
      </c>
      <c r="B13" s="137" t="s">
        <v>148</v>
      </c>
      <c r="C13" s="239" t="s">
        <v>1371</v>
      </c>
      <c r="D13" s="236" t="s">
        <v>479</v>
      </c>
      <c r="E13" s="237">
        <v>521555</v>
      </c>
      <c r="F13" s="237">
        <v>16</v>
      </c>
      <c r="G13" s="238" t="str">
        <f t="shared" si="0"/>
        <v>PDU:辅助电源过压(521555,16)</v>
      </c>
      <c r="H13" t="s">
        <v>465</v>
      </c>
    </row>
    <row r="14" ht="18" customHeight="1" spans="1:7">
      <c r="A14" s="118">
        <v>12</v>
      </c>
      <c r="B14" s="137" t="s">
        <v>148</v>
      </c>
      <c r="C14" s="239" t="s">
        <v>475</v>
      </c>
      <c r="D14" s="232" t="s">
        <v>1372</v>
      </c>
      <c r="E14" s="230">
        <v>521555</v>
      </c>
      <c r="F14" s="230">
        <v>5</v>
      </c>
      <c r="G14" s="24" t="str">
        <f t="shared" si="0"/>
        <v>PDU:低压电控制失电(521555,5)</v>
      </c>
    </row>
    <row r="15" ht="18" customHeight="1" spans="1:7">
      <c r="A15" s="118">
        <v>13</v>
      </c>
      <c r="B15" s="123" t="s">
        <v>146</v>
      </c>
      <c r="C15" s="118"/>
      <c r="D15" s="232" t="s">
        <v>1373</v>
      </c>
      <c r="E15" s="230">
        <v>521556</v>
      </c>
      <c r="F15" s="230">
        <v>31</v>
      </c>
      <c r="G15" s="24" t="str">
        <f t="shared" si="0"/>
        <v>PDU:曾有禁止信号(521556,31)</v>
      </c>
    </row>
    <row r="16" ht="18" customHeight="1" spans="1:7">
      <c r="A16" s="118">
        <v>14</v>
      </c>
      <c r="B16" s="137" t="s">
        <v>148</v>
      </c>
      <c r="C16" s="239" t="s">
        <v>449</v>
      </c>
      <c r="D16" s="232" t="s">
        <v>1374</v>
      </c>
      <c r="E16" s="230">
        <v>521557</v>
      </c>
      <c r="F16" s="230">
        <v>1</v>
      </c>
      <c r="G16" s="24" t="str">
        <f t="shared" si="0"/>
        <v>PDU:高压输入异常(521557,1)</v>
      </c>
    </row>
    <row r="17" ht="18" customHeight="1" spans="1:7">
      <c r="A17" s="118">
        <v>15</v>
      </c>
      <c r="B17" s="137" t="s">
        <v>148</v>
      </c>
      <c r="C17" s="239" t="s">
        <v>449</v>
      </c>
      <c r="D17" s="232" t="s">
        <v>1375</v>
      </c>
      <c r="E17" s="230">
        <v>521558</v>
      </c>
      <c r="F17" s="230">
        <v>3</v>
      </c>
      <c r="G17" s="24" t="str">
        <f t="shared" si="0"/>
        <v>PDU:主接触器无法断开(521558,3)</v>
      </c>
    </row>
    <row r="18" ht="18" customHeight="1" spans="1:7">
      <c r="A18" s="118">
        <v>16</v>
      </c>
      <c r="B18" s="137" t="s">
        <v>148</v>
      </c>
      <c r="C18" s="239" t="s">
        <v>449</v>
      </c>
      <c r="D18" s="232" t="s">
        <v>1376</v>
      </c>
      <c r="E18" s="230">
        <v>521558</v>
      </c>
      <c r="F18" s="230">
        <v>5</v>
      </c>
      <c r="G18" s="24" t="str">
        <f t="shared" si="0"/>
        <v>PDU:主接触器无法闭合(521558,5)</v>
      </c>
    </row>
    <row r="19" ht="18" customHeight="1" spans="1:8">
      <c r="A19" s="118">
        <v>17</v>
      </c>
      <c r="B19" s="137" t="s">
        <v>148</v>
      </c>
      <c r="C19" s="239" t="s">
        <v>449</v>
      </c>
      <c r="D19" s="232" t="s">
        <v>1377</v>
      </c>
      <c r="E19" s="230">
        <v>521559</v>
      </c>
      <c r="F19" s="230">
        <v>3</v>
      </c>
      <c r="G19" s="24" t="str">
        <f t="shared" si="0"/>
        <v>PDU:辅驱接触器无法断开 (521559,3)</v>
      </c>
      <c r="H19" t="s">
        <v>1378</v>
      </c>
    </row>
    <row r="20" ht="18" customHeight="1" spans="1:8">
      <c r="A20" s="118">
        <v>18</v>
      </c>
      <c r="B20" s="137" t="s">
        <v>148</v>
      </c>
      <c r="C20" s="239" t="s">
        <v>449</v>
      </c>
      <c r="D20" s="232" t="s">
        <v>1379</v>
      </c>
      <c r="E20" s="230">
        <v>521559</v>
      </c>
      <c r="F20" s="230">
        <v>5</v>
      </c>
      <c r="G20" s="24" t="str">
        <f t="shared" si="0"/>
        <v>PDU:辅驱接触器无法闭合(521559,5)</v>
      </c>
      <c r="H20" t="s">
        <v>1378</v>
      </c>
    </row>
    <row r="21" ht="18" customHeight="1" spans="1:8">
      <c r="A21" s="118">
        <v>19</v>
      </c>
      <c r="B21" s="137" t="s">
        <v>148</v>
      </c>
      <c r="C21" s="239" t="s">
        <v>449</v>
      </c>
      <c r="D21" s="232" t="s">
        <v>437</v>
      </c>
      <c r="E21" s="230">
        <v>521560</v>
      </c>
      <c r="F21" s="230">
        <v>0</v>
      </c>
      <c r="G21" s="24" t="str">
        <f t="shared" si="0"/>
        <v>PDU:输入欠压(521560,0)</v>
      </c>
      <c r="H21" t="s">
        <v>1378</v>
      </c>
    </row>
    <row r="22" ht="18" customHeight="1" spans="1:8">
      <c r="A22" s="118">
        <v>20</v>
      </c>
      <c r="B22" s="137" t="s">
        <v>148</v>
      </c>
      <c r="C22" s="239" t="s">
        <v>449</v>
      </c>
      <c r="D22" s="232" t="s">
        <v>439</v>
      </c>
      <c r="E22" s="230">
        <v>521561</v>
      </c>
      <c r="F22" s="230">
        <v>0</v>
      </c>
      <c r="G22" s="24" t="str">
        <f t="shared" si="0"/>
        <v>PDU:输入过压(521561,0)</v>
      </c>
      <c r="H22" t="s">
        <v>1378</v>
      </c>
    </row>
    <row r="23" ht="18" customHeight="1" spans="1:8">
      <c r="A23" s="118">
        <v>21</v>
      </c>
      <c r="B23" s="137" t="s">
        <v>148</v>
      </c>
      <c r="C23" s="239" t="s">
        <v>451</v>
      </c>
      <c r="D23" s="232" t="s">
        <v>1380</v>
      </c>
      <c r="E23" s="230">
        <v>521562</v>
      </c>
      <c r="F23" s="230">
        <v>23</v>
      </c>
      <c r="G23" s="24" t="str">
        <f t="shared" si="0"/>
        <v>PDU:通讯故障 (521562,23)</v>
      </c>
      <c r="H23" t="s">
        <v>1378</v>
      </c>
    </row>
    <row r="24" ht="18" customHeight="1" spans="1:8">
      <c r="A24" s="118">
        <v>22</v>
      </c>
      <c r="B24" s="137" t="s">
        <v>148</v>
      </c>
      <c r="C24" s="239" t="s">
        <v>451</v>
      </c>
      <c r="D24" s="232" t="s">
        <v>1381</v>
      </c>
      <c r="E24" s="230">
        <v>521563</v>
      </c>
      <c r="F24" s="230">
        <v>3</v>
      </c>
      <c r="G24" s="24" t="str">
        <f t="shared" si="0"/>
        <v>PDU:其他接触器粘连 (521563,3)</v>
      </c>
      <c r="H24" t="s">
        <v>1378</v>
      </c>
    </row>
    <row r="25" ht="18" customHeight="1" spans="1:8">
      <c r="A25" s="118">
        <v>23</v>
      </c>
      <c r="B25" s="119" t="s">
        <v>157</v>
      </c>
      <c r="C25" s="239" t="s">
        <v>460</v>
      </c>
      <c r="D25" s="232" t="s">
        <v>1382</v>
      </c>
      <c r="E25" s="230">
        <v>521564</v>
      </c>
      <c r="F25" s="230">
        <v>2</v>
      </c>
      <c r="G25" s="24" t="str">
        <f t="shared" si="0"/>
        <v>PDU:上装用电硬线请求丢失(521564,2)</v>
      </c>
      <c r="H25" t="s">
        <v>1378</v>
      </c>
    </row>
    <row r="26" ht="18" customHeight="1" spans="1:8">
      <c r="A26" s="118">
        <v>24</v>
      </c>
      <c r="B26" s="137" t="s">
        <v>148</v>
      </c>
      <c r="C26" s="239" t="s">
        <v>449</v>
      </c>
      <c r="D26" s="237" t="s">
        <v>1085</v>
      </c>
      <c r="E26" s="237">
        <v>521565</v>
      </c>
      <c r="F26" s="237">
        <v>12</v>
      </c>
      <c r="G26" s="238" t="str">
        <f t="shared" si="0"/>
        <v>PDU:EEPROM故障(521565,12)</v>
      </c>
      <c r="H26" t="s">
        <v>465</v>
      </c>
    </row>
    <row r="27" ht="18" customHeight="1" spans="1:8">
      <c r="A27" s="118">
        <v>25</v>
      </c>
      <c r="B27" s="137" t="s">
        <v>148</v>
      </c>
      <c r="C27" s="239" t="s">
        <v>449</v>
      </c>
      <c r="D27" s="236" t="s">
        <v>1383</v>
      </c>
      <c r="E27" s="237">
        <v>521566</v>
      </c>
      <c r="F27" s="237">
        <v>0</v>
      </c>
      <c r="G27" s="238" t="str">
        <f t="shared" si="0"/>
        <v>PDU:初始化故障(521566,0)</v>
      </c>
      <c r="H27" t="s">
        <v>465</v>
      </c>
    </row>
    <row r="28" ht="18" customHeight="1" spans="1:8">
      <c r="A28" s="118">
        <v>26</v>
      </c>
      <c r="B28" s="137" t="s">
        <v>148</v>
      </c>
      <c r="C28" s="239" t="s">
        <v>449</v>
      </c>
      <c r="D28" s="236" t="s">
        <v>1384</v>
      </c>
      <c r="E28" s="237">
        <v>521567</v>
      </c>
      <c r="F28" s="237">
        <v>0</v>
      </c>
      <c r="G28" s="238" t="str">
        <f t="shared" si="0"/>
        <v>PDU:主驱回路带转速上电故障(521567,0)</v>
      </c>
      <c r="H28" t="s">
        <v>465</v>
      </c>
    </row>
    <row r="29" ht="18" customHeight="1" spans="1:8">
      <c r="A29" s="118">
        <v>27</v>
      </c>
      <c r="B29" s="137" t="s">
        <v>148</v>
      </c>
      <c r="C29" s="239" t="s">
        <v>449</v>
      </c>
      <c r="D29" s="236" t="s">
        <v>1385</v>
      </c>
      <c r="E29" s="237">
        <v>521568</v>
      </c>
      <c r="F29" s="237">
        <v>20</v>
      </c>
      <c r="G29" s="238" t="str">
        <f t="shared" si="0"/>
        <v>PDU:主驱回路上电反向压差大(521568,20)</v>
      </c>
      <c r="H29" t="s">
        <v>465</v>
      </c>
    </row>
    <row r="30" ht="18" customHeight="1" spans="1:8">
      <c r="A30" s="118">
        <v>28</v>
      </c>
      <c r="B30" s="137" t="s">
        <v>148</v>
      </c>
      <c r="C30" s="239" t="s">
        <v>449</v>
      </c>
      <c r="D30" s="236" t="s">
        <v>1386</v>
      </c>
      <c r="E30" s="237">
        <v>521568</v>
      </c>
      <c r="F30" s="237">
        <v>21</v>
      </c>
      <c r="G30" s="238" t="str">
        <f t="shared" si="0"/>
        <v>PDU:辅驱回路上电反向压差大(521568,21)</v>
      </c>
      <c r="H30" t="s">
        <v>465</v>
      </c>
    </row>
    <row r="31" ht="18" customHeight="1" spans="1:8">
      <c r="A31" s="118">
        <v>29</v>
      </c>
      <c r="B31" s="137" t="s">
        <v>148</v>
      </c>
      <c r="C31" s="239" t="s">
        <v>449</v>
      </c>
      <c r="D31" s="236" t="s">
        <v>1387</v>
      </c>
      <c r="E31" s="237">
        <v>521568</v>
      </c>
      <c r="F31" s="237">
        <v>22</v>
      </c>
      <c r="G31" s="238" t="str">
        <f t="shared" si="0"/>
        <v>PDU:上装回路上电反向压差大(521568,22)</v>
      </c>
      <c r="H31" t="s">
        <v>465</v>
      </c>
    </row>
    <row r="32" ht="18" customHeight="1"/>
  </sheetData>
  <hyperlinks>
    <hyperlink ref="A1" location="'控制器源地址&amp;跳转页面'!A1" display="返回目录"/>
  </hyperlinks>
  <pageMargins left="0.7" right="0.7" top="0.75" bottom="0.75" header="0.3" footer="0.3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6"/>
  <sheetViews>
    <sheetView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G15" sqref="G15"/>
    </sheetView>
  </sheetViews>
  <sheetFormatPr defaultColWidth="9" defaultRowHeight="13.5" outlineLevelCol="5"/>
  <cols>
    <col min="1" max="1" width="4.5" style="165" customWidth="1"/>
    <col min="2" max="2" width="10.25" style="165" customWidth="1"/>
    <col min="3" max="3" width="14" style="217" customWidth="1"/>
    <col min="4" max="4" width="33" style="165" customWidth="1"/>
    <col min="5" max="5" width="37.75" style="165" customWidth="1"/>
    <col min="6" max="6" width="37.875" style="165" customWidth="1"/>
    <col min="7" max="16384" width="9" style="165"/>
  </cols>
  <sheetData>
    <row r="1" ht="14.25" spans="1:5">
      <c r="A1" s="218" t="s">
        <v>125</v>
      </c>
      <c r="B1" s="218" t="s">
        <v>128</v>
      </c>
      <c r="C1" s="218" t="s">
        <v>129</v>
      </c>
      <c r="D1" s="219" t="s">
        <v>127</v>
      </c>
      <c r="E1" s="219" t="s">
        <v>1388</v>
      </c>
    </row>
    <row r="2" ht="14.25" spans="1:6">
      <c r="A2" s="220">
        <v>1</v>
      </c>
      <c r="B2" s="221">
        <v>1066</v>
      </c>
      <c r="C2" s="221">
        <v>13</v>
      </c>
      <c r="D2" s="222" t="s">
        <v>1389</v>
      </c>
      <c r="E2" s="223" t="s">
        <v>1390</v>
      </c>
      <c r="F2" s="165" t="s">
        <v>1391</v>
      </c>
    </row>
    <row r="3" ht="14.25" spans="1:6">
      <c r="A3" s="220">
        <v>2</v>
      </c>
      <c r="B3" s="221">
        <v>1807</v>
      </c>
      <c r="C3" s="221">
        <v>13</v>
      </c>
      <c r="D3" s="222" t="s">
        <v>1392</v>
      </c>
      <c r="E3" s="223" t="s">
        <v>1393</v>
      </c>
      <c r="F3" s="165" t="s">
        <v>1391</v>
      </c>
    </row>
    <row r="4" ht="14.25" spans="1:6">
      <c r="A4" s="220">
        <v>3</v>
      </c>
      <c r="B4" s="221">
        <v>1808</v>
      </c>
      <c r="C4" s="221">
        <v>13</v>
      </c>
      <c r="D4" s="222" t="s">
        <v>1394</v>
      </c>
      <c r="E4" s="223" t="s">
        <v>1395</v>
      </c>
      <c r="F4" s="165" t="s">
        <v>1391</v>
      </c>
    </row>
    <row r="5" ht="14.25" spans="1:6">
      <c r="A5" s="220">
        <v>4</v>
      </c>
      <c r="B5" s="221">
        <v>1809</v>
      </c>
      <c r="C5" s="221">
        <v>13</v>
      </c>
      <c r="D5" s="222" t="s">
        <v>1396</v>
      </c>
      <c r="E5" s="223" t="s">
        <v>1397</v>
      </c>
      <c r="F5" s="165" t="s">
        <v>1391</v>
      </c>
    </row>
    <row r="6" ht="42.95" customHeight="1" spans="1:5">
      <c r="A6" s="224"/>
      <c r="B6" s="224"/>
      <c r="C6" s="225"/>
      <c r="D6" s="224"/>
      <c r="E6" s="224"/>
    </row>
    <row r="7" ht="42.95" customHeight="1" spans="1:5">
      <c r="A7" s="226"/>
      <c r="B7" s="226"/>
      <c r="C7" s="227"/>
      <c r="D7" s="226"/>
      <c r="E7" s="226"/>
    </row>
    <row r="8" ht="42.95" customHeight="1" spans="1:5">
      <c r="A8" s="226"/>
      <c r="B8" s="226"/>
      <c r="C8" s="227"/>
      <c r="D8" s="226"/>
      <c r="E8" s="226"/>
    </row>
    <row r="9" ht="42.95" customHeight="1" spans="1:5">
      <c r="A9" s="226"/>
      <c r="B9" s="226"/>
      <c r="C9" s="227"/>
      <c r="D9" s="226"/>
      <c r="E9" s="226"/>
    </row>
    <row r="10" ht="42.95" customHeight="1" spans="1:5">
      <c r="A10" s="226"/>
      <c r="B10" s="226"/>
      <c r="C10" s="227"/>
      <c r="D10" s="226"/>
      <c r="E10" s="226"/>
    </row>
    <row r="11" ht="14.25" spans="1:5">
      <c r="A11" s="226"/>
      <c r="B11" s="226"/>
      <c r="C11" s="227"/>
      <c r="D11" s="226"/>
      <c r="E11" s="226"/>
    </row>
    <row r="12" ht="14.25" spans="1:5">
      <c r="A12" s="226"/>
      <c r="B12" s="226"/>
      <c r="C12" s="227"/>
      <c r="D12" s="226"/>
      <c r="E12" s="226"/>
    </row>
    <row r="13" ht="42.95" customHeight="1" spans="1:5">
      <c r="A13" s="226"/>
      <c r="B13" s="226"/>
      <c r="C13" s="227"/>
      <c r="D13" s="226"/>
      <c r="E13" s="226"/>
    </row>
    <row r="14" ht="42.95" customHeight="1" spans="1:5">
      <c r="A14" s="226"/>
      <c r="B14" s="226"/>
      <c r="C14" s="227"/>
      <c r="D14" s="226"/>
      <c r="E14" s="226"/>
    </row>
    <row r="15" ht="42.95" customHeight="1" spans="1:5">
      <c r="A15" s="226"/>
      <c r="B15" s="226"/>
      <c r="C15" s="227"/>
      <c r="D15" s="226"/>
      <c r="E15" s="226"/>
    </row>
    <row r="16" ht="14.25" spans="1:5">
      <c r="A16" s="226"/>
      <c r="B16" s="226"/>
      <c r="C16" s="227"/>
      <c r="D16" s="226"/>
      <c r="E16" s="226"/>
    </row>
    <row r="17" ht="42.95" customHeight="1" spans="1:5">
      <c r="A17" s="226"/>
      <c r="B17" s="226"/>
      <c r="C17" s="227"/>
      <c r="D17" s="226"/>
      <c r="E17" s="226"/>
    </row>
    <row r="18" ht="42.95" customHeight="1" spans="1:5">
      <c r="A18" s="226"/>
      <c r="B18" s="226"/>
      <c r="C18" s="227"/>
      <c r="D18" s="226"/>
      <c r="E18" s="226"/>
    </row>
    <row r="19" ht="42.95" customHeight="1" spans="1:5">
      <c r="A19" s="226"/>
      <c r="B19" s="226"/>
      <c r="C19" s="227"/>
      <c r="D19" s="226"/>
      <c r="E19" s="226"/>
    </row>
    <row r="20" ht="42.95" customHeight="1" spans="1:5">
      <c r="A20" s="226"/>
      <c r="B20" s="226"/>
      <c r="C20" s="227"/>
      <c r="D20" s="226"/>
      <c r="E20" s="226"/>
    </row>
    <row r="21" ht="42.95" customHeight="1" spans="1:5">
      <c r="A21" s="226"/>
      <c r="B21" s="226"/>
      <c r="C21" s="227"/>
      <c r="D21" s="226"/>
      <c r="E21" s="226"/>
    </row>
    <row r="22" ht="42.95" customHeight="1" spans="1:5">
      <c r="A22" s="226"/>
      <c r="B22" s="226"/>
      <c r="C22" s="227"/>
      <c r="D22" s="226"/>
      <c r="E22" s="226"/>
    </row>
    <row r="23" ht="42.95" customHeight="1" spans="1:5">
      <c r="A23" s="226"/>
      <c r="B23" s="226"/>
      <c r="C23" s="227"/>
      <c r="D23" s="226"/>
      <c r="E23" s="226"/>
    </row>
    <row r="24" ht="42.95" customHeight="1" spans="1:5">
      <c r="A24" s="226"/>
      <c r="B24" s="226"/>
      <c r="C24" s="227"/>
      <c r="D24" s="226"/>
      <c r="E24" s="226"/>
    </row>
    <row r="25" ht="42.95" customHeight="1" spans="1:5">
      <c r="A25" s="226"/>
      <c r="B25" s="226"/>
      <c r="C25" s="227"/>
      <c r="D25" s="226"/>
      <c r="E25" s="226"/>
    </row>
    <row r="26" ht="42.95" customHeight="1" spans="1:5">
      <c r="A26" s="226"/>
      <c r="B26" s="226"/>
      <c r="C26" s="227"/>
      <c r="D26" s="226"/>
      <c r="E26" s="226"/>
    </row>
    <row r="27" ht="42.95" customHeight="1" spans="1:5">
      <c r="A27" s="226"/>
      <c r="B27" s="226"/>
      <c r="C27" s="227"/>
      <c r="D27" s="226"/>
      <c r="E27" s="226"/>
    </row>
    <row r="28" ht="14.25" spans="1:5">
      <c r="A28" s="226"/>
      <c r="B28" s="226"/>
      <c r="C28" s="227"/>
      <c r="D28" s="226"/>
      <c r="E28" s="226"/>
    </row>
    <row r="29" ht="14.25" spans="1:5">
      <c r="A29" s="226"/>
      <c r="B29" s="226"/>
      <c r="C29" s="227"/>
      <c r="D29" s="226"/>
      <c r="E29" s="226"/>
    </row>
    <row r="30" ht="42.95" customHeight="1" spans="1:5">
      <c r="A30" s="226"/>
      <c r="B30" s="226"/>
      <c r="C30" s="227"/>
      <c r="D30" s="226"/>
      <c r="E30" s="226"/>
    </row>
    <row r="31" ht="42.95" customHeight="1" spans="1:5">
      <c r="A31" s="226"/>
      <c r="B31" s="226"/>
      <c r="C31" s="227"/>
      <c r="D31" s="226"/>
      <c r="E31" s="226"/>
    </row>
    <row r="32" ht="42.95" customHeight="1" spans="1:5">
      <c r="A32" s="226"/>
      <c r="B32" s="226"/>
      <c r="C32" s="227"/>
      <c r="D32" s="226"/>
      <c r="E32" s="226"/>
    </row>
    <row r="33" ht="42.95" customHeight="1" spans="1:5">
      <c r="A33" s="226"/>
      <c r="B33" s="226"/>
      <c r="C33" s="227"/>
      <c r="D33" s="226"/>
      <c r="E33" s="226"/>
    </row>
    <row r="34" ht="42.95" customHeight="1" spans="1:5">
      <c r="A34" s="226"/>
      <c r="B34" s="226"/>
      <c r="C34" s="227"/>
      <c r="D34" s="226"/>
      <c r="E34" s="226"/>
    </row>
    <row r="35" ht="42.95" customHeight="1" spans="1:5">
      <c r="A35" s="226"/>
      <c r="B35" s="226"/>
      <c r="C35" s="227"/>
      <c r="D35" s="226"/>
      <c r="E35" s="226"/>
    </row>
    <row r="36" ht="42.95" customHeight="1" spans="1:5">
      <c r="A36" s="226"/>
      <c r="B36" s="226"/>
      <c r="C36" s="227"/>
      <c r="D36" s="226"/>
      <c r="E36" s="226"/>
    </row>
    <row r="37" ht="42.95" customHeight="1" spans="1:5">
      <c r="A37" s="226"/>
      <c r="B37" s="226"/>
      <c r="C37" s="227"/>
      <c r="D37" s="226"/>
      <c r="E37" s="226"/>
    </row>
    <row r="38" ht="42.95" customHeight="1" spans="1:5">
      <c r="A38" s="226"/>
      <c r="B38" s="226"/>
      <c r="C38" s="227"/>
      <c r="D38" s="226"/>
      <c r="E38" s="226"/>
    </row>
    <row r="39" ht="42.95" customHeight="1" spans="1:5">
      <c r="A39" s="226"/>
      <c r="B39" s="226"/>
      <c r="C39" s="227"/>
      <c r="D39" s="226"/>
      <c r="E39" s="226"/>
    </row>
    <row r="40" ht="42.95" customHeight="1" spans="1:5">
      <c r="A40" s="226"/>
      <c r="B40" s="226"/>
      <c r="C40" s="227"/>
      <c r="D40" s="226"/>
      <c r="E40" s="226"/>
    </row>
    <row r="41" ht="42.95" customHeight="1" spans="1:5">
      <c r="A41" s="226"/>
      <c r="B41" s="226"/>
      <c r="C41" s="227"/>
      <c r="D41" s="226"/>
      <c r="E41" s="226"/>
    </row>
    <row r="42" ht="42.95" customHeight="1" spans="1:5">
      <c r="A42" s="226"/>
      <c r="B42" s="226"/>
      <c r="C42" s="227"/>
      <c r="D42" s="226"/>
      <c r="E42" s="226"/>
    </row>
    <row r="43" ht="42.95" customHeight="1" spans="1:5">
      <c r="A43" s="226"/>
      <c r="B43" s="226"/>
      <c r="C43" s="227"/>
      <c r="D43" s="226"/>
      <c r="E43" s="226"/>
    </row>
    <row r="44" ht="42.95" customHeight="1" spans="1:5">
      <c r="A44" s="226"/>
      <c r="B44" s="226"/>
      <c r="C44" s="227"/>
      <c r="D44" s="226"/>
      <c r="E44" s="226"/>
    </row>
    <row r="45" ht="42.95" customHeight="1" spans="1:5">
      <c r="A45" s="226"/>
      <c r="B45" s="226"/>
      <c r="C45" s="227"/>
      <c r="D45" s="226"/>
      <c r="E45" s="226"/>
    </row>
    <row r="46" ht="42.95" customHeight="1" spans="1:5">
      <c r="A46" s="226"/>
      <c r="B46" s="226"/>
      <c r="C46" s="227"/>
      <c r="D46" s="226"/>
      <c r="E46" s="226"/>
    </row>
    <row r="47" ht="42.95" customHeight="1" spans="1:5">
      <c r="A47" s="226"/>
      <c r="B47" s="226"/>
      <c r="C47" s="227"/>
      <c r="D47" s="226"/>
      <c r="E47" s="226"/>
    </row>
    <row r="48" ht="42.95" customHeight="1" spans="1:5">
      <c r="A48" s="226"/>
      <c r="B48" s="226"/>
      <c r="C48" s="227"/>
      <c r="D48" s="226"/>
      <c r="E48" s="226"/>
    </row>
    <row r="49" ht="42.95" customHeight="1" spans="1:5">
      <c r="A49" s="226"/>
      <c r="B49" s="226"/>
      <c r="C49" s="227"/>
      <c r="D49" s="226"/>
      <c r="E49" s="226"/>
    </row>
    <row r="50" ht="42.95" customHeight="1" spans="1:5">
      <c r="A50" s="226"/>
      <c r="B50" s="226"/>
      <c r="C50" s="227"/>
      <c r="D50" s="226"/>
      <c r="E50" s="226"/>
    </row>
    <row r="51" ht="42.95" customHeight="1" spans="1:5">
      <c r="A51" s="226"/>
      <c r="B51" s="226"/>
      <c r="C51" s="227"/>
      <c r="D51" s="226"/>
      <c r="E51" s="226"/>
    </row>
    <row r="52" ht="42.95" customHeight="1" spans="1:5">
      <c r="A52" s="226"/>
      <c r="B52" s="226"/>
      <c r="C52" s="227"/>
      <c r="D52" s="226"/>
      <c r="E52" s="226"/>
    </row>
    <row r="53" ht="42.95" customHeight="1" spans="1:5">
      <c r="A53" s="226"/>
      <c r="B53" s="226"/>
      <c r="C53" s="227"/>
      <c r="D53" s="226"/>
      <c r="E53" s="226"/>
    </row>
    <row r="54" ht="42.95" customHeight="1" spans="1:5">
      <c r="A54" s="226"/>
      <c r="B54" s="226"/>
      <c r="C54" s="227"/>
      <c r="D54" s="226"/>
      <c r="E54" s="226"/>
    </row>
    <row r="55" ht="42.95" customHeight="1" spans="1:5">
      <c r="A55" s="226"/>
      <c r="B55" s="226"/>
      <c r="C55" s="227"/>
      <c r="D55" s="226"/>
      <c r="E55" s="226"/>
    </row>
    <row r="56" ht="42.95" customHeight="1" spans="1:5">
      <c r="A56" s="226"/>
      <c r="B56" s="226"/>
      <c r="C56" s="227"/>
      <c r="D56" s="226"/>
      <c r="E56" s="226"/>
    </row>
    <row r="57" ht="42.95" customHeight="1" spans="1:5">
      <c r="A57" s="226"/>
      <c r="B57" s="226"/>
      <c r="C57" s="227"/>
      <c r="D57" s="226"/>
      <c r="E57" s="226"/>
    </row>
    <row r="58" ht="42.95" customHeight="1" spans="1:5">
      <c r="A58" s="226"/>
      <c r="B58" s="226"/>
      <c r="C58" s="227"/>
      <c r="D58" s="226"/>
      <c r="E58" s="226"/>
    </row>
    <row r="59" ht="42.95" customHeight="1" spans="1:5">
      <c r="A59" s="226"/>
      <c r="B59" s="226"/>
      <c r="C59" s="227"/>
      <c r="D59" s="226"/>
      <c r="E59" s="226"/>
    </row>
    <row r="60" ht="42.95" customHeight="1" spans="1:5">
      <c r="A60" s="226"/>
      <c r="B60" s="226"/>
      <c r="C60" s="227"/>
      <c r="D60" s="226"/>
      <c r="E60" s="226"/>
    </row>
    <row r="61" ht="42.95" customHeight="1" spans="1:5">
      <c r="A61" s="226"/>
      <c r="B61" s="226"/>
      <c r="C61" s="227"/>
      <c r="D61" s="226"/>
      <c r="E61" s="226"/>
    </row>
    <row r="62" ht="42.95" customHeight="1" spans="1:5">
      <c r="A62" s="226"/>
      <c r="B62" s="226"/>
      <c r="C62" s="227"/>
      <c r="D62" s="226"/>
      <c r="E62" s="226"/>
    </row>
    <row r="63" ht="42.95" customHeight="1" spans="1:5">
      <c r="A63" s="226"/>
      <c r="B63" s="226"/>
      <c r="C63" s="227"/>
      <c r="D63" s="226"/>
      <c r="E63" s="226"/>
    </row>
    <row r="64" ht="42.95" customHeight="1" spans="1:5">
      <c r="A64" s="226"/>
      <c r="B64" s="226"/>
      <c r="C64" s="227"/>
      <c r="D64" s="226"/>
      <c r="E64" s="226"/>
    </row>
    <row r="65" ht="42.95" customHeight="1" spans="1:5">
      <c r="A65" s="226"/>
      <c r="B65" s="226"/>
      <c r="C65" s="227"/>
      <c r="D65" s="226"/>
      <c r="E65" s="226"/>
    </row>
    <row r="66" ht="42.95" customHeight="1" spans="1:5">
      <c r="A66" s="226"/>
      <c r="B66" s="226"/>
      <c r="C66" s="227"/>
      <c r="D66" s="226"/>
      <c r="E66" s="226"/>
    </row>
    <row r="67" ht="42.95" customHeight="1" spans="1:5">
      <c r="A67" s="226"/>
      <c r="B67" s="226"/>
      <c r="C67" s="227"/>
      <c r="D67" s="226"/>
      <c r="E67" s="226"/>
    </row>
    <row r="68" ht="42.95" customHeight="1" spans="1:5">
      <c r="A68" s="226"/>
      <c r="B68" s="226"/>
      <c r="C68" s="227"/>
      <c r="D68" s="226"/>
      <c r="E68" s="226"/>
    </row>
    <row r="69" ht="42.95" customHeight="1" spans="1:5">
      <c r="A69" s="226"/>
      <c r="B69" s="226"/>
      <c r="C69" s="227"/>
      <c r="D69" s="226"/>
      <c r="E69" s="226"/>
    </row>
    <row r="70" ht="42.95" customHeight="1" spans="1:5">
      <c r="A70" s="226"/>
      <c r="B70" s="226"/>
      <c r="C70" s="227"/>
      <c r="D70" s="226"/>
      <c r="E70" s="226"/>
    </row>
    <row r="71" ht="42.95" customHeight="1" spans="1:5">
      <c r="A71" s="226"/>
      <c r="B71" s="226"/>
      <c r="C71" s="227"/>
      <c r="D71" s="226"/>
      <c r="E71" s="226"/>
    </row>
    <row r="72" ht="42.95" customHeight="1" spans="1:5">
      <c r="A72" s="226"/>
      <c r="B72" s="226"/>
      <c r="C72" s="227"/>
      <c r="D72" s="226"/>
      <c r="E72" s="226"/>
    </row>
    <row r="73" ht="42.95" customHeight="1" spans="1:5">
      <c r="A73" s="226"/>
      <c r="B73" s="226"/>
      <c r="C73" s="227"/>
      <c r="D73" s="226"/>
      <c r="E73" s="226"/>
    </row>
    <row r="74" ht="42.95" customHeight="1" spans="1:5">
      <c r="A74" s="226"/>
      <c r="B74" s="226"/>
      <c r="C74" s="227"/>
      <c r="D74" s="226"/>
      <c r="E74" s="226"/>
    </row>
    <row r="75" ht="42.95" customHeight="1" spans="1:5">
      <c r="A75" s="226"/>
      <c r="B75" s="226"/>
      <c r="C75" s="227"/>
      <c r="D75" s="226"/>
      <c r="E75" s="226"/>
    </row>
    <row r="76" ht="42.95" customHeight="1" spans="1:5">
      <c r="A76" s="226"/>
      <c r="B76" s="226"/>
      <c r="C76" s="227"/>
      <c r="D76" s="226"/>
      <c r="E76" s="226"/>
    </row>
    <row r="77" ht="42.95" customHeight="1" spans="1:5">
      <c r="A77" s="226"/>
      <c r="B77" s="226"/>
      <c r="C77" s="227"/>
      <c r="D77" s="226"/>
      <c r="E77" s="226"/>
    </row>
    <row r="78" ht="42.95" customHeight="1" spans="1:5">
      <c r="A78" s="226"/>
      <c r="B78" s="226"/>
      <c r="C78" s="227"/>
      <c r="D78" s="226"/>
      <c r="E78" s="226"/>
    </row>
    <row r="79" ht="42.95" customHeight="1" spans="1:5">
      <c r="A79" s="226"/>
      <c r="B79" s="226"/>
      <c r="C79" s="227"/>
      <c r="D79" s="226"/>
      <c r="E79" s="226"/>
    </row>
    <row r="80" ht="42.95" customHeight="1" spans="1:5">
      <c r="A80" s="226"/>
      <c r="B80" s="226"/>
      <c r="C80" s="227"/>
      <c r="D80" s="226"/>
      <c r="E80" s="226"/>
    </row>
    <row r="81" ht="42.95" customHeight="1" spans="1:5">
      <c r="A81" s="226"/>
      <c r="B81" s="226"/>
      <c r="C81" s="227"/>
      <c r="D81" s="226"/>
      <c r="E81" s="226"/>
    </row>
    <row r="82" ht="42.95" customHeight="1" spans="1:5">
      <c r="A82" s="226"/>
      <c r="B82" s="226"/>
      <c r="C82" s="227"/>
      <c r="D82" s="226"/>
      <c r="E82" s="226"/>
    </row>
    <row r="83" ht="42.95" customHeight="1" spans="1:5">
      <c r="A83" s="226"/>
      <c r="B83" s="226"/>
      <c r="C83" s="227"/>
      <c r="D83" s="226"/>
      <c r="E83" s="226"/>
    </row>
    <row r="84" ht="42.95" customHeight="1" spans="1:5">
      <c r="A84" s="226"/>
      <c r="B84" s="226"/>
      <c r="C84" s="227"/>
      <c r="D84" s="226"/>
      <c r="E84" s="226"/>
    </row>
    <row r="85" ht="42.95" customHeight="1" spans="1:5">
      <c r="A85" s="226"/>
      <c r="B85" s="226"/>
      <c r="C85" s="227"/>
      <c r="D85" s="226"/>
      <c r="E85" s="226"/>
    </row>
    <row r="86" ht="42.95" customHeight="1" spans="1:5">
      <c r="A86" s="226"/>
      <c r="B86" s="226"/>
      <c r="C86" s="227"/>
      <c r="D86" s="226"/>
      <c r="E86" s="226"/>
    </row>
    <row r="87" ht="42.95" customHeight="1" spans="1:5">
      <c r="A87" s="226"/>
      <c r="B87" s="226"/>
      <c r="C87" s="227"/>
      <c r="D87" s="226"/>
      <c r="E87" s="226"/>
    </row>
    <row r="88" ht="42.95" customHeight="1" spans="1:5">
      <c r="A88" s="226"/>
      <c r="B88" s="226"/>
      <c r="C88" s="227"/>
      <c r="D88" s="226"/>
      <c r="E88" s="226"/>
    </row>
    <row r="89" ht="42.95" customHeight="1" spans="1:5">
      <c r="A89" s="226"/>
      <c r="B89" s="226"/>
      <c r="C89" s="227"/>
      <c r="D89" s="226"/>
      <c r="E89" s="226"/>
    </row>
    <row r="90" ht="42.95" customHeight="1" spans="1:5">
      <c r="A90" s="226"/>
      <c r="B90" s="226"/>
      <c r="C90" s="227"/>
      <c r="D90" s="226"/>
      <c r="E90" s="226"/>
    </row>
    <row r="91" ht="42.95" customHeight="1" spans="1:5">
      <c r="A91" s="226"/>
      <c r="B91" s="226"/>
      <c r="C91" s="227"/>
      <c r="D91" s="226"/>
      <c r="E91" s="226"/>
    </row>
    <row r="92" ht="14.25" spans="1:5">
      <c r="A92" s="226"/>
      <c r="B92" s="226"/>
      <c r="C92" s="227"/>
      <c r="D92" s="226"/>
      <c r="E92" s="226"/>
    </row>
    <row r="93" ht="14.25" spans="1:5">
      <c r="A93" s="226"/>
      <c r="B93" s="226"/>
      <c r="C93" s="227"/>
      <c r="D93" s="226"/>
      <c r="E93" s="226"/>
    </row>
    <row r="94" ht="42.95" customHeight="1" spans="1:5">
      <c r="A94" s="226"/>
      <c r="B94" s="226"/>
      <c r="C94" s="227"/>
      <c r="D94" s="226"/>
      <c r="E94" s="226"/>
    </row>
    <row r="95" ht="42.95" customHeight="1" spans="1:5">
      <c r="A95" s="226"/>
      <c r="B95" s="226"/>
      <c r="C95" s="227"/>
      <c r="D95" s="226"/>
      <c r="E95" s="226"/>
    </row>
    <row r="96" ht="42.95" customHeight="1" spans="1:5">
      <c r="A96" s="226"/>
      <c r="B96" s="226"/>
      <c r="C96" s="227"/>
      <c r="D96" s="226"/>
      <c r="E96" s="226"/>
    </row>
    <row r="97" ht="42.95" customHeight="1" spans="1:5">
      <c r="A97" s="226"/>
      <c r="B97" s="226"/>
      <c r="C97" s="227"/>
      <c r="D97" s="226"/>
      <c r="E97" s="226"/>
    </row>
    <row r="98" ht="42.95" customHeight="1" spans="1:5">
      <c r="A98" s="226"/>
      <c r="B98" s="226"/>
      <c r="C98" s="227"/>
      <c r="D98" s="226"/>
      <c r="E98" s="226"/>
    </row>
    <row r="99" ht="42.95" customHeight="1" spans="1:5">
      <c r="A99" s="226"/>
      <c r="B99" s="226"/>
      <c r="C99" s="227"/>
      <c r="D99" s="226"/>
      <c r="E99" s="226"/>
    </row>
    <row r="100" ht="42.95" customHeight="1" spans="1:5">
      <c r="A100" s="226"/>
      <c r="B100" s="226"/>
      <c r="C100" s="227"/>
      <c r="D100" s="226"/>
      <c r="E100" s="226"/>
    </row>
    <row r="101" ht="42.95" customHeight="1" spans="1:5">
      <c r="A101" s="226"/>
      <c r="B101" s="226"/>
      <c r="C101" s="227"/>
      <c r="D101" s="226"/>
      <c r="E101" s="226"/>
    </row>
    <row r="102" ht="42.95" customHeight="1" spans="1:5">
      <c r="A102" s="226"/>
      <c r="B102" s="226"/>
      <c r="C102" s="227"/>
      <c r="D102" s="226"/>
      <c r="E102" s="226"/>
    </row>
    <row r="103" ht="42.95" customHeight="1" spans="1:5">
      <c r="A103" s="226"/>
      <c r="B103" s="226"/>
      <c r="C103" s="227"/>
      <c r="D103" s="226"/>
      <c r="E103" s="226"/>
    </row>
    <row r="104" ht="42.95" customHeight="1" spans="1:5">
      <c r="A104" s="226"/>
      <c r="B104" s="226"/>
      <c r="C104" s="227"/>
      <c r="D104" s="226"/>
      <c r="E104" s="226"/>
    </row>
    <row r="105" ht="42.95" customHeight="1" spans="1:5">
      <c r="A105" s="226"/>
      <c r="B105" s="226"/>
      <c r="C105" s="227"/>
      <c r="D105" s="226"/>
      <c r="E105" s="226"/>
    </row>
    <row r="106" ht="42.95" customHeight="1" spans="1:5">
      <c r="A106" s="226"/>
      <c r="B106" s="226"/>
      <c r="C106" s="227"/>
      <c r="D106" s="226"/>
      <c r="E106" s="226"/>
    </row>
    <row r="107" ht="42.95" customHeight="1" spans="1:5">
      <c r="A107" s="226"/>
      <c r="B107" s="226"/>
      <c r="C107" s="227"/>
      <c r="D107" s="226"/>
      <c r="E107" s="226"/>
    </row>
    <row r="108" ht="42.95" customHeight="1" spans="1:5">
      <c r="A108" s="226"/>
      <c r="B108" s="226"/>
      <c r="C108" s="227"/>
      <c r="D108" s="226"/>
      <c r="E108" s="226"/>
    </row>
    <row r="109" ht="42.95" customHeight="1" spans="1:5">
      <c r="A109" s="226"/>
      <c r="B109" s="226"/>
      <c r="C109" s="227"/>
      <c r="D109" s="226"/>
      <c r="E109" s="226"/>
    </row>
    <row r="110" ht="42.95" customHeight="1" spans="1:5">
      <c r="A110" s="226"/>
      <c r="B110" s="226"/>
      <c r="C110" s="227"/>
      <c r="D110" s="226"/>
      <c r="E110" s="226"/>
    </row>
    <row r="111" ht="42.95" customHeight="1" spans="1:5">
      <c r="A111" s="226"/>
      <c r="B111" s="226"/>
      <c r="C111" s="227"/>
      <c r="D111" s="226"/>
      <c r="E111" s="226"/>
    </row>
    <row r="112" ht="42.95" customHeight="1" spans="1:5">
      <c r="A112" s="226"/>
      <c r="B112" s="226"/>
      <c r="C112" s="227"/>
      <c r="D112" s="226"/>
      <c r="E112" s="226"/>
    </row>
    <row r="113" ht="42.95" customHeight="1" spans="1:5">
      <c r="A113" s="226"/>
      <c r="B113" s="226"/>
      <c r="C113" s="227"/>
      <c r="D113" s="226"/>
      <c r="E113" s="226"/>
    </row>
    <row r="114" ht="42.95" customHeight="1" spans="1:5">
      <c r="A114" s="226"/>
      <c r="B114" s="226"/>
      <c r="C114" s="227"/>
      <c r="D114" s="226"/>
      <c r="E114" s="226"/>
    </row>
    <row r="115" ht="42.95" customHeight="1" spans="1:5">
      <c r="A115" s="226"/>
      <c r="B115" s="226"/>
      <c r="C115" s="227"/>
      <c r="D115" s="226"/>
      <c r="E115" s="226"/>
    </row>
    <row r="116" ht="42.95" customHeight="1" spans="1:5">
      <c r="A116" s="226"/>
      <c r="B116" s="226"/>
      <c r="C116" s="227"/>
      <c r="D116" s="226"/>
      <c r="E116" s="226"/>
    </row>
    <row r="117" ht="42.95" customHeight="1" spans="1:5">
      <c r="A117" s="226"/>
      <c r="B117" s="226"/>
      <c r="C117" s="227"/>
      <c r="D117" s="226"/>
      <c r="E117" s="226"/>
    </row>
    <row r="118" ht="42.95" customHeight="1" spans="1:5">
      <c r="A118" s="226"/>
      <c r="B118" s="226"/>
      <c r="C118" s="227"/>
      <c r="D118" s="226"/>
      <c r="E118" s="226"/>
    </row>
    <row r="119" ht="42.95" customHeight="1" spans="1:5">
      <c r="A119" s="226"/>
      <c r="B119" s="226"/>
      <c r="C119" s="227"/>
      <c r="D119" s="226"/>
      <c r="E119" s="226"/>
    </row>
    <row r="120" ht="42.95" customHeight="1" spans="1:5">
      <c r="A120" s="226"/>
      <c r="B120" s="226"/>
      <c r="C120" s="227"/>
      <c r="D120" s="226"/>
      <c r="E120" s="226"/>
    </row>
    <row r="121" ht="42.95" customHeight="1" spans="1:5">
      <c r="A121" s="226"/>
      <c r="B121" s="226"/>
      <c r="C121" s="227"/>
      <c r="D121" s="226"/>
      <c r="E121" s="226"/>
    </row>
    <row r="122" ht="42.95" customHeight="1" spans="1:5">
      <c r="A122" s="226"/>
      <c r="B122" s="226"/>
      <c r="C122" s="227"/>
      <c r="D122" s="226"/>
      <c r="E122" s="226"/>
    </row>
    <row r="123" ht="42.95" customHeight="1" spans="1:5">
      <c r="A123" s="226"/>
      <c r="B123" s="226"/>
      <c r="C123" s="227"/>
      <c r="D123" s="226"/>
      <c r="E123" s="226"/>
    </row>
    <row r="124" ht="42.95" customHeight="1" spans="1:5">
      <c r="A124" s="226"/>
      <c r="B124" s="226"/>
      <c r="C124" s="227"/>
      <c r="D124" s="226"/>
      <c r="E124" s="226"/>
    </row>
    <row r="125" ht="42.95" customHeight="1" spans="1:5">
      <c r="A125" s="226"/>
      <c r="B125" s="226"/>
      <c r="C125" s="227"/>
      <c r="D125" s="226"/>
      <c r="E125" s="226"/>
    </row>
    <row r="126" ht="42.95" customHeight="1" spans="1:5">
      <c r="A126" s="226"/>
      <c r="B126" s="226"/>
      <c r="C126" s="227"/>
      <c r="D126" s="226"/>
      <c r="E126" s="226"/>
    </row>
    <row r="127" ht="42.95" customHeight="1" spans="1:5">
      <c r="A127" s="226"/>
      <c r="B127" s="226"/>
      <c r="C127" s="227"/>
      <c r="D127" s="226"/>
      <c r="E127" s="226"/>
    </row>
    <row r="128" ht="42.95" customHeight="1" spans="1:5">
      <c r="A128" s="226"/>
      <c r="B128" s="226"/>
      <c r="C128" s="227"/>
      <c r="D128" s="226"/>
      <c r="E128" s="226"/>
    </row>
    <row r="129" ht="42.95" customHeight="1" spans="1:5">
      <c r="A129" s="226"/>
      <c r="B129" s="226"/>
      <c r="C129" s="227"/>
      <c r="D129" s="226"/>
      <c r="E129" s="226"/>
    </row>
    <row r="130" ht="42.95" customHeight="1" spans="1:5">
      <c r="A130" s="226"/>
      <c r="B130" s="226"/>
      <c r="C130" s="227"/>
      <c r="D130" s="226"/>
      <c r="E130" s="226"/>
    </row>
    <row r="131" ht="42.95" customHeight="1" spans="1:5">
      <c r="A131" s="226"/>
      <c r="B131" s="226"/>
      <c r="C131" s="227"/>
      <c r="D131" s="226"/>
      <c r="E131" s="226"/>
    </row>
    <row r="132" ht="42.95" customHeight="1" spans="1:5">
      <c r="A132" s="226"/>
      <c r="B132" s="226"/>
      <c r="C132" s="227"/>
      <c r="D132" s="226"/>
      <c r="E132" s="226"/>
    </row>
    <row r="133" ht="42.95" customHeight="1" spans="1:5">
      <c r="A133" s="226"/>
      <c r="B133" s="226"/>
      <c r="C133" s="227"/>
      <c r="D133" s="226"/>
      <c r="E133" s="226"/>
    </row>
    <row r="134" ht="42.95" customHeight="1" spans="1:5">
      <c r="A134" s="226"/>
      <c r="B134" s="226"/>
      <c r="C134" s="227"/>
      <c r="D134" s="226"/>
      <c r="E134" s="226"/>
    </row>
    <row r="135" ht="42.95" customHeight="1" spans="1:5">
      <c r="A135" s="226"/>
      <c r="B135" s="226"/>
      <c r="C135" s="227"/>
      <c r="D135" s="226"/>
      <c r="E135" s="226"/>
    </row>
    <row r="136" ht="42.95" customHeight="1" spans="1:5">
      <c r="A136" s="226"/>
      <c r="B136" s="226"/>
      <c r="C136" s="227"/>
      <c r="D136" s="226"/>
      <c r="E136" s="226"/>
    </row>
    <row r="137" ht="42.95" customHeight="1" spans="1:5">
      <c r="A137" s="226"/>
      <c r="B137" s="226"/>
      <c r="C137" s="227"/>
      <c r="D137" s="226"/>
      <c r="E137" s="226"/>
    </row>
    <row r="138" ht="42.95" customHeight="1" spans="1:5">
      <c r="A138" s="226"/>
      <c r="B138" s="226"/>
      <c r="C138" s="227"/>
      <c r="D138" s="226"/>
      <c r="E138" s="226"/>
    </row>
    <row r="139" ht="42.95" customHeight="1" spans="1:5">
      <c r="A139" s="226"/>
      <c r="B139" s="226"/>
      <c r="C139" s="227"/>
      <c r="D139" s="226"/>
      <c r="E139" s="226"/>
    </row>
    <row r="140" ht="42.95" customHeight="1" spans="1:5">
      <c r="A140" s="226"/>
      <c r="B140" s="226"/>
      <c r="C140" s="227"/>
      <c r="D140" s="226"/>
      <c r="E140" s="226"/>
    </row>
    <row r="141" ht="42.95" customHeight="1" spans="1:5">
      <c r="A141" s="226"/>
      <c r="B141" s="226"/>
      <c r="C141" s="227"/>
      <c r="D141" s="226"/>
      <c r="E141" s="226"/>
    </row>
    <row r="142" ht="42.95" customHeight="1" spans="1:5">
      <c r="A142" s="226"/>
      <c r="B142" s="226"/>
      <c r="C142" s="227"/>
      <c r="D142" s="226"/>
      <c r="E142" s="226"/>
    </row>
    <row r="143" ht="42.95" customHeight="1" spans="1:5">
      <c r="A143" s="226"/>
      <c r="B143" s="226"/>
      <c r="C143" s="227"/>
      <c r="D143" s="226"/>
      <c r="E143" s="226"/>
    </row>
    <row r="144" ht="42.95" customHeight="1" spans="1:5">
      <c r="A144" s="226"/>
      <c r="B144" s="226"/>
      <c r="C144" s="227"/>
      <c r="D144" s="226"/>
      <c r="E144" s="226"/>
    </row>
    <row r="145" ht="42.95" customHeight="1" spans="1:5">
      <c r="A145" s="226"/>
      <c r="B145" s="226"/>
      <c r="C145" s="227"/>
      <c r="D145" s="226"/>
      <c r="E145" s="226"/>
    </row>
    <row r="146" ht="42.95" customHeight="1" spans="1:5">
      <c r="A146" s="226"/>
      <c r="B146" s="226"/>
      <c r="C146" s="227"/>
      <c r="D146" s="226"/>
      <c r="E146" s="226"/>
    </row>
    <row r="147" ht="42.95" customHeight="1" spans="1:5">
      <c r="A147" s="226"/>
      <c r="B147" s="226"/>
      <c r="C147" s="227"/>
      <c r="D147" s="226"/>
      <c r="E147" s="226"/>
    </row>
    <row r="148" ht="42.95" customHeight="1" spans="1:5">
      <c r="A148" s="226"/>
      <c r="B148" s="226"/>
      <c r="C148" s="227"/>
      <c r="D148" s="226"/>
      <c r="E148" s="226"/>
    </row>
    <row r="149" ht="42.95" customHeight="1" spans="1:5">
      <c r="A149" s="226"/>
      <c r="B149" s="226"/>
      <c r="C149" s="227"/>
      <c r="D149" s="226"/>
      <c r="E149" s="226"/>
    </row>
    <row r="150" ht="42.95" customHeight="1" spans="1:5">
      <c r="A150" s="226"/>
      <c r="B150" s="226"/>
      <c r="C150" s="227"/>
      <c r="D150" s="226"/>
      <c r="E150" s="226"/>
    </row>
    <row r="151" ht="42.95" customHeight="1" spans="1:5">
      <c r="A151" s="226"/>
      <c r="B151" s="226"/>
      <c r="C151" s="227"/>
      <c r="D151" s="226"/>
      <c r="E151" s="226"/>
    </row>
    <row r="152" ht="42.95" customHeight="1" spans="1:5">
      <c r="A152" s="226"/>
      <c r="B152" s="226"/>
      <c r="C152" s="227"/>
      <c r="D152" s="226"/>
      <c r="E152" s="226"/>
    </row>
    <row r="153" ht="42.95" customHeight="1" spans="1:5">
      <c r="A153" s="226"/>
      <c r="B153" s="226"/>
      <c r="C153" s="227"/>
      <c r="D153" s="226"/>
      <c r="E153" s="226"/>
    </row>
    <row r="154" ht="42.95" customHeight="1" spans="1:5">
      <c r="A154" s="226"/>
      <c r="B154" s="226"/>
      <c r="C154" s="227"/>
      <c r="D154" s="226"/>
      <c r="E154" s="226"/>
    </row>
    <row r="155" ht="42.95" customHeight="1" spans="1:5">
      <c r="A155" s="226"/>
      <c r="B155" s="226"/>
      <c r="C155" s="227"/>
      <c r="D155" s="226"/>
      <c r="E155" s="226"/>
    </row>
    <row r="156" ht="42.95" customHeight="1" spans="1:5">
      <c r="A156" s="226"/>
      <c r="B156" s="226"/>
      <c r="C156" s="227"/>
      <c r="D156" s="226"/>
      <c r="E156" s="226"/>
    </row>
    <row r="157" ht="42.95" customHeight="1" spans="1:5">
      <c r="A157" s="226"/>
      <c r="B157" s="226"/>
      <c r="C157" s="227"/>
      <c r="D157" s="226"/>
      <c r="E157" s="226"/>
    </row>
    <row r="158" ht="42.95" customHeight="1" spans="1:5">
      <c r="A158" s="226"/>
      <c r="B158" s="226"/>
      <c r="C158" s="227"/>
      <c r="D158" s="226"/>
      <c r="E158" s="226"/>
    </row>
    <row r="159" ht="42.95" customHeight="1" spans="1:5">
      <c r="A159" s="226"/>
      <c r="B159" s="226"/>
      <c r="C159" s="227"/>
      <c r="D159" s="226"/>
      <c r="E159" s="226"/>
    </row>
    <row r="160" ht="42.95" customHeight="1" spans="1:5">
      <c r="A160" s="226"/>
      <c r="B160" s="226"/>
      <c r="C160" s="227"/>
      <c r="D160" s="226"/>
      <c r="E160" s="226"/>
    </row>
    <row r="161" ht="42.95" customHeight="1" spans="1:5">
      <c r="A161" s="226"/>
      <c r="B161" s="226"/>
      <c r="C161" s="227"/>
      <c r="D161" s="226"/>
      <c r="E161" s="226"/>
    </row>
    <row r="162" ht="42.95" customHeight="1" spans="1:5">
      <c r="A162" s="226"/>
      <c r="B162" s="226"/>
      <c r="C162" s="227"/>
      <c r="D162" s="226"/>
      <c r="E162" s="226"/>
    </row>
    <row r="163" ht="42.95" customHeight="1" spans="1:5">
      <c r="A163" s="226"/>
      <c r="B163" s="226"/>
      <c r="C163" s="227"/>
      <c r="D163" s="226"/>
      <c r="E163" s="226"/>
    </row>
    <row r="164" ht="42.95" customHeight="1" spans="1:5">
      <c r="A164" s="226"/>
      <c r="B164" s="226"/>
      <c r="C164" s="227"/>
      <c r="D164" s="226"/>
      <c r="E164" s="226"/>
    </row>
    <row r="165" ht="42.95" customHeight="1" spans="1:5">
      <c r="A165" s="226"/>
      <c r="B165" s="226"/>
      <c r="C165" s="227"/>
      <c r="D165" s="226"/>
      <c r="E165" s="226"/>
    </row>
    <row r="166" ht="42.95" customHeight="1" spans="1:5">
      <c r="A166" s="226"/>
      <c r="B166" s="226"/>
      <c r="C166" s="227"/>
      <c r="D166" s="226"/>
      <c r="E166" s="226"/>
    </row>
    <row r="167" ht="42.95" customHeight="1" spans="1:5">
      <c r="A167" s="226"/>
      <c r="B167" s="226"/>
      <c r="C167" s="227"/>
      <c r="D167" s="226"/>
      <c r="E167" s="226"/>
    </row>
    <row r="168" ht="42.95" customHeight="1" spans="1:5">
      <c r="A168" s="226"/>
      <c r="B168" s="226"/>
      <c r="C168" s="227"/>
      <c r="D168" s="226"/>
      <c r="E168" s="226"/>
    </row>
    <row r="169" ht="42.95" customHeight="1" spans="1:5">
      <c r="A169" s="226"/>
      <c r="B169" s="226"/>
      <c r="C169" s="227"/>
      <c r="D169" s="226"/>
      <c r="E169" s="226"/>
    </row>
    <row r="170" ht="42.95" customHeight="1" spans="1:5">
      <c r="A170" s="226"/>
      <c r="B170" s="226"/>
      <c r="C170" s="227"/>
      <c r="D170" s="226"/>
      <c r="E170" s="226"/>
    </row>
    <row r="171" ht="42.95" customHeight="1" spans="1:5">
      <c r="A171" s="226"/>
      <c r="B171" s="226"/>
      <c r="C171" s="227"/>
      <c r="D171" s="226"/>
      <c r="E171" s="226"/>
    </row>
    <row r="172" ht="42.95" customHeight="1" spans="1:5">
      <c r="A172" s="226"/>
      <c r="B172" s="226"/>
      <c r="C172" s="227"/>
      <c r="D172" s="226"/>
      <c r="E172" s="226"/>
    </row>
    <row r="173" ht="42.95" customHeight="1" spans="1:5">
      <c r="A173" s="226"/>
      <c r="B173" s="226"/>
      <c r="C173" s="227"/>
      <c r="D173" s="226"/>
      <c r="E173" s="226"/>
    </row>
    <row r="174" ht="42.95" customHeight="1" spans="1:5">
      <c r="A174" s="226"/>
      <c r="B174" s="226"/>
      <c r="C174" s="227"/>
      <c r="D174" s="226"/>
      <c r="E174" s="226"/>
    </row>
    <row r="175" ht="42.95" customHeight="1" spans="1:5">
      <c r="A175" s="226"/>
      <c r="B175" s="226"/>
      <c r="C175" s="227"/>
      <c r="D175" s="226"/>
      <c r="E175" s="226"/>
    </row>
    <row r="176" ht="42.95" customHeight="1" spans="1:5">
      <c r="A176" s="226"/>
      <c r="B176" s="226"/>
      <c r="C176" s="227"/>
      <c r="D176" s="226"/>
      <c r="E176" s="226"/>
    </row>
    <row r="177" ht="42.95" customHeight="1" spans="1:5">
      <c r="A177" s="226"/>
      <c r="B177" s="226"/>
      <c r="C177" s="227"/>
      <c r="D177" s="226"/>
      <c r="E177" s="226"/>
    </row>
    <row r="178" ht="42.95" customHeight="1" spans="1:5">
      <c r="A178" s="226"/>
      <c r="B178" s="226"/>
      <c r="C178" s="227"/>
      <c r="D178" s="226"/>
      <c r="E178" s="226"/>
    </row>
    <row r="179" ht="42.95" customHeight="1" spans="1:5">
      <c r="A179" s="226"/>
      <c r="B179" s="226"/>
      <c r="C179" s="227"/>
      <c r="D179" s="226"/>
      <c r="E179" s="226"/>
    </row>
    <row r="180" ht="42.95" customHeight="1" spans="1:5">
      <c r="A180" s="226"/>
      <c r="B180" s="226"/>
      <c r="C180" s="227"/>
      <c r="D180" s="226"/>
      <c r="E180" s="226"/>
    </row>
    <row r="181" ht="42.95" customHeight="1" spans="1:5">
      <c r="A181" s="226"/>
      <c r="B181" s="226"/>
      <c r="C181" s="227"/>
      <c r="D181" s="226"/>
      <c r="E181" s="226"/>
    </row>
    <row r="182" ht="42.95" customHeight="1" spans="1:5">
      <c r="A182" s="226"/>
      <c r="B182" s="226"/>
      <c r="C182" s="227"/>
      <c r="D182" s="226"/>
      <c r="E182" s="226"/>
    </row>
    <row r="183" ht="42.95" customHeight="1" spans="1:5">
      <c r="A183" s="226"/>
      <c r="B183" s="226"/>
      <c r="C183" s="227"/>
      <c r="D183" s="226"/>
      <c r="E183" s="226"/>
    </row>
    <row r="184" ht="42.95" customHeight="1" spans="1:5">
      <c r="A184" s="226"/>
      <c r="B184" s="226"/>
      <c r="C184" s="227"/>
      <c r="D184" s="226"/>
      <c r="E184" s="226"/>
    </row>
    <row r="185" ht="42.95" customHeight="1" spans="1:5">
      <c r="A185" s="226"/>
      <c r="B185" s="226"/>
      <c r="C185" s="227"/>
      <c r="D185" s="226"/>
      <c r="E185" s="226"/>
    </row>
    <row r="186" ht="42.95" customHeight="1" spans="1:5">
      <c r="A186" s="226"/>
      <c r="B186" s="226"/>
      <c r="C186" s="227"/>
      <c r="D186" s="226"/>
      <c r="E186" s="226"/>
    </row>
    <row r="187" ht="42.95" customHeight="1" spans="1:5">
      <c r="A187" s="226"/>
      <c r="B187" s="226"/>
      <c r="C187" s="227"/>
      <c r="D187" s="226"/>
      <c r="E187" s="226"/>
    </row>
    <row r="188" ht="42.95" customHeight="1" spans="1:5">
      <c r="A188" s="226"/>
      <c r="B188" s="226"/>
      <c r="C188" s="227"/>
      <c r="D188" s="226"/>
      <c r="E188" s="226"/>
    </row>
    <row r="189" ht="42.95" customHeight="1" spans="1:5">
      <c r="A189" s="226"/>
      <c r="B189" s="226"/>
      <c r="C189" s="227"/>
      <c r="D189" s="226"/>
      <c r="E189" s="226"/>
    </row>
    <row r="190" ht="42.95" customHeight="1" spans="1:5">
      <c r="A190" s="226"/>
      <c r="B190" s="226"/>
      <c r="C190" s="227"/>
      <c r="D190" s="228"/>
      <c r="E190" s="226"/>
    </row>
    <row r="191" ht="42.95" customHeight="1" spans="1:5">
      <c r="A191" s="226"/>
      <c r="B191" s="226"/>
      <c r="C191" s="227"/>
      <c r="D191" s="226"/>
      <c r="E191" s="226"/>
    </row>
    <row r="192" ht="42.95" customHeight="1" spans="1:5">
      <c r="A192" s="226"/>
      <c r="B192" s="226"/>
      <c r="C192" s="227"/>
      <c r="D192" s="226"/>
      <c r="E192" s="226"/>
    </row>
    <row r="193" ht="42.95" customHeight="1" spans="1:5">
      <c r="A193" s="226"/>
      <c r="B193" s="226"/>
      <c r="C193" s="227"/>
      <c r="D193" s="226"/>
      <c r="E193" s="226"/>
    </row>
    <row r="194" ht="42.95" customHeight="1" spans="1:5">
      <c r="A194" s="226"/>
      <c r="B194" s="226"/>
      <c r="C194" s="227"/>
      <c r="D194" s="226"/>
      <c r="E194" s="226"/>
    </row>
    <row r="195" ht="42.95" customHeight="1" spans="1:5">
      <c r="A195" s="226"/>
      <c r="B195" s="226"/>
      <c r="C195" s="227"/>
      <c r="D195" s="226"/>
      <c r="E195" s="226"/>
    </row>
    <row r="196" ht="42.95" customHeight="1" spans="1:5">
      <c r="A196" s="226"/>
      <c r="B196" s="226"/>
      <c r="C196" s="227"/>
      <c r="D196" s="226"/>
      <c r="E196" s="226"/>
    </row>
    <row r="197" ht="42.95" customHeight="1" spans="1:5">
      <c r="A197" s="226"/>
      <c r="B197" s="226"/>
      <c r="C197" s="227"/>
      <c r="D197" s="226"/>
      <c r="E197" s="226"/>
    </row>
    <row r="198" ht="42.95" customHeight="1" spans="1:5">
      <c r="A198" s="226"/>
      <c r="B198" s="226"/>
      <c r="C198" s="227"/>
      <c r="D198" s="226"/>
      <c r="E198" s="226"/>
    </row>
    <row r="199" ht="42.95" customHeight="1" spans="1:5">
      <c r="A199" s="226"/>
      <c r="B199" s="226"/>
      <c r="C199" s="227"/>
      <c r="D199" s="226"/>
      <c r="E199" s="226"/>
    </row>
    <row r="200" ht="42.95" customHeight="1" spans="1:5">
      <c r="A200" s="226"/>
      <c r="B200" s="226"/>
      <c r="C200" s="227"/>
      <c r="D200" s="226"/>
      <c r="E200" s="226"/>
    </row>
    <row r="201" ht="42.95" customHeight="1" spans="1:5">
      <c r="A201" s="226"/>
      <c r="B201" s="226"/>
      <c r="C201" s="227"/>
      <c r="D201" s="226"/>
      <c r="E201" s="226"/>
    </row>
    <row r="202" ht="42.95" customHeight="1" spans="1:5">
      <c r="A202" s="226"/>
      <c r="B202" s="226"/>
      <c r="C202" s="227"/>
      <c r="D202" s="226"/>
      <c r="E202" s="226"/>
    </row>
    <row r="203" ht="42.95" customHeight="1" spans="1:5">
      <c r="A203" s="226"/>
      <c r="B203" s="226"/>
      <c r="C203" s="227"/>
      <c r="D203" s="226"/>
      <c r="E203" s="226"/>
    </row>
    <row r="204" ht="42.95" customHeight="1" spans="1:5">
      <c r="A204" s="226"/>
      <c r="B204" s="226"/>
      <c r="C204" s="227"/>
      <c r="D204" s="226"/>
      <c r="E204" s="226"/>
    </row>
    <row r="205" ht="42.95" customHeight="1" spans="1:5">
      <c r="A205" s="226"/>
      <c r="B205" s="226"/>
      <c r="C205" s="227"/>
      <c r="D205" s="226"/>
      <c r="E205" s="226"/>
    </row>
    <row r="206" ht="42.95" customHeight="1" spans="1:5">
      <c r="A206" s="226"/>
      <c r="B206" s="226"/>
      <c r="C206" s="227"/>
      <c r="D206" s="226"/>
      <c r="E206" s="226"/>
    </row>
    <row r="207" ht="42.95" customHeight="1" spans="1:5">
      <c r="A207" s="226"/>
      <c r="B207" s="226"/>
      <c r="C207" s="227"/>
      <c r="D207" s="226"/>
      <c r="E207" s="226"/>
    </row>
    <row r="208" ht="14.25" spans="1:5">
      <c r="A208" s="226"/>
      <c r="B208" s="226"/>
      <c r="C208" s="227"/>
      <c r="D208" s="226"/>
      <c r="E208" s="226"/>
    </row>
    <row r="209" ht="14.25" spans="1:5">
      <c r="A209" s="226"/>
      <c r="B209" s="226"/>
      <c r="C209" s="227"/>
      <c r="D209" s="226"/>
      <c r="E209" s="226"/>
    </row>
    <row r="210" ht="14.25" spans="1:5">
      <c r="A210" s="226"/>
      <c r="B210" s="226"/>
      <c r="C210" s="227"/>
      <c r="D210" s="226"/>
      <c r="E210" s="226"/>
    </row>
    <row r="211" ht="14.25" spans="1:5">
      <c r="A211" s="226"/>
      <c r="B211" s="226"/>
      <c r="C211" s="227"/>
      <c r="D211" s="226"/>
      <c r="E211" s="226"/>
    </row>
    <row r="212" ht="14.25" spans="1:5">
      <c r="A212" s="226"/>
      <c r="B212" s="226"/>
      <c r="C212" s="227"/>
      <c r="D212" s="226"/>
      <c r="E212" s="226"/>
    </row>
    <row r="213" ht="14.25" spans="1:5">
      <c r="A213" s="226"/>
      <c r="B213" s="226"/>
      <c r="C213" s="227"/>
      <c r="D213" s="226"/>
      <c r="E213" s="226"/>
    </row>
    <row r="214" ht="14.25" spans="1:5">
      <c r="A214" s="226"/>
      <c r="B214" s="226"/>
      <c r="C214" s="227"/>
      <c r="D214" s="226"/>
      <c r="E214" s="226"/>
    </row>
    <row r="215" ht="14.25" spans="1:5">
      <c r="A215" s="226"/>
      <c r="B215" s="226"/>
      <c r="C215" s="227"/>
      <c r="D215" s="226"/>
      <c r="E215" s="226"/>
    </row>
    <row r="216" ht="14.25" spans="1:5">
      <c r="A216" s="226"/>
      <c r="B216" s="226"/>
      <c r="C216" s="227"/>
      <c r="D216" s="226"/>
      <c r="E216" s="226"/>
    </row>
    <row r="217" ht="14.25" spans="1:5">
      <c r="A217" s="226"/>
      <c r="B217" s="226"/>
      <c r="C217" s="227"/>
      <c r="D217" s="226"/>
      <c r="E217" s="226"/>
    </row>
    <row r="218" ht="14.25" spans="1:5">
      <c r="A218" s="226"/>
      <c r="B218" s="226"/>
      <c r="C218" s="227"/>
      <c r="D218" s="226"/>
      <c r="E218" s="226"/>
    </row>
    <row r="219" ht="14.25" spans="1:5">
      <c r="A219" s="226"/>
      <c r="B219" s="226"/>
      <c r="C219" s="227"/>
      <c r="D219" s="226"/>
      <c r="E219" s="226"/>
    </row>
    <row r="220" ht="14.25" spans="1:5">
      <c r="A220" s="226"/>
      <c r="B220" s="226"/>
      <c r="C220" s="227"/>
      <c r="D220" s="226"/>
      <c r="E220" s="226"/>
    </row>
    <row r="221" ht="14.25" spans="1:5">
      <c r="A221" s="226"/>
      <c r="B221" s="226"/>
      <c r="C221" s="227"/>
      <c r="D221" s="226"/>
      <c r="E221" s="226"/>
    </row>
    <row r="222" ht="14.25" spans="1:5">
      <c r="A222" s="226"/>
      <c r="B222" s="226"/>
      <c r="C222" s="227"/>
      <c r="D222" s="226"/>
      <c r="E222" s="226"/>
    </row>
    <row r="223" ht="14.25" spans="1:5">
      <c r="A223" s="226"/>
      <c r="B223" s="226"/>
      <c r="C223" s="227"/>
      <c r="D223" s="226"/>
      <c r="E223" s="226"/>
    </row>
    <row r="224" ht="14.25" spans="1:5">
      <c r="A224" s="226"/>
      <c r="B224" s="226"/>
      <c r="C224" s="227"/>
      <c r="D224" s="226"/>
      <c r="E224" s="226"/>
    </row>
    <row r="225" ht="14.25" spans="1:5">
      <c r="A225" s="226"/>
      <c r="B225" s="226"/>
      <c r="C225" s="227"/>
      <c r="D225" s="226"/>
      <c r="E225" s="226"/>
    </row>
    <row r="226" ht="14.25" spans="1:5">
      <c r="A226" s="226"/>
      <c r="B226" s="226"/>
      <c r="C226" s="227"/>
      <c r="D226" s="226"/>
      <c r="E226" s="226"/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716"/>
  <sheetViews>
    <sheetView zoomScale="130" zoomScaleNormal="130" topLeftCell="A684" workbookViewId="0">
      <selection activeCell="F16" sqref="F16"/>
    </sheetView>
  </sheetViews>
  <sheetFormatPr defaultColWidth="8.875" defaultRowHeight="13.5" outlineLevelCol="6"/>
  <cols>
    <col min="1" max="1" width="8.25" style="202" customWidth="1"/>
    <col min="2" max="2" width="9.125" style="203" customWidth="1"/>
    <col min="3" max="3" width="8.875" style="202"/>
    <col min="4" max="4" width="4.5" style="202" customWidth="1"/>
    <col min="5" max="5" width="41.5" style="203" customWidth="1"/>
    <col min="6" max="6" width="37.375" style="203" customWidth="1"/>
    <col min="7" max="7" width="15" style="203" customWidth="1"/>
    <col min="8" max="16384" width="8.875" style="203"/>
  </cols>
  <sheetData>
    <row r="1" ht="15" spans="1:6">
      <c r="A1" s="204" t="s">
        <v>125</v>
      </c>
      <c r="B1" s="205" t="s">
        <v>1398</v>
      </c>
      <c r="C1" s="206" t="s">
        <v>128</v>
      </c>
      <c r="D1" s="206" t="s">
        <v>129</v>
      </c>
      <c r="E1" s="205" t="s">
        <v>1399</v>
      </c>
      <c r="F1" s="207" t="s">
        <v>1388</v>
      </c>
    </row>
    <row r="2" s="201" customFormat="1" ht="15.95" customHeight="1" spans="1:7">
      <c r="A2" s="208">
        <v>1</v>
      </c>
      <c r="B2" s="209" t="s">
        <v>79</v>
      </c>
      <c r="C2" s="210">
        <v>260</v>
      </c>
      <c r="D2" s="208">
        <v>0</v>
      </c>
      <c r="E2" s="211" t="s">
        <v>1400</v>
      </c>
      <c r="F2" s="212" t="s">
        <v>1401</v>
      </c>
      <c r="G2" s="213"/>
    </row>
    <row r="3" s="201" customFormat="1" ht="15.95" customHeight="1" spans="1:7">
      <c r="A3" s="208">
        <v>2</v>
      </c>
      <c r="B3" s="209" t="s">
        <v>79</v>
      </c>
      <c r="C3" s="210">
        <v>261</v>
      </c>
      <c r="D3" s="208">
        <v>0</v>
      </c>
      <c r="E3" s="211" t="s">
        <v>1402</v>
      </c>
      <c r="F3" s="212" t="s">
        <v>1403</v>
      </c>
      <c r="G3" s="213"/>
    </row>
    <row r="4" s="201" customFormat="1" ht="15.95" customHeight="1" spans="1:7">
      <c r="A4" s="208">
        <v>3</v>
      </c>
      <c r="B4" s="209" t="s">
        <v>79</v>
      </c>
      <c r="C4" s="210">
        <v>262</v>
      </c>
      <c r="D4" s="208">
        <v>0</v>
      </c>
      <c r="E4" s="211" t="s">
        <v>1404</v>
      </c>
      <c r="F4" s="212" t="s">
        <v>1405</v>
      </c>
      <c r="G4" s="213"/>
    </row>
    <row r="5" s="201" customFormat="1" ht="15.95" customHeight="1" spans="1:7">
      <c r="A5" s="208">
        <v>4</v>
      </c>
      <c r="B5" s="209" t="s">
        <v>79</v>
      </c>
      <c r="C5" s="210">
        <v>265</v>
      </c>
      <c r="D5" s="208">
        <v>0</v>
      </c>
      <c r="E5" s="211" t="s">
        <v>1406</v>
      </c>
      <c r="F5" s="212" t="s">
        <v>1407</v>
      </c>
      <c r="G5" s="213"/>
    </row>
    <row r="6" s="201" customFormat="1" ht="15.95" customHeight="1" spans="1:7">
      <c r="A6" s="208">
        <v>5</v>
      </c>
      <c r="B6" s="209" t="s">
        <v>79</v>
      </c>
      <c r="C6" s="210">
        <v>273</v>
      </c>
      <c r="D6" s="208">
        <v>0</v>
      </c>
      <c r="E6" s="211" t="s">
        <v>1408</v>
      </c>
      <c r="F6" s="212" t="s">
        <v>1409</v>
      </c>
      <c r="G6" s="213"/>
    </row>
    <row r="7" s="201" customFormat="1" ht="15.95" customHeight="1" spans="1:7">
      <c r="A7" s="208">
        <v>6</v>
      </c>
      <c r="B7" s="209" t="s">
        <v>79</v>
      </c>
      <c r="C7" s="210">
        <v>274</v>
      </c>
      <c r="D7" s="208">
        <v>0</v>
      </c>
      <c r="E7" s="211" t="s">
        <v>1410</v>
      </c>
      <c r="F7" s="212" t="s">
        <v>1411</v>
      </c>
      <c r="G7" s="213"/>
    </row>
    <row r="8" s="201" customFormat="1" ht="15.95" customHeight="1" spans="1:7">
      <c r="A8" s="208">
        <v>7</v>
      </c>
      <c r="B8" s="209" t="s">
        <v>79</v>
      </c>
      <c r="C8" s="210">
        <v>412</v>
      </c>
      <c r="D8" s="208">
        <v>0</v>
      </c>
      <c r="E8" s="211" t="s">
        <v>1412</v>
      </c>
      <c r="F8" s="212" t="s">
        <v>1413</v>
      </c>
      <c r="G8" s="213"/>
    </row>
    <row r="9" s="201" customFormat="1" ht="15.95" customHeight="1" spans="1:7">
      <c r="A9" s="208">
        <v>8</v>
      </c>
      <c r="B9" s="209" t="s">
        <v>79</v>
      </c>
      <c r="C9" s="210">
        <v>415</v>
      </c>
      <c r="D9" s="208">
        <v>0</v>
      </c>
      <c r="E9" s="211" t="s">
        <v>1414</v>
      </c>
      <c r="F9" s="212" t="s">
        <v>1415</v>
      </c>
      <c r="G9" s="213"/>
    </row>
    <row r="10" s="201" customFormat="1" ht="15.95" customHeight="1" spans="1:7">
      <c r="A10" s="208">
        <v>9</v>
      </c>
      <c r="B10" s="209" t="s">
        <v>79</v>
      </c>
      <c r="C10" s="210">
        <v>420</v>
      </c>
      <c r="D10" s="208">
        <v>0</v>
      </c>
      <c r="E10" s="211" t="s">
        <v>1416</v>
      </c>
      <c r="F10" s="212" t="s">
        <v>1417</v>
      </c>
      <c r="G10" s="213"/>
    </row>
    <row r="11" s="201" customFormat="1" ht="15.95" customHeight="1" spans="1:7">
      <c r="A11" s="208">
        <v>10</v>
      </c>
      <c r="B11" s="209" t="s">
        <v>79</v>
      </c>
      <c r="C11" s="210">
        <v>423</v>
      </c>
      <c r="D11" s="208">
        <v>0</v>
      </c>
      <c r="E11" s="211" t="s">
        <v>1418</v>
      </c>
      <c r="F11" s="212" t="s">
        <v>1419</v>
      </c>
      <c r="G11" s="213"/>
    </row>
    <row r="12" s="201" customFormat="1" ht="15.95" customHeight="1" spans="1:7">
      <c r="A12" s="208">
        <v>11</v>
      </c>
      <c r="B12" s="209" t="s">
        <v>79</v>
      </c>
      <c r="C12" s="210">
        <v>424</v>
      </c>
      <c r="D12" s="208">
        <v>0</v>
      </c>
      <c r="E12" s="211" t="s">
        <v>1420</v>
      </c>
      <c r="F12" s="212" t="s">
        <v>1421</v>
      </c>
      <c r="G12" s="213"/>
    </row>
    <row r="13" s="201" customFormat="1" ht="15.95" customHeight="1" spans="1:7">
      <c r="A13" s="208">
        <v>12</v>
      </c>
      <c r="B13" s="209" t="s">
        <v>79</v>
      </c>
      <c r="C13" s="210">
        <v>425</v>
      </c>
      <c r="D13" s="208">
        <v>0</v>
      </c>
      <c r="E13" s="211" t="s">
        <v>1422</v>
      </c>
      <c r="F13" s="212" t="s">
        <v>1423</v>
      </c>
      <c r="G13" s="213"/>
    </row>
    <row r="14" s="201" customFormat="1" ht="15.95" customHeight="1" spans="1:7">
      <c r="A14" s="208">
        <v>13</v>
      </c>
      <c r="B14" s="209" t="s">
        <v>79</v>
      </c>
      <c r="C14" s="210">
        <v>517</v>
      </c>
      <c r="D14" s="208">
        <v>0</v>
      </c>
      <c r="E14" s="211" t="s">
        <v>1424</v>
      </c>
      <c r="F14" s="212" t="s">
        <v>1425</v>
      </c>
      <c r="G14" s="213"/>
    </row>
    <row r="15" s="201" customFormat="1" ht="15.95" customHeight="1" spans="1:7">
      <c r="A15" s="208">
        <v>14</v>
      </c>
      <c r="B15" s="209" t="s">
        <v>79</v>
      </c>
      <c r="C15" s="210">
        <v>518</v>
      </c>
      <c r="D15" s="208">
        <v>0</v>
      </c>
      <c r="E15" s="211" t="s">
        <v>1426</v>
      </c>
      <c r="F15" s="212" t="s">
        <v>1427</v>
      </c>
      <c r="G15" s="213"/>
    </row>
    <row r="16" s="201" customFormat="1" ht="15.95" customHeight="1" spans="1:7">
      <c r="A16" s="208">
        <v>15</v>
      </c>
      <c r="B16" s="209" t="s">
        <v>79</v>
      </c>
      <c r="C16" s="210">
        <v>521</v>
      </c>
      <c r="D16" s="208">
        <v>0</v>
      </c>
      <c r="E16" s="211" t="s">
        <v>1428</v>
      </c>
      <c r="F16" s="212" t="s">
        <v>1429</v>
      </c>
      <c r="G16" s="213"/>
    </row>
    <row r="17" s="201" customFormat="1" ht="15.95" customHeight="1" spans="1:7">
      <c r="A17" s="208">
        <v>16</v>
      </c>
      <c r="B17" s="209" t="s">
        <v>79</v>
      </c>
      <c r="C17" s="210">
        <v>530</v>
      </c>
      <c r="D17" s="208">
        <v>0</v>
      </c>
      <c r="E17" s="211" t="s">
        <v>1430</v>
      </c>
      <c r="F17" s="212" t="s">
        <v>1431</v>
      </c>
      <c r="G17" s="213"/>
    </row>
    <row r="18" s="201" customFormat="1" ht="15.95" customHeight="1" spans="1:7">
      <c r="A18" s="208">
        <v>17</v>
      </c>
      <c r="B18" s="209" t="s">
        <v>79</v>
      </c>
      <c r="C18" s="210">
        <v>567</v>
      </c>
      <c r="D18" s="208">
        <v>0</v>
      </c>
      <c r="E18" s="211" t="s">
        <v>1432</v>
      </c>
      <c r="F18" s="212" t="s">
        <v>1433</v>
      </c>
      <c r="G18" s="213"/>
    </row>
    <row r="19" s="201" customFormat="1" ht="15.95" customHeight="1" spans="1:7">
      <c r="A19" s="208">
        <v>18</v>
      </c>
      <c r="B19" s="209" t="s">
        <v>79</v>
      </c>
      <c r="C19" s="210">
        <v>668</v>
      </c>
      <c r="D19" s="208">
        <v>0</v>
      </c>
      <c r="E19" s="211" t="s">
        <v>1434</v>
      </c>
      <c r="F19" s="212" t="s">
        <v>1435</v>
      </c>
      <c r="G19" s="213"/>
    </row>
    <row r="20" s="201" customFormat="1" ht="15.95" customHeight="1" spans="1:7">
      <c r="A20" s="208">
        <v>19</v>
      </c>
      <c r="B20" s="209" t="s">
        <v>79</v>
      </c>
      <c r="C20" s="210">
        <v>671</v>
      </c>
      <c r="D20" s="208">
        <v>0</v>
      </c>
      <c r="E20" s="211" t="s">
        <v>1436</v>
      </c>
      <c r="F20" s="212" t="s">
        <v>1437</v>
      </c>
      <c r="G20" s="213"/>
    </row>
    <row r="21" s="201" customFormat="1" ht="15.95" customHeight="1" spans="1:7">
      <c r="A21" s="208">
        <v>20</v>
      </c>
      <c r="B21" s="209" t="s">
        <v>79</v>
      </c>
      <c r="C21" s="210">
        <v>674</v>
      </c>
      <c r="D21" s="208">
        <v>0</v>
      </c>
      <c r="E21" s="211" t="s">
        <v>1438</v>
      </c>
      <c r="F21" s="212" t="s">
        <v>1439</v>
      </c>
      <c r="G21" s="213"/>
    </row>
    <row r="22" s="201" customFormat="1" ht="15.95" customHeight="1" spans="1:7">
      <c r="A22" s="208">
        <v>21</v>
      </c>
      <c r="B22" s="209" t="s">
        <v>79</v>
      </c>
      <c r="C22" s="210">
        <v>675</v>
      </c>
      <c r="D22" s="208">
        <v>0</v>
      </c>
      <c r="E22" s="211" t="s">
        <v>1440</v>
      </c>
      <c r="F22" s="212" t="s">
        <v>1441</v>
      </c>
      <c r="G22" s="213"/>
    </row>
    <row r="23" s="201" customFormat="1" ht="15.95" customHeight="1" spans="1:7">
      <c r="A23" s="208">
        <v>22</v>
      </c>
      <c r="B23" s="209" t="s">
        <v>79</v>
      </c>
      <c r="C23" s="210">
        <v>692</v>
      </c>
      <c r="D23" s="208">
        <v>0</v>
      </c>
      <c r="E23" s="211" t="s">
        <v>1442</v>
      </c>
      <c r="F23" s="212" t="s">
        <v>1443</v>
      </c>
      <c r="G23" s="213"/>
    </row>
    <row r="24" s="201" customFormat="1" ht="15.95" customHeight="1" spans="1:7">
      <c r="A24" s="208">
        <v>23</v>
      </c>
      <c r="B24" s="209" t="s">
        <v>79</v>
      </c>
      <c r="C24" s="210">
        <v>693</v>
      </c>
      <c r="D24" s="208">
        <v>0</v>
      </c>
      <c r="E24" s="211" t="s">
        <v>1444</v>
      </c>
      <c r="F24" s="212" t="s">
        <v>1445</v>
      </c>
      <c r="G24" s="213"/>
    </row>
    <row r="25" s="201" customFormat="1" ht="15.95" customHeight="1" spans="1:7">
      <c r="A25" s="208">
        <v>24</v>
      </c>
      <c r="B25" s="209" t="s">
        <v>79</v>
      </c>
      <c r="C25" s="210">
        <v>694</v>
      </c>
      <c r="D25" s="208">
        <v>0</v>
      </c>
      <c r="E25" s="211" t="s">
        <v>1446</v>
      </c>
      <c r="F25" s="212" t="s">
        <v>1447</v>
      </c>
      <c r="G25" s="213"/>
    </row>
    <row r="26" s="201" customFormat="1" ht="15.95" customHeight="1" spans="1:7">
      <c r="A26" s="208">
        <v>25</v>
      </c>
      <c r="B26" s="209" t="s">
        <v>79</v>
      </c>
      <c r="C26" s="210">
        <v>695</v>
      </c>
      <c r="D26" s="208">
        <v>0</v>
      </c>
      <c r="E26" s="211" t="s">
        <v>1448</v>
      </c>
      <c r="F26" s="212" t="s">
        <v>1449</v>
      </c>
      <c r="G26" s="213"/>
    </row>
    <row r="27" s="201" customFormat="1" ht="15.95" customHeight="1" spans="1:7">
      <c r="A27" s="208">
        <v>26</v>
      </c>
      <c r="B27" s="209" t="s">
        <v>79</v>
      </c>
      <c r="C27" s="210">
        <v>697</v>
      </c>
      <c r="D27" s="208">
        <v>0</v>
      </c>
      <c r="E27" s="211" t="s">
        <v>1450</v>
      </c>
      <c r="F27" s="212" t="s">
        <v>1451</v>
      </c>
      <c r="G27" s="213"/>
    </row>
    <row r="28" s="201" customFormat="1" ht="15.95" customHeight="1" spans="1:7">
      <c r="A28" s="208">
        <v>27</v>
      </c>
      <c r="B28" s="209" t="s">
        <v>79</v>
      </c>
      <c r="C28" s="210">
        <v>698</v>
      </c>
      <c r="D28" s="208">
        <v>0</v>
      </c>
      <c r="E28" s="211" t="s">
        <v>1452</v>
      </c>
      <c r="F28" s="212" t="s">
        <v>1453</v>
      </c>
      <c r="G28" s="213"/>
    </row>
    <row r="29" s="201" customFormat="1" ht="15.95" customHeight="1" spans="1:7">
      <c r="A29" s="208">
        <v>28</v>
      </c>
      <c r="B29" s="209" t="s">
        <v>79</v>
      </c>
      <c r="C29" s="210">
        <v>699</v>
      </c>
      <c r="D29" s="208">
        <v>0</v>
      </c>
      <c r="E29" s="211" t="s">
        <v>1454</v>
      </c>
      <c r="F29" s="212" t="s">
        <v>1455</v>
      </c>
      <c r="G29" s="213"/>
    </row>
    <row r="30" s="201" customFormat="1" ht="15.95" customHeight="1" spans="1:7">
      <c r="A30" s="208">
        <v>29</v>
      </c>
      <c r="B30" s="209" t="s">
        <v>79</v>
      </c>
      <c r="C30" s="210">
        <v>700</v>
      </c>
      <c r="D30" s="208">
        <v>0</v>
      </c>
      <c r="E30" s="211" t="s">
        <v>1456</v>
      </c>
      <c r="F30" s="212" t="s">
        <v>1457</v>
      </c>
      <c r="G30" s="213"/>
    </row>
    <row r="31" s="201" customFormat="1" ht="15.95" customHeight="1" spans="1:7">
      <c r="A31" s="208">
        <v>30</v>
      </c>
      <c r="B31" s="209" t="s">
        <v>79</v>
      </c>
      <c r="C31" s="210">
        <v>774</v>
      </c>
      <c r="D31" s="208">
        <v>0</v>
      </c>
      <c r="E31" s="211" t="s">
        <v>1458</v>
      </c>
      <c r="F31" s="212" t="s">
        <v>1459</v>
      </c>
      <c r="G31" s="213"/>
    </row>
    <row r="32" s="201" customFormat="1" ht="15.95" customHeight="1" spans="1:7">
      <c r="A32" s="208">
        <v>31</v>
      </c>
      <c r="B32" s="209" t="s">
        <v>79</v>
      </c>
      <c r="C32" s="210">
        <v>927</v>
      </c>
      <c r="D32" s="208">
        <v>0</v>
      </c>
      <c r="E32" s="211" t="s">
        <v>1460</v>
      </c>
      <c r="F32" s="212" t="s">
        <v>1461</v>
      </c>
      <c r="G32" s="213"/>
    </row>
    <row r="33" s="201" customFormat="1" ht="15.95" customHeight="1" spans="1:7">
      <c r="A33" s="208">
        <v>32</v>
      </c>
      <c r="B33" s="209" t="s">
        <v>79</v>
      </c>
      <c r="C33" s="210">
        <v>928</v>
      </c>
      <c r="D33" s="208">
        <v>0</v>
      </c>
      <c r="E33" s="211" t="s">
        <v>1462</v>
      </c>
      <c r="F33" s="212" t="s">
        <v>1463</v>
      </c>
      <c r="G33" s="213"/>
    </row>
    <row r="34" s="201" customFormat="1" ht="15.95" customHeight="1" spans="1:7">
      <c r="A34" s="208">
        <v>33</v>
      </c>
      <c r="B34" s="209" t="s">
        <v>79</v>
      </c>
      <c r="C34" s="210">
        <v>929</v>
      </c>
      <c r="D34" s="208">
        <v>0</v>
      </c>
      <c r="E34" s="211" t="s">
        <v>1464</v>
      </c>
      <c r="F34" s="212" t="s">
        <v>1465</v>
      </c>
      <c r="G34" s="213"/>
    </row>
    <row r="35" s="201" customFormat="1" ht="15.95" customHeight="1" spans="1:7">
      <c r="A35" s="208">
        <v>34</v>
      </c>
      <c r="B35" s="209" t="s">
        <v>79</v>
      </c>
      <c r="C35" s="210">
        <v>930</v>
      </c>
      <c r="D35" s="208">
        <v>0</v>
      </c>
      <c r="E35" s="211" t="s">
        <v>1466</v>
      </c>
      <c r="F35" s="212" t="s">
        <v>1467</v>
      </c>
      <c r="G35" s="213"/>
    </row>
    <row r="36" s="201" customFormat="1" ht="15.95" customHeight="1" spans="1:7">
      <c r="A36" s="208">
        <v>35</v>
      </c>
      <c r="B36" s="209" t="s">
        <v>79</v>
      </c>
      <c r="C36" s="210">
        <v>933</v>
      </c>
      <c r="D36" s="208">
        <v>0</v>
      </c>
      <c r="E36" s="211" t="s">
        <v>1468</v>
      </c>
      <c r="F36" s="212" t="s">
        <v>1469</v>
      </c>
      <c r="G36" s="213"/>
    </row>
    <row r="37" s="201" customFormat="1" ht="15.95" customHeight="1" spans="1:7">
      <c r="A37" s="208">
        <v>36</v>
      </c>
      <c r="B37" s="209" t="s">
        <v>79</v>
      </c>
      <c r="C37" s="210">
        <v>957</v>
      </c>
      <c r="D37" s="208">
        <v>0</v>
      </c>
      <c r="E37" s="211" t="s">
        <v>1470</v>
      </c>
      <c r="F37" s="212" t="s">
        <v>1471</v>
      </c>
      <c r="G37" s="213"/>
    </row>
    <row r="38" s="201" customFormat="1" ht="15.95" customHeight="1" spans="1:7">
      <c r="A38" s="208">
        <v>37</v>
      </c>
      <c r="B38" s="209" t="s">
        <v>79</v>
      </c>
      <c r="C38" s="210">
        <v>958</v>
      </c>
      <c r="D38" s="208">
        <v>0</v>
      </c>
      <c r="E38" s="211" t="s">
        <v>1472</v>
      </c>
      <c r="F38" s="212" t="s">
        <v>1473</v>
      </c>
      <c r="G38" s="213"/>
    </row>
    <row r="39" s="201" customFormat="1" ht="15.95" customHeight="1" spans="1:7">
      <c r="A39" s="208">
        <v>38</v>
      </c>
      <c r="B39" s="209" t="s">
        <v>79</v>
      </c>
      <c r="C39" s="210">
        <v>959</v>
      </c>
      <c r="D39" s="208">
        <v>0</v>
      </c>
      <c r="E39" s="211" t="s">
        <v>1474</v>
      </c>
      <c r="F39" s="212" t="s">
        <v>1475</v>
      </c>
      <c r="G39" s="213"/>
    </row>
    <row r="40" s="201" customFormat="1" ht="15.95" customHeight="1" spans="1:7">
      <c r="A40" s="208">
        <v>39</v>
      </c>
      <c r="B40" s="209" t="s">
        <v>79</v>
      </c>
      <c r="C40" s="210">
        <v>960</v>
      </c>
      <c r="D40" s="208">
        <v>0</v>
      </c>
      <c r="E40" s="211" t="s">
        <v>1476</v>
      </c>
      <c r="F40" s="212" t="s">
        <v>1477</v>
      </c>
      <c r="G40" s="213"/>
    </row>
    <row r="41" s="201" customFormat="1" ht="15.95" customHeight="1" spans="1:7">
      <c r="A41" s="208">
        <v>40</v>
      </c>
      <c r="B41" s="209" t="s">
        <v>79</v>
      </c>
      <c r="C41" s="210">
        <v>961</v>
      </c>
      <c r="D41" s="208">
        <v>0</v>
      </c>
      <c r="E41" s="211" t="s">
        <v>1478</v>
      </c>
      <c r="F41" s="212" t="s">
        <v>1479</v>
      </c>
      <c r="G41" s="213"/>
    </row>
    <row r="42" s="201" customFormat="1" ht="15.95" customHeight="1" spans="1:7">
      <c r="A42" s="208">
        <v>41</v>
      </c>
      <c r="B42" s="209" t="s">
        <v>79</v>
      </c>
      <c r="C42" s="210">
        <v>962</v>
      </c>
      <c r="D42" s="208">
        <v>0</v>
      </c>
      <c r="E42" s="211" t="s">
        <v>1480</v>
      </c>
      <c r="F42" s="212" t="s">
        <v>1481</v>
      </c>
      <c r="G42" s="213"/>
    </row>
    <row r="43" s="201" customFormat="1" ht="15.95" customHeight="1" spans="1:7">
      <c r="A43" s="208">
        <v>42</v>
      </c>
      <c r="B43" s="209" t="s">
        <v>79</v>
      </c>
      <c r="C43" s="210">
        <v>1038</v>
      </c>
      <c r="D43" s="208">
        <v>0</v>
      </c>
      <c r="E43" s="211" t="s">
        <v>1482</v>
      </c>
      <c r="F43" s="212" t="s">
        <v>1483</v>
      </c>
      <c r="G43" s="213"/>
    </row>
    <row r="44" s="201" customFormat="1" ht="15.95" customHeight="1" spans="1:7">
      <c r="A44" s="208">
        <v>43</v>
      </c>
      <c r="B44" s="209" t="s">
        <v>79</v>
      </c>
      <c r="C44" s="210">
        <v>1041</v>
      </c>
      <c r="D44" s="208">
        <v>0</v>
      </c>
      <c r="E44" s="211" t="s">
        <v>1484</v>
      </c>
      <c r="F44" s="212" t="s">
        <v>1485</v>
      </c>
      <c r="G44" s="213"/>
    </row>
    <row r="45" s="201" customFormat="1" ht="15.95" customHeight="1" spans="1:7">
      <c r="A45" s="208">
        <v>44</v>
      </c>
      <c r="B45" s="209" t="s">
        <v>79</v>
      </c>
      <c r="C45" s="210">
        <v>1042</v>
      </c>
      <c r="D45" s="208">
        <v>0</v>
      </c>
      <c r="E45" s="211" t="s">
        <v>1486</v>
      </c>
      <c r="F45" s="212" t="s">
        <v>1487</v>
      </c>
      <c r="G45" s="213"/>
    </row>
    <row r="46" s="201" customFormat="1" ht="15.95" customHeight="1" spans="1:7">
      <c r="A46" s="208">
        <v>45</v>
      </c>
      <c r="B46" s="209" t="s">
        <v>79</v>
      </c>
      <c r="C46" s="210">
        <v>1294</v>
      </c>
      <c r="D46" s="208">
        <v>0</v>
      </c>
      <c r="E46" s="211" t="s">
        <v>1488</v>
      </c>
      <c r="F46" s="212" t="s">
        <v>1489</v>
      </c>
      <c r="G46" s="213"/>
    </row>
    <row r="47" s="201" customFormat="1" ht="15.95" customHeight="1" spans="1:7">
      <c r="A47" s="208">
        <v>46</v>
      </c>
      <c r="B47" s="209" t="s">
        <v>79</v>
      </c>
      <c r="C47" s="210">
        <v>1297</v>
      </c>
      <c r="D47" s="208">
        <v>0</v>
      </c>
      <c r="E47" s="211" t="s">
        <v>1490</v>
      </c>
      <c r="F47" s="212" t="s">
        <v>1491</v>
      </c>
      <c r="G47" s="213"/>
    </row>
    <row r="48" s="201" customFormat="1" ht="15.95" customHeight="1" spans="1:7">
      <c r="A48" s="208">
        <v>47</v>
      </c>
      <c r="B48" s="209" t="s">
        <v>79</v>
      </c>
      <c r="C48" s="210">
        <v>1298</v>
      </c>
      <c r="D48" s="208">
        <v>0</v>
      </c>
      <c r="E48" s="211" t="s">
        <v>1492</v>
      </c>
      <c r="F48" s="212" t="s">
        <v>1493</v>
      </c>
      <c r="G48" s="213"/>
    </row>
    <row r="49" s="201" customFormat="1" ht="15.95" customHeight="1" spans="1:7">
      <c r="A49" s="208">
        <v>48</v>
      </c>
      <c r="B49" s="209" t="s">
        <v>79</v>
      </c>
      <c r="C49" s="210">
        <v>1537</v>
      </c>
      <c r="D49" s="208">
        <v>0</v>
      </c>
      <c r="E49" s="211" t="s">
        <v>1494</v>
      </c>
      <c r="F49" s="212" t="s">
        <v>1495</v>
      </c>
      <c r="G49" s="213"/>
    </row>
    <row r="50" s="201" customFormat="1" ht="15.95" customHeight="1" spans="1:7">
      <c r="A50" s="208">
        <v>49</v>
      </c>
      <c r="B50" s="209" t="s">
        <v>79</v>
      </c>
      <c r="C50" s="210">
        <v>1626</v>
      </c>
      <c r="D50" s="208">
        <v>0</v>
      </c>
      <c r="E50" s="211" t="s">
        <v>1496</v>
      </c>
      <c r="F50" s="212" t="s">
        <v>1497</v>
      </c>
      <c r="G50" s="213"/>
    </row>
    <row r="51" s="201" customFormat="1" ht="15.95" customHeight="1" spans="1:7">
      <c r="A51" s="208">
        <v>50</v>
      </c>
      <c r="B51" s="209" t="s">
        <v>79</v>
      </c>
      <c r="C51" s="210">
        <v>1627</v>
      </c>
      <c r="D51" s="208">
        <v>0</v>
      </c>
      <c r="E51" s="211" t="s">
        <v>1498</v>
      </c>
      <c r="F51" s="212" t="s">
        <v>1499</v>
      </c>
      <c r="G51" s="213"/>
    </row>
    <row r="52" s="201" customFormat="1" ht="15.95" customHeight="1" spans="1:7">
      <c r="A52" s="208">
        <v>51</v>
      </c>
      <c r="B52" s="209" t="s">
        <v>79</v>
      </c>
      <c r="C52" s="210">
        <v>1628</v>
      </c>
      <c r="D52" s="208">
        <v>0</v>
      </c>
      <c r="E52" s="211" t="s">
        <v>1500</v>
      </c>
      <c r="F52" s="212" t="s">
        <v>1501</v>
      </c>
      <c r="G52" s="213"/>
    </row>
    <row r="53" s="201" customFormat="1" ht="15.95" customHeight="1" spans="1:7">
      <c r="A53" s="208">
        <v>52</v>
      </c>
      <c r="B53" s="209" t="s">
        <v>79</v>
      </c>
      <c r="C53" s="210">
        <v>1630</v>
      </c>
      <c r="D53" s="208">
        <v>0</v>
      </c>
      <c r="E53" s="211" t="s">
        <v>1502</v>
      </c>
      <c r="F53" s="212" t="s">
        <v>1503</v>
      </c>
      <c r="G53" s="213"/>
    </row>
    <row r="54" s="201" customFormat="1" ht="15.95" customHeight="1" spans="1:7">
      <c r="A54" s="208">
        <v>53</v>
      </c>
      <c r="B54" s="209" t="s">
        <v>79</v>
      </c>
      <c r="C54" s="210">
        <v>1631</v>
      </c>
      <c r="D54" s="208">
        <v>0</v>
      </c>
      <c r="E54" s="211" t="s">
        <v>1504</v>
      </c>
      <c r="F54" s="212" t="s">
        <v>1505</v>
      </c>
      <c r="G54" s="213"/>
    </row>
    <row r="55" s="201" customFormat="1" ht="15.95" customHeight="1" spans="1:7">
      <c r="A55" s="208">
        <v>54</v>
      </c>
      <c r="B55" s="209" t="s">
        <v>79</v>
      </c>
      <c r="C55" s="210">
        <v>1634</v>
      </c>
      <c r="D55" s="208">
        <v>0</v>
      </c>
      <c r="E55" s="211" t="s">
        <v>1506</v>
      </c>
      <c r="F55" s="212" t="s">
        <v>1507</v>
      </c>
      <c r="G55" s="213"/>
    </row>
    <row r="56" s="201" customFormat="1" ht="15.95" customHeight="1" spans="1:7">
      <c r="A56" s="208">
        <v>55</v>
      </c>
      <c r="B56" s="209" t="s">
        <v>79</v>
      </c>
      <c r="C56" s="210">
        <v>1636</v>
      </c>
      <c r="D56" s="208">
        <v>0</v>
      </c>
      <c r="E56" s="211" t="s">
        <v>1508</v>
      </c>
      <c r="F56" s="212" t="s">
        <v>1509</v>
      </c>
      <c r="G56" s="213"/>
    </row>
    <row r="57" s="201" customFormat="1" ht="15.95" customHeight="1" spans="1:7">
      <c r="A57" s="208">
        <v>56</v>
      </c>
      <c r="B57" s="209" t="s">
        <v>79</v>
      </c>
      <c r="C57" s="210">
        <v>1637</v>
      </c>
      <c r="D57" s="208">
        <v>0</v>
      </c>
      <c r="E57" s="211" t="s">
        <v>1510</v>
      </c>
      <c r="F57" s="212" t="s">
        <v>1511</v>
      </c>
      <c r="G57" s="213"/>
    </row>
    <row r="58" s="201" customFormat="1" ht="15.95" customHeight="1" spans="1:7">
      <c r="A58" s="208">
        <v>57</v>
      </c>
      <c r="B58" s="209" t="s">
        <v>79</v>
      </c>
      <c r="C58" s="210">
        <v>1638</v>
      </c>
      <c r="D58" s="208">
        <v>0</v>
      </c>
      <c r="E58" s="211" t="s">
        <v>1512</v>
      </c>
      <c r="F58" s="212" t="s">
        <v>1513</v>
      </c>
      <c r="G58" s="213"/>
    </row>
    <row r="59" s="201" customFormat="1" ht="15.95" customHeight="1" spans="1:7">
      <c r="A59" s="208">
        <v>58</v>
      </c>
      <c r="B59" s="209" t="s">
        <v>79</v>
      </c>
      <c r="C59" s="210">
        <v>1639</v>
      </c>
      <c r="D59" s="208">
        <v>0</v>
      </c>
      <c r="E59" s="211" t="s">
        <v>1514</v>
      </c>
      <c r="F59" s="212" t="s">
        <v>1515</v>
      </c>
      <c r="G59" s="213"/>
    </row>
    <row r="60" s="201" customFormat="1" ht="15.95" customHeight="1" spans="1:7">
      <c r="A60" s="208">
        <v>59</v>
      </c>
      <c r="B60" s="209" t="s">
        <v>79</v>
      </c>
      <c r="C60" s="210">
        <v>1645</v>
      </c>
      <c r="D60" s="208">
        <v>0</v>
      </c>
      <c r="E60" s="211" t="s">
        <v>1516</v>
      </c>
      <c r="F60" s="212" t="s">
        <v>1517</v>
      </c>
      <c r="G60" s="213"/>
    </row>
    <row r="61" s="201" customFormat="1" ht="15.95" customHeight="1" spans="1:7">
      <c r="A61" s="208">
        <v>60</v>
      </c>
      <c r="B61" s="209" t="s">
        <v>79</v>
      </c>
      <c r="C61" s="210">
        <v>1646</v>
      </c>
      <c r="D61" s="208">
        <v>0</v>
      </c>
      <c r="E61" s="211" t="s">
        <v>1518</v>
      </c>
      <c r="F61" s="212" t="s">
        <v>1519</v>
      </c>
      <c r="G61" s="213"/>
    </row>
    <row r="62" s="201" customFormat="1" ht="15.95" customHeight="1" spans="1:7">
      <c r="A62" s="208">
        <v>61</v>
      </c>
      <c r="B62" s="209" t="s">
        <v>79</v>
      </c>
      <c r="C62" s="210">
        <v>1647</v>
      </c>
      <c r="D62" s="208">
        <v>0</v>
      </c>
      <c r="E62" s="211" t="s">
        <v>1520</v>
      </c>
      <c r="F62" s="212" t="s">
        <v>1521</v>
      </c>
      <c r="G62" s="213"/>
    </row>
    <row r="63" s="201" customFormat="1" ht="15.95" customHeight="1" spans="1:7">
      <c r="A63" s="208">
        <v>62</v>
      </c>
      <c r="B63" s="209" t="s">
        <v>79</v>
      </c>
      <c r="C63" s="210">
        <v>1656</v>
      </c>
      <c r="D63" s="208">
        <v>0</v>
      </c>
      <c r="E63" s="211" t="s">
        <v>1522</v>
      </c>
      <c r="F63" s="212" t="s">
        <v>1523</v>
      </c>
      <c r="G63" s="213"/>
    </row>
    <row r="64" s="201" customFormat="1" ht="15.95" customHeight="1" spans="1:7">
      <c r="A64" s="208">
        <v>63</v>
      </c>
      <c r="B64" s="209" t="s">
        <v>79</v>
      </c>
      <c r="C64" s="210">
        <v>1657</v>
      </c>
      <c r="D64" s="208">
        <v>0</v>
      </c>
      <c r="E64" s="211" t="s">
        <v>1524</v>
      </c>
      <c r="F64" s="212" t="s">
        <v>1525</v>
      </c>
      <c r="G64" s="213"/>
    </row>
    <row r="65" s="201" customFormat="1" ht="15.95" customHeight="1" spans="1:7">
      <c r="A65" s="208">
        <v>64</v>
      </c>
      <c r="B65" s="209" t="s">
        <v>79</v>
      </c>
      <c r="C65" s="210">
        <v>1658</v>
      </c>
      <c r="D65" s="208">
        <v>0</v>
      </c>
      <c r="E65" s="211" t="s">
        <v>1526</v>
      </c>
      <c r="F65" s="212" t="s">
        <v>1527</v>
      </c>
      <c r="G65" s="213"/>
    </row>
    <row r="66" s="201" customFormat="1" ht="15.95" customHeight="1" spans="1:7">
      <c r="A66" s="208">
        <v>65</v>
      </c>
      <c r="B66" s="209" t="s">
        <v>79</v>
      </c>
      <c r="C66" s="210">
        <v>1660</v>
      </c>
      <c r="D66" s="208">
        <v>0</v>
      </c>
      <c r="E66" s="211" t="s">
        <v>1528</v>
      </c>
      <c r="F66" s="212" t="s">
        <v>1529</v>
      </c>
      <c r="G66" s="213"/>
    </row>
    <row r="67" s="201" customFormat="1" ht="15.95" customHeight="1" spans="1:7">
      <c r="A67" s="208">
        <v>66</v>
      </c>
      <c r="B67" s="209" t="s">
        <v>79</v>
      </c>
      <c r="C67" s="210">
        <v>1661</v>
      </c>
      <c r="D67" s="208">
        <v>0</v>
      </c>
      <c r="E67" s="211" t="s">
        <v>1530</v>
      </c>
      <c r="F67" s="212" t="s">
        <v>1531</v>
      </c>
      <c r="G67" s="213"/>
    </row>
    <row r="68" s="201" customFormat="1" ht="15.95" customHeight="1" spans="1:7">
      <c r="A68" s="208">
        <v>67</v>
      </c>
      <c r="B68" s="209" t="s">
        <v>79</v>
      </c>
      <c r="C68" s="210">
        <v>1664</v>
      </c>
      <c r="D68" s="208">
        <v>0</v>
      </c>
      <c r="E68" s="211" t="s">
        <v>1532</v>
      </c>
      <c r="F68" s="212" t="s">
        <v>1533</v>
      </c>
      <c r="G68" s="213"/>
    </row>
    <row r="69" s="201" customFormat="1" ht="15.95" customHeight="1" spans="1:7">
      <c r="A69" s="208">
        <v>68</v>
      </c>
      <c r="B69" s="209" t="s">
        <v>79</v>
      </c>
      <c r="C69" s="210">
        <v>1666</v>
      </c>
      <c r="D69" s="208">
        <v>0</v>
      </c>
      <c r="E69" s="211" t="s">
        <v>1534</v>
      </c>
      <c r="F69" s="212" t="s">
        <v>1535</v>
      </c>
      <c r="G69" s="213"/>
    </row>
    <row r="70" s="201" customFormat="1" ht="15.95" customHeight="1" spans="1:7">
      <c r="A70" s="208">
        <v>69</v>
      </c>
      <c r="B70" s="209" t="s">
        <v>79</v>
      </c>
      <c r="C70" s="210">
        <v>1667</v>
      </c>
      <c r="D70" s="208">
        <v>0</v>
      </c>
      <c r="E70" s="211" t="s">
        <v>1536</v>
      </c>
      <c r="F70" s="212" t="s">
        <v>1537</v>
      </c>
      <c r="G70" s="213"/>
    </row>
    <row r="71" s="201" customFormat="1" ht="15.95" customHeight="1" spans="1:7">
      <c r="A71" s="208">
        <v>70</v>
      </c>
      <c r="B71" s="209" t="s">
        <v>79</v>
      </c>
      <c r="C71" s="210">
        <v>1668</v>
      </c>
      <c r="D71" s="208">
        <v>0</v>
      </c>
      <c r="E71" s="211" t="s">
        <v>1538</v>
      </c>
      <c r="F71" s="212" t="s">
        <v>1539</v>
      </c>
      <c r="G71" s="213"/>
    </row>
    <row r="72" s="201" customFormat="1" ht="15.95" customHeight="1" spans="1:7">
      <c r="A72" s="208">
        <v>71</v>
      </c>
      <c r="B72" s="209" t="s">
        <v>79</v>
      </c>
      <c r="C72" s="210">
        <v>1669</v>
      </c>
      <c r="D72" s="208">
        <v>0</v>
      </c>
      <c r="E72" s="211" t="s">
        <v>1540</v>
      </c>
      <c r="F72" s="212" t="s">
        <v>1541</v>
      </c>
      <c r="G72" s="213"/>
    </row>
    <row r="73" s="201" customFormat="1" ht="15.95" customHeight="1" spans="1:7">
      <c r="A73" s="208">
        <v>72</v>
      </c>
      <c r="B73" s="209" t="s">
        <v>79</v>
      </c>
      <c r="C73" s="210">
        <v>1675</v>
      </c>
      <c r="D73" s="208">
        <v>0</v>
      </c>
      <c r="E73" s="211" t="s">
        <v>1542</v>
      </c>
      <c r="F73" s="212" t="s">
        <v>1543</v>
      </c>
      <c r="G73" s="213"/>
    </row>
    <row r="74" s="201" customFormat="1" ht="15.95" customHeight="1" spans="1:7">
      <c r="A74" s="208">
        <v>73</v>
      </c>
      <c r="B74" s="209" t="s">
        <v>79</v>
      </c>
      <c r="C74" s="210">
        <v>1676</v>
      </c>
      <c r="D74" s="208">
        <v>0</v>
      </c>
      <c r="E74" s="211" t="s">
        <v>1544</v>
      </c>
      <c r="F74" s="212" t="s">
        <v>1545</v>
      </c>
      <c r="G74" s="213"/>
    </row>
    <row r="75" s="201" customFormat="1" ht="15.95" customHeight="1" spans="1:7">
      <c r="A75" s="208">
        <v>74</v>
      </c>
      <c r="B75" s="209" t="s">
        <v>79</v>
      </c>
      <c r="C75" s="210">
        <v>1678</v>
      </c>
      <c r="D75" s="208">
        <v>0</v>
      </c>
      <c r="E75" s="211" t="s">
        <v>1546</v>
      </c>
      <c r="F75" s="212" t="s">
        <v>1547</v>
      </c>
      <c r="G75" s="213"/>
    </row>
    <row r="76" s="201" customFormat="1" ht="15.95" customHeight="1" spans="1:7">
      <c r="A76" s="208">
        <v>75</v>
      </c>
      <c r="B76" s="209" t="s">
        <v>79</v>
      </c>
      <c r="C76" s="210">
        <v>1680</v>
      </c>
      <c r="D76" s="208">
        <v>0</v>
      </c>
      <c r="E76" s="211" t="s">
        <v>1548</v>
      </c>
      <c r="F76" s="212" t="s">
        <v>1549</v>
      </c>
      <c r="G76" s="213"/>
    </row>
    <row r="77" s="201" customFormat="1" ht="15.95" customHeight="1" spans="1:7">
      <c r="A77" s="208">
        <v>76</v>
      </c>
      <c r="B77" s="209" t="s">
        <v>79</v>
      </c>
      <c r="C77" s="210">
        <v>1806</v>
      </c>
      <c r="D77" s="208">
        <v>0</v>
      </c>
      <c r="E77" s="211" t="s">
        <v>1550</v>
      </c>
      <c r="F77" s="212" t="s">
        <v>1551</v>
      </c>
      <c r="G77" s="213"/>
    </row>
    <row r="78" s="201" customFormat="1" ht="15.95" customHeight="1" spans="1:7">
      <c r="A78" s="208">
        <v>77</v>
      </c>
      <c r="B78" s="209" t="s">
        <v>79</v>
      </c>
      <c r="C78" s="210">
        <v>1811</v>
      </c>
      <c r="D78" s="208">
        <v>0</v>
      </c>
      <c r="E78" s="211" t="s">
        <v>1552</v>
      </c>
      <c r="F78" s="212" t="s">
        <v>1553</v>
      </c>
      <c r="G78" s="213"/>
    </row>
    <row r="79" s="201" customFormat="1" ht="15.95" customHeight="1" spans="1:7">
      <c r="A79" s="208">
        <v>78</v>
      </c>
      <c r="B79" s="209" t="s">
        <v>79</v>
      </c>
      <c r="C79" s="210">
        <v>1851</v>
      </c>
      <c r="D79" s="208">
        <v>0</v>
      </c>
      <c r="E79" s="211" t="s">
        <v>1554</v>
      </c>
      <c r="F79" s="212" t="s">
        <v>1555</v>
      </c>
      <c r="G79" s="213"/>
    </row>
    <row r="80" s="201" customFormat="1" ht="15.95" customHeight="1" spans="1:7">
      <c r="A80" s="208">
        <v>79</v>
      </c>
      <c r="B80" s="209" t="s">
        <v>79</v>
      </c>
      <c r="C80" s="210">
        <v>2573</v>
      </c>
      <c r="D80" s="208">
        <v>0</v>
      </c>
      <c r="E80" s="211" t="s">
        <v>1556</v>
      </c>
      <c r="F80" s="212" t="s">
        <v>1557</v>
      </c>
      <c r="G80" s="213"/>
    </row>
    <row r="81" s="201" customFormat="1" ht="15.95" customHeight="1" spans="1:7">
      <c r="A81" s="208">
        <v>80</v>
      </c>
      <c r="B81" s="209" t="s">
        <v>79</v>
      </c>
      <c r="C81" s="210">
        <v>3161</v>
      </c>
      <c r="D81" s="208">
        <v>0</v>
      </c>
      <c r="E81" s="211" t="s">
        <v>1558</v>
      </c>
      <c r="F81" s="212" t="s">
        <v>1559</v>
      </c>
      <c r="G81" s="213"/>
    </row>
    <row r="82" s="201" customFormat="1" ht="15.95" customHeight="1" spans="1:7">
      <c r="A82" s="208">
        <v>81</v>
      </c>
      <c r="B82" s="209" t="s">
        <v>79</v>
      </c>
      <c r="C82" s="210">
        <v>3586</v>
      </c>
      <c r="D82" s="208">
        <v>0</v>
      </c>
      <c r="E82" s="211" t="s">
        <v>1560</v>
      </c>
      <c r="F82" s="212" t="s">
        <v>1561</v>
      </c>
      <c r="G82" s="213"/>
    </row>
    <row r="83" s="201" customFormat="1" ht="15.95" customHeight="1" spans="1:7">
      <c r="A83" s="208">
        <v>82</v>
      </c>
      <c r="B83" s="209" t="s">
        <v>79</v>
      </c>
      <c r="C83" s="210">
        <v>3594</v>
      </c>
      <c r="D83" s="208">
        <v>0</v>
      </c>
      <c r="E83" s="211" t="s">
        <v>1562</v>
      </c>
      <c r="F83" s="212" t="s">
        <v>1563</v>
      </c>
      <c r="G83" s="213"/>
    </row>
    <row r="84" s="201" customFormat="1" ht="15.95" customHeight="1" spans="1:7">
      <c r="A84" s="208">
        <v>83</v>
      </c>
      <c r="B84" s="209" t="s">
        <v>79</v>
      </c>
      <c r="C84" s="210">
        <v>3597</v>
      </c>
      <c r="D84" s="208">
        <v>0</v>
      </c>
      <c r="E84" s="211" t="s">
        <v>1564</v>
      </c>
      <c r="F84" s="212" t="s">
        <v>1565</v>
      </c>
      <c r="G84" s="213"/>
    </row>
    <row r="85" s="201" customFormat="1" ht="15.95" customHeight="1" spans="1:7">
      <c r="A85" s="208">
        <v>84</v>
      </c>
      <c r="B85" s="209" t="s">
        <v>79</v>
      </c>
      <c r="C85" s="210">
        <v>3598</v>
      </c>
      <c r="D85" s="208">
        <v>0</v>
      </c>
      <c r="E85" s="211" t="s">
        <v>1566</v>
      </c>
      <c r="F85" s="212" t="s">
        <v>1567</v>
      </c>
      <c r="G85" s="213"/>
    </row>
    <row r="86" s="201" customFormat="1" ht="15.95" customHeight="1" spans="1:7">
      <c r="A86" s="208">
        <v>85</v>
      </c>
      <c r="B86" s="209" t="s">
        <v>79</v>
      </c>
      <c r="C86" s="210">
        <v>3853</v>
      </c>
      <c r="D86" s="208">
        <v>0</v>
      </c>
      <c r="E86" s="211" t="s">
        <v>1568</v>
      </c>
      <c r="F86" s="212" t="s">
        <v>1569</v>
      </c>
      <c r="G86" s="213"/>
    </row>
    <row r="87" s="201" customFormat="1" ht="15.95" customHeight="1" spans="1:7">
      <c r="A87" s="208">
        <v>86</v>
      </c>
      <c r="B87" s="209" t="s">
        <v>79</v>
      </c>
      <c r="C87" s="210">
        <v>4953</v>
      </c>
      <c r="D87" s="208">
        <v>0</v>
      </c>
      <c r="E87" s="211" t="s">
        <v>1570</v>
      </c>
      <c r="F87" s="212" t="s">
        <v>1571</v>
      </c>
      <c r="G87" s="213"/>
    </row>
    <row r="88" s="201" customFormat="1" ht="15.95" customHeight="1" spans="1:7">
      <c r="A88" s="208">
        <v>87</v>
      </c>
      <c r="B88" s="209" t="s">
        <v>79</v>
      </c>
      <c r="C88" s="210">
        <v>7968</v>
      </c>
      <c r="D88" s="208">
        <v>0</v>
      </c>
      <c r="E88" s="211" t="s">
        <v>1572</v>
      </c>
      <c r="F88" s="212" t="s">
        <v>1573</v>
      </c>
      <c r="G88" s="213"/>
    </row>
    <row r="89" s="201" customFormat="1" ht="15.95" customHeight="1" spans="1:7">
      <c r="A89" s="208">
        <v>88</v>
      </c>
      <c r="B89" s="209" t="s">
        <v>79</v>
      </c>
      <c r="C89" s="210">
        <v>8224</v>
      </c>
      <c r="D89" s="208">
        <v>0</v>
      </c>
      <c r="E89" s="211" t="s">
        <v>1574</v>
      </c>
      <c r="F89" s="212" t="s">
        <v>1575</v>
      </c>
      <c r="G89" s="213"/>
    </row>
    <row r="90" s="201" customFormat="1" ht="15.95" customHeight="1" spans="1:7">
      <c r="A90" s="208">
        <v>89</v>
      </c>
      <c r="B90" s="209" t="s">
        <v>79</v>
      </c>
      <c r="C90" s="210">
        <v>8480</v>
      </c>
      <c r="D90" s="208">
        <v>0</v>
      </c>
      <c r="E90" s="211" t="s">
        <v>1576</v>
      </c>
      <c r="F90" s="212" t="s">
        <v>1577</v>
      </c>
      <c r="G90" s="213"/>
    </row>
    <row r="91" s="201" customFormat="1" ht="15.95" customHeight="1" spans="1:7">
      <c r="A91" s="208">
        <v>90</v>
      </c>
      <c r="B91" s="209" t="s">
        <v>79</v>
      </c>
      <c r="C91" s="210">
        <v>8736</v>
      </c>
      <c r="D91" s="208">
        <v>0</v>
      </c>
      <c r="E91" s="211" t="s">
        <v>1578</v>
      </c>
      <c r="F91" s="212" t="s">
        <v>1579</v>
      </c>
      <c r="G91" s="213"/>
    </row>
    <row r="92" s="201" customFormat="1" ht="15.95" customHeight="1" spans="1:7">
      <c r="A92" s="208">
        <v>91</v>
      </c>
      <c r="B92" s="209" t="s">
        <v>79</v>
      </c>
      <c r="C92" s="210">
        <v>8992</v>
      </c>
      <c r="D92" s="208">
        <v>0</v>
      </c>
      <c r="E92" s="209" t="s">
        <v>1580</v>
      </c>
      <c r="F92" s="212" t="s">
        <v>1581</v>
      </c>
      <c r="G92" s="213"/>
    </row>
    <row r="93" s="201" customFormat="1" ht="15.95" customHeight="1" spans="1:7">
      <c r="A93" s="208">
        <v>92</v>
      </c>
      <c r="B93" s="209" t="s">
        <v>79</v>
      </c>
      <c r="C93" s="210">
        <v>9216</v>
      </c>
      <c r="D93" s="208">
        <v>0</v>
      </c>
      <c r="E93" s="209" t="s">
        <v>1582</v>
      </c>
      <c r="F93" s="212" t="s">
        <v>1583</v>
      </c>
      <c r="G93" s="213"/>
    </row>
    <row r="94" s="201" customFormat="1" ht="15.95" customHeight="1" spans="1:7">
      <c r="A94" s="208">
        <v>93</v>
      </c>
      <c r="B94" s="209" t="s">
        <v>79</v>
      </c>
      <c r="C94" s="210">
        <v>13056</v>
      </c>
      <c r="D94" s="208">
        <v>0</v>
      </c>
      <c r="E94" s="211" t="s">
        <v>1584</v>
      </c>
      <c r="F94" s="212" t="s">
        <v>1585</v>
      </c>
      <c r="G94" s="213"/>
    </row>
    <row r="95" s="201" customFormat="1" ht="15.95" customHeight="1" spans="1:7">
      <c r="A95" s="208">
        <v>94</v>
      </c>
      <c r="B95" s="209" t="s">
        <v>79</v>
      </c>
      <c r="C95" s="210">
        <v>13312</v>
      </c>
      <c r="D95" s="208">
        <v>0</v>
      </c>
      <c r="E95" s="211" t="s">
        <v>1586</v>
      </c>
      <c r="F95" s="212" t="s">
        <v>1587</v>
      </c>
      <c r="G95" s="213"/>
    </row>
    <row r="96" s="201" customFormat="1" ht="15.95" customHeight="1" spans="1:7">
      <c r="A96" s="208">
        <v>95</v>
      </c>
      <c r="B96" s="209" t="s">
        <v>79</v>
      </c>
      <c r="C96" s="210">
        <v>14614</v>
      </c>
      <c r="D96" s="208">
        <v>0</v>
      </c>
      <c r="E96" s="211" t="s">
        <v>1588</v>
      </c>
      <c r="F96" s="212" t="s">
        <v>1589</v>
      </c>
      <c r="G96" s="213"/>
    </row>
    <row r="97" s="201" customFormat="1" ht="15.95" customHeight="1" spans="1:7">
      <c r="A97" s="208">
        <v>96</v>
      </c>
      <c r="B97" s="209" t="s">
        <v>79</v>
      </c>
      <c r="C97" s="210">
        <v>15386</v>
      </c>
      <c r="D97" s="208">
        <v>0</v>
      </c>
      <c r="E97" s="211" t="s">
        <v>1590</v>
      </c>
      <c r="F97" s="212" t="s">
        <v>1591</v>
      </c>
      <c r="G97" s="213"/>
    </row>
    <row r="98" s="201" customFormat="1" ht="15.95" customHeight="1" spans="1:7">
      <c r="A98" s="208">
        <v>97</v>
      </c>
      <c r="B98" s="209" t="s">
        <v>79</v>
      </c>
      <c r="C98" s="210">
        <v>15395</v>
      </c>
      <c r="D98" s="208">
        <v>0</v>
      </c>
      <c r="E98" s="211" t="s">
        <v>1592</v>
      </c>
      <c r="F98" s="212" t="s">
        <v>1593</v>
      </c>
      <c r="G98" s="213"/>
    </row>
    <row r="99" s="201" customFormat="1" ht="15.95" customHeight="1" spans="1:7">
      <c r="A99" s="208">
        <v>98</v>
      </c>
      <c r="B99" s="209" t="s">
        <v>79</v>
      </c>
      <c r="C99" s="210">
        <v>15410</v>
      </c>
      <c r="D99" s="208">
        <v>0</v>
      </c>
      <c r="E99" s="211" t="s">
        <v>1594</v>
      </c>
      <c r="F99" s="212" t="s">
        <v>1595</v>
      </c>
      <c r="G99" s="213"/>
    </row>
    <row r="100" s="201" customFormat="1" ht="15.95" customHeight="1" spans="1:7">
      <c r="A100" s="208">
        <v>99</v>
      </c>
      <c r="B100" s="209" t="s">
        <v>79</v>
      </c>
      <c r="C100" s="210">
        <v>15638</v>
      </c>
      <c r="D100" s="208">
        <v>0</v>
      </c>
      <c r="E100" s="211" t="s">
        <v>1596</v>
      </c>
      <c r="F100" s="212" t="s">
        <v>1597</v>
      </c>
      <c r="G100" s="213"/>
    </row>
    <row r="101" s="201" customFormat="1" ht="15.95" customHeight="1" spans="1:7">
      <c r="A101" s="208">
        <v>100</v>
      </c>
      <c r="B101" s="209" t="s">
        <v>79</v>
      </c>
      <c r="C101" s="210">
        <v>15639</v>
      </c>
      <c r="D101" s="208">
        <v>0</v>
      </c>
      <c r="E101" s="211" t="s">
        <v>1598</v>
      </c>
      <c r="F101" s="212" t="s">
        <v>1599</v>
      </c>
      <c r="G101" s="213"/>
    </row>
    <row r="102" s="201" customFormat="1" ht="15.95" customHeight="1" spans="1:7">
      <c r="A102" s="208">
        <v>101</v>
      </c>
      <c r="B102" s="209" t="s">
        <v>79</v>
      </c>
      <c r="C102" s="210">
        <v>15894</v>
      </c>
      <c r="D102" s="208">
        <v>0</v>
      </c>
      <c r="E102" s="211" t="s">
        <v>1600</v>
      </c>
      <c r="F102" s="212" t="s">
        <v>1601</v>
      </c>
      <c r="G102" s="213"/>
    </row>
    <row r="103" s="201" customFormat="1" ht="15.95" customHeight="1" spans="1:7">
      <c r="A103" s="208">
        <v>102</v>
      </c>
      <c r="B103" s="209" t="s">
        <v>79</v>
      </c>
      <c r="C103" s="210">
        <v>15895</v>
      </c>
      <c r="D103" s="208">
        <v>0</v>
      </c>
      <c r="E103" s="211" t="s">
        <v>1602</v>
      </c>
      <c r="F103" s="212" t="s">
        <v>1603</v>
      </c>
      <c r="G103" s="213"/>
    </row>
    <row r="104" s="201" customFormat="1" ht="15.95" customHeight="1" spans="1:7">
      <c r="A104" s="208">
        <v>103</v>
      </c>
      <c r="B104" s="209" t="s">
        <v>79</v>
      </c>
      <c r="C104" s="210">
        <v>16660</v>
      </c>
      <c r="D104" s="208">
        <v>0</v>
      </c>
      <c r="E104" s="211" t="s">
        <v>1604</v>
      </c>
      <c r="F104" s="212" t="s">
        <v>1605</v>
      </c>
      <c r="G104" s="213"/>
    </row>
    <row r="105" s="201" customFormat="1" ht="15.95" customHeight="1" spans="1:7">
      <c r="A105" s="208">
        <v>104</v>
      </c>
      <c r="B105" s="209" t="s">
        <v>79</v>
      </c>
      <c r="C105" s="210">
        <v>16661</v>
      </c>
      <c r="D105" s="208">
        <v>0</v>
      </c>
      <c r="E105" s="211" t="s">
        <v>1606</v>
      </c>
      <c r="F105" s="212" t="s">
        <v>1607</v>
      </c>
      <c r="G105" s="213"/>
    </row>
    <row r="106" s="201" customFormat="1" ht="15.95" customHeight="1" spans="1:7">
      <c r="A106" s="208">
        <v>105</v>
      </c>
      <c r="B106" s="209" t="s">
        <v>79</v>
      </c>
      <c r="C106" s="210">
        <v>17153</v>
      </c>
      <c r="D106" s="208">
        <v>0</v>
      </c>
      <c r="E106" s="211" t="s">
        <v>1608</v>
      </c>
      <c r="F106" s="212" t="s">
        <v>1609</v>
      </c>
      <c r="G106" s="213"/>
    </row>
    <row r="107" s="201" customFormat="1" ht="15.95" customHeight="1" spans="1:7">
      <c r="A107" s="208">
        <v>106</v>
      </c>
      <c r="B107" s="209" t="s">
        <v>79</v>
      </c>
      <c r="C107" s="210">
        <v>18432</v>
      </c>
      <c r="D107" s="208">
        <v>0</v>
      </c>
      <c r="E107" s="211" t="s">
        <v>1610</v>
      </c>
      <c r="F107" s="212" t="s">
        <v>1611</v>
      </c>
      <c r="G107" s="213"/>
    </row>
    <row r="108" s="201" customFormat="1" ht="15.95" customHeight="1" spans="1:7">
      <c r="A108" s="208">
        <v>107</v>
      </c>
      <c r="B108" s="209" t="s">
        <v>79</v>
      </c>
      <c r="C108" s="210">
        <v>18588</v>
      </c>
      <c r="D108" s="208">
        <v>0</v>
      </c>
      <c r="E108" s="211" t="s">
        <v>1612</v>
      </c>
      <c r="F108" s="212" t="s">
        <v>1613</v>
      </c>
      <c r="G108" s="213"/>
    </row>
    <row r="109" s="201" customFormat="1" ht="15.95" customHeight="1" spans="1:7">
      <c r="A109" s="208">
        <v>108</v>
      </c>
      <c r="B109" s="209" t="s">
        <v>79</v>
      </c>
      <c r="C109" s="210">
        <v>18589</v>
      </c>
      <c r="D109" s="208">
        <v>0</v>
      </c>
      <c r="E109" s="211" t="s">
        <v>1614</v>
      </c>
      <c r="F109" s="212" t="s">
        <v>1615</v>
      </c>
      <c r="G109" s="213"/>
    </row>
    <row r="110" s="201" customFormat="1" ht="15.95" customHeight="1" spans="1:7">
      <c r="A110" s="208">
        <v>109</v>
      </c>
      <c r="B110" s="209" t="s">
        <v>79</v>
      </c>
      <c r="C110" s="210">
        <v>18592</v>
      </c>
      <c r="D110" s="208">
        <v>0</v>
      </c>
      <c r="E110" s="211" t="s">
        <v>1616</v>
      </c>
      <c r="F110" s="212" t="s">
        <v>1617</v>
      </c>
      <c r="G110" s="213"/>
    </row>
    <row r="111" s="201" customFormat="1" ht="15.95" customHeight="1" spans="1:7">
      <c r="A111" s="208">
        <v>110</v>
      </c>
      <c r="B111" s="209" t="s">
        <v>79</v>
      </c>
      <c r="C111" s="210">
        <v>18689</v>
      </c>
      <c r="D111" s="208">
        <v>0</v>
      </c>
      <c r="E111" s="211" t="s">
        <v>1618</v>
      </c>
      <c r="F111" s="212" t="s">
        <v>1619</v>
      </c>
      <c r="G111" s="213"/>
    </row>
    <row r="112" s="201" customFormat="1" ht="15.95" customHeight="1" spans="1:7">
      <c r="A112" s="208">
        <v>111</v>
      </c>
      <c r="B112" s="209" t="s">
        <v>79</v>
      </c>
      <c r="C112" s="210">
        <v>18738</v>
      </c>
      <c r="D112" s="208">
        <v>0</v>
      </c>
      <c r="E112" s="211" t="s">
        <v>1620</v>
      </c>
      <c r="F112" s="212" t="s">
        <v>1621</v>
      </c>
      <c r="G112" s="213"/>
    </row>
    <row r="113" s="201" customFormat="1" ht="15.95" customHeight="1" spans="1:7">
      <c r="A113" s="208">
        <v>112</v>
      </c>
      <c r="B113" s="209" t="s">
        <v>79</v>
      </c>
      <c r="C113" s="210">
        <v>24576</v>
      </c>
      <c r="D113" s="208">
        <v>0</v>
      </c>
      <c r="E113" s="211" t="s">
        <v>1622</v>
      </c>
      <c r="F113" s="212" t="s">
        <v>1623</v>
      </c>
      <c r="G113" s="213"/>
    </row>
    <row r="114" s="201" customFormat="1" ht="15.95" customHeight="1" spans="1:7">
      <c r="A114" s="208">
        <v>113</v>
      </c>
      <c r="B114" s="209" t="s">
        <v>79</v>
      </c>
      <c r="C114" s="210">
        <v>25088</v>
      </c>
      <c r="D114" s="208">
        <v>0</v>
      </c>
      <c r="E114" s="209" t="s">
        <v>1624</v>
      </c>
      <c r="F114" s="212" t="s">
        <v>1625</v>
      </c>
      <c r="G114" s="213"/>
    </row>
    <row r="115" s="201" customFormat="1" ht="15.95" customHeight="1" spans="1:7">
      <c r="A115" s="208">
        <v>114</v>
      </c>
      <c r="B115" s="209" t="s">
        <v>79</v>
      </c>
      <c r="C115" s="210">
        <v>25600</v>
      </c>
      <c r="D115" s="208">
        <v>0</v>
      </c>
      <c r="E115" s="211" t="s">
        <v>1626</v>
      </c>
      <c r="F115" s="212" t="s">
        <v>1627</v>
      </c>
      <c r="G115" s="213"/>
    </row>
    <row r="116" s="201" customFormat="1" ht="15.95" customHeight="1" spans="1:7">
      <c r="A116" s="208">
        <v>115</v>
      </c>
      <c r="B116" s="209" t="s">
        <v>79</v>
      </c>
      <c r="C116" s="210">
        <v>25856</v>
      </c>
      <c r="D116" s="208">
        <v>0</v>
      </c>
      <c r="E116" s="211" t="s">
        <v>1628</v>
      </c>
      <c r="F116" s="212" t="s">
        <v>1629</v>
      </c>
      <c r="G116" s="213"/>
    </row>
    <row r="117" s="201" customFormat="1" ht="15.95" customHeight="1" spans="1:7">
      <c r="A117" s="208">
        <v>116</v>
      </c>
      <c r="B117" s="209" t="s">
        <v>79</v>
      </c>
      <c r="C117" s="210">
        <v>26112</v>
      </c>
      <c r="D117" s="208">
        <v>0</v>
      </c>
      <c r="E117" s="211" t="s">
        <v>1630</v>
      </c>
      <c r="F117" s="212" t="s">
        <v>1631</v>
      </c>
      <c r="G117" s="213"/>
    </row>
    <row r="118" s="201" customFormat="1" ht="15.95" customHeight="1" spans="1:7">
      <c r="A118" s="208">
        <v>117</v>
      </c>
      <c r="B118" s="209" t="s">
        <v>79</v>
      </c>
      <c r="C118" s="210">
        <v>26368</v>
      </c>
      <c r="D118" s="208">
        <v>0</v>
      </c>
      <c r="E118" s="211" t="s">
        <v>1632</v>
      </c>
      <c r="F118" s="212" t="s">
        <v>1633</v>
      </c>
      <c r="G118" s="213"/>
    </row>
    <row r="119" s="201" customFormat="1" ht="15.95" customHeight="1" spans="1:7">
      <c r="A119" s="208">
        <v>118</v>
      </c>
      <c r="B119" s="209" t="s">
        <v>79</v>
      </c>
      <c r="C119" s="210">
        <v>26624</v>
      </c>
      <c r="D119" s="208">
        <v>0</v>
      </c>
      <c r="E119" s="211" t="s">
        <v>1634</v>
      </c>
      <c r="F119" s="212" t="s">
        <v>1635</v>
      </c>
      <c r="G119" s="213"/>
    </row>
    <row r="120" s="201" customFormat="1" ht="15.95" customHeight="1" spans="1:7">
      <c r="A120" s="208">
        <v>119</v>
      </c>
      <c r="B120" s="209" t="s">
        <v>79</v>
      </c>
      <c r="C120" s="210">
        <v>26880</v>
      </c>
      <c r="D120" s="208">
        <v>0</v>
      </c>
      <c r="E120" s="211" t="s">
        <v>1636</v>
      </c>
      <c r="F120" s="212" t="s">
        <v>1637</v>
      </c>
      <c r="G120" s="213"/>
    </row>
    <row r="121" s="201" customFormat="1" ht="15.95" customHeight="1" spans="1:7">
      <c r="A121" s="208">
        <v>120</v>
      </c>
      <c r="B121" s="209" t="s">
        <v>79</v>
      </c>
      <c r="C121" s="210">
        <v>27136</v>
      </c>
      <c r="D121" s="208">
        <v>0</v>
      </c>
      <c r="E121" s="209" t="s">
        <v>1638</v>
      </c>
      <c r="F121" s="212" t="s">
        <v>1639</v>
      </c>
      <c r="G121" s="213"/>
    </row>
    <row r="122" s="201" customFormat="1" ht="15.95" customHeight="1" spans="1:7">
      <c r="A122" s="208">
        <v>121</v>
      </c>
      <c r="B122" s="209" t="s">
        <v>79</v>
      </c>
      <c r="C122" s="210">
        <v>27392</v>
      </c>
      <c r="D122" s="208">
        <v>0</v>
      </c>
      <c r="E122" s="209" t="s">
        <v>1640</v>
      </c>
      <c r="F122" s="212" t="s">
        <v>1641</v>
      </c>
      <c r="G122" s="213"/>
    </row>
    <row r="123" s="201" customFormat="1" ht="15.95" customHeight="1" spans="1:7">
      <c r="A123" s="208">
        <v>122</v>
      </c>
      <c r="B123" s="209" t="s">
        <v>79</v>
      </c>
      <c r="C123" s="210">
        <v>27648</v>
      </c>
      <c r="D123" s="208">
        <v>0</v>
      </c>
      <c r="E123" s="209" t="s">
        <v>1642</v>
      </c>
      <c r="F123" s="212" t="s">
        <v>1643</v>
      </c>
      <c r="G123" s="213"/>
    </row>
    <row r="124" s="201" customFormat="1" ht="15.95" customHeight="1" spans="1:7">
      <c r="A124" s="208">
        <v>123</v>
      </c>
      <c r="B124" s="209" t="s">
        <v>79</v>
      </c>
      <c r="C124" s="210">
        <v>27904</v>
      </c>
      <c r="D124" s="208">
        <v>0</v>
      </c>
      <c r="E124" s="209" t="s">
        <v>1644</v>
      </c>
      <c r="F124" s="212" t="s">
        <v>1645</v>
      </c>
      <c r="G124" s="213"/>
    </row>
    <row r="125" s="201" customFormat="1" ht="15.95" customHeight="1" spans="1:7">
      <c r="A125" s="208">
        <v>124</v>
      </c>
      <c r="B125" s="209" t="s">
        <v>79</v>
      </c>
      <c r="C125" s="210">
        <v>25645</v>
      </c>
      <c r="D125" s="208">
        <v>0</v>
      </c>
      <c r="E125" s="211" t="s">
        <v>1646</v>
      </c>
      <c r="F125" s="212" t="s">
        <v>1647</v>
      </c>
      <c r="G125" s="213"/>
    </row>
    <row r="126" s="201" customFormat="1" ht="15.95" customHeight="1" spans="1:7">
      <c r="A126" s="208">
        <v>125</v>
      </c>
      <c r="B126" s="209" t="s">
        <v>79</v>
      </c>
      <c r="C126" s="210">
        <v>25901</v>
      </c>
      <c r="D126" s="208">
        <v>0</v>
      </c>
      <c r="E126" s="211" t="s">
        <v>1648</v>
      </c>
      <c r="F126" s="212" t="s">
        <v>1649</v>
      </c>
      <c r="G126" s="213"/>
    </row>
    <row r="127" s="201" customFormat="1" ht="15.95" customHeight="1" spans="1:7">
      <c r="A127" s="208">
        <v>126</v>
      </c>
      <c r="B127" s="209" t="s">
        <v>79</v>
      </c>
      <c r="C127" s="210">
        <v>26157</v>
      </c>
      <c r="D127" s="208">
        <v>0</v>
      </c>
      <c r="E127" s="211" t="s">
        <v>1650</v>
      </c>
      <c r="F127" s="212" t="s">
        <v>1651</v>
      </c>
      <c r="G127" s="213"/>
    </row>
    <row r="128" s="201" customFormat="1" ht="15.95" customHeight="1" spans="1:7">
      <c r="A128" s="208">
        <v>127</v>
      </c>
      <c r="B128" s="209" t="s">
        <v>79</v>
      </c>
      <c r="C128" s="210">
        <v>26413</v>
      </c>
      <c r="D128" s="208">
        <v>0</v>
      </c>
      <c r="E128" s="211" t="s">
        <v>1652</v>
      </c>
      <c r="F128" s="212" t="s">
        <v>1653</v>
      </c>
      <c r="G128" s="213"/>
    </row>
    <row r="129" s="201" customFormat="1" ht="15.95" customHeight="1" spans="1:7">
      <c r="A129" s="208">
        <v>128</v>
      </c>
      <c r="B129" s="209" t="s">
        <v>79</v>
      </c>
      <c r="C129" s="210">
        <v>26669</v>
      </c>
      <c r="D129" s="208">
        <v>0</v>
      </c>
      <c r="E129" s="211" t="s">
        <v>1654</v>
      </c>
      <c r="F129" s="212" t="s">
        <v>1655</v>
      </c>
      <c r="G129" s="213"/>
    </row>
    <row r="130" s="201" customFormat="1" ht="15.95" customHeight="1" spans="1:7">
      <c r="A130" s="208">
        <v>129</v>
      </c>
      <c r="B130" s="209" t="s">
        <v>79</v>
      </c>
      <c r="C130" s="210">
        <v>26925</v>
      </c>
      <c r="D130" s="208">
        <v>0</v>
      </c>
      <c r="E130" s="211" t="s">
        <v>1656</v>
      </c>
      <c r="F130" s="212" t="s">
        <v>1657</v>
      </c>
      <c r="G130" s="213"/>
    </row>
    <row r="131" s="201" customFormat="1" ht="15.95" customHeight="1" spans="1:7">
      <c r="A131" s="208">
        <v>130</v>
      </c>
      <c r="B131" s="209" t="s">
        <v>79</v>
      </c>
      <c r="C131" s="210">
        <v>27181</v>
      </c>
      <c r="D131" s="208">
        <v>0</v>
      </c>
      <c r="E131" s="209" t="s">
        <v>1658</v>
      </c>
      <c r="F131" s="212" t="s">
        <v>1659</v>
      </c>
      <c r="G131" s="213"/>
    </row>
    <row r="132" s="201" customFormat="1" ht="15.95" customHeight="1" spans="1:7">
      <c r="A132" s="208">
        <v>131</v>
      </c>
      <c r="B132" s="209" t="s">
        <v>79</v>
      </c>
      <c r="C132" s="210">
        <v>27437</v>
      </c>
      <c r="D132" s="208">
        <v>0</v>
      </c>
      <c r="E132" s="209" t="s">
        <v>1660</v>
      </c>
      <c r="F132" s="212" t="s">
        <v>1661</v>
      </c>
      <c r="G132" s="213"/>
    </row>
    <row r="133" s="201" customFormat="1" ht="15.95" customHeight="1" spans="1:7">
      <c r="A133" s="208">
        <v>132</v>
      </c>
      <c r="B133" s="209" t="s">
        <v>79</v>
      </c>
      <c r="C133" s="210">
        <v>27693</v>
      </c>
      <c r="D133" s="208">
        <v>0</v>
      </c>
      <c r="E133" s="209" t="s">
        <v>1662</v>
      </c>
      <c r="F133" s="212" t="s">
        <v>1663</v>
      </c>
      <c r="G133" s="213"/>
    </row>
    <row r="134" s="201" customFormat="1" ht="15.95" customHeight="1" spans="1:7">
      <c r="A134" s="208">
        <v>133</v>
      </c>
      <c r="B134" s="209" t="s">
        <v>79</v>
      </c>
      <c r="C134" s="210">
        <v>27949</v>
      </c>
      <c r="D134" s="208">
        <v>0</v>
      </c>
      <c r="E134" s="209" t="s">
        <v>1664</v>
      </c>
      <c r="F134" s="212" t="s">
        <v>1665</v>
      </c>
      <c r="G134" s="213"/>
    </row>
    <row r="135" s="201" customFormat="1" ht="15.95" customHeight="1" spans="1:7">
      <c r="A135" s="208">
        <v>134</v>
      </c>
      <c r="B135" s="209" t="s">
        <v>79</v>
      </c>
      <c r="C135" s="210">
        <v>33283</v>
      </c>
      <c r="D135" s="208">
        <v>0</v>
      </c>
      <c r="E135" s="211" t="s">
        <v>1666</v>
      </c>
      <c r="F135" s="212" t="s">
        <v>1667</v>
      </c>
      <c r="G135" s="213"/>
    </row>
    <row r="136" s="201" customFormat="1" ht="15.95" customHeight="1" spans="1:7">
      <c r="A136" s="208">
        <v>135</v>
      </c>
      <c r="B136" s="209" t="s">
        <v>79</v>
      </c>
      <c r="C136" s="210">
        <v>33539</v>
      </c>
      <c r="D136" s="208">
        <v>0</v>
      </c>
      <c r="E136" s="211" t="s">
        <v>1668</v>
      </c>
      <c r="F136" s="212" t="s">
        <v>1669</v>
      </c>
      <c r="G136" s="213"/>
    </row>
    <row r="137" s="201" customFormat="1" ht="15.95" customHeight="1" spans="1:7">
      <c r="A137" s="208">
        <v>136</v>
      </c>
      <c r="B137" s="209" t="s">
        <v>79</v>
      </c>
      <c r="C137" s="210">
        <v>33795</v>
      </c>
      <c r="D137" s="208">
        <v>0</v>
      </c>
      <c r="E137" s="211" t="s">
        <v>1670</v>
      </c>
      <c r="F137" s="212" t="s">
        <v>1671</v>
      </c>
      <c r="G137" s="213"/>
    </row>
    <row r="138" s="201" customFormat="1" ht="15.95" customHeight="1" spans="1:7">
      <c r="A138" s="208">
        <v>137</v>
      </c>
      <c r="B138" s="209" t="s">
        <v>79</v>
      </c>
      <c r="C138" s="210">
        <v>34051</v>
      </c>
      <c r="D138" s="208">
        <v>0</v>
      </c>
      <c r="E138" s="211" t="s">
        <v>1672</v>
      </c>
      <c r="F138" s="212" t="s">
        <v>1673</v>
      </c>
      <c r="G138" s="213"/>
    </row>
    <row r="139" s="201" customFormat="1" ht="15.95" customHeight="1" spans="1:7">
      <c r="A139" s="208">
        <v>138</v>
      </c>
      <c r="B139" s="209" t="s">
        <v>79</v>
      </c>
      <c r="C139" s="210">
        <v>34307</v>
      </c>
      <c r="D139" s="208">
        <v>0</v>
      </c>
      <c r="E139" s="211" t="s">
        <v>1674</v>
      </c>
      <c r="F139" s="212" t="s">
        <v>1675</v>
      </c>
      <c r="G139" s="213"/>
    </row>
    <row r="140" s="201" customFormat="1" ht="15.95" customHeight="1" spans="1:7">
      <c r="A140" s="208">
        <v>139</v>
      </c>
      <c r="B140" s="209" t="s">
        <v>79</v>
      </c>
      <c r="C140" s="210">
        <v>34563</v>
      </c>
      <c r="D140" s="208">
        <v>0</v>
      </c>
      <c r="E140" s="211" t="s">
        <v>1676</v>
      </c>
      <c r="F140" s="212" t="s">
        <v>1677</v>
      </c>
      <c r="G140" s="213"/>
    </row>
    <row r="141" s="201" customFormat="1" ht="15.95" customHeight="1" spans="1:7">
      <c r="A141" s="208">
        <v>140</v>
      </c>
      <c r="B141" s="209" t="s">
        <v>79</v>
      </c>
      <c r="C141" s="210">
        <v>34819</v>
      </c>
      <c r="D141" s="208">
        <v>0</v>
      </c>
      <c r="E141" s="211" t="s">
        <v>1678</v>
      </c>
      <c r="F141" s="212" t="s">
        <v>1679</v>
      </c>
      <c r="G141" s="213"/>
    </row>
    <row r="142" s="201" customFormat="1" ht="15.95" customHeight="1" spans="1:7">
      <c r="A142" s="208">
        <v>141</v>
      </c>
      <c r="B142" s="209" t="s">
        <v>79</v>
      </c>
      <c r="C142" s="210">
        <v>35075</v>
      </c>
      <c r="D142" s="208">
        <v>0</v>
      </c>
      <c r="E142" s="209" t="s">
        <v>1680</v>
      </c>
      <c r="F142" s="212" t="s">
        <v>1681</v>
      </c>
      <c r="G142" s="213"/>
    </row>
    <row r="143" s="201" customFormat="1" ht="15.95" customHeight="1" spans="1:7">
      <c r="A143" s="208">
        <v>142</v>
      </c>
      <c r="B143" s="209" t="s">
        <v>79</v>
      </c>
      <c r="C143" s="210">
        <v>35331</v>
      </c>
      <c r="D143" s="208">
        <v>0</v>
      </c>
      <c r="E143" s="209" t="s">
        <v>1682</v>
      </c>
      <c r="F143" s="212" t="s">
        <v>1683</v>
      </c>
      <c r="G143" s="213"/>
    </row>
    <row r="144" s="201" customFormat="1" ht="15.95" customHeight="1" spans="1:7">
      <c r="A144" s="208">
        <v>143</v>
      </c>
      <c r="B144" s="209" t="s">
        <v>79</v>
      </c>
      <c r="C144" s="210">
        <v>35587</v>
      </c>
      <c r="D144" s="208">
        <v>0</v>
      </c>
      <c r="E144" s="209" t="s">
        <v>1684</v>
      </c>
      <c r="F144" s="212" t="s">
        <v>1685</v>
      </c>
      <c r="G144" s="213"/>
    </row>
    <row r="145" s="201" customFormat="1" ht="15.95" customHeight="1" spans="1:7">
      <c r="A145" s="208">
        <v>144</v>
      </c>
      <c r="B145" s="209" t="s">
        <v>79</v>
      </c>
      <c r="C145" s="210">
        <v>33287</v>
      </c>
      <c r="D145" s="208">
        <v>0</v>
      </c>
      <c r="E145" s="211" t="s">
        <v>1686</v>
      </c>
      <c r="F145" s="212" t="s">
        <v>1687</v>
      </c>
      <c r="G145" s="213"/>
    </row>
    <row r="146" s="201" customFormat="1" ht="15.95" customHeight="1" spans="1:7">
      <c r="A146" s="208">
        <v>145</v>
      </c>
      <c r="B146" s="209" t="s">
        <v>79</v>
      </c>
      <c r="C146" s="210">
        <v>33543</v>
      </c>
      <c r="D146" s="208">
        <v>0</v>
      </c>
      <c r="E146" s="211" t="s">
        <v>1688</v>
      </c>
      <c r="F146" s="212" t="s">
        <v>1689</v>
      </c>
      <c r="G146" s="213"/>
    </row>
    <row r="147" s="201" customFormat="1" ht="15.95" customHeight="1" spans="1:7">
      <c r="A147" s="208">
        <v>146</v>
      </c>
      <c r="B147" s="209" t="s">
        <v>79</v>
      </c>
      <c r="C147" s="210">
        <v>33799</v>
      </c>
      <c r="D147" s="208">
        <v>0</v>
      </c>
      <c r="E147" s="211" t="s">
        <v>1690</v>
      </c>
      <c r="F147" s="212" t="s">
        <v>1691</v>
      </c>
      <c r="G147" s="213"/>
    </row>
    <row r="148" s="201" customFormat="1" ht="15.95" customHeight="1" spans="1:7">
      <c r="A148" s="208">
        <v>147</v>
      </c>
      <c r="B148" s="209" t="s">
        <v>79</v>
      </c>
      <c r="C148" s="210">
        <v>34055</v>
      </c>
      <c r="D148" s="208">
        <v>0</v>
      </c>
      <c r="E148" s="211" t="s">
        <v>1692</v>
      </c>
      <c r="F148" s="212" t="s">
        <v>1693</v>
      </c>
      <c r="G148" s="213"/>
    </row>
    <row r="149" s="201" customFormat="1" ht="15.95" customHeight="1" spans="1:7">
      <c r="A149" s="208">
        <v>148</v>
      </c>
      <c r="B149" s="209" t="s">
        <v>79</v>
      </c>
      <c r="C149" s="210">
        <v>34311</v>
      </c>
      <c r="D149" s="208">
        <v>0</v>
      </c>
      <c r="E149" s="211" t="s">
        <v>1694</v>
      </c>
      <c r="F149" s="212" t="s">
        <v>1695</v>
      </c>
      <c r="G149" s="213"/>
    </row>
    <row r="150" s="201" customFormat="1" ht="15.95" customHeight="1" spans="1:7">
      <c r="A150" s="208">
        <v>149</v>
      </c>
      <c r="B150" s="209" t="s">
        <v>79</v>
      </c>
      <c r="C150" s="210">
        <v>34567</v>
      </c>
      <c r="D150" s="208">
        <v>0</v>
      </c>
      <c r="E150" s="209" t="s">
        <v>1696</v>
      </c>
      <c r="F150" s="212" t="s">
        <v>1697</v>
      </c>
      <c r="G150" s="213"/>
    </row>
    <row r="151" s="201" customFormat="1" ht="15.95" customHeight="1" spans="1:7">
      <c r="A151" s="208">
        <v>150</v>
      </c>
      <c r="B151" s="209" t="s">
        <v>79</v>
      </c>
      <c r="C151" s="210">
        <v>34823</v>
      </c>
      <c r="D151" s="208">
        <v>0</v>
      </c>
      <c r="E151" s="209" t="s">
        <v>1698</v>
      </c>
      <c r="F151" s="212" t="s">
        <v>1699</v>
      </c>
      <c r="G151" s="213"/>
    </row>
    <row r="152" s="201" customFormat="1" ht="15.95" customHeight="1" spans="1:7">
      <c r="A152" s="208">
        <v>151</v>
      </c>
      <c r="B152" s="209" t="s">
        <v>79</v>
      </c>
      <c r="C152" s="210">
        <v>35079</v>
      </c>
      <c r="D152" s="208">
        <v>0</v>
      </c>
      <c r="E152" s="209" t="s">
        <v>1700</v>
      </c>
      <c r="F152" s="212" t="s">
        <v>1701</v>
      </c>
      <c r="G152" s="213"/>
    </row>
    <row r="153" s="201" customFormat="1" ht="15.95" customHeight="1" spans="1:7">
      <c r="A153" s="208">
        <v>152</v>
      </c>
      <c r="B153" s="209" t="s">
        <v>79</v>
      </c>
      <c r="C153" s="210">
        <v>35335</v>
      </c>
      <c r="D153" s="208">
        <v>0</v>
      </c>
      <c r="E153" s="209" t="s">
        <v>1702</v>
      </c>
      <c r="F153" s="212" t="s">
        <v>1703</v>
      </c>
      <c r="G153" s="213"/>
    </row>
    <row r="154" s="201" customFormat="1" ht="15.95" customHeight="1" spans="1:7">
      <c r="A154" s="208">
        <v>153</v>
      </c>
      <c r="B154" s="209" t="s">
        <v>79</v>
      </c>
      <c r="C154" s="210">
        <v>35591</v>
      </c>
      <c r="D154" s="208">
        <v>0</v>
      </c>
      <c r="E154" s="209" t="s">
        <v>1704</v>
      </c>
      <c r="F154" s="212" t="s">
        <v>1705</v>
      </c>
      <c r="G154" s="213"/>
    </row>
    <row r="155" s="201" customFormat="1" ht="15.95" customHeight="1" spans="1:7">
      <c r="A155" s="208">
        <v>154</v>
      </c>
      <c r="B155" s="209" t="s">
        <v>79</v>
      </c>
      <c r="C155" s="210">
        <v>33289</v>
      </c>
      <c r="D155" s="208">
        <v>0</v>
      </c>
      <c r="E155" s="211" t="s">
        <v>1706</v>
      </c>
      <c r="F155" s="212" t="s">
        <v>1707</v>
      </c>
      <c r="G155" s="213"/>
    </row>
    <row r="156" s="201" customFormat="1" ht="15.95" customHeight="1" spans="1:7">
      <c r="A156" s="208">
        <v>155</v>
      </c>
      <c r="B156" s="209" t="s">
        <v>79</v>
      </c>
      <c r="C156" s="210">
        <v>33545</v>
      </c>
      <c r="D156" s="208">
        <v>0</v>
      </c>
      <c r="E156" s="211" t="s">
        <v>1708</v>
      </c>
      <c r="F156" s="212" t="s">
        <v>1709</v>
      </c>
      <c r="G156" s="213"/>
    </row>
    <row r="157" s="201" customFormat="1" ht="15.95" customHeight="1" spans="1:7">
      <c r="A157" s="208">
        <v>156</v>
      </c>
      <c r="B157" s="209" t="s">
        <v>79</v>
      </c>
      <c r="C157" s="210">
        <v>33801</v>
      </c>
      <c r="D157" s="208">
        <v>0</v>
      </c>
      <c r="E157" s="211" t="s">
        <v>1710</v>
      </c>
      <c r="F157" s="212" t="s">
        <v>1711</v>
      </c>
      <c r="G157" s="213"/>
    </row>
    <row r="158" s="201" customFormat="1" ht="15.95" customHeight="1" spans="1:7">
      <c r="A158" s="208">
        <v>157</v>
      </c>
      <c r="B158" s="209" t="s">
        <v>79</v>
      </c>
      <c r="C158" s="210">
        <v>34057</v>
      </c>
      <c r="D158" s="208">
        <v>0</v>
      </c>
      <c r="E158" s="211" t="s">
        <v>1712</v>
      </c>
      <c r="F158" s="212" t="s">
        <v>1713</v>
      </c>
      <c r="G158" s="213"/>
    </row>
    <row r="159" s="201" customFormat="1" ht="15.95" customHeight="1" spans="1:7">
      <c r="A159" s="208">
        <v>158</v>
      </c>
      <c r="B159" s="209" t="s">
        <v>79</v>
      </c>
      <c r="C159" s="210">
        <v>34313</v>
      </c>
      <c r="D159" s="208">
        <v>0</v>
      </c>
      <c r="E159" s="211" t="s">
        <v>1714</v>
      </c>
      <c r="F159" s="212" t="s">
        <v>1715</v>
      </c>
      <c r="G159" s="213"/>
    </row>
    <row r="160" s="201" customFormat="1" ht="15.95" customHeight="1" spans="1:7">
      <c r="A160" s="208">
        <v>159</v>
      </c>
      <c r="B160" s="209" t="s">
        <v>79</v>
      </c>
      <c r="C160" s="210">
        <v>34569</v>
      </c>
      <c r="D160" s="208">
        <v>0</v>
      </c>
      <c r="E160" s="211" t="s">
        <v>1716</v>
      </c>
      <c r="F160" s="212" t="s">
        <v>1717</v>
      </c>
      <c r="G160" s="213"/>
    </row>
    <row r="161" s="201" customFormat="1" ht="15.95" customHeight="1" spans="1:7">
      <c r="A161" s="208">
        <v>160</v>
      </c>
      <c r="B161" s="209" t="s">
        <v>79</v>
      </c>
      <c r="C161" s="210">
        <v>34825</v>
      </c>
      <c r="D161" s="208">
        <v>0</v>
      </c>
      <c r="E161" s="209" t="s">
        <v>1718</v>
      </c>
      <c r="F161" s="212" t="s">
        <v>1719</v>
      </c>
      <c r="G161" s="213"/>
    </row>
    <row r="162" s="201" customFormat="1" ht="15.95" customHeight="1" spans="1:7">
      <c r="A162" s="208">
        <v>161</v>
      </c>
      <c r="B162" s="209" t="s">
        <v>79</v>
      </c>
      <c r="C162" s="210">
        <v>35081</v>
      </c>
      <c r="D162" s="208">
        <v>0</v>
      </c>
      <c r="E162" s="209" t="s">
        <v>1720</v>
      </c>
      <c r="F162" s="212" t="s">
        <v>1721</v>
      </c>
      <c r="G162" s="213"/>
    </row>
    <row r="163" s="201" customFormat="1" ht="15.95" customHeight="1" spans="1:7">
      <c r="A163" s="208">
        <v>162</v>
      </c>
      <c r="B163" s="209" t="s">
        <v>79</v>
      </c>
      <c r="C163" s="210">
        <v>35337</v>
      </c>
      <c r="D163" s="208">
        <v>0</v>
      </c>
      <c r="E163" s="209" t="s">
        <v>1722</v>
      </c>
      <c r="F163" s="212" t="s">
        <v>1723</v>
      </c>
      <c r="G163" s="213"/>
    </row>
    <row r="164" s="201" customFormat="1" ht="15.95" customHeight="1" spans="1:7">
      <c r="A164" s="208">
        <v>163</v>
      </c>
      <c r="B164" s="209" t="s">
        <v>79</v>
      </c>
      <c r="C164" s="210">
        <v>35593</v>
      </c>
      <c r="D164" s="208">
        <v>0</v>
      </c>
      <c r="E164" s="209" t="s">
        <v>1724</v>
      </c>
      <c r="F164" s="212" t="s">
        <v>1725</v>
      </c>
      <c r="G164" s="213"/>
    </row>
    <row r="165" s="201" customFormat="1" ht="15.95" customHeight="1" spans="1:7">
      <c r="A165" s="208">
        <v>164</v>
      </c>
      <c r="B165" s="209" t="s">
        <v>79</v>
      </c>
      <c r="C165" s="210">
        <v>33325</v>
      </c>
      <c r="D165" s="208">
        <v>0</v>
      </c>
      <c r="E165" s="211" t="s">
        <v>1726</v>
      </c>
      <c r="F165" s="212" t="s">
        <v>1727</v>
      </c>
      <c r="G165" s="213"/>
    </row>
    <row r="166" s="201" customFormat="1" ht="15.95" customHeight="1" spans="1:7">
      <c r="A166" s="208">
        <v>165</v>
      </c>
      <c r="B166" s="209" t="s">
        <v>79</v>
      </c>
      <c r="C166" s="210">
        <v>33581</v>
      </c>
      <c r="D166" s="208">
        <v>0</v>
      </c>
      <c r="E166" s="211" t="s">
        <v>1728</v>
      </c>
      <c r="F166" s="212" t="s">
        <v>1729</v>
      </c>
      <c r="G166" s="213"/>
    </row>
    <row r="167" s="201" customFormat="1" ht="15.95" customHeight="1" spans="1:7">
      <c r="A167" s="208">
        <v>166</v>
      </c>
      <c r="B167" s="209" t="s">
        <v>79</v>
      </c>
      <c r="C167" s="210">
        <v>33837</v>
      </c>
      <c r="D167" s="208">
        <v>0</v>
      </c>
      <c r="E167" s="211" t="s">
        <v>1730</v>
      </c>
      <c r="F167" s="212" t="s">
        <v>1731</v>
      </c>
      <c r="G167" s="213"/>
    </row>
    <row r="168" s="201" customFormat="1" ht="15.95" customHeight="1" spans="1:7">
      <c r="A168" s="208">
        <v>167</v>
      </c>
      <c r="B168" s="209" t="s">
        <v>79</v>
      </c>
      <c r="C168" s="210">
        <v>34093</v>
      </c>
      <c r="D168" s="208">
        <v>0</v>
      </c>
      <c r="E168" s="211" t="s">
        <v>1732</v>
      </c>
      <c r="F168" s="212" t="s">
        <v>1733</v>
      </c>
      <c r="G168" s="213"/>
    </row>
    <row r="169" s="201" customFormat="1" ht="15.95" customHeight="1" spans="1:7">
      <c r="A169" s="208">
        <v>168</v>
      </c>
      <c r="B169" s="209" t="s">
        <v>79</v>
      </c>
      <c r="C169" s="210">
        <v>34349</v>
      </c>
      <c r="D169" s="208">
        <v>0</v>
      </c>
      <c r="E169" s="211" t="s">
        <v>1734</v>
      </c>
      <c r="F169" s="212" t="s">
        <v>1735</v>
      </c>
      <c r="G169" s="213"/>
    </row>
    <row r="170" s="201" customFormat="1" ht="15.95" customHeight="1" spans="1:7">
      <c r="A170" s="208">
        <v>169</v>
      </c>
      <c r="B170" s="209" t="s">
        <v>79</v>
      </c>
      <c r="C170" s="210">
        <v>34605</v>
      </c>
      <c r="D170" s="208">
        <v>0</v>
      </c>
      <c r="E170" s="211" t="s">
        <v>1736</v>
      </c>
      <c r="F170" s="212" t="s">
        <v>1737</v>
      </c>
      <c r="G170" s="213"/>
    </row>
    <row r="171" s="201" customFormat="1" ht="15.95" customHeight="1" spans="1:7">
      <c r="A171" s="208">
        <v>170</v>
      </c>
      <c r="B171" s="209" t="s">
        <v>79</v>
      </c>
      <c r="C171" s="210">
        <v>34861</v>
      </c>
      <c r="D171" s="208">
        <v>0</v>
      </c>
      <c r="E171" s="209" t="s">
        <v>1738</v>
      </c>
      <c r="F171" s="212" t="s">
        <v>1739</v>
      </c>
      <c r="G171" s="213"/>
    </row>
    <row r="172" s="201" customFormat="1" ht="15.95" customHeight="1" spans="1:7">
      <c r="A172" s="208">
        <v>171</v>
      </c>
      <c r="B172" s="209" t="s">
        <v>79</v>
      </c>
      <c r="C172" s="210">
        <v>35117</v>
      </c>
      <c r="D172" s="208">
        <v>0</v>
      </c>
      <c r="E172" s="209" t="s">
        <v>1740</v>
      </c>
      <c r="F172" s="212" t="s">
        <v>1741</v>
      </c>
      <c r="G172" s="213"/>
    </row>
    <row r="173" s="201" customFormat="1" ht="15.95" customHeight="1" spans="1:7">
      <c r="A173" s="208">
        <v>172</v>
      </c>
      <c r="B173" s="209" t="s">
        <v>79</v>
      </c>
      <c r="C173" s="210">
        <v>35373</v>
      </c>
      <c r="D173" s="208">
        <v>0</v>
      </c>
      <c r="E173" s="209" t="s">
        <v>1742</v>
      </c>
      <c r="F173" s="212" t="s">
        <v>1743</v>
      </c>
      <c r="G173" s="213"/>
    </row>
    <row r="174" s="201" customFormat="1" ht="15.95" customHeight="1" spans="1:7">
      <c r="A174" s="208">
        <v>173</v>
      </c>
      <c r="B174" s="209" t="s">
        <v>79</v>
      </c>
      <c r="C174" s="210">
        <v>35629</v>
      </c>
      <c r="D174" s="208">
        <v>0</v>
      </c>
      <c r="E174" s="209" t="s">
        <v>1744</v>
      </c>
      <c r="F174" s="212" t="s">
        <v>1745</v>
      </c>
      <c r="G174" s="213"/>
    </row>
    <row r="175" s="201" customFormat="1" ht="15.95" customHeight="1" spans="1:7">
      <c r="A175" s="208">
        <v>174</v>
      </c>
      <c r="B175" s="209" t="s">
        <v>79</v>
      </c>
      <c r="C175" s="210">
        <v>33430</v>
      </c>
      <c r="D175" s="208">
        <v>0</v>
      </c>
      <c r="E175" s="211" t="s">
        <v>1746</v>
      </c>
      <c r="F175" s="212" t="s">
        <v>1747</v>
      </c>
      <c r="G175" s="213"/>
    </row>
    <row r="176" s="201" customFormat="1" ht="15.95" customHeight="1" spans="1:7">
      <c r="A176" s="208">
        <v>175</v>
      </c>
      <c r="B176" s="209" t="s">
        <v>79</v>
      </c>
      <c r="C176" s="210">
        <v>33686</v>
      </c>
      <c r="D176" s="208">
        <v>0</v>
      </c>
      <c r="E176" s="211" t="s">
        <v>1748</v>
      </c>
      <c r="F176" s="212" t="s">
        <v>1749</v>
      </c>
      <c r="G176" s="213"/>
    </row>
    <row r="177" s="201" customFormat="1" ht="15.95" customHeight="1" spans="1:7">
      <c r="A177" s="208">
        <v>176</v>
      </c>
      <c r="B177" s="209" t="s">
        <v>79</v>
      </c>
      <c r="C177" s="210">
        <v>33942</v>
      </c>
      <c r="D177" s="208">
        <v>0</v>
      </c>
      <c r="E177" s="211" t="s">
        <v>1750</v>
      </c>
      <c r="F177" s="212" t="s">
        <v>1751</v>
      </c>
      <c r="G177" s="213"/>
    </row>
    <row r="178" s="201" customFormat="1" ht="15.95" customHeight="1" spans="1:7">
      <c r="A178" s="208">
        <v>177</v>
      </c>
      <c r="B178" s="209" t="s">
        <v>79</v>
      </c>
      <c r="C178" s="210">
        <v>34198</v>
      </c>
      <c r="D178" s="208">
        <v>0</v>
      </c>
      <c r="E178" s="211" t="s">
        <v>1752</v>
      </c>
      <c r="F178" s="212" t="s">
        <v>1753</v>
      </c>
      <c r="G178" s="213"/>
    </row>
    <row r="179" s="201" customFormat="1" ht="15.95" customHeight="1" spans="1:7">
      <c r="A179" s="208">
        <v>178</v>
      </c>
      <c r="B179" s="209" t="s">
        <v>79</v>
      </c>
      <c r="C179" s="210">
        <v>34454</v>
      </c>
      <c r="D179" s="208">
        <v>0</v>
      </c>
      <c r="E179" s="211" t="s">
        <v>1754</v>
      </c>
      <c r="F179" s="212" t="s">
        <v>1755</v>
      </c>
      <c r="G179" s="213"/>
    </row>
    <row r="180" s="201" customFormat="1" ht="15.95" customHeight="1" spans="1:7">
      <c r="A180" s="208">
        <v>179</v>
      </c>
      <c r="B180" s="209" t="s">
        <v>79</v>
      </c>
      <c r="C180" s="210">
        <v>34710</v>
      </c>
      <c r="D180" s="208">
        <v>0</v>
      </c>
      <c r="E180" s="211" t="s">
        <v>1756</v>
      </c>
      <c r="F180" s="212" t="s">
        <v>1757</v>
      </c>
      <c r="G180" s="213"/>
    </row>
    <row r="181" s="201" customFormat="1" ht="15.95" customHeight="1" spans="1:7">
      <c r="A181" s="208">
        <v>180</v>
      </c>
      <c r="B181" s="209" t="s">
        <v>79</v>
      </c>
      <c r="C181" s="210">
        <v>34966</v>
      </c>
      <c r="D181" s="208">
        <v>0</v>
      </c>
      <c r="E181" s="209" t="s">
        <v>1758</v>
      </c>
      <c r="F181" s="212" t="s">
        <v>1759</v>
      </c>
      <c r="G181" s="213"/>
    </row>
    <row r="182" s="201" customFormat="1" ht="15.95" customHeight="1" spans="1:7">
      <c r="A182" s="208">
        <v>181</v>
      </c>
      <c r="B182" s="209" t="s">
        <v>79</v>
      </c>
      <c r="C182" s="210">
        <v>35222</v>
      </c>
      <c r="D182" s="208">
        <v>0</v>
      </c>
      <c r="E182" s="209" t="s">
        <v>1760</v>
      </c>
      <c r="F182" s="212" t="s">
        <v>1761</v>
      </c>
      <c r="G182" s="213"/>
    </row>
    <row r="183" s="201" customFormat="1" ht="15.95" customHeight="1" spans="1:7">
      <c r="A183" s="208">
        <v>182</v>
      </c>
      <c r="B183" s="209" t="s">
        <v>79</v>
      </c>
      <c r="C183" s="210">
        <v>35478</v>
      </c>
      <c r="D183" s="208">
        <v>0</v>
      </c>
      <c r="E183" s="209" t="s">
        <v>1762</v>
      </c>
      <c r="F183" s="212" t="s">
        <v>1763</v>
      </c>
      <c r="G183" s="213"/>
    </row>
    <row r="184" s="201" customFormat="1" ht="15.95" customHeight="1" spans="1:7">
      <c r="A184" s="208">
        <v>183</v>
      </c>
      <c r="B184" s="209" t="s">
        <v>79</v>
      </c>
      <c r="C184" s="210">
        <v>35734</v>
      </c>
      <c r="D184" s="208">
        <v>0</v>
      </c>
      <c r="E184" s="209" t="s">
        <v>1764</v>
      </c>
      <c r="F184" s="212" t="s">
        <v>1765</v>
      </c>
      <c r="G184" s="213"/>
    </row>
    <row r="185" s="201" customFormat="1" ht="15.95" customHeight="1" spans="1:7">
      <c r="A185" s="208">
        <v>184</v>
      </c>
      <c r="B185" s="209" t="s">
        <v>79</v>
      </c>
      <c r="C185" s="210">
        <v>33431</v>
      </c>
      <c r="D185" s="208">
        <v>0</v>
      </c>
      <c r="E185" s="211" t="s">
        <v>1766</v>
      </c>
      <c r="F185" s="212" t="s">
        <v>1767</v>
      </c>
      <c r="G185" s="213"/>
    </row>
    <row r="186" s="201" customFormat="1" ht="15.95" customHeight="1" spans="1:7">
      <c r="A186" s="208">
        <v>185</v>
      </c>
      <c r="B186" s="209" t="s">
        <v>79</v>
      </c>
      <c r="C186" s="210">
        <v>33687</v>
      </c>
      <c r="D186" s="208">
        <v>0</v>
      </c>
      <c r="E186" s="211" t="s">
        <v>1768</v>
      </c>
      <c r="F186" s="212" t="s">
        <v>1769</v>
      </c>
      <c r="G186" s="213"/>
    </row>
    <row r="187" s="201" customFormat="1" ht="15.95" customHeight="1" spans="1:7">
      <c r="A187" s="208">
        <v>186</v>
      </c>
      <c r="B187" s="209" t="s">
        <v>79</v>
      </c>
      <c r="C187" s="210">
        <v>33943</v>
      </c>
      <c r="D187" s="208">
        <v>0</v>
      </c>
      <c r="E187" s="211" t="s">
        <v>1770</v>
      </c>
      <c r="F187" s="212" t="s">
        <v>1771</v>
      </c>
      <c r="G187" s="213"/>
    </row>
    <row r="188" s="201" customFormat="1" ht="15.95" customHeight="1" spans="1:7">
      <c r="A188" s="208">
        <v>187</v>
      </c>
      <c r="B188" s="209" t="s">
        <v>79</v>
      </c>
      <c r="C188" s="210">
        <v>34199</v>
      </c>
      <c r="D188" s="208">
        <v>0</v>
      </c>
      <c r="E188" s="211" t="s">
        <v>1772</v>
      </c>
      <c r="F188" s="212" t="s">
        <v>1773</v>
      </c>
      <c r="G188" s="213"/>
    </row>
    <row r="189" s="201" customFormat="1" ht="15.95" customHeight="1" spans="1:7">
      <c r="A189" s="208">
        <v>188</v>
      </c>
      <c r="B189" s="209" t="s">
        <v>79</v>
      </c>
      <c r="C189" s="210">
        <v>34455</v>
      </c>
      <c r="D189" s="208">
        <v>0</v>
      </c>
      <c r="E189" s="211" t="s">
        <v>1774</v>
      </c>
      <c r="F189" s="212" t="s">
        <v>1775</v>
      </c>
      <c r="G189" s="213"/>
    </row>
    <row r="190" s="201" customFormat="1" ht="15.95" customHeight="1" spans="1:7">
      <c r="A190" s="208">
        <v>189</v>
      </c>
      <c r="B190" s="209" t="s">
        <v>79</v>
      </c>
      <c r="C190" s="210">
        <v>34711</v>
      </c>
      <c r="D190" s="208">
        <v>0</v>
      </c>
      <c r="E190" s="211" t="s">
        <v>1776</v>
      </c>
      <c r="F190" s="212" t="s">
        <v>1777</v>
      </c>
      <c r="G190" s="213"/>
    </row>
    <row r="191" s="201" customFormat="1" ht="15.95" customHeight="1" spans="1:7">
      <c r="A191" s="208">
        <v>190</v>
      </c>
      <c r="B191" s="209" t="s">
        <v>79</v>
      </c>
      <c r="C191" s="210">
        <v>34967</v>
      </c>
      <c r="D191" s="208">
        <v>0</v>
      </c>
      <c r="E191" s="209" t="s">
        <v>1778</v>
      </c>
      <c r="F191" s="212" t="s">
        <v>1779</v>
      </c>
      <c r="G191" s="213"/>
    </row>
    <row r="192" s="201" customFormat="1" ht="15.95" customHeight="1" spans="1:7">
      <c r="A192" s="208">
        <v>191</v>
      </c>
      <c r="B192" s="209" t="s">
        <v>79</v>
      </c>
      <c r="C192" s="210">
        <v>35223</v>
      </c>
      <c r="D192" s="208">
        <v>0</v>
      </c>
      <c r="E192" s="209" t="s">
        <v>1780</v>
      </c>
      <c r="F192" s="212" t="s">
        <v>1781</v>
      </c>
      <c r="G192" s="213"/>
    </row>
    <row r="193" s="201" customFormat="1" ht="15.95" customHeight="1" spans="1:7">
      <c r="A193" s="208">
        <v>192</v>
      </c>
      <c r="B193" s="209" t="s">
        <v>79</v>
      </c>
      <c r="C193" s="210">
        <v>35479</v>
      </c>
      <c r="D193" s="208">
        <v>0</v>
      </c>
      <c r="E193" s="209" t="s">
        <v>1782</v>
      </c>
      <c r="F193" s="212" t="s">
        <v>1783</v>
      </c>
      <c r="G193" s="213"/>
    </row>
    <row r="194" s="201" customFormat="1" ht="15.95" customHeight="1" spans="1:7">
      <c r="A194" s="208">
        <v>193</v>
      </c>
      <c r="B194" s="209" t="s">
        <v>79</v>
      </c>
      <c r="C194" s="210">
        <v>35735</v>
      </c>
      <c r="D194" s="208">
        <v>0</v>
      </c>
      <c r="E194" s="209" t="s">
        <v>1784</v>
      </c>
      <c r="F194" s="212" t="s">
        <v>1785</v>
      </c>
      <c r="G194" s="213"/>
    </row>
    <row r="195" s="201" customFormat="1" ht="15.95" customHeight="1" spans="1:7">
      <c r="A195" s="208">
        <v>194</v>
      </c>
      <c r="B195" s="209" t="s">
        <v>79</v>
      </c>
      <c r="C195" s="210">
        <v>33436</v>
      </c>
      <c r="D195" s="208">
        <v>0</v>
      </c>
      <c r="E195" s="211" t="s">
        <v>1786</v>
      </c>
      <c r="F195" s="212" t="s">
        <v>1787</v>
      </c>
      <c r="G195" s="213"/>
    </row>
    <row r="196" s="201" customFormat="1" ht="15.95" customHeight="1" spans="1:7">
      <c r="A196" s="208">
        <v>195</v>
      </c>
      <c r="B196" s="209" t="s">
        <v>79</v>
      </c>
      <c r="C196" s="210">
        <v>33692</v>
      </c>
      <c r="D196" s="208">
        <v>0</v>
      </c>
      <c r="E196" s="211" t="s">
        <v>1788</v>
      </c>
      <c r="F196" s="212" t="s">
        <v>1789</v>
      </c>
      <c r="G196" s="213"/>
    </row>
    <row r="197" s="201" customFormat="1" ht="15.95" customHeight="1" spans="1:7">
      <c r="A197" s="208">
        <v>196</v>
      </c>
      <c r="B197" s="209" t="s">
        <v>79</v>
      </c>
      <c r="C197" s="210">
        <v>33948</v>
      </c>
      <c r="D197" s="208">
        <v>0</v>
      </c>
      <c r="E197" s="211" t="s">
        <v>1790</v>
      </c>
      <c r="F197" s="212" t="s">
        <v>1791</v>
      </c>
      <c r="G197" s="213"/>
    </row>
    <row r="198" s="201" customFormat="1" ht="15.95" customHeight="1" spans="1:7">
      <c r="A198" s="208">
        <v>197</v>
      </c>
      <c r="B198" s="209" t="s">
        <v>79</v>
      </c>
      <c r="C198" s="210">
        <v>34204</v>
      </c>
      <c r="D198" s="208">
        <v>0</v>
      </c>
      <c r="E198" s="211" t="s">
        <v>1792</v>
      </c>
      <c r="F198" s="212" t="s">
        <v>1793</v>
      </c>
      <c r="G198" s="213"/>
    </row>
    <row r="199" s="201" customFormat="1" ht="15.95" customHeight="1" spans="1:7">
      <c r="A199" s="208">
        <v>198</v>
      </c>
      <c r="B199" s="209" t="s">
        <v>79</v>
      </c>
      <c r="C199" s="210">
        <v>34460</v>
      </c>
      <c r="D199" s="208">
        <v>0</v>
      </c>
      <c r="E199" s="211" t="s">
        <v>1794</v>
      </c>
      <c r="F199" s="212" t="s">
        <v>1795</v>
      </c>
      <c r="G199" s="213"/>
    </row>
    <row r="200" s="201" customFormat="1" ht="15.95" customHeight="1" spans="1:7">
      <c r="A200" s="208">
        <v>199</v>
      </c>
      <c r="B200" s="209" t="s">
        <v>79</v>
      </c>
      <c r="C200" s="210">
        <v>34716</v>
      </c>
      <c r="D200" s="208">
        <v>0</v>
      </c>
      <c r="E200" s="211" t="s">
        <v>1796</v>
      </c>
      <c r="F200" s="212" t="s">
        <v>1797</v>
      </c>
      <c r="G200" s="213"/>
    </row>
    <row r="201" s="201" customFormat="1" ht="15.95" customHeight="1" spans="1:7">
      <c r="A201" s="208">
        <v>200</v>
      </c>
      <c r="B201" s="209" t="s">
        <v>79</v>
      </c>
      <c r="C201" s="210">
        <v>34972</v>
      </c>
      <c r="D201" s="208">
        <v>0</v>
      </c>
      <c r="E201" s="209" t="s">
        <v>1798</v>
      </c>
      <c r="F201" s="212" t="s">
        <v>1799</v>
      </c>
      <c r="G201" s="213"/>
    </row>
    <row r="202" s="201" customFormat="1" ht="15.95" customHeight="1" spans="1:7">
      <c r="A202" s="208">
        <v>201</v>
      </c>
      <c r="B202" s="209" t="s">
        <v>79</v>
      </c>
      <c r="C202" s="210">
        <v>35228</v>
      </c>
      <c r="D202" s="208">
        <v>0</v>
      </c>
      <c r="E202" s="209" t="s">
        <v>1800</v>
      </c>
      <c r="F202" s="212" t="s">
        <v>1801</v>
      </c>
      <c r="G202" s="213"/>
    </row>
    <row r="203" s="201" customFormat="1" ht="15.95" customHeight="1" spans="1:7">
      <c r="A203" s="208">
        <v>202</v>
      </c>
      <c r="B203" s="209" t="s">
        <v>79</v>
      </c>
      <c r="C203" s="210">
        <v>35484</v>
      </c>
      <c r="D203" s="208">
        <v>0</v>
      </c>
      <c r="E203" s="209" t="s">
        <v>1802</v>
      </c>
      <c r="F203" s="212" t="s">
        <v>1803</v>
      </c>
      <c r="G203" s="213"/>
    </row>
    <row r="204" s="201" customFormat="1" ht="15.95" customHeight="1" spans="1:7">
      <c r="A204" s="208">
        <v>203</v>
      </c>
      <c r="B204" s="209" t="s">
        <v>79</v>
      </c>
      <c r="C204" s="210">
        <v>35740</v>
      </c>
      <c r="D204" s="208">
        <v>0</v>
      </c>
      <c r="E204" s="209" t="s">
        <v>1804</v>
      </c>
      <c r="F204" s="212" t="s">
        <v>1805</v>
      </c>
      <c r="G204" s="213"/>
    </row>
    <row r="205" s="201" customFormat="1" ht="15.95" customHeight="1" spans="1:7">
      <c r="A205" s="208">
        <v>204</v>
      </c>
      <c r="B205" s="209" t="s">
        <v>79</v>
      </c>
      <c r="C205" s="210">
        <v>33437</v>
      </c>
      <c r="D205" s="208">
        <v>0</v>
      </c>
      <c r="E205" s="211" t="s">
        <v>1806</v>
      </c>
      <c r="F205" s="212" t="s">
        <v>1807</v>
      </c>
      <c r="G205" s="213"/>
    </row>
    <row r="206" s="201" customFormat="1" ht="15.95" customHeight="1" spans="1:7">
      <c r="A206" s="208">
        <v>205</v>
      </c>
      <c r="B206" s="209" t="s">
        <v>79</v>
      </c>
      <c r="C206" s="210">
        <v>33693</v>
      </c>
      <c r="D206" s="208">
        <v>0</v>
      </c>
      <c r="E206" s="211" t="s">
        <v>1808</v>
      </c>
      <c r="F206" s="212" t="s">
        <v>1809</v>
      </c>
      <c r="G206" s="213"/>
    </row>
    <row r="207" s="201" customFormat="1" ht="15.95" customHeight="1" spans="1:7">
      <c r="A207" s="208">
        <v>206</v>
      </c>
      <c r="B207" s="209" t="s">
        <v>79</v>
      </c>
      <c r="C207" s="210">
        <v>33949</v>
      </c>
      <c r="D207" s="208">
        <v>0</v>
      </c>
      <c r="E207" s="211" t="s">
        <v>1810</v>
      </c>
      <c r="F207" s="212" t="s">
        <v>1811</v>
      </c>
      <c r="G207" s="213"/>
    </row>
    <row r="208" s="201" customFormat="1" ht="15.95" customHeight="1" spans="1:7">
      <c r="A208" s="208">
        <v>207</v>
      </c>
      <c r="B208" s="209" t="s">
        <v>79</v>
      </c>
      <c r="C208" s="210">
        <v>34205</v>
      </c>
      <c r="D208" s="208">
        <v>0</v>
      </c>
      <c r="E208" s="211" t="s">
        <v>1812</v>
      </c>
      <c r="F208" s="212" t="s">
        <v>1813</v>
      </c>
      <c r="G208" s="213"/>
    </row>
    <row r="209" s="201" customFormat="1" ht="15.95" customHeight="1" spans="1:7">
      <c r="A209" s="208">
        <v>208</v>
      </c>
      <c r="B209" s="209" t="s">
        <v>79</v>
      </c>
      <c r="C209" s="210">
        <v>34461</v>
      </c>
      <c r="D209" s="208">
        <v>0</v>
      </c>
      <c r="E209" s="211" t="s">
        <v>1814</v>
      </c>
      <c r="F209" s="212" t="s">
        <v>1815</v>
      </c>
      <c r="G209" s="213"/>
    </row>
    <row r="210" s="201" customFormat="1" ht="15.95" customHeight="1" spans="1:7">
      <c r="A210" s="208">
        <v>209</v>
      </c>
      <c r="B210" s="209" t="s">
        <v>79</v>
      </c>
      <c r="C210" s="210">
        <v>34717</v>
      </c>
      <c r="D210" s="208">
        <v>0</v>
      </c>
      <c r="E210" s="211" t="s">
        <v>1816</v>
      </c>
      <c r="F210" s="212" t="s">
        <v>1817</v>
      </c>
      <c r="G210" s="213"/>
    </row>
    <row r="211" s="201" customFormat="1" ht="15.95" customHeight="1" spans="1:7">
      <c r="A211" s="208">
        <v>210</v>
      </c>
      <c r="B211" s="209" t="s">
        <v>79</v>
      </c>
      <c r="C211" s="210">
        <v>34973</v>
      </c>
      <c r="D211" s="208">
        <v>0</v>
      </c>
      <c r="E211" s="209" t="s">
        <v>1818</v>
      </c>
      <c r="F211" s="212" t="s">
        <v>1819</v>
      </c>
      <c r="G211" s="213"/>
    </row>
    <row r="212" s="201" customFormat="1" ht="15.95" customHeight="1" spans="1:7">
      <c r="A212" s="208">
        <v>211</v>
      </c>
      <c r="B212" s="209" t="s">
        <v>79</v>
      </c>
      <c r="C212" s="210">
        <v>35229</v>
      </c>
      <c r="D212" s="208">
        <v>0</v>
      </c>
      <c r="E212" s="209" t="s">
        <v>1820</v>
      </c>
      <c r="F212" s="212" t="s">
        <v>1821</v>
      </c>
      <c r="G212" s="213"/>
    </row>
    <row r="213" s="201" customFormat="1" ht="15.95" customHeight="1" spans="1:7">
      <c r="A213" s="208">
        <v>212</v>
      </c>
      <c r="B213" s="209" t="s">
        <v>79</v>
      </c>
      <c r="C213" s="210">
        <v>35485</v>
      </c>
      <c r="D213" s="208">
        <v>0</v>
      </c>
      <c r="E213" s="209" t="s">
        <v>1822</v>
      </c>
      <c r="F213" s="212" t="s">
        <v>1823</v>
      </c>
      <c r="G213" s="213"/>
    </row>
    <row r="214" s="201" customFormat="1" ht="15.95" customHeight="1" spans="1:7">
      <c r="A214" s="208">
        <v>213</v>
      </c>
      <c r="B214" s="209" t="s">
        <v>79</v>
      </c>
      <c r="C214" s="210">
        <v>35741</v>
      </c>
      <c r="D214" s="208">
        <v>0</v>
      </c>
      <c r="E214" s="209" t="s">
        <v>1824</v>
      </c>
      <c r="F214" s="212" t="s">
        <v>1825</v>
      </c>
      <c r="G214" s="213"/>
    </row>
    <row r="215" s="201" customFormat="1" ht="15.95" customHeight="1" spans="1:7">
      <c r="A215" s="208">
        <v>214</v>
      </c>
      <c r="B215" s="209" t="s">
        <v>79</v>
      </c>
      <c r="C215" s="210">
        <v>33440</v>
      </c>
      <c r="D215" s="208">
        <v>0</v>
      </c>
      <c r="E215" s="211" t="s">
        <v>1826</v>
      </c>
      <c r="F215" s="212" t="s">
        <v>1827</v>
      </c>
      <c r="G215" s="213"/>
    </row>
    <row r="216" s="201" customFormat="1" ht="15.95" customHeight="1" spans="1:7">
      <c r="A216" s="208">
        <v>215</v>
      </c>
      <c r="B216" s="209" t="s">
        <v>79</v>
      </c>
      <c r="C216" s="210">
        <v>33696</v>
      </c>
      <c r="D216" s="208">
        <v>0</v>
      </c>
      <c r="E216" s="211" t="s">
        <v>1828</v>
      </c>
      <c r="F216" s="212" t="s">
        <v>1829</v>
      </c>
      <c r="G216" s="213"/>
    </row>
    <row r="217" s="201" customFormat="1" ht="15.95" customHeight="1" spans="1:7">
      <c r="A217" s="208">
        <v>216</v>
      </c>
      <c r="B217" s="209" t="s">
        <v>79</v>
      </c>
      <c r="C217" s="210">
        <v>33952</v>
      </c>
      <c r="D217" s="208">
        <v>0</v>
      </c>
      <c r="E217" s="211" t="s">
        <v>1830</v>
      </c>
      <c r="F217" s="212" t="s">
        <v>1831</v>
      </c>
      <c r="G217" s="213"/>
    </row>
    <row r="218" s="201" customFormat="1" ht="15.95" customHeight="1" spans="1:7">
      <c r="A218" s="208">
        <v>217</v>
      </c>
      <c r="B218" s="209" t="s">
        <v>79</v>
      </c>
      <c r="C218" s="210">
        <v>34208</v>
      </c>
      <c r="D218" s="208">
        <v>0</v>
      </c>
      <c r="E218" s="211" t="s">
        <v>1832</v>
      </c>
      <c r="F218" s="212" t="s">
        <v>1833</v>
      </c>
      <c r="G218" s="213"/>
    </row>
    <row r="219" s="201" customFormat="1" ht="15.95" customHeight="1" spans="1:7">
      <c r="A219" s="208">
        <v>218</v>
      </c>
      <c r="B219" s="209" t="s">
        <v>79</v>
      </c>
      <c r="C219" s="210">
        <v>34464</v>
      </c>
      <c r="D219" s="208">
        <v>0</v>
      </c>
      <c r="E219" s="211" t="s">
        <v>1834</v>
      </c>
      <c r="F219" s="212" t="s">
        <v>1835</v>
      </c>
      <c r="G219" s="213"/>
    </row>
    <row r="220" s="201" customFormat="1" ht="15.95" customHeight="1" spans="1:7">
      <c r="A220" s="208">
        <v>219</v>
      </c>
      <c r="B220" s="209" t="s">
        <v>79</v>
      </c>
      <c r="C220" s="210">
        <v>34720</v>
      </c>
      <c r="D220" s="208">
        <v>0</v>
      </c>
      <c r="E220" s="211" t="s">
        <v>1836</v>
      </c>
      <c r="F220" s="212" t="s">
        <v>1837</v>
      </c>
      <c r="G220" s="213"/>
    </row>
    <row r="221" s="201" customFormat="1" ht="15.95" customHeight="1" spans="1:7">
      <c r="A221" s="208">
        <v>220</v>
      </c>
      <c r="B221" s="209" t="s">
        <v>79</v>
      </c>
      <c r="C221" s="210">
        <v>34976</v>
      </c>
      <c r="D221" s="208">
        <v>0</v>
      </c>
      <c r="E221" s="209" t="s">
        <v>1838</v>
      </c>
      <c r="F221" s="212" t="s">
        <v>1839</v>
      </c>
      <c r="G221" s="213"/>
    </row>
    <row r="222" s="201" customFormat="1" ht="15.95" customHeight="1" spans="1:7">
      <c r="A222" s="208">
        <v>221</v>
      </c>
      <c r="B222" s="209" t="s">
        <v>79</v>
      </c>
      <c r="C222" s="210">
        <v>35232</v>
      </c>
      <c r="D222" s="208">
        <v>0</v>
      </c>
      <c r="E222" s="209" t="s">
        <v>1840</v>
      </c>
      <c r="F222" s="212" t="s">
        <v>1841</v>
      </c>
      <c r="G222" s="213"/>
    </row>
    <row r="223" s="201" customFormat="1" ht="15.95" customHeight="1" spans="1:7">
      <c r="A223" s="208">
        <v>222</v>
      </c>
      <c r="B223" s="209" t="s">
        <v>79</v>
      </c>
      <c r="C223" s="210">
        <v>35488</v>
      </c>
      <c r="D223" s="208">
        <v>0</v>
      </c>
      <c r="E223" s="209" t="s">
        <v>1842</v>
      </c>
      <c r="F223" s="212" t="s">
        <v>1843</v>
      </c>
      <c r="G223" s="213"/>
    </row>
    <row r="224" s="201" customFormat="1" ht="15.95" customHeight="1" spans="1:7">
      <c r="A224" s="208">
        <v>223</v>
      </c>
      <c r="B224" s="209" t="s">
        <v>79</v>
      </c>
      <c r="C224" s="210">
        <v>35744</v>
      </c>
      <c r="D224" s="208">
        <v>0</v>
      </c>
      <c r="E224" s="209" t="s">
        <v>1844</v>
      </c>
      <c r="F224" s="212" t="s">
        <v>1845</v>
      </c>
      <c r="G224" s="213"/>
    </row>
    <row r="225" s="201" customFormat="1" ht="15.95" customHeight="1" spans="1:7">
      <c r="A225" s="208">
        <v>224</v>
      </c>
      <c r="B225" s="209" t="s">
        <v>79</v>
      </c>
      <c r="C225" s="210">
        <v>33442</v>
      </c>
      <c r="D225" s="208">
        <v>0</v>
      </c>
      <c r="E225" s="211" t="s">
        <v>1846</v>
      </c>
      <c r="F225" s="212" t="s">
        <v>1847</v>
      </c>
      <c r="G225" s="213"/>
    </row>
    <row r="226" s="201" customFormat="1" ht="15.95" customHeight="1" spans="1:7">
      <c r="A226" s="208">
        <v>225</v>
      </c>
      <c r="B226" s="209" t="s">
        <v>79</v>
      </c>
      <c r="C226" s="210">
        <v>33698</v>
      </c>
      <c r="D226" s="208">
        <v>0</v>
      </c>
      <c r="E226" s="211" t="s">
        <v>1848</v>
      </c>
      <c r="F226" s="212" t="s">
        <v>1849</v>
      </c>
      <c r="G226" s="213"/>
    </row>
    <row r="227" s="201" customFormat="1" ht="15.95" customHeight="1" spans="1:7">
      <c r="A227" s="208">
        <v>226</v>
      </c>
      <c r="B227" s="209" t="s">
        <v>79</v>
      </c>
      <c r="C227" s="210">
        <v>33954</v>
      </c>
      <c r="D227" s="208">
        <v>0</v>
      </c>
      <c r="E227" s="211" t="s">
        <v>1850</v>
      </c>
      <c r="F227" s="212" t="s">
        <v>1851</v>
      </c>
      <c r="G227" s="213"/>
    </row>
    <row r="228" s="201" customFormat="1" ht="15.95" customHeight="1" spans="1:7">
      <c r="A228" s="208">
        <v>227</v>
      </c>
      <c r="B228" s="209" t="s">
        <v>79</v>
      </c>
      <c r="C228" s="210">
        <v>34210</v>
      </c>
      <c r="D228" s="208">
        <v>0</v>
      </c>
      <c r="E228" s="211" t="s">
        <v>1852</v>
      </c>
      <c r="F228" s="212" t="s">
        <v>1853</v>
      </c>
      <c r="G228" s="213"/>
    </row>
    <row r="229" s="201" customFormat="1" ht="15.95" customHeight="1" spans="1:7">
      <c r="A229" s="208">
        <v>228</v>
      </c>
      <c r="B229" s="209" t="s">
        <v>79</v>
      </c>
      <c r="C229" s="210">
        <v>34466</v>
      </c>
      <c r="D229" s="208">
        <v>0</v>
      </c>
      <c r="E229" s="211" t="s">
        <v>1854</v>
      </c>
      <c r="F229" s="212" t="s">
        <v>1855</v>
      </c>
      <c r="G229" s="213"/>
    </row>
    <row r="230" s="201" customFormat="1" ht="15.95" customHeight="1" spans="1:7">
      <c r="A230" s="208">
        <v>229</v>
      </c>
      <c r="B230" s="209" t="s">
        <v>79</v>
      </c>
      <c r="C230" s="210">
        <v>34722</v>
      </c>
      <c r="D230" s="208">
        <v>0</v>
      </c>
      <c r="E230" s="211" t="s">
        <v>1856</v>
      </c>
      <c r="F230" s="212" t="s">
        <v>1857</v>
      </c>
      <c r="G230" s="213"/>
    </row>
    <row r="231" s="201" customFormat="1" ht="15.95" customHeight="1" spans="1:7">
      <c r="A231" s="208">
        <v>230</v>
      </c>
      <c r="B231" s="209" t="s">
        <v>79</v>
      </c>
      <c r="C231" s="210">
        <v>34978</v>
      </c>
      <c r="D231" s="208">
        <v>0</v>
      </c>
      <c r="E231" s="209" t="s">
        <v>1858</v>
      </c>
      <c r="F231" s="212" t="s">
        <v>1859</v>
      </c>
      <c r="G231" s="213"/>
    </row>
    <row r="232" s="201" customFormat="1" ht="15.95" customHeight="1" spans="1:7">
      <c r="A232" s="208">
        <v>231</v>
      </c>
      <c r="B232" s="209" t="s">
        <v>79</v>
      </c>
      <c r="C232" s="210">
        <v>35234</v>
      </c>
      <c r="D232" s="208">
        <v>0</v>
      </c>
      <c r="E232" s="209" t="s">
        <v>1860</v>
      </c>
      <c r="F232" s="212" t="s">
        <v>1861</v>
      </c>
      <c r="G232" s="213"/>
    </row>
    <row r="233" s="201" customFormat="1" ht="15.95" customHeight="1" spans="1:7">
      <c r="A233" s="208">
        <v>232</v>
      </c>
      <c r="B233" s="209" t="s">
        <v>79</v>
      </c>
      <c r="C233" s="210">
        <v>35490</v>
      </c>
      <c r="D233" s="208">
        <v>0</v>
      </c>
      <c r="E233" s="209" t="s">
        <v>1862</v>
      </c>
      <c r="F233" s="212" t="s">
        <v>1863</v>
      </c>
      <c r="G233" s="213"/>
    </row>
    <row r="234" s="201" customFormat="1" ht="15.95" customHeight="1" spans="1:7">
      <c r="A234" s="208">
        <v>233</v>
      </c>
      <c r="B234" s="209" t="s">
        <v>79</v>
      </c>
      <c r="C234" s="210">
        <v>35746</v>
      </c>
      <c r="D234" s="208">
        <v>0</v>
      </c>
      <c r="E234" s="209" t="s">
        <v>1864</v>
      </c>
      <c r="F234" s="212" t="s">
        <v>1865</v>
      </c>
      <c r="G234" s="213"/>
    </row>
    <row r="235" s="201" customFormat="1" ht="15.95" customHeight="1" spans="1:7">
      <c r="A235" s="208">
        <v>234</v>
      </c>
      <c r="B235" s="209" t="s">
        <v>79</v>
      </c>
      <c r="C235" s="210">
        <v>35873</v>
      </c>
      <c r="D235" s="208">
        <v>0</v>
      </c>
      <c r="E235" s="211" t="s">
        <v>1866</v>
      </c>
      <c r="F235" s="212" t="s">
        <v>1867</v>
      </c>
      <c r="G235" s="213"/>
    </row>
    <row r="236" s="201" customFormat="1" ht="15.95" customHeight="1" spans="1:7">
      <c r="A236" s="208">
        <v>235</v>
      </c>
      <c r="B236" s="209" t="s">
        <v>79</v>
      </c>
      <c r="C236" s="210">
        <v>36129</v>
      </c>
      <c r="D236" s="208">
        <v>0</v>
      </c>
      <c r="E236" s="211" t="s">
        <v>1868</v>
      </c>
      <c r="F236" s="212" t="s">
        <v>1869</v>
      </c>
      <c r="G236" s="213"/>
    </row>
    <row r="237" s="201" customFormat="1" ht="15.95" customHeight="1" spans="1:7">
      <c r="A237" s="208">
        <v>236</v>
      </c>
      <c r="B237" s="209" t="s">
        <v>79</v>
      </c>
      <c r="C237" s="210">
        <v>36385</v>
      </c>
      <c r="D237" s="208">
        <v>0</v>
      </c>
      <c r="E237" s="211" t="s">
        <v>1870</v>
      </c>
      <c r="F237" s="212" t="s">
        <v>1871</v>
      </c>
      <c r="G237" s="213"/>
    </row>
    <row r="238" s="201" customFormat="1" ht="15.95" customHeight="1" spans="1:7">
      <c r="A238" s="208">
        <v>237</v>
      </c>
      <c r="B238" s="209" t="s">
        <v>79</v>
      </c>
      <c r="C238" s="210">
        <v>36641</v>
      </c>
      <c r="D238" s="208">
        <v>0</v>
      </c>
      <c r="E238" s="211" t="s">
        <v>1872</v>
      </c>
      <c r="F238" s="212" t="s">
        <v>1873</v>
      </c>
      <c r="G238" s="213"/>
    </row>
    <row r="239" s="201" customFormat="1" ht="15.95" customHeight="1" spans="1:7">
      <c r="A239" s="208">
        <v>238</v>
      </c>
      <c r="B239" s="209" t="s">
        <v>79</v>
      </c>
      <c r="C239" s="210">
        <v>36897</v>
      </c>
      <c r="D239" s="208">
        <v>0</v>
      </c>
      <c r="E239" s="211" t="s">
        <v>1874</v>
      </c>
      <c r="F239" s="212" t="s">
        <v>1875</v>
      </c>
      <c r="G239" s="213"/>
    </row>
    <row r="240" s="201" customFormat="1" ht="15.95" customHeight="1" spans="1:7">
      <c r="A240" s="208">
        <v>239</v>
      </c>
      <c r="B240" s="209" t="s">
        <v>79</v>
      </c>
      <c r="C240" s="210">
        <v>37153</v>
      </c>
      <c r="D240" s="208">
        <v>0</v>
      </c>
      <c r="E240" s="211" t="s">
        <v>1876</v>
      </c>
      <c r="F240" s="212" t="s">
        <v>1877</v>
      </c>
      <c r="G240" s="213"/>
    </row>
    <row r="241" s="201" customFormat="1" ht="15.95" customHeight="1" spans="1:7">
      <c r="A241" s="208">
        <v>240</v>
      </c>
      <c r="B241" s="209" t="s">
        <v>79</v>
      </c>
      <c r="C241" s="210">
        <v>37409</v>
      </c>
      <c r="D241" s="208">
        <v>0</v>
      </c>
      <c r="E241" s="209" t="s">
        <v>1878</v>
      </c>
      <c r="F241" s="212" t="s">
        <v>1879</v>
      </c>
      <c r="G241" s="213"/>
    </row>
    <row r="242" s="201" customFormat="1" ht="15.95" customHeight="1" spans="1:7">
      <c r="A242" s="208">
        <v>241</v>
      </c>
      <c r="B242" s="209" t="s">
        <v>79</v>
      </c>
      <c r="C242" s="210">
        <v>37665</v>
      </c>
      <c r="D242" s="208">
        <v>0</v>
      </c>
      <c r="E242" s="209" t="s">
        <v>1880</v>
      </c>
      <c r="F242" s="212" t="s">
        <v>1881</v>
      </c>
      <c r="G242" s="213"/>
    </row>
    <row r="243" s="201" customFormat="1" ht="15.95" customHeight="1" spans="1:7">
      <c r="A243" s="208">
        <v>242</v>
      </c>
      <c r="B243" s="209" t="s">
        <v>79</v>
      </c>
      <c r="C243" s="210">
        <v>37921</v>
      </c>
      <c r="D243" s="208">
        <v>0</v>
      </c>
      <c r="E243" s="209" t="s">
        <v>1882</v>
      </c>
      <c r="F243" s="212" t="s">
        <v>1883</v>
      </c>
      <c r="G243" s="213"/>
    </row>
    <row r="244" s="201" customFormat="1" ht="15.95" customHeight="1" spans="1:7">
      <c r="A244" s="208">
        <v>243</v>
      </c>
      <c r="B244" s="209" t="s">
        <v>79</v>
      </c>
      <c r="C244" s="210">
        <v>38177</v>
      </c>
      <c r="D244" s="208">
        <v>0</v>
      </c>
      <c r="E244" s="209" t="s">
        <v>1884</v>
      </c>
      <c r="F244" s="212" t="s">
        <v>1885</v>
      </c>
      <c r="G244" s="213"/>
    </row>
    <row r="245" s="201" customFormat="1" ht="15.95" customHeight="1" spans="1:7">
      <c r="A245" s="208">
        <v>244</v>
      </c>
      <c r="B245" s="209" t="s">
        <v>79</v>
      </c>
      <c r="C245" s="210">
        <v>35874</v>
      </c>
      <c r="D245" s="208">
        <v>0</v>
      </c>
      <c r="E245" s="211" t="s">
        <v>1886</v>
      </c>
      <c r="F245" s="212" t="s">
        <v>1887</v>
      </c>
      <c r="G245" s="213"/>
    </row>
    <row r="246" s="201" customFormat="1" ht="15.95" customHeight="1" spans="1:7">
      <c r="A246" s="208">
        <v>245</v>
      </c>
      <c r="B246" s="209" t="s">
        <v>79</v>
      </c>
      <c r="C246" s="210">
        <v>36130</v>
      </c>
      <c r="D246" s="208">
        <v>0</v>
      </c>
      <c r="E246" s="211" t="s">
        <v>1888</v>
      </c>
      <c r="F246" s="212" t="s">
        <v>1889</v>
      </c>
      <c r="G246" s="213"/>
    </row>
    <row r="247" s="201" customFormat="1" ht="15.95" customHeight="1" spans="1:7">
      <c r="A247" s="208">
        <v>246</v>
      </c>
      <c r="B247" s="209" t="s">
        <v>79</v>
      </c>
      <c r="C247" s="210">
        <v>36386</v>
      </c>
      <c r="D247" s="208">
        <v>0</v>
      </c>
      <c r="E247" s="211" t="s">
        <v>1890</v>
      </c>
      <c r="F247" s="212" t="s">
        <v>1891</v>
      </c>
      <c r="G247" s="213"/>
    </row>
    <row r="248" s="201" customFormat="1" ht="15.95" customHeight="1" spans="1:7">
      <c r="A248" s="208">
        <v>247</v>
      </c>
      <c r="B248" s="209" t="s">
        <v>79</v>
      </c>
      <c r="C248" s="210">
        <v>36642</v>
      </c>
      <c r="D248" s="208">
        <v>0</v>
      </c>
      <c r="E248" s="211" t="s">
        <v>1892</v>
      </c>
      <c r="F248" s="212" t="s">
        <v>1893</v>
      </c>
      <c r="G248" s="213"/>
    </row>
    <row r="249" s="201" customFormat="1" ht="15.95" customHeight="1" spans="1:7">
      <c r="A249" s="208">
        <v>248</v>
      </c>
      <c r="B249" s="209" t="s">
        <v>79</v>
      </c>
      <c r="C249" s="210">
        <v>36898</v>
      </c>
      <c r="D249" s="208">
        <v>0</v>
      </c>
      <c r="E249" s="211" t="s">
        <v>1894</v>
      </c>
      <c r="F249" s="212" t="s">
        <v>1895</v>
      </c>
      <c r="G249" s="213"/>
    </row>
    <row r="250" s="201" customFormat="1" ht="15.95" customHeight="1" spans="1:7">
      <c r="A250" s="208">
        <v>249</v>
      </c>
      <c r="B250" s="209" t="s">
        <v>79</v>
      </c>
      <c r="C250" s="210">
        <v>37154</v>
      </c>
      <c r="D250" s="208">
        <v>0</v>
      </c>
      <c r="E250" s="211" t="s">
        <v>1896</v>
      </c>
      <c r="F250" s="212" t="s">
        <v>1897</v>
      </c>
      <c r="G250" s="213"/>
    </row>
    <row r="251" s="201" customFormat="1" ht="15.95" customHeight="1" spans="1:7">
      <c r="A251" s="208">
        <v>250</v>
      </c>
      <c r="B251" s="209" t="s">
        <v>79</v>
      </c>
      <c r="C251" s="210">
        <v>37410</v>
      </c>
      <c r="D251" s="208">
        <v>0</v>
      </c>
      <c r="E251" s="209" t="s">
        <v>1898</v>
      </c>
      <c r="F251" s="212" t="s">
        <v>1899</v>
      </c>
      <c r="G251" s="213"/>
    </row>
    <row r="252" s="201" customFormat="1" ht="15.95" customHeight="1" spans="1:7">
      <c r="A252" s="208">
        <v>251</v>
      </c>
      <c r="B252" s="209" t="s">
        <v>79</v>
      </c>
      <c r="C252" s="210">
        <v>37666</v>
      </c>
      <c r="D252" s="208">
        <v>0</v>
      </c>
      <c r="E252" s="209" t="s">
        <v>1900</v>
      </c>
      <c r="F252" s="212" t="s">
        <v>1901</v>
      </c>
      <c r="G252" s="213"/>
    </row>
    <row r="253" s="201" customFormat="1" ht="15.95" customHeight="1" spans="1:7">
      <c r="A253" s="208">
        <v>252</v>
      </c>
      <c r="B253" s="209" t="s">
        <v>79</v>
      </c>
      <c r="C253" s="210">
        <v>37922</v>
      </c>
      <c r="D253" s="208">
        <v>0</v>
      </c>
      <c r="E253" s="209" t="s">
        <v>1902</v>
      </c>
      <c r="F253" s="212" t="s">
        <v>1903</v>
      </c>
      <c r="G253" s="213"/>
    </row>
    <row r="254" s="201" customFormat="1" ht="15.95" customHeight="1" spans="1:7">
      <c r="A254" s="208">
        <v>253</v>
      </c>
      <c r="B254" s="209" t="s">
        <v>79</v>
      </c>
      <c r="C254" s="210">
        <v>38178</v>
      </c>
      <c r="D254" s="208">
        <v>0</v>
      </c>
      <c r="E254" s="209" t="s">
        <v>1904</v>
      </c>
      <c r="F254" s="212" t="s">
        <v>1905</v>
      </c>
      <c r="G254" s="213"/>
    </row>
    <row r="255" s="201" customFormat="1" ht="15.95" customHeight="1" spans="1:7">
      <c r="A255" s="208">
        <v>254</v>
      </c>
      <c r="B255" s="209" t="s">
        <v>79</v>
      </c>
      <c r="C255" s="210">
        <v>35875</v>
      </c>
      <c r="D255" s="208">
        <v>0</v>
      </c>
      <c r="E255" s="211" t="s">
        <v>1906</v>
      </c>
      <c r="F255" s="212" t="s">
        <v>1907</v>
      </c>
      <c r="G255" s="213"/>
    </row>
    <row r="256" s="201" customFormat="1" ht="15.95" customHeight="1" spans="1:7">
      <c r="A256" s="208">
        <v>255</v>
      </c>
      <c r="B256" s="209" t="s">
        <v>79</v>
      </c>
      <c r="C256" s="210">
        <v>36131</v>
      </c>
      <c r="D256" s="208">
        <v>0</v>
      </c>
      <c r="E256" s="211" t="s">
        <v>1908</v>
      </c>
      <c r="F256" s="212" t="s">
        <v>1909</v>
      </c>
      <c r="G256" s="213"/>
    </row>
    <row r="257" s="201" customFormat="1" ht="15.95" customHeight="1" spans="1:7">
      <c r="A257" s="208">
        <v>256</v>
      </c>
      <c r="B257" s="209" t="s">
        <v>79</v>
      </c>
      <c r="C257" s="210">
        <v>36387</v>
      </c>
      <c r="D257" s="208">
        <v>0</v>
      </c>
      <c r="E257" s="211" t="s">
        <v>1910</v>
      </c>
      <c r="F257" s="212" t="s">
        <v>1911</v>
      </c>
      <c r="G257" s="213"/>
    </row>
    <row r="258" s="201" customFormat="1" ht="15.95" customHeight="1" spans="1:7">
      <c r="A258" s="208">
        <v>257</v>
      </c>
      <c r="B258" s="209" t="s">
        <v>79</v>
      </c>
      <c r="C258" s="210">
        <v>36643</v>
      </c>
      <c r="D258" s="208">
        <v>0</v>
      </c>
      <c r="E258" s="211" t="s">
        <v>1912</v>
      </c>
      <c r="F258" s="212" t="s">
        <v>1913</v>
      </c>
      <c r="G258" s="213"/>
    </row>
    <row r="259" s="201" customFormat="1" ht="15.95" customHeight="1" spans="1:7">
      <c r="A259" s="208">
        <v>258</v>
      </c>
      <c r="B259" s="209" t="s">
        <v>79</v>
      </c>
      <c r="C259" s="210">
        <v>36899</v>
      </c>
      <c r="D259" s="208">
        <v>0</v>
      </c>
      <c r="E259" s="211" t="s">
        <v>1914</v>
      </c>
      <c r="F259" s="212" t="s">
        <v>1915</v>
      </c>
      <c r="G259" s="213"/>
    </row>
    <row r="260" s="201" customFormat="1" ht="15.95" customHeight="1" spans="1:7">
      <c r="A260" s="208">
        <v>259</v>
      </c>
      <c r="B260" s="209" t="s">
        <v>79</v>
      </c>
      <c r="C260" s="210">
        <v>37155</v>
      </c>
      <c r="D260" s="208">
        <v>0</v>
      </c>
      <c r="E260" s="211" t="s">
        <v>1916</v>
      </c>
      <c r="F260" s="212" t="s">
        <v>1917</v>
      </c>
      <c r="G260" s="213"/>
    </row>
    <row r="261" s="201" customFormat="1" ht="15.95" customHeight="1" spans="1:7">
      <c r="A261" s="208">
        <v>260</v>
      </c>
      <c r="B261" s="209" t="s">
        <v>79</v>
      </c>
      <c r="C261" s="210">
        <v>37411</v>
      </c>
      <c r="D261" s="208">
        <v>0</v>
      </c>
      <c r="E261" s="209" t="s">
        <v>1918</v>
      </c>
      <c r="F261" s="212" t="s">
        <v>1919</v>
      </c>
      <c r="G261" s="213"/>
    </row>
    <row r="262" s="201" customFormat="1" ht="15.95" customHeight="1" spans="1:7">
      <c r="A262" s="208">
        <v>261</v>
      </c>
      <c r="B262" s="209" t="s">
        <v>79</v>
      </c>
      <c r="C262" s="210">
        <v>37667</v>
      </c>
      <c r="D262" s="208">
        <v>0</v>
      </c>
      <c r="E262" s="209" t="s">
        <v>1920</v>
      </c>
      <c r="F262" s="212" t="s">
        <v>1921</v>
      </c>
      <c r="G262" s="213"/>
    </row>
    <row r="263" s="201" customFormat="1" ht="15.95" customHeight="1" spans="1:7">
      <c r="A263" s="208">
        <v>262</v>
      </c>
      <c r="B263" s="209" t="s">
        <v>79</v>
      </c>
      <c r="C263" s="210">
        <v>37923</v>
      </c>
      <c r="D263" s="208">
        <v>0</v>
      </c>
      <c r="E263" s="209" t="s">
        <v>1922</v>
      </c>
      <c r="F263" s="212" t="s">
        <v>1923</v>
      </c>
      <c r="G263" s="213"/>
    </row>
    <row r="264" s="201" customFormat="1" ht="15.95" customHeight="1" spans="1:7">
      <c r="A264" s="208">
        <v>263</v>
      </c>
      <c r="B264" s="209" t="s">
        <v>79</v>
      </c>
      <c r="C264" s="210">
        <v>38179</v>
      </c>
      <c r="D264" s="208">
        <v>0</v>
      </c>
      <c r="E264" s="209" t="s">
        <v>1924</v>
      </c>
      <c r="F264" s="212" t="s">
        <v>1925</v>
      </c>
      <c r="G264" s="213"/>
    </row>
    <row r="265" s="201" customFormat="1" ht="15.95" customHeight="1" spans="1:7">
      <c r="A265" s="208">
        <v>264</v>
      </c>
      <c r="B265" s="209" t="s">
        <v>79</v>
      </c>
      <c r="C265" s="210">
        <v>38410</v>
      </c>
      <c r="D265" s="208">
        <v>0</v>
      </c>
      <c r="E265" s="211" t="s">
        <v>1926</v>
      </c>
      <c r="F265" s="212" t="s">
        <v>1927</v>
      </c>
      <c r="G265" s="213"/>
    </row>
    <row r="266" s="201" customFormat="1" ht="15.95" customHeight="1" spans="1:7">
      <c r="A266" s="208">
        <v>265</v>
      </c>
      <c r="B266" s="209" t="s">
        <v>79</v>
      </c>
      <c r="C266" s="210">
        <v>38666</v>
      </c>
      <c r="D266" s="208">
        <v>0</v>
      </c>
      <c r="E266" s="211" t="s">
        <v>1928</v>
      </c>
      <c r="F266" s="212" t="s">
        <v>1929</v>
      </c>
      <c r="G266" s="213"/>
    </row>
    <row r="267" s="201" customFormat="1" ht="15.95" customHeight="1" spans="1:7">
      <c r="A267" s="208">
        <v>266</v>
      </c>
      <c r="B267" s="209" t="s">
        <v>79</v>
      </c>
      <c r="C267" s="210">
        <v>38922</v>
      </c>
      <c r="D267" s="208">
        <v>0</v>
      </c>
      <c r="E267" s="211" t="s">
        <v>1930</v>
      </c>
      <c r="F267" s="212" t="s">
        <v>1931</v>
      </c>
      <c r="G267" s="213"/>
    </row>
    <row r="268" s="201" customFormat="1" ht="15.95" customHeight="1" spans="1:7">
      <c r="A268" s="208">
        <v>267</v>
      </c>
      <c r="B268" s="209" t="s">
        <v>79</v>
      </c>
      <c r="C268" s="210">
        <v>39178</v>
      </c>
      <c r="D268" s="208">
        <v>0</v>
      </c>
      <c r="E268" s="211" t="s">
        <v>1932</v>
      </c>
      <c r="F268" s="212" t="s">
        <v>1933</v>
      </c>
      <c r="G268" s="213"/>
    </row>
    <row r="269" s="201" customFormat="1" ht="15.95" customHeight="1" spans="1:7">
      <c r="A269" s="208">
        <v>268</v>
      </c>
      <c r="B269" s="209" t="s">
        <v>79</v>
      </c>
      <c r="C269" s="210">
        <v>39434</v>
      </c>
      <c r="D269" s="208">
        <v>0</v>
      </c>
      <c r="E269" s="211" t="s">
        <v>1934</v>
      </c>
      <c r="F269" s="212" t="s">
        <v>1935</v>
      </c>
      <c r="G269" s="213"/>
    </row>
    <row r="270" s="201" customFormat="1" ht="15.95" customHeight="1" spans="1:7">
      <c r="A270" s="208">
        <v>269</v>
      </c>
      <c r="B270" s="209" t="s">
        <v>79</v>
      </c>
      <c r="C270" s="210">
        <v>39690</v>
      </c>
      <c r="D270" s="208">
        <v>0</v>
      </c>
      <c r="E270" s="211" t="s">
        <v>1936</v>
      </c>
      <c r="F270" s="212" t="s">
        <v>1937</v>
      </c>
      <c r="G270" s="213"/>
    </row>
    <row r="271" s="201" customFormat="1" ht="15.95" customHeight="1" spans="1:7">
      <c r="A271" s="208">
        <v>270</v>
      </c>
      <c r="B271" s="209" t="s">
        <v>79</v>
      </c>
      <c r="C271" s="210">
        <v>39946</v>
      </c>
      <c r="D271" s="208">
        <v>0</v>
      </c>
      <c r="E271" s="211" t="s">
        <v>1938</v>
      </c>
      <c r="F271" s="212" t="s">
        <v>1939</v>
      </c>
      <c r="G271" s="213"/>
    </row>
    <row r="272" s="201" customFormat="1" ht="15.95" customHeight="1" spans="1:7">
      <c r="A272" s="208">
        <v>271</v>
      </c>
      <c r="B272" s="209" t="s">
        <v>79</v>
      </c>
      <c r="C272" s="210">
        <v>40202</v>
      </c>
      <c r="D272" s="208">
        <v>0</v>
      </c>
      <c r="E272" s="209" t="s">
        <v>1940</v>
      </c>
      <c r="F272" s="212" t="s">
        <v>1941</v>
      </c>
      <c r="G272" s="213"/>
    </row>
    <row r="273" s="201" customFormat="1" ht="15.95" customHeight="1" spans="1:7">
      <c r="A273" s="208">
        <v>272</v>
      </c>
      <c r="B273" s="209" t="s">
        <v>79</v>
      </c>
      <c r="C273" s="210">
        <v>40458</v>
      </c>
      <c r="D273" s="208">
        <v>0</v>
      </c>
      <c r="E273" s="209" t="s">
        <v>1942</v>
      </c>
      <c r="F273" s="212" t="s">
        <v>1943</v>
      </c>
      <c r="G273" s="213"/>
    </row>
    <row r="274" s="201" customFormat="1" ht="15.95" customHeight="1" spans="1:7">
      <c r="A274" s="208">
        <v>273</v>
      </c>
      <c r="B274" s="209" t="s">
        <v>79</v>
      </c>
      <c r="C274" s="210">
        <v>40714</v>
      </c>
      <c r="D274" s="208">
        <v>0</v>
      </c>
      <c r="E274" s="209" t="s">
        <v>1944</v>
      </c>
      <c r="F274" s="212" t="s">
        <v>1945</v>
      </c>
      <c r="G274" s="213"/>
    </row>
    <row r="275" s="201" customFormat="1" ht="15.95" customHeight="1" spans="1:7">
      <c r="A275" s="208">
        <v>274</v>
      </c>
      <c r="B275" s="209" t="s">
        <v>79</v>
      </c>
      <c r="C275" s="210">
        <v>38411</v>
      </c>
      <c r="D275" s="208">
        <v>0</v>
      </c>
      <c r="E275" s="211" t="s">
        <v>1946</v>
      </c>
      <c r="F275" s="212" t="s">
        <v>1947</v>
      </c>
      <c r="G275" s="213"/>
    </row>
    <row r="276" s="201" customFormat="1" ht="15.95" customHeight="1" spans="1:7">
      <c r="A276" s="208">
        <v>275</v>
      </c>
      <c r="B276" s="209" t="s">
        <v>79</v>
      </c>
      <c r="C276" s="210">
        <v>38667</v>
      </c>
      <c r="D276" s="208">
        <v>0</v>
      </c>
      <c r="E276" s="211" t="s">
        <v>1948</v>
      </c>
      <c r="F276" s="212" t="s">
        <v>1949</v>
      </c>
      <c r="G276" s="213"/>
    </row>
    <row r="277" s="201" customFormat="1" ht="15.95" customHeight="1" spans="1:7">
      <c r="A277" s="208">
        <v>276</v>
      </c>
      <c r="B277" s="209" t="s">
        <v>79</v>
      </c>
      <c r="C277" s="210">
        <v>38923</v>
      </c>
      <c r="D277" s="208">
        <v>0</v>
      </c>
      <c r="E277" s="211" t="s">
        <v>1950</v>
      </c>
      <c r="F277" s="212" t="s">
        <v>1951</v>
      </c>
      <c r="G277" s="213"/>
    </row>
    <row r="278" s="201" customFormat="1" ht="15.95" customHeight="1" spans="1:7">
      <c r="A278" s="208">
        <v>277</v>
      </c>
      <c r="B278" s="209" t="s">
        <v>79</v>
      </c>
      <c r="C278" s="210">
        <v>39179</v>
      </c>
      <c r="D278" s="208">
        <v>0</v>
      </c>
      <c r="E278" s="211" t="s">
        <v>1952</v>
      </c>
      <c r="F278" s="212" t="s">
        <v>1953</v>
      </c>
      <c r="G278" s="213"/>
    </row>
    <row r="279" s="201" customFormat="1" ht="15.95" customHeight="1" spans="1:7">
      <c r="A279" s="208">
        <v>278</v>
      </c>
      <c r="B279" s="209" t="s">
        <v>79</v>
      </c>
      <c r="C279" s="210">
        <v>39435</v>
      </c>
      <c r="D279" s="208">
        <v>0</v>
      </c>
      <c r="E279" s="211" t="s">
        <v>1954</v>
      </c>
      <c r="F279" s="212" t="s">
        <v>1955</v>
      </c>
      <c r="G279" s="213"/>
    </row>
    <row r="280" s="201" customFormat="1" ht="15.95" customHeight="1" spans="1:7">
      <c r="A280" s="208">
        <v>279</v>
      </c>
      <c r="B280" s="209" t="s">
        <v>79</v>
      </c>
      <c r="C280" s="210">
        <v>39691</v>
      </c>
      <c r="D280" s="208">
        <v>0</v>
      </c>
      <c r="E280" s="211" t="s">
        <v>1956</v>
      </c>
      <c r="F280" s="212" t="s">
        <v>1957</v>
      </c>
      <c r="G280" s="213"/>
    </row>
    <row r="281" s="201" customFormat="1" ht="15.95" customHeight="1" spans="1:7">
      <c r="A281" s="208">
        <v>280</v>
      </c>
      <c r="B281" s="209" t="s">
        <v>79</v>
      </c>
      <c r="C281" s="210">
        <v>39947</v>
      </c>
      <c r="D281" s="208">
        <v>0</v>
      </c>
      <c r="E281" s="209" t="s">
        <v>1958</v>
      </c>
      <c r="F281" s="212" t="s">
        <v>1959</v>
      </c>
      <c r="G281" s="213"/>
    </row>
    <row r="282" s="201" customFormat="1" ht="15.95" customHeight="1" spans="1:7">
      <c r="A282" s="208">
        <v>281</v>
      </c>
      <c r="B282" s="209" t="s">
        <v>79</v>
      </c>
      <c r="C282" s="210">
        <v>40203</v>
      </c>
      <c r="D282" s="208">
        <v>0</v>
      </c>
      <c r="E282" s="209" t="s">
        <v>1960</v>
      </c>
      <c r="F282" s="212" t="s">
        <v>1961</v>
      </c>
      <c r="G282" s="213"/>
    </row>
    <row r="283" s="201" customFormat="1" ht="15.95" customHeight="1" spans="1:7">
      <c r="A283" s="208">
        <v>282</v>
      </c>
      <c r="B283" s="209" t="s">
        <v>79</v>
      </c>
      <c r="C283" s="210">
        <v>40459</v>
      </c>
      <c r="D283" s="208">
        <v>0</v>
      </c>
      <c r="E283" s="209" t="s">
        <v>1962</v>
      </c>
      <c r="F283" s="212" t="s">
        <v>1963</v>
      </c>
      <c r="G283" s="213"/>
    </row>
    <row r="284" s="201" customFormat="1" ht="15.95" customHeight="1" spans="1:7">
      <c r="A284" s="208">
        <v>283</v>
      </c>
      <c r="B284" s="209" t="s">
        <v>79</v>
      </c>
      <c r="C284" s="210">
        <v>40715</v>
      </c>
      <c r="D284" s="208">
        <v>0</v>
      </c>
      <c r="E284" s="209" t="s">
        <v>1964</v>
      </c>
      <c r="F284" s="212" t="s">
        <v>1965</v>
      </c>
      <c r="G284" s="213"/>
    </row>
    <row r="285" s="201" customFormat="1" ht="15.95" customHeight="1" spans="1:7">
      <c r="A285" s="208">
        <v>284</v>
      </c>
      <c r="B285" s="209" t="s">
        <v>79</v>
      </c>
      <c r="C285" s="210">
        <v>38413</v>
      </c>
      <c r="D285" s="208">
        <v>0</v>
      </c>
      <c r="E285" s="211" t="s">
        <v>1966</v>
      </c>
      <c r="F285" s="212" t="s">
        <v>1967</v>
      </c>
      <c r="G285" s="213"/>
    </row>
    <row r="286" s="201" customFormat="1" ht="15.95" customHeight="1" spans="1:7">
      <c r="A286" s="208">
        <v>285</v>
      </c>
      <c r="B286" s="209" t="s">
        <v>79</v>
      </c>
      <c r="C286" s="210">
        <v>38669</v>
      </c>
      <c r="D286" s="208">
        <v>0</v>
      </c>
      <c r="E286" s="211" t="s">
        <v>1968</v>
      </c>
      <c r="F286" s="212" t="s">
        <v>1969</v>
      </c>
      <c r="G286" s="213"/>
    </row>
    <row r="287" s="201" customFormat="1" ht="15.95" customHeight="1" spans="1:7">
      <c r="A287" s="208">
        <v>286</v>
      </c>
      <c r="B287" s="209" t="s">
        <v>79</v>
      </c>
      <c r="C287" s="210">
        <v>38925</v>
      </c>
      <c r="D287" s="208">
        <v>0</v>
      </c>
      <c r="E287" s="211" t="s">
        <v>1970</v>
      </c>
      <c r="F287" s="212" t="s">
        <v>1971</v>
      </c>
      <c r="G287" s="213"/>
    </row>
    <row r="288" s="201" customFormat="1" ht="15.95" customHeight="1" spans="1:7">
      <c r="A288" s="208">
        <v>287</v>
      </c>
      <c r="B288" s="209" t="s">
        <v>79</v>
      </c>
      <c r="C288" s="210">
        <v>39181</v>
      </c>
      <c r="D288" s="208">
        <v>0</v>
      </c>
      <c r="E288" s="211" t="s">
        <v>1972</v>
      </c>
      <c r="F288" s="212" t="s">
        <v>1973</v>
      </c>
      <c r="G288" s="213"/>
    </row>
    <row r="289" s="201" customFormat="1" ht="15.95" customHeight="1" spans="1:7">
      <c r="A289" s="208">
        <v>288</v>
      </c>
      <c r="B289" s="209" t="s">
        <v>79</v>
      </c>
      <c r="C289" s="210">
        <v>39437</v>
      </c>
      <c r="D289" s="208">
        <v>0</v>
      </c>
      <c r="E289" s="211" t="s">
        <v>1974</v>
      </c>
      <c r="F289" s="212" t="s">
        <v>1975</v>
      </c>
      <c r="G289" s="213"/>
    </row>
    <row r="290" s="201" customFormat="1" ht="15.95" customHeight="1" spans="1:7">
      <c r="A290" s="208">
        <v>289</v>
      </c>
      <c r="B290" s="209" t="s">
        <v>79</v>
      </c>
      <c r="C290" s="210">
        <v>39693</v>
      </c>
      <c r="D290" s="208">
        <v>0</v>
      </c>
      <c r="E290" s="211" t="s">
        <v>1976</v>
      </c>
      <c r="F290" s="212" t="s">
        <v>1977</v>
      </c>
      <c r="G290" s="213"/>
    </row>
    <row r="291" s="201" customFormat="1" ht="15.95" customHeight="1" spans="1:7">
      <c r="A291" s="208">
        <v>290</v>
      </c>
      <c r="B291" s="209" t="s">
        <v>79</v>
      </c>
      <c r="C291" s="210">
        <v>39949</v>
      </c>
      <c r="D291" s="208">
        <v>0</v>
      </c>
      <c r="E291" s="209" t="s">
        <v>1978</v>
      </c>
      <c r="F291" s="212" t="s">
        <v>1979</v>
      </c>
      <c r="G291" s="213"/>
    </row>
    <row r="292" s="201" customFormat="1" ht="15.95" customHeight="1" spans="1:7">
      <c r="A292" s="208">
        <v>291</v>
      </c>
      <c r="B292" s="209" t="s">
        <v>79</v>
      </c>
      <c r="C292" s="210">
        <v>40205</v>
      </c>
      <c r="D292" s="208">
        <v>0</v>
      </c>
      <c r="E292" s="209" t="s">
        <v>1980</v>
      </c>
      <c r="F292" s="212" t="s">
        <v>1981</v>
      </c>
      <c r="G292" s="213"/>
    </row>
    <row r="293" s="201" customFormat="1" ht="15.95" customHeight="1" spans="1:7">
      <c r="A293" s="208">
        <v>292</v>
      </c>
      <c r="B293" s="209" t="s">
        <v>79</v>
      </c>
      <c r="C293" s="210">
        <v>40461</v>
      </c>
      <c r="D293" s="208">
        <v>0</v>
      </c>
      <c r="E293" s="209" t="s">
        <v>1982</v>
      </c>
      <c r="F293" s="212" t="s">
        <v>1983</v>
      </c>
      <c r="G293" s="213"/>
    </row>
    <row r="294" s="201" customFormat="1" ht="15.95" customHeight="1" spans="1:7">
      <c r="A294" s="208">
        <v>293</v>
      </c>
      <c r="B294" s="209" t="s">
        <v>79</v>
      </c>
      <c r="C294" s="210">
        <v>40717</v>
      </c>
      <c r="D294" s="208">
        <v>0</v>
      </c>
      <c r="E294" s="209" t="s">
        <v>1984</v>
      </c>
      <c r="F294" s="212" t="s">
        <v>1985</v>
      </c>
      <c r="G294" s="213"/>
    </row>
    <row r="295" s="201" customFormat="1" ht="15.95" customHeight="1" spans="1:7">
      <c r="A295" s="208">
        <v>294</v>
      </c>
      <c r="B295" s="209" t="s">
        <v>79</v>
      </c>
      <c r="C295" s="210">
        <v>38414</v>
      </c>
      <c r="D295" s="208">
        <v>0</v>
      </c>
      <c r="E295" s="211" t="s">
        <v>1986</v>
      </c>
      <c r="F295" s="212" t="s">
        <v>1987</v>
      </c>
      <c r="G295" s="213"/>
    </row>
    <row r="296" s="201" customFormat="1" ht="15.95" customHeight="1" spans="1:7">
      <c r="A296" s="208">
        <v>295</v>
      </c>
      <c r="B296" s="209" t="s">
        <v>79</v>
      </c>
      <c r="C296" s="210">
        <v>38670</v>
      </c>
      <c r="D296" s="208">
        <v>0</v>
      </c>
      <c r="E296" s="211" t="s">
        <v>1988</v>
      </c>
      <c r="F296" s="212" t="s">
        <v>1989</v>
      </c>
      <c r="G296" s="213"/>
    </row>
    <row r="297" s="201" customFormat="1" ht="15.95" customHeight="1" spans="1:7">
      <c r="A297" s="208">
        <v>296</v>
      </c>
      <c r="B297" s="209" t="s">
        <v>79</v>
      </c>
      <c r="C297" s="210">
        <v>38926</v>
      </c>
      <c r="D297" s="208">
        <v>0</v>
      </c>
      <c r="E297" s="211" t="s">
        <v>1990</v>
      </c>
      <c r="F297" s="212" t="s">
        <v>1991</v>
      </c>
      <c r="G297" s="213"/>
    </row>
    <row r="298" s="201" customFormat="1" ht="15.95" customHeight="1" spans="1:7">
      <c r="A298" s="208">
        <v>297</v>
      </c>
      <c r="B298" s="209" t="s">
        <v>79</v>
      </c>
      <c r="C298" s="210">
        <v>39182</v>
      </c>
      <c r="D298" s="208">
        <v>0</v>
      </c>
      <c r="E298" s="211" t="s">
        <v>1992</v>
      </c>
      <c r="F298" s="212" t="s">
        <v>1993</v>
      </c>
      <c r="G298" s="213"/>
    </row>
    <row r="299" s="201" customFormat="1" ht="15.95" customHeight="1" spans="1:7">
      <c r="A299" s="208">
        <v>298</v>
      </c>
      <c r="B299" s="209" t="s">
        <v>79</v>
      </c>
      <c r="C299" s="210">
        <v>39438</v>
      </c>
      <c r="D299" s="208">
        <v>0</v>
      </c>
      <c r="E299" s="211" t="s">
        <v>1994</v>
      </c>
      <c r="F299" s="212" t="s">
        <v>1995</v>
      </c>
      <c r="G299" s="213"/>
    </row>
    <row r="300" s="201" customFormat="1" ht="15.95" customHeight="1" spans="1:7">
      <c r="A300" s="208">
        <v>299</v>
      </c>
      <c r="B300" s="209" t="s">
        <v>79</v>
      </c>
      <c r="C300" s="210">
        <v>39694</v>
      </c>
      <c r="D300" s="208">
        <v>0</v>
      </c>
      <c r="E300" s="211" t="s">
        <v>1996</v>
      </c>
      <c r="F300" s="212" t="s">
        <v>1997</v>
      </c>
      <c r="G300" s="213"/>
    </row>
    <row r="301" s="201" customFormat="1" ht="15.95" customHeight="1" spans="1:7">
      <c r="A301" s="208">
        <v>300</v>
      </c>
      <c r="B301" s="209" t="s">
        <v>79</v>
      </c>
      <c r="C301" s="210">
        <v>39950</v>
      </c>
      <c r="D301" s="208">
        <v>0</v>
      </c>
      <c r="E301" s="209" t="s">
        <v>1998</v>
      </c>
      <c r="F301" s="212" t="s">
        <v>1999</v>
      </c>
      <c r="G301" s="213"/>
    </row>
    <row r="302" s="201" customFormat="1" ht="15.95" customHeight="1" spans="1:7">
      <c r="A302" s="208">
        <v>301</v>
      </c>
      <c r="B302" s="209" t="s">
        <v>79</v>
      </c>
      <c r="C302" s="210">
        <v>40206</v>
      </c>
      <c r="D302" s="208">
        <v>0</v>
      </c>
      <c r="E302" s="209" t="s">
        <v>2000</v>
      </c>
      <c r="F302" s="212" t="s">
        <v>2001</v>
      </c>
      <c r="G302" s="213"/>
    </row>
    <row r="303" s="201" customFormat="1" ht="15.95" customHeight="1" spans="1:7">
      <c r="A303" s="208">
        <v>302</v>
      </c>
      <c r="B303" s="209" t="s">
        <v>79</v>
      </c>
      <c r="C303" s="210">
        <v>40462</v>
      </c>
      <c r="D303" s="208">
        <v>0</v>
      </c>
      <c r="E303" s="209" t="s">
        <v>2002</v>
      </c>
      <c r="F303" s="212" t="s">
        <v>2003</v>
      </c>
      <c r="G303" s="213"/>
    </row>
    <row r="304" s="201" customFormat="1" ht="15.95" customHeight="1" spans="1:7">
      <c r="A304" s="208">
        <v>303</v>
      </c>
      <c r="B304" s="209" t="s">
        <v>79</v>
      </c>
      <c r="C304" s="210">
        <v>40718</v>
      </c>
      <c r="D304" s="208">
        <v>0</v>
      </c>
      <c r="E304" s="209" t="s">
        <v>2004</v>
      </c>
      <c r="F304" s="212" t="s">
        <v>2005</v>
      </c>
      <c r="G304" s="213"/>
    </row>
    <row r="305" s="201" customFormat="1" ht="15.95" customHeight="1" spans="1:7">
      <c r="A305" s="208">
        <v>304</v>
      </c>
      <c r="B305" s="209" t="s">
        <v>79</v>
      </c>
      <c r="C305" s="210">
        <v>38570</v>
      </c>
      <c r="D305" s="208">
        <v>0</v>
      </c>
      <c r="E305" s="211" t="s">
        <v>2006</v>
      </c>
      <c r="F305" s="212" t="s">
        <v>2007</v>
      </c>
      <c r="G305" s="213"/>
    </row>
    <row r="306" s="201" customFormat="1" ht="15.95" customHeight="1" spans="1:7">
      <c r="A306" s="208">
        <v>305</v>
      </c>
      <c r="B306" s="209" t="s">
        <v>79</v>
      </c>
      <c r="C306" s="210">
        <v>38571</v>
      </c>
      <c r="D306" s="208">
        <v>0</v>
      </c>
      <c r="E306" s="211" t="s">
        <v>2008</v>
      </c>
      <c r="F306" s="212" t="s">
        <v>2009</v>
      </c>
      <c r="G306" s="213"/>
    </row>
    <row r="307" s="201" customFormat="1" ht="15.95" customHeight="1" spans="1:7">
      <c r="A307" s="208">
        <v>306</v>
      </c>
      <c r="B307" s="209" t="s">
        <v>79</v>
      </c>
      <c r="C307" s="210">
        <v>38572</v>
      </c>
      <c r="D307" s="208">
        <v>0</v>
      </c>
      <c r="E307" s="211" t="s">
        <v>2010</v>
      </c>
      <c r="F307" s="212" t="s">
        <v>2011</v>
      </c>
      <c r="G307" s="213"/>
    </row>
    <row r="308" s="201" customFormat="1" ht="15.95" customHeight="1" spans="1:7">
      <c r="A308" s="208">
        <v>307</v>
      </c>
      <c r="B308" s="209" t="s">
        <v>79</v>
      </c>
      <c r="C308" s="210">
        <v>38573</v>
      </c>
      <c r="D308" s="208">
        <v>0</v>
      </c>
      <c r="E308" s="211" t="s">
        <v>2012</v>
      </c>
      <c r="F308" s="212" t="s">
        <v>2013</v>
      </c>
      <c r="G308" s="213"/>
    </row>
    <row r="309" s="201" customFormat="1" ht="15.95" customHeight="1" spans="1:7">
      <c r="A309" s="208">
        <v>308</v>
      </c>
      <c r="B309" s="209" t="s">
        <v>79</v>
      </c>
      <c r="C309" s="210">
        <v>38574</v>
      </c>
      <c r="D309" s="208">
        <v>0</v>
      </c>
      <c r="E309" s="211" t="s">
        <v>2014</v>
      </c>
      <c r="F309" s="212" t="s">
        <v>2015</v>
      </c>
      <c r="G309" s="213"/>
    </row>
    <row r="310" s="201" customFormat="1" ht="15.95" customHeight="1" spans="1:7">
      <c r="A310" s="208">
        <v>309</v>
      </c>
      <c r="B310" s="209" t="s">
        <v>79</v>
      </c>
      <c r="C310" s="210">
        <v>38575</v>
      </c>
      <c r="D310" s="208">
        <v>0</v>
      </c>
      <c r="E310" s="211" t="s">
        <v>2016</v>
      </c>
      <c r="F310" s="212" t="s">
        <v>2017</v>
      </c>
      <c r="G310" s="213"/>
    </row>
    <row r="311" s="201" customFormat="1" ht="15.95" customHeight="1" spans="1:7">
      <c r="A311" s="208">
        <v>310</v>
      </c>
      <c r="B311" s="209" t="s">
        <v>79</v>
      </c>
      <c r="C311" s="210">
        <v>38576</v>
      </c>
      <c r="D311" s="208">
        <v>0</v>
      </c>
      <c r="E311" s="211" t="s">
        <v>2018</v>
      </c>
      <c r="F311" s="212" t="s">
        <v>2019</v>
      </c>
      <c r="G311" s="213"/>
    </row>
    <row r="312" s="201" customFormat="1" ht="15.95" customHeight="1" spans="1:7">
      <c r="A312" s="208">
        <v>311</v>
      </c>
      <c r="B312" s="209" t="s">
        <v>79</v>
      </c>
      <c r="C312" s="210">
        <v>38577</v>
      </c>
      <c r="D312" s="208">
        <v>0</v>
      </c>
      <c r="E312" s="211" t="s">
        <v>2020</v>
      </c>
      <c r="F312" s="212" t="s">
        <v>2021</v>
      </c>
      <c r="G312" s="213"/>
    </row>
    <row r="313" s="201" customFormat="1" ht="15.95" customHeight="1" spans="1:7">
      <c r="A313" s="208">
        <v>312</v>
      </c>
      <c r="B313" s="209" t="s">
        <v>79</v>
      </c>
      <c r="C313" s="210">
        <v>38826</v>
      </c>
      <c r="D313" s="208">
        <v>0</v>
      </c>
      <c r="E313" s="211" t="s">
        <v>2022</v>
      </c>
      <c r="F313" s="212" t="s">
        <v>2023</v>
      </c>
      <c r="G313" s="213"/>
    </row>
    <row r="314" s="201" customFormat="1" ht="15.95" customHeight="1" spans="1:7">
      <c r="A314" s="208">
        <v>313</v>
      </c>
      <c r="B314" s="209" t="s">
        <v>79</v>
      </c>
      <c r="C314" s="210">
        <v>38827</v>
      </c>
      <c r="D314" s="208">
        <v>0</v>
      </c>
      <c r="E314" s="211" t="s">
        <v>2024</v>
      </c>
      <c r="F314" s="212" t="s">
        <v>2025</v>
      </c>
      <c r="G314" s="213"/>
    </row>
    <row r="315" s="201" customFormat="1" ht="15.95" customHeight="1" spans="1:7">
      <c r="A315" s="208">
        <v>314</v>
      </c>
      <c r="B315" s="209" t="s">
        <v>79</v>
      </c>
      <c r="C315" s="210">
        <v>38828</v>
      </c>
      <c r="D315" s="208">
        <v>0</v>
      </c>
      <c r="E315" s="211" t="s">
        <v>2026</v>
      </c>
      <c r="F315" s="212" t="s">
        <v>2027</v>
      </c>
      <c r="G315" s="213"/>
    </row>
    <row r="316" s="201" customFormat="1" ht="15.95" customHeight="1" spans="1:7">
      <c r="A316" s="208">
        <v>315</v>
      </c>
      <c r="B316" s="209" t="s">
        <v>79</v>
      </c>
      <c r="C316" s="210">
        <v>38829</v>
      </c>
      <c r="D316" s="208">
        <v>0</v>
      </c>
      <c r="E316" s="211" t="s">
        <v>2028</v>
      </c>
      <c r="F316" s="212" t="s">
        <v>2029</v>
      </c>
      <c r="G316" s="213"/>
    </row>
    <row r="317" s="201" customFormat="1" ht="15.95" customHeight="1" spans="1:7">
      <c r="A317" s="208">
        <v>316</v>
      </c>
      <c r="B317" s="209" t="s">
        <v>79</v>
      </c>
      <c r="C317" s="210">
        <v>38830</v>
      </c>
      <c r="D317" s="208">
        <v>0</v>
      </c>
      <c r="E317" s="211" t="s">
        <v>2030</v>
      </c>
      <c r="F317" s="212" t="s">
        <v>2031</v>
      </c>
      <c r="G317" s="213"/>
    </row>
    <row r="318" s="201" customFormat="1" ht="15.95" customHeight="1" spans="1:7">
      <c r="A318" s="208">
        <v>317</v>
      </c>
      <c r="B318" s="209" t="s">
        <v>79</v>
      </c>
      <c r="C318" s="210">
        <v>38831</v>
      </c>
      <c r="D318" s="208">
        <v>0</v>
      </c>
      <c r="E318" s="211" t="s">
        <v>2032</v>
      </c>
      <c r="F318" s="212" t="s">
        <v>2033</v>
      </c>
      <c r="G318" s="213"/>
    </row>
    <row r="319" s="201" customFormat="1" ht="15.95" customHeight="1" spans="1:7">
      <c r="A319" s="208">
        <v>318</v>
      </c>
      <c r="B319" s="209" t="s">
        <v>79</v>
      </c>
      <c r="C319" s="210">
        <v>38832</v>
      </c>
      <c r="D319" s="208">
        <v>0</v>
      </c>
      <c r="E319" s="211" t="s">
        <v>2034</v>
      </c>
      <c r="F319" s="212" t="s">
        <v>2035</v>
      </c>
      <c r="G319" s="213"/>
    </row>
    <row r="320" s="201" customFormat="1" ht="15.95" customHeight="1" spans="1:7">
      <c r="A320" s="208">
        <v>319</v>
      </c>
      <c r="B320" s="209" t="s">
        <v>79</v>
      </c>
      <c r="C320" s="210">
        <v>38833</v>
      </c>
      <c r="D320" s="208">
        <v>0</v>
      </c>
      <c r="E320" s="211" t="s">
        <v>2036</v>
      </c>
      <c r="F320" s="212" t="s">
        <v>2037</v>
      </c>
      <c r="G320" s="213"/>
    </row>
    <row r="321" s="201" customFormat="1" ht="15.95" customHeight="1" spans="1:7">
      <c r="A321" s="208">
        <v>320</v>
      </c>
      <c r="B321" s="209" t="s">
        <v>79</v>
      </c>
      <c r="C321" s="210">
        <v>39082</v>
      </c>
      <c r="D321" s="208">
        <v>0</v>
      </c>
      <c r="E321" s="211" t="s">
        <v>2038</v>
      </c>
      <c r="F321" s="212" t="s">
        <v>2039</v>
      </c>
      <c r="G321" s="213"/>
    </row>
    <row r="322" s="201" customFormat="1" ht="15.95" customHeight="1" spans="1:7">
      <c r="A322" s="208">
        <v>321</v>
      </c>
      <c r="B322" s="209" t="s">
        <v>79</v>
      </c>
      <c r="C322" s="210">
        <v>39083</v>
      </c>
      <c r="D322" s="208">
        <v>0</v>
      </c>
      <c r="E322" s="211" t="s">
        <v>2040</v>
      </c>
      <c r="F322" s="212" t="s">
        <v>2041</v>
      </c>
      <c r="G322" s="213"/>
    </row>
    <row r="323" s="201" customFormat="1" ht="15.95" customHeight="1" spans="1:7">
      <c r="A323" s="208">
        <v>322</v>
      </c>
      <c r="B323" s="209" t="s">
        <v>79</v>
      </c>
      <c r="C323" s="210">
        <v>39084</v>
      </c>
      <c r="D323" s="208">
        <v>0</v>
      </c>
      <c r="E323" s="211" t="s">
        <v>2042</v>
      </c>
      <c r="F323" s="212" t="s">
        <v>2043</v>
      </c>
      <c r="G323" s="213"/>
    </row>
    <row r="324" s="201" customFormat="1" ht="15.95" customHeight="1" spans="1:7">
      <c r="A324" s="208">
        <v>323</v>
      </c>
      <c r="B324" s="209" t="s">
        <v>79</v>
      </c>
      <c r="C324" s="210">
        <v>39085</v>
      </c>
      <c r="D324" s="208">
        <v>0</v>
      </c>
      <c r="E324" s="211" t="s">
        <v>2044</v>
      </c>
      <c r="F324" s="212" t="s">
        <v>2045</v>
      </c>
      <c r="G324" s="213"/>
    </row>
    <row r="325" s="201" customFormat="1" ht="15.95" customHeight="1" spans="1:7">
      <c r="A325" s="208">
        <v>324</v>
      </c>
      <c r="B325" s="209" t="s">
        <v>79</v>
      </c>
      <c r="C325" s="210">
        <v>39086</v>
      </c>
      <c r="D325" s="208">
        <v>0</v>
      </c>
      <c r="E325" s="211" t="s">
        <v>2046</v>
      </c>
      <c r="F325" s="212" t="s">
        <v>2047</v>
      </c>
      <c r="G325" s="213"/>
    </row>
    <row r="326" s="201" customFormat="1" ht="15.95" customHeight="1" spans="1:7">
      <c r="A326" s="208">
        <v>325</v>
      </c>
      <c r="B326" s="209" t="s">
        <v>79</v>
      </c>
      <c r="C326" s="210">
        <v>39087</v>
      </c>
      <c r="D326" s="208">
        <v>0</v>
      </c>
      <c r="E326" s="211" t="s">
        <v>2048</v>
      </c>
      <c r="F326" s="212" t="s">
        <v>2049</v>
      </c>
      <c r="G326" s="213"/>
    </row>
    <row r="327" s="201" customFormat="1" ht="15.95" customHeight="1" spans="1:7">
      <c r="A327" s="208">
        <v>326</v>
      </c>
      <c r="B327" s="209" t="s">
        <v>79</v>
      </c>
      <c r="C327" s="210">
        <v>39088</v>
      </c>
      <c r="D327" s="208">
        <v>0</v>
      </c>
      <c r="E327" s="211" t="s">
        <v>2050</v>
      </c>
      <c r="F327" s="212" t="s">
        <v>2051</v>
      </c>
      <c r="G327" s="213"/>
    </row>
    <row r="328" s="201" customFormat="1" ht="15.95" customHeight="1" spans="1:7">
      <c r="A328" s="208">
        <v>327</v>
      </c>
      <c r="B328" s="209" t="s">
        <v>79</v>
      </c>
      <c r="C328" s="210">
        <v>39089</v>
      </c>
      <c r="D328" s="208">
        <v>0</v>
      </c>
      <c r="E328" s="211" t="s">
        <v>2052</v>
      </c>
      <c r="F328" s="212" t="s">
        <v>2053</v>
      </c>
      <c r="G328" s="213"/>
    </row>
    <row r="329" s="201" customFormat="1" ht="15.95" customHeight="1" spans="1:7">
      <c r="A329" s="208">
        <v>328</v>
      </c>
      <c r="B329" s="209" t="s">
        <v>79</v>
      </c>
      <c r="C329" s="210">
        <v>39338</v>
      </c>
      <c r="D329" s="208">
        <v>0</v>
      </c>
      <c r="E329" s="211" t="s">
        <v>2054</v>
      </c>
      <c r="F329" s="212" t="s">
        <v>2055</v>
      </c>
      <c r="G329" s="213"/>
    </row>
    <row r="330" s="201" customFormat="1" ht="15.95" customHeight="1" spans="1:7">
      <c r="A330" s="208">
        <v>329</v>
      </c>
      <c r="B330" s="209" t="s">
        <v>79</v>
      </c>
      <c r="C330" s="210">
        <v>39339</v>
      </c>
      <c r="D330" s="208">
        <v>0</v>
      </c>
      <c r="E330" s="211" t="s">
        <v>2056</v>
      </c>
      <c r="F330" s="212" t="s">
        <v>2057</v>
      </c>
      <c r="G330" s="213"/>
    </row>
    <row r="331" s="201" customFormat="1" ht="15.95" customHeight="1" spans="1:7">
      <c r="A331" s="208">
        <v>330</v>
      </c>
      <c r="B331" s="209" t="s">
        <v>79</v>
      </c>
      <c r="C331" s="210">
        <v>39340</v>
      </c>
      <c r="D331" s="208">
        <v>0</v>
      </c>
      <c r="E331" s="211" t="s">
        <v>2058</v>
      </c>
      <c r="F331" s="212" t="s">
        <v>2059</v>
      </c>
      <c r="G331" s="213"/>
    </row>
    <row r="332" s="201" customFormat="1" ht="15.95" customHeight="1" spans="1:7">
      <c r="A332" s="208">
        <v>331</v>
      </c>
      <c r="B332" s="209" t="s">
        <v>79</v>
      </c>
      <c r="C332" s="210">
        <v>39341</v>
      </c>
      <c r="D332" s="208">
        <v>0</v>
      </c>
      <c r="E332" s="211" t="s">
        <v>2060</v>
      </c>
      <c r="F332" s="212" t="s">
        <v>2061</v>
      </c>
      <c r="G332" s="213"/>
    </row>
    <row r="333" s="201" customFormat="1" ht="15.95" customHeight="1" spans="1:7">
      <c r="A333" s="208">
        <v>332</v>
      </c>
      <c r="B333" s="209" t="s">
        <v>79</v>
      </c>
      <c r="C333" s="210">
        <v>39342</v>
      </c>
      <c r="D333" s="208">
        <v>0</v>
      </c>
      <c r="E333" s="211" t="s">
        <v>2062</v>
      </c>
      <c r="F333" s="212" t="s">
        <v>2063</v>
      </c>
      <c r="G333" s="213"/>
    </row>
    <row r="334" s="201" customFormat="1" ht="15.95" customHeight="1" spans="1:7">
      <c r="A334" s="208">
        <v>333</v>
      </c>
      <c r="B334" s="209" t="s">
        <v>79</v>
      </c>
      <c r="C334" s="210">
        <v>39343</v>
      </c>
      <c r="D334" s="208">
        <v>0</v>
      </c>
      <c r="E334" s="211" t="s">
        <v>2064</v>
      </c>
      <c r="F334" s="212" t="s">
        <v>2065</v>
      </c>
      <c r="G334" s="213"/>
    </row>
    <row r="335" s="201" customFormat="1" ht="15.95" customHeight="1" spans="1:7">
      <c r="A335" s="208">
        <v>334</v>
      </c>
      <c r="B335" s="209" t="s">
        <v>79</v>
      </c>
      <c r="C335" s="210">
        <v>39344</v>
      </c>
      <c r="D335" s="208">
        <v>0</v>
      </c>
      <c r="E335" s="211" t="s">
        <v>2066</v>
      </c>
      <c r="F335" s="212" t="s">
        <v>2067</v>
      </c>
      <c r="G335" s="213"/>
    </row>
    <row r="336" s="201" customFormat="1" ht="15.95" customHeight="1" spans="1:7">
      <c r="A336" s="208">
        <v>335</v>
      </c>
      <c r="B336" s="209" t="s">
        <v>79</v>
      </c>
      <c r="C336" s="210">
        <v>39345</v>
      </c>
      <c r="D336" s="208">
        <v>0</v>
      </c>
      <c r="E336" s="211" t="s">
        <v>2068</v>
      </c>
      <c r="F336" s="212" t="s">
        <v>2069</v>
      </c>
      <c r="G336" s="213"/>
    </row>
    <row r="337" s="201" customFormat="1" ht="15.95" customHeight="1" spans="1:7">
      <c r="A337" s="208">
        <v>336</v>
      </c>
      <c r="B337" s="209" t="s">
        <v>79</v>
      </c>
      <c r="C337" s="210">
        <v>39594</v>
      </c>
      <c r="D337" s="208">
        <v>0</v>
      </c>
      <c r="E337" s="211" t="s">
        <v>2070</v>
      </c>
      <c r="F337" s="212" t="s">
        <v>2071</v>
      </c>
      <c r="G337" s="213"/>
    </row>
    <row r="338" s="201" customFormat="1" ht="15.95" customHeight="1" spans="1:7">
      <c r="A338" s="208">
        <v>337</v>
      </c>
      <c r="B338" s="209" t="s">
        <v>79</v>
      </c>
      <c r="C338" s="210">
        <v>39595</v>
      </c>
      <c r="D338" s="208">
        <v>0</v>
      </c>
      <c r="E338" s="211" t="s">
        <v>2072</v>
      </c>
      <c r="F338" s="212" t="s">
        <v>2073</v>
      </c>
      <c r="G338" s="213"/>
    </row>
    <row r="339" s="201" customFormat="1" ht="15.95" customHeight="1" spans="1:7">
      <c r="A339" s="208">
        <v>338</v>
      </c>
      <c r="B339" s="209" t="s">
        <v>79</v>
      </c>
      <c r="C339" s="210">
        <v>39596</v>
      </c>
      <c r="D339" s="208">
        <v>0</v>
      </c>
      <c r="E339" s="211" t="s">
        <v>2074</v>
      </c>
      <c r="F339" s="212" t="s">
        <v>2075</v>
      </c>
      <c r="G339" s="213"/>
    </row>
    <row r="340" s="201" customFormat="1" ht="15.95" customHeight="1" spans="1:7">
      <c r="A340" s="208">
        <v>339</v>
      </c>
      <c r="B340" s="209" t="s">
        <v>79</v>
      </c>
      <c r="C340" s="210">
        <v>39597</v>
      </c>
      <c r="D340" s="208">
        <v>0</v>
      </c>
      <c r="E340" s="211" t="s">
        <v>2076</v>
      </c>
      <c r="F340" s="212" t="s">
        <v>2077</v>
      </c>
      <c r="G340" s="213"/>
    </row>
    <row r="341" s="201" customFormat="1" ht="15.95" customHeight="1" spans="1:7">
      <c r="A341" s="208">
        <v>340</v>
      </c>
      <c r="B341" s="209" t="s">
        <v>79</v>
      </c>
      <c r="C341" s="210">
        <v>39598</v>
      </c>
      <c r="D341" s="208">
        <v>0</v>
      </c>
      <c r="E341" s="211" t="s">
        <v>2078</v>
      </c>
      <c r="F341" s="212" t="s">
        <v>2079</v>
      </c>
      <c r="G341" s="213"/>
    </row>
    <row r="342" s="201" customFormat="1" ht="15.95" customHeight="1" spans="1:7">
      <c r="A342" s="208">
        <v>341</v>
      </c>
      <c r="B342" s="209" t="s">
        <v>79</v>
      </c>
      <c r="C342" s="210">
        <v>39599</v>
      </c>
      <c r="D342" s="208">
        <v>0</v>
      </c>
      <c r="E342" s="211" t="s">
        <v>2080</v>
      </c>
      <c r="F342" s="212" t="s">
        <v>2081</v>
      </c>
      <c r="G342" s="213"/>
    </row>
    <row r="343" s="201" customFormat="1" ht="15.95" customHeight="1" spans="1:7">
      <c r="A343" s="208">
        <v>342</v>
      </c>
      <c r="B343" s="209" t="s">
        <v>79</v>
      </c>
      <c r="C343" s="210">
        <v>39600</v>
      </c>
      <c r="D343" s="208">
        <v>0</v>
      </c>
      <c r="E343" s="211" t="s">
        <v>2082</v>
      </c>
      <c r="F343" s="212" t="s">
        <v>2083</v>
      </c>
      <c r="G343" s="213"/>
    </row>
    <row r="344" s="201" customFormat="1" ht="15.95" customHeight="1" spans="1:7">
      <c r="A344" s="208">
        <v>343</v>
      </c>
      <c r="B344" s="209" t="s">
        <v>79</v>
      </c>
      <c r="C344" s="210">
        <v>39601</v>
      </c>
      <c r="D344" s="208">
        <v>0</v>
      </c>
      <c r="E344" s="211" t="s">
        <v>2084</v>
      </c>
      <c r="F344" s="212" t="s">
        <v>2085</v>
      </c>
      <c r="G344" s="213"/>
    </row>
    <row r="345" s="201" customFormat="1" ht="15.95" customHeight="1" spans="1:7">
      <c r="A345" s="208">
        <v>344</v>
      </c>
      <c r="B345" s="209" t="s">
        <v>79</v>
      </c>
      <c r="C345" s="210">
        <v>39850</v>
      </c>
      <c r="D345" s="208">
        <v>0</v>
      </c>
      <c r="E345" s="211" t="s">
        <v>2086</v>
      </c>
      <c r="F345" s="212" t="s">
        <v>2087</v>
      </c>
      <c r="G345" s="213"/>
    </row>
    <row r="346" s="201" customFormat="1" ht="15.95" customHeight="1" spans="1:7">
      <c r="A346" s="208">
        <v>345</v>
      </c>
      <c r="B346" s="209" t="s">
        <v>79</v>
      </c>
      <c r="C346" s="210">
        <v>39851</v>
      </c>
      <c r="D346" s="208">
        <v>0</v>
      </c>
      <c r="E346" s="211" t="s">
        <v>2088</v>
      </c>
      <c r="F346" s="212" t="s">
        <v>2089</v>
      </c>
      <c r="G346" s="213"/>
    </row>
    <row r="347" s="201" customFormat="1" ht="15.95" customHeight="1" spans="1:7">
      <c r="A347" s="208">
        <v>346</v>
      </c>
      <c r="B347" s="209" t="s">
        <v>79</v>
      </c>
      <c r="C347" s="210">
        <v>39852</v>
      </c>
      <c r="D347" s="208">
        <v>0</v>
      </c>
      <c r="E347" s="211" t="s">
        <v>2090</v>
      </c>
      <c r="F347" s="212" t="s">
        <v>2091</v>
      </c>
      <c r="G347" s="213"/>
    </row>
    <row r="348" s="201" customFormat="1" ht="15.95" customHeight="1" spans="1:7">
      <c r="A348" s="208">
        <v>347</v>
      </c>
      <c r="B348" s="209" t="s">
        <v>79</v>
      </c>
      <c r="C348" s="210">
        <v>39853</v>
      </c>
      <c r="D348" s="208">
        <v>0</v>
      </c>
      <c r="E348" s="211" t="s">
        <v>2092</v>
      </c>
      <c r="F348" s="212" t="s">
        <v>2093</v>
      </c>
      <c r="G348" s="213"/>
    </row>
    <row r="349" s="201" customFormat="1" ht="15.95" customHeight="1" spans="1:7">
      <c r="A349" s="208">
        <v>348</v>
      </c>
      <c r="B349" s="209" t="s">
        <v>79</v>
      </c>
      <c r="C349" s="210">
        <v>39854</v>
      </c>
      <c r="D349" s="208">
        <v>0</v>
      </c>
      <c r="E349" s="211" t="s">
        <v>2094</v>
      </c>
      <c r="F349" s="212" t="s">
        <v>2095</v>
      </c>
      <c r="G349" s="213"/>
    </row>
    <row r="350" s="201" customFormat="1" ht="15.95" customHeight="1" spans="1:7">
      <c r="A350" s="208">
        <v>349</v>
      </c>
      <c r="B350" s="209" t="s">
        <v>79</v>
      </c>
      <c r="C350" s="210">
        <v>39855</v>
      </c>
      <c r="D350" s="208">
        <v>0</v>
      </c>
      <c r="E350" s="211" t="s">
        <v>2096</v>
      </c>
      <c r="F350" s="212" t="s">
        <v>2097</v>
      </c>
      <c r="G350" s="213"/>
    </row>
    <row r="351" s="201" customFormat="1" ht="15.95" customHeight="1" spans="1:7">
      <c r="A351" s="208">
        <v>350</v>
      </c>
      <c r="B351" s="209" t="s">
        <v>79</v>
      </c>
      <c r="C351" s="210">
        <v>39856</v>
      </c>
      <c r="D351" s="208">
        <v>0</v>
      </c>
      <c r="E351" s="211" t="s">
        <v>2098</v>
      </c>
      <c r="F351" s="212" t="s">
        <v>2099</v>
      </c>
      <c r="G351" s="213"/>
    </row>
    <row r="352" s="201" customFormat="1" ht="15.95" customHeight="1" spans="1:7">
      <c r="A352" s="208">
        <v>351</v>
      </c>
      <c r="B352" s="209" t="s">
        <v>79</v>
      </c>
      <c r="C352" s="210">
        <v>39857</v>
      </c>
      <c r="D352" s="208">
        <v>0</v>
      </c>
      <c r="E352" s="211" t="s">
        <v>2100</v>
      </c>
      <c r="F352" s="212" t="s">
        <v>2101</v>
      </c>
      <c r="G352" s="213"/>
    </row>
    <row r="353" s="201" customFormat="1" ht="15.95" customHeight="1" spans="1:7">
      <c r="A353" s="208">
        <v>352</v>
      </c>
      <c r="B353" s="209" t="s">
        <v>79</v>
      </c>
      <c r="C353" s="210">
        <v>40106</v>
      </c>
      <c r="D353" s="208">
        <v>0</v>
      </c>
      <c r="E353" s="209" t="s">
        <v>2102</v>
      </c>
      <c r="F353" s="212" t="s">
        <v>2103</v>
      </c>
      <c r="G353" s="213"/>
    </row>
    <row r="354" s="201" customFormat="1" ht="15.95" customHeight="1" spans="1:7">
      <c r="A354" s="208">
        <v>353</v>
      </c>
      <c r="B354" s="209" t="s">
        <v>79</v>
      </c>
      <c r="C354" s="210">
        <v>40107</v>
      </c>
      <c r="D354" s="208">
        <v>0</v>
      </c>
      <c r="E354" s="209" t="s">
        <v>2104</v>
      </c>
      <c r="F354" s="212" t="s">
        <v>2105</v>
      </c>
      <c r="G354" s="213"/>
    </row>
    <row r="355" s="201" customFormat="1" ht="15.95" customHeight="1" spans="1:7">
      <c r="A355" s="208">
        <v>354</v>
      </c>
      <c r="B355" s="209" t="s">
        <v>79</v>
      </c>
      <c r="C355" s="210">
        <v>40108</v>
      </c>
      <c r="D355" s="208">
        <v>0</v>
      </c>
      <c r="E355" s="209" t="s">
        <v>2106</v>
      </c>
      <c r="F355" s="212" t="s">
        <v>2107</v>
      </c>
      <c r="G355" s="213"/>
    </row>
    <row r="356" s="201" customFormat="1" ht="15.95" customHeight="1" spans="1:7">
      <c r="A356" s="208">
        <v>355</v>
      </c>
      <c r="B356" s="209" t="s">
        <v>79</v>
      </c>
      <c r="C356" s="210">
        <v>40109</v>
      </c>
      <c r="D356" s="208">
        <v>0</v>
      </c>
      <c r="E356" s="209" t="s">
        <v>2108</v>
      </c>
      <c r="F356" s="212" t="s">
        <v>2109</v>
      </c>
      <c r="G356" s="213"/>
    </row>
    <row r="357" s="201" customFormat="1" ht="15.95" customHeight="1" spans="1:7">
      <c r="A357" s="208">
        <v>356</v>
      </c>
      <c r="B357" s="209" t="s">
        <v>79</v>
      </c>
      <c r="C357" s="210">
        <v>40110</v>
      </c>
      <c r="D357" s="208">
        <v>0</v>
      </c>
      <c r="E357" s="209" t="s">
        <v>2110</v>
      </c>
      <c r="F357" s="212" t="s">
        <v>2111</v>
      </c>
      <c r="G357" s="213"/>
    </row>
    <row r="358" s="201" customFormat="1" ht="15.95" customHeight="1" spans="1:7">
      <c r="A358" s="208">
        <v>357</v>
      </c>
      <c r="B358" s="209" t="s">
        <v>79</v>
      </c>
      <c r="C358" s="210">
        <v>40111</v>
      </c>
      <c r="D358" s="208">
        <v>0</v>
      </c>
      <c r="E358" s="209" t="s">
        <v>2112</v>
      </c>
      <c r="F358" s="212" t="s">
        <v>2113</v>
      </c>
      <c r="G358" s="213"/>
    </row>
    <row r="359" s="201" customFormat="1" ht="15.95" customHeight="1" spans="1:7">
      <c r="A359" s="208">
        <v>358</v>
      </c>
      <c r="B359" s="209" t="s">
        <v>79</v>
      </c>
      <c r="C359" s="210">
        <v>40112</v>
      </c>
      <c r="D359" s="208">
        <v>0</v>
      </c>
      <c r="E359" s="209" t="s">
        <v>2114</v>
      </c>
      <c r="F359" s="212" t="s">
        <v>2115</v>
      </c>
      <c r="G359" s="213"/>
    </row>
    <row r="360" s="201" customFormat="1" ht="15.95" customHeight="1" spans="1:7">
      <c r="A360" s="208">
        <v>359</v>
      </c>
      <c r="B360" s="209" t="s">
        <v>79</v>
      </c>
      <c r="C360" s="210">
        <v>40113</v>
      </c>
      <c r="D360" s="208">
        <v>0</v>
      </c>
      <c r="E360" s="209" t="s">
        <v>2116</v>
      </c>
      <c r="F360" s="212" t="s">
        <v>2117</v>
      </c>
      <c r="G360" s="213"/>
    </row>
    <row r="361" s="201" customFormat="1" ht="15.95" customHeight="1" spans="1:7">
      <c r="A361" s="208">
        <v>360</v>
      </c>
      <c r="B361" s="209" t="s">
        <v>79</v>
      </c>
      <c r="C361" s="210">
        <v>40362</v>
      </c>
      <c r="D361" s="208">
        <v>0</v>
      </c>
      <c r="E361" s="209" t="s">
        <v>2118</v>
      </c>
      <c r="F361" s="212" t="s">
        <v>2119</v>
      </c>
      <c r="G361" s="213"/>
    </row>
    <row r="362" s="201" customFormat="1" ht="15.95" customHeight="1" spans="1:7">
      <c r="A362" s="208">
        <v>361</v>
      </c>
      <c r="B362" s="209" t="s">
        <v>79</v>
      </c>
      <c r="C362" s="210">
        <v>40363</v>
      </c>
      <c r="D362" s="208">
        <v>0</v>
      </c>
      <c r="E362" s="209" t="s">
        <v>2120</v>
      </c>
      <c r="F362" s="212" t="s">
        <v>2121</v>
      </c>
      <c r="G362" s="213"/>
    </row>
    <row r="363" s="201" customFormat="1" ht="15.95" customHeight="1" spans="1:7">
      <c r="A363" s="208">
        <v>362</v>
      </c>
      <c r="B363" s="209" t="s">
        <v>79</v>
      </c>
      <c r="C363" s="210">
        <v>40364</v>
      </c>
      <c r="D363" s="208">
        <v>0</v>
      </c>
      <c r="E363" s="209" t="s">
        <v>2122</v>
      </c>
      <c r="F363" s="212" t="s">
        <v>2123</v>
      </c>
      <c r="G363" s="213"/>
    </row>
    <row r="364" s="201" customFormat="1" ht="15.95" customHeight="1" spans="1:7">
      <c r="A364" s="208">
        <v>363</v>
      </c>
      <c r="B364" s="209" t="s">
        <v>79</v>
      </c>
      <c r="C364" s="210">
        <v>40365</v>
      </c>
      <c r="D364" s="208">
        <v>0</v>
      </c>
      <c r="E364" s="209" t="s">
        <v>2124</v>
      </c>
      <c r="F364" s="212" t="s">
        <v>2125</v>
      </c>
      <c r="G364" s="213"/>
    </row>
    <row r="365" s="201" customFormat="1" ht="15.95" customHeight="1" spans="1:7">
      <c r="A365" s="208">
        <v>364</v>
      </c>
      <c r="B365" s="209" t="s">
        <v>79</v>
      </c>
      <c r="C365" s="210">
        <v>40366</v>
      </c>
      <c r="D365" s="208">
        <v>0</v>
      </c>
      <c r="E365" s="209" t="s">
        <v>2126</v>
      </c>
      <c r="F365" s="212" t="s">
        <v>2127</v>
      </c>
      <c r="G365" s="213"/>
    </row>
    <row r="366" s="201" customFormat="1" ht="15.95" customHeight="1" spans="1:7">
      <c r="A366" s="208">
        <v>365</v>
      </c>
      <c r="B366" s="209" t="s">
        <v>79</v>
      </c>
      <c r="C366" s="210">
        <v>40367</v>
      </c>
      <c r="D366" s="208">
        <v>0</v>
      </c>
      <c r="E366" s="209" t="s">
        <v>2128</v>
      </c>
      <c r="F366" s="212" t="s">
        <v>2129</v>
      </c>
      <c r="G366" s="213"/>
    </row>
    <row r="367" s="201" customFormat="1" ht="15.95" customHeight="1" spans="1:7">
      <c r="A367" s="208">
        <v>366</v>
      </c>
      <c r="B367" s="209" t="s">
        <v>79</v>
      </c>
      <c r="C367" s="210">
        <v>40368</v>
      </c>
      <c r="D367" s="208">
        <v>0</v>
      </c>
      <c r="E367" s="209" t="s">
        <v>2130</v>
      </c>
      <c r="F367" s="212" t="s">
        <v>2131</v>
      </c>
      <c r="G367" s="213"/>
    </row>
    <row r="368" s="201" customFormat="1" ht="15.95" customHeight="1" spans="1:7">
      <c r="A368" s="208">
        <v>367</v>
      </c>
      <c r="B368" s="209" t="s">
        <v>79</v>
      </c>
      <c r="C368" s="210">
        <v>40369</v>
      </c>
      <c r="D368" s="208">
        <v>0</v>
      </c>
      <c r="E368" s="209" t="s">
        <v>2132</v>
      </c>
      <c r="F368" s="212" t="s">
        <v>2133</v>
      </c>
      <c r="G368" s="213"/>
    </row>
    <row r="369" s="201" customFormat="1" ht="15.95" customHeight="1" spans="1:7">
      <c r="A369" s="208">
        <v>368</v>
      </c>
      <c r="B369" s="209" t="s">
        <v>79</v>
      </c>
      <c r="C369" s="210">
        <v>40618</v>
      </c>
      <c r="D369" s="208">
        <v>0</v>
      </c>
      <c r="E369" s="209" t="s">
        <v>2134</v>
      </c>
      <c r="F369" s="212" t="s">
        <v>2135</v>
      </c>
      <c r="G369" s="213"/>
    </row>
    <row r="370" s="201" customFormat="1" ht="15.95" customHeight="1" spans="1:7">
      <c r="A370" s="208">
        <v>369</v>
      </c>
      <c r="B370" s="209" t="s">
        <v>79</v>
      </c>
      <c r="C370" s="210">
        <v>40619</v>
      </c>
      <c r="D370" s="208">
        <v>0</v>
      </c>
      <c r="E370" s="209" t="s">
        <v>2136</v>
      </c>
      <c r="F370" s="212" t="s">
        <v>2137</v>
      </c>
      <c r="G370" s="213"/>
    </row>
    <row r="371" s="201" customFormat="1" ht="15.95" customHeight="1" spans="1:7">
      <c r="A371" s="208">
        <v>370</v>
      </c>
      <c r="B371" s="209" t="s">
        <v>79</v>
      </c>
      <c r="C371" s="210">
        <v>40620</v>
      </c>
      <c r="D371" s="208">
        <v>0</v>
      </c>
      <c r="E371" s="209" t="s">
        <v>2138</v>
      </c>
      <c r="F371" s="212" t="s">
        <v>2139</v>
      </c>
      <c r="G371" s="213"/>
    </row>
    <row r="372" s="201" customFormat="1" ht="15.95" customHeight="1" spans="1:7">
      <c r="A372" s="208">
        <v>371</v>
      </c>
      <c r="B372" s="209" t="s">
        <v>79</v>
      </c>
      <c r="C372" s="210">
        <v>40621</v>
      </c>
      <c r="D372" s="208">
        <v>0</v>
      </c>
      <c r="E372" s="209" t="s">
        <v>2140</v>
      </c>
      <c r="F372" s="212" t="s">
        <v>2141</v>
      </c>
      <c r="G372" s="213"/>
    </row>
    <row r="373" s="201" customFormat="1" ht="15.95" customHeight="1" spans="1:7">
      <c r="A373" s="208">
        <v>372</v>
      </c>
      <c r="B373" s="209" t="s">
        <v>79</v>
      </c>
      <c r="C373" s="210">
        <v>40622</v>
      </c>
      <c r="D373" s="208">
        <v>0</v>
      </c>
      <c r="E373" s="209" t="s">
        <v>2142</v>
      </c>
      <c r="F373" s="212" t="s">
        <v>2143</v>
      </c>
      <c r="G373" s="213"/>
    </row>
    <row r="374" s="201" customFormat="1" ht="15.95" customHeight="1" spans="1:7">
      <c r="A374" s="208">
        <v>373</v>
      </c>
      <c r="B374" s="209" t="s">
        <v>79</v>
      </c>
      <c r="C374" s="210">
        <v>40623</v>
      </c>
      <c r="D374" s="208">
        <v>0</v>
      </c>
      <c r="E374" s="209" t="s">
        <v>2144</v>
      </c>
      <c r="F374" s="212" t="s">
        <v>2145</v>
      </c>
      <c r="G374" s="213"/>
    </row>
    <row r="375" s="201" customFormat="1" ht="15.95" customHeight="1" spans="1:7">
      <c r="A375" s="208">
        <v>374</v>
      </c>
      <c r="B375" s="209" t="s">
        <v>79</v>
      </c>
      <c r="C375" s="210">
        <v>40624</v>
      </c>
      <c r="D375" s="208">
        <v>0</v>
      </c>
      <c r="E375" s="209" t="s">
        <v>2146</v>
      </c>
      <c r="F375" s="212" t="s">
        <v>2147</v>
      </c>
      <c r="G375" s="213"/>
    </row>
    <row r="376" s="201" customFormat="1" ht="15.95" customHeight="1" spans="1:7">
      <c r="A376" s="208">
        <v>375</v>
      </c>
      <c r="B376" s="209" t="s">
        <v>79</v>
      </c>
      <c r="C376" s="210">
        <v>40625</v>
      </c>
      <c r="D376" s="208">
        <v>0</v>
      </c>
      <c r="E376" s="209" t="s">
        <v>2148</v>
      </c>
      <c r="F376" s="212" t="s">
        <v>2149</v>
      </c>
      <c r="G376" s="213"/>
    </row>
    <row r="377" s="201" customFormat="1" ht="15.95" customHeight="1" spans="1:7">
      <c r="A377" s="208">
        <v>376</v>
      </c>
      <c r="B377" s="209" t="s">
        <v>79</v>
      </c>
      <c r="C377" s="210">
        <v>40874</v>
      </c>
      <c r="D377" s="208">
        <v>0</v>
      </c>
      <c r="E377" s="209" t="s">
        <v>2150</v>
      </c>
      <c r="F377" s="212" t="s">
        <v>2151</v>
      </c>
      <c r="G377" s="213"/>
    </row>
    <row r="378" s="201" customFormat="1" ht="15.95" customHeight="1" spans="1:7">
      <c r="A378" s="208">
        <v>377</v>
      </c>
      <c r="B378" s="209" t="s">
        <v>79</v>
      </c>
      <c r="C378" s="210">
        <v>40875</v>
      </c>
      <c r="D378" s="208">
        <v>0</v>
      </c>
      <c r="E378" s="209" t="s">
        <v>2152</v>
      </c>
      <c r="F378" s="212" t="s">
        <v>2153</v>
      </c>
      <c r="G378" s="213"/>
    </row>
    <row r="379" s="201" customFormat="1" ht="15.95" customHeight="1" spans="1:7">
      <c r="A379" s="208">
        <v>378</v>
      </c>
      <c r="B379" s="209" t="s">
        <v>79</v>
      </c>
      <c r="C379" s="210">
        <v>40876</v>
      </c>
      <c r="D379" s="208">
        <v>0</v>
      </c>
      <c r="E379" s="209" t="s">
        <v>2154</v>
      </c>
      <c r="F379" s="212" t="s">
        <v>2155</v>
      </c>
      <c r="G379" s="213"/>
    </row>
    <row r="380" s="201" customFormat="1" ht="15.95" customHeight="1" spans="1:7">
      <c r="A380" s="208">
        <v>379</v>
      </c>
      <c r="B380" s="209" t="s">
        <v>79</v>
      </c>
      <c r="C380" s="210">
        <v>40877</v>
      </c>
      <c r="D380" s="208">
        <v>0</v>
      </c>
      <c r="E380" s="209" t="s">
        <v>2156</v>
      </c>
      <c r="F380" s="212" t="s">
        <v>2157</v>
      </c>
      <c r="G380" s="213"/>
    </row>
    <row r="381" s="201" customFormat="1" ht="15.95" customHeight="1" spans="1:7">
      <c r="A381" s="208">
        <v>380</v>
      </c>
      <c r="B381" s="209" t="s">
        <v>79</v>
      </c>
      <c r="C381" s="210">
        <v>40878</v>
      </c>
      <c r="D381" s="208">
        <v>0</v>
      </c>
      <c r="E381" s="209" t="s">
        <v>2158</v>
      </c>
      <c r="F381" s="212" t="s">
        <v>2159</v>
      </c>
      <c r="G381" s="213"/>
    </row>
    <row r="382" s="201" customFormat="1" ht="15.95" customHeight="1" spans="1:7">
      <c r="A382" s="208">
        <v>381</v>
      </c>
      <c r="B382" s="209" t="s">
        <v>79</v>
      </c>
      <c r="C382" s="210">
        <v>40879</v>
      </c>
      <c r="D382" s="208">
        <v>0</v>
      </c>
      <c r="E382" s="209" t="s">
        <v>2160</v>
      </c>
      <c r="F382" s="212" t="s">
        <v>2161</v>
      </c>
      <c r="G382" s="213"/>
    </row>
    <row r="383" s="201" customFormat="1" ht="15.95" customHeight="1" spans="1:7">
      <c r="A383" s="208">
        <v>382</v>
      </c>
      <c r="B383" s="209" t="s">
        <v>79</v>
      </c>
      <c r="C383" s="210">
        <v>40880</v>
      </c>
      <c r="D383" s="208">
        <v>0</v>
      </c>
      <c r="E383" s="209" t="s">
        <v>2162</v>
      </c>
      <c r="F383" s="212" t="s">
        <v>2163</v>
      </c>
      <c r="G383" s="213"/>
    </row>
    <row r="384" s="201" customFormat="1" ht="15.95" customHeight="1" spans="1:7">
      <c r="A384" s="208">
        <v>383</v>
      </c>
      <c r="B384" s="209" t="s">
        <v>79</v>
      </c>
      <c r="C384" s="210">
        <v>40881</v>
      </c>
      <c r="D384" s="208">
        <v>0</v>
      </c>
      <c r="E384" s="209" t="s">
        <v>2164</v>
      </c>
      <c r="F384" s="212" t="s">
        <v>2165</v>
      </c>
      <c r="G384" s="213"/>
    </row>
    <row r="385" s="201" customFormat="1" ht="15.95" customHeight="1" spans="1:7">
      <c r="A385" s="208">
        <v>384</v>
      </c>
      <c r="B385" s="209" t="s">
        <v>79</v>
      </c>
      <c r="C385" s="210">
        <v>40982</v>
      </c>
      <c r="D385" s="208">
        <v>0</v>
      </c>
      <c r="E385" s="211" t="s">
        <v>2166</v>
      </c>
      <c r="F385" s="212" t="s">
        <v>2167</v>
      </c>
      <c r="G385" s="213"/>
    </row>
    <row r="386" s="201" customFormat="1" ht="15.95" customHeight="1" spans="1:7">
      <c r="A386" s="208">
        <v>385</v>
      </c>
      <c r="B386" s="209" t="s">
        <v>79</v>
      </c>
      <c r="C386" s="210">
        <v>41238</v>
      </c>
      <c r="D386" s="208">
        <v>0</v>
      </c>
      <c r="E386" s="211" t="s">
        <v>2168</v>
      </c>
      <c r="F386" s="212" t="s">
        <v>2169</v>
      </c>
      <c r="G386" s="213"/>
    </row>
    <row r="387" s="201" customFormat="1" ht="15.95" customHeight="1" spans="1:7">
      <c r="A387" s="208">
        <v>386</v>
      </c>
      <c r="B387" s="209" t="s">
        <v>79</v>
      </c>
      <c r="C387" s="210">
        <v>41494</v>
      </c>
      <c r="D387" s="208">
        <v>0</v>
      </c>
      <c r="E387" s="211" t="s">
        <v>2170</v>
      </c>
      <c r="F387" s="212" t="s">
        <v>2171</v>
      </c>
      <c r="G387" s="213"/>
    </row>
    <row r="388" s="201" customFormat="1" ht="15.95" customHeight="1" spans="1:7">
      <c r="A388" s="208">
        <v>387</v>
      </c>
      <c r="B388" s="209" t="s">
        <v>79</v>
      </c>
      <c r="C388" s="210">
        <v>41750</v>
      </c>
      <c r="D388" s="208">
        <v>0</v>
      </c>
      <c r="E388" s="211" t="s">
        <v>2172</v>
      </c>
      <c r="F388" s="212" t="s">
        <v>2173</v>
      </c>
      <c r="G388" s="213"/>
    </row>
    <row r="389" s="201" customFormat="1" ht="15.95" customHeight="1" spans="1:7">
      <c r="A389" s="208">
        <v>388</v>
      </c>
      <c r="B389" s="209" t="s">
        <v>79</v>
      </c>
      <c r="C389" s="210">
        <v>42006</v>
      </c>
      <c r="D389" s="208">
        <v>0</v>
      </c>
      <c r="E389" s="211" t="s">
        <v>2174</v>
      </c>
      <c r="F389" s="212" t="s">
        <v>2175</v>
      </c>
      <c r="G389" s="213"/>
    </row>
    <row r="390" s="201" customFormat="1" ht="15.95" customHeight="1" spans="1:7">
      <c r="A390" s="208">
        <v>389</v>
      </c>
      <c r="B390" s="209" t="s">
        <v>79</v>
      </c>
      <c r="C390" s="210">
        <v>42262</v>
      </c>
      <c r="D390" s="208">
        <v>0</v>
      </c>
      <c r="E390" s="211" t="s">
        <v>2176</v>
      </c>
      <c r="F390" s="212" t="s">
        <v>2177</v>
      </c>
      <c r="G390" s="213"/>
    </row>
    <row r="391" s="201" customFormat="1" ht="15.95" customHeight="1" spans="1:7">
      <c r="A391" s="208">
        <v>390</v>
      </c>
      <c r="B391" s="209" t="s">
        <v>79</v>
      </c>
      <c r="C391" s="210">
        <v>42518</v>
      </c>
      <c r="D391" s="208">
        <v>0</v>
      </c>
      <c r="E391" s="209" t="s">
        <v>2178</v>
      </c>
      <c r="F391" s="212" t="s">
        <v>2179</v>
      </c>
      <c r="G391" s="213"/>
    </row>
    <row r="392" s="201" customFormat="1" ht="15.95" customHeight="1" spans="1:7">
      <c r="A392" s="208">
        <v>391</v>
      </c>
      <c r="B392" s="209" t="s">
        <v>79</v>
      </c>
      <c r="C392" s="210">
        <v>42774</v>
      </c>
      <c r="D392" s="208">
        <v>0</v>
      </c>
      <c r="E392" s="209" t="s">
        <v>2180</v>
      </c>
      <c r="F392" s="212" t="s">
        <v>2181</v>
      </c>
      <c r="G392" s="213"/>
    </row>
    <row r="393" s="201" customFormat="1" ht="15.95" customHeight="1" spans="1:7">
      <c r="A393" s="208">
        <v>392</v>
      </c>
      <c r="B393" s="209" t="s">
        <v>79</v>
      </c>
      <c r="C393" s="210">
        <v>43030</v>
      </c>
      <c r="D393" s="208">
        <v>0</v>
      </c>
      <c r="E393" s="209" t="s">
        <v>2182</v>
      </c>
      <c r="F393" s="212" t="s">
        <v>2183</v>
      </c>
      <c r="G393" s="213"/>
    </row>
    <row r="394" s="201" customFormat="1" ht="15.95" customHeight="1" spans="1:7">
      <c r="A394" s="208">
        <v>393</v>
      </c>
      <c r="B394" s="209" t="s">
        <v>79</v>
      </c>
      <c r="C394" s="210">
        <v>43286</v>
      </c>
      <c r="D394" s="208">
        <v>0</v>
      </c>
      <c r="E394" s="209" t="s">
        <v>2184</v>
      </c>
      <c r="F394" s="212" t="s">
        <v>2185</v>
      </c>
      <c r="G394" s="213"/>
    </row>
    <row r="395" s="201" customFormat="1" ht="15.95" customHeight="1" spans="1:7">
      <c r="A395" s="208">
        <v>394</v>
      </c>
      <c r="B395" s="209" t="s">
        <v>79</v>
      </c>
      <c r="C395" s="210">
        <v>40990</v>
      </c>
      <c r="D395" s="208">
        <v>0</v>
      </c>
      <c r="E395" s="209" t="s">
        <v>2186</v>
      </c>
      <c r="F395" s="212" t="s">
        <v>2187</v>
      </c>
      <c r="G395" s="213"/>
    </row>
    <row r="396" s="201" customFormat="1" ht="15.95" customHeight="1" spans="1:7">
      <c r="A396" s="208">
        <v>395</v>
      </c>
      <c r="B396" s="209" t="s">
        <v>79</v>
      </c>
      <c r="C396" s="210">
        <v>41246</v>
      </c>
      <c r="D396" s="208">
        <v>0</v>
      </c>
      <c r="E396" s="211" t="s">
        <v>2188</v>
      </c>
      <c r="F396" s="212" t="s">
        <v>2189</v>
      </c>
      <c r="G396" s="213"/>
    </row>
    <row r="397" s="201" customFormat="1" ht="15.95" customHeight="1" spans="1:7">
      <c r="A397" s="208">
        <v>396</v>
      </c>
      <c r="B397" s="209" t="s">
        <v>79</v>
      </c>
      <c r="C397" s="210">
        <v>41502</v>
      </c>
      <c r="D397" s="208">
        <v>0</v>
      </c>
      <c r="E397" s="211" t="s">
        <v>2190</v>
      </c>
      <c r="F397" s="212" t="s">
        <v>2191</v>
      </c>
      <c r="G397" s="213"/>
    </row>
    <row r="398" s="201" customFormat="1" ht="15.95" customHeight="1" spans="1:7">
      <c r="A398" s="208">
        <v>397</v>
      </c>
      <c r="B398" s="209" t="s">
        <v>79</v>
      </c>
      <c r="C398" s="210">
        <v>41758</v>
      </c>
      <c r="D398" s="208">
        <v>0</v>
      </c>
      <c r="E398" s="211" t="s">
        <v>2192</v>
      </c>
      <c r="F398" s="212" t="s">
        <v>2193</v>
      </c>
      <c r="G398" s="213"/>
    </row>
    <row r="399" s="201" customFormat="1" ht="15.95" customHeight="1" spans="1:7">
      <c r="A399" s="208">
        <v>398</v>
      </c>
      <c r="B399" s="209" t="s">
        <v>79</v>
      </c>
      <c r="C399" s="210">
        <v>42014</v>
      </c>
      <c r="D399" s="208">
        <v>0</v>
      </c>
      <c r="E399" s="209" t="s">
        <v>2194</v>
      </c>
      <c r="F399" s="212" t="s">
        <v>2195</v>
      </c>
      <c r="G399" s="213"/>
    </row>
    <row r="400" s="201" customFormat="1" ht="15.95" customHeight="1" spans="1:7">
      <c r="A400" s="208">
        <v>399</v>
      </c>
      <c r="B400" s="209" t="s">
        <v>79</v>
      </c>
      <c r="C400" s="210">
        <v>42270</v>
      </c>
      <c r="D400" s="208">
        <v>0</v>
      </c>
      <c r="E400" s="211" t="s">
        <v>2196</v>
      </c>
      <c r="F400" s="212" t="s">
        <v>2197</v>
      </c>
      <c r="G400" s="213"/>
    </row>
    <row r="401" s="201" customFormat="1" ht="15.95" customHeight="1" spans="1:7">
      <c r="A401" s="208">
        <v>400</v>
      </c>
      <c r="B401" s="209" t="s">
        <v>79</v>
      </c>
      <c r="C401" s="210">
        <v>42526</v>
      </c>
      <c r="D401" s="208">
        <v>0</v>
      </c>
      <c r="E401" s="209" t="s">
        <v>2198</v>
      </c>
      <c r="F401" s="212" t="s">
        <v>2199</v>
      </c>
      <c r="G401" s="213"/>
    </row>
    <row r="402" s="201" customFormat="1" ht="15.95" customHeight="1" spans="1:7">
      <c r="A402" s="208">
        <v>401</v>
      </c>
      <c r="B402" s="209" t="s">
        <v>79</v>
      </c>
      <c r="C402" s="210">
        <v>42782</v>
      </c>
      <c r="D402" s="208">
        <v>0</v>
      </c>
      <c r="E402" s="209" t="s">
        <v>2200</v>
      </c>
      <c r="F402" s="212" t="s">
        <v>2201</v>
      </c>
      <c r="G402" s="213"/>
    </row>
    <row r="403" s="201" customFormat="1" ht="15.95" customHeight="1" spans="1:7">
      <c r="A403" s="208">
        <v>402</v>
      </c>
      <c r="B403" s="209" t="s">
        <v>79</v>
      </c>
      <c r="C403" s="210">
        <v>43038</v>
      </c>
      <c r="D403" s="208">
        <v>0</v>
      </c>
      <c r="E403" s="209" t="s">
        <v>2202</v>
      </c>
      <c r="F403" s="212" t="s">
        <v>2203</v>
      </c>
      <c r="G403" s="213"/>
    </row>
    <row r="404" s="201" customFormat="1" ht="15.95" customHeight="1" spans="1:7">
      <c r="A404" s="208">
        <v>403</v>
      </c>
      <c r="B404" s="209" t="s">
        <v>79</v>
      </c>
      <c r="C404" s="210">
        <v>43294</v>
      </c>
      <c r="D404" s="208">
        <v>0</v>
      </c>
      <c r="E404" s="209" t="s">
        <v>2204</v>
      </c>
      <c r="F404" s="212" t="s">
        <v>2205</v>
      </c>
      <c r="G404" s="213"/>
    </row>
    <row r="405" s="201" customFormat="1" ht="15.95" customHeight="1" spans="1:7">
      <c r="A405" s="208">
        <v>404</v>
      </c>
      <c r="B405" s="209" t="s">
        <v>79</v>
      </c>
      <c r="C405" s="210">
        <v>40992</v>
      </c>
      <c r="D405" s="208">
        <v>0</v>
      </c>
      <c r="E405" s="211" t="s">
        <v>2206</v>
      </c>
      <c r="F405" s="212" t="s">
        <v>2207</v>
      </c>
      <c r="G405" s="213"/>
    </row>
    <row r="406" s="201" customFormat="1" ht="15.95" customHeight="1" spans="1:7">
      <c r="A406" s="208">
        <v>405</v>
      </c>
      <c r="B406" s="209" t="s">
        <v>79</v>
      </c>
      <c r="C406" s="210">
        <v>41248</v>
      </c>
      <c r="D406" s="208">
        <v>0</v>
      </c>
      <c r="E406" s="211" t="s">
        <v>2208</v>
      </c>
      <c r="F406" s="212" t="s">
        <v>2209</v>
      </c>
      <c r="G406" s="213"/>
    </row>
    <row r="407" s="201" customFormat="1" ht="15.95" customHeight="1" spans="1:7">
      <c r="A407" s="208">
        <v>406</v>
      </c>
      <c r="B407" s="209" t="s">
        <v>79</v>
      </c>
      <c r="C407" s="210">
        <v>41504</v>
      </c>
      <c r="D407" s="208">
        <v>0</v>
      </c>
      <c r="E407" s="211" t="s">
        <v>2210</v>
      </c>
      <c r="F407" s="212" t="s">
        <v>2211</v>
      </c>
      <c r="G407" s="213"/>
    </row>
    <row r="408" s="201" customFormat="1" ht="15.95" customHeight="1" spans="1:7">
      <c r="A408" s="208">
        <v>407</v>
      </c>
      <c r="B408" s="209" t="s">
        <v>79</v>
      </c>
      <c r="C408" s="210">
        <v>41760</v>
      </c>
      <c r="D408" s="208">
        <v>0</v>
      </c>
      <c r="E408" s="211" t="s">
        <v>2212</v>
      </c>
      <c r="F408" s="212" t="s">
        <v>2213</v>
      </c>
      <c r="G408" s="213"/>
    </row>
    <row r="409" s="201" customFormat="1" ht="15.95" customHeight="1" spans="1:7">
      <c r="A409" s="208">
        <v>408</v>
      </c>
      <c r="B409" s="209" t="s">
        <v>79</v>
      </c>
      <c r="C409" s="210">
        <v>42016</v>
      </c>
      <c r="D409" s="208">
        <v>0</v>
      </c>
      <c r="E409" s="211" t="s">
        <v>2214</v>
      </c>
      <c r="F409" s="212" t="s">
        <v>2215</v>
      </c>
      <c r="G409" s="213"/>
    </row>
    <row r="410" s="201" customFormat="1" ht="15.95" customHeight="1" spans="1:7">
      <c r="A410" s="208">
        <v>409</v>
      </c>
      <c r="B410" s="209" t="s">
        <v>79</v>
      </c>
      <c r="C410" s="210">
        <v>42272</v>
      </c>
      <c r="D410" s="208">
        <v>0</v>
      </c>
      <c r="E410" s="211" t="s">
        <v>2216</v>
      </c>
      <c r="F410" s="212" t="s">
        <v>2217</v>
      </c>
      <c r="G410" s="213"/>
    </row>
    <row r="411" s="201" customFormat="1" ht="15.95" customHeight="1" spans="1:7">
      <c r="A411" s="208">
        <v>410</v>
      </c>
      <c r="B411" s="209" t="s">
        <v>79</v>
      </c>
      <c r="C411" s="210">
        <v>42528</v>
      </c>
      <c r="D411" s="208">
        <v>0</v>
      </c>
      <c r="E411" s="209" t="s">
        <v>2218</v>
      </c>
      <c r="F411" s="212" t="s">
        <v>2219</v>
      </c>
      <c r="G411" s="213"/>
    </row>
    <row r="412" s="201" customFormat="1" ht="15.95" customHeight="1" spans="1:7">
      <c r="A412" s="208">
        <v>411</v>
      </c>
      <c r="B412" s="209" t="s">
        <v>79</v>
      </c>
      <c r="C412" s="210">
        <v>42784</v>
      </c>
      <c r="D412" s="208">
        <v>0</v>
      </c>
      <c r="E412" s="209" t="s">
        <v>2220</v>
      </c>
      <c r="F412" s="212" t="s">
        <v>2221</v>
      </c>
      <c r="G412" s="213"/>
    </row>
    <row r="413" s="201" customFormat="1" ht="15.95" customHeight="1" spans="1:7">
      <c r="A413" s="208">
        <v>412</v>
      </c>
      <c r="B413" s="209" t="s">
        <v>79</v>
      </c>
      <c r="C413" s="210">
        <v>43040</v>
      </c>
      <c r="D413" s="208">
        <v>0</v>
      </c>
      <c r="E413" s="209" t="s">
        <v>2222</v>
      </c>
      <c r="F413" s="212" t="s">
        <v>2223</v>
      </c>
      <c r="G413" s="213"/>
    </row>
    <row r="414" s="201" customFormat="1" ht="15.95" customHeight="1" spans="1:7">
      <c r="A414" s="208">
        <v>413</v>
      </c>
      <c r="B414" s="209" t="s">
        <v>79</v>
      </c>
      <c r="C414" s="210">
        <v>43296</v>
      </c>
      <c r="D414" s="208">
        <v>0</v>
      </c>
      <c r="E414" s="209" t="s">
        <v>2224</v>
      </c>
      <c r="F414" s="212" t="s">
        <v>2225</v>
      </c>
      <c r="G414" s="213"/>
    </row>
    <row r="415" s="201" customFormat="1" ht="15.95" customHeight="1" spans="1:7">
      <c r="A415" s="208">
        <v>414</v>
      </c>
      <c r="B415" s="209" t="s">
        <v>79</v>
      </c>
      <c r="C415" s="210">
        <v>40993</v>
      </c>
      <c r="D415" s="208">
        <v>0</v>
      </c>
      <c r="E415" s="211" t="s">
        <v>2226</v>
      </c>
      <c r="F415" s="212" t="s">
        <v>2227</v>
      </c>
      <c r="G415" s="213"/>
    </row>
    <row r="416" s="201" customFormat="1" ht="15.95" customHeight="1" spans="1:7">
      <c r="A416" s="208">
        <v>415</v>
      </c>
      <c r="B416" s="209" t="s">
        <v>79</v>
      </c>
      <c r="C416" s="210">
        <v>41249</v>
      </c>
      <c r="D416" s="208">
        <v>0</v>
      </c>
      <c r="E416" s="211" t="s">
        <v>2228</v>
      </c>
      <c r="F416" s="212" t="s">
        <v>2229</v>
      </c>
      <c r="G416" s="213"/>
    </row>
    <row r="417" s="201" customFormat="1" ht="15.95" customHeight="1" spans="1:7">
      <c r="A417" s="208">
        <v>416</v>
      </c>
      <c r="B417" s="209" t="s">
        <v>79</v>
      </c>
      <c r="C417" s="210">
        <v>41505</v>
      </c>
      <c r="D417" s="208">
        <v>0</v>
      </c>
      <c r="E417" s="211" t="s">
        <v>2230</v>
      </c>
      <c r="F417" s="212" t="s">
        <v>2231</v>
      </c>
      <c r="G417" s="213"/>
    </row>
    <row r="418" s="201" customFormat="1" ht="15.95" customHeight="1" spans="1:7">
      <c r="A418" s="208">
        <v>417</v>
      </c>
      <c r="B418" s="209" t="s">
        <v>79</v>
      </c>
      <c r="C418" s="210">
        <v>41761</v>
      </c>
      <c r="D418" s="208">
        <v>0</v>
      </c>
      <c r="E418" s="211" t="s">
        <v>2232</v>
      </c>
      <c r="F418" s="212" t="s">
        <v>2233</v>
      </c>
      <c r="G418" s="213"/>
    </row>
    <row r="419" s="201" customFormat="1" ht="15.95" customHeight="1" spans="1:7">
      <c r="A419" s="208">
        <v>418</v>
      </c>
      <c r="B419" s="209" t="s">
        <v>79</v>
      </c>
      <c r="C419" s="210">
        <v>42017</v>
      </c>
      <c r="D419" s="208">
        <v>0</v>
      </c>
      <c r="E419" s="211" t="s">
        <v>2234</v>
      </c>
      <c r="F419" s="212" t="s">
        <v>2235</v>
      </c>
      <c r="G419" s="213"/>
    </row>
    <row r="420" s="201" customFormat="1" ht="15.95" customHeight="1" spans="1:7">
      <c r="A420" s="208">
        <v>419</v>
      </c>
      <c r="B420" s="209" t="s">
        <v>79</v>
      </c>
      <c r="C420" s="210">
        <v>42273</v>
      </c>
      <c r="D420" s="208">
        <v>0</v>
      </c>
      <c r="E420" s="211" t="s">
        <v>2236</v>
      </c>
      <c r="F420" s="212" t="s">
        <v>2237</v>
      </c>
      <c r="G420" s="213"/>
    </row>
    <row r="421" s="201" customFormat="1" ht="15.95" customHeight="1" spans="1:7">
      <c r="A421" s="208">
        <v>420</v>
      </c>
      <c r="B421" s="209" t="s">
        <v>79</v>
      </c>
      <c r="C421" s="210">
        <v>42529</v>
      </c>
      <c r="D421" s="208">
        <v>0</v>
      </c>
      <c r="E421" s="209" t="s">
        <v>2238</v>
      </c>
      <c r="F421" s="212" t="s">
        <v>2239</v>
      </c>
      <c r="G421" s="213"/>
    </row>
    <row r="422" s="201" customFormat="1" ht="15.95" customHeight="1" spans="1:7">
      <c r="A422" s="208">
        <v>421</v>
      </c>
      <c r="B422" s="209" t="s">
        <v>79</v>
      </c>
      <c r="C422" s="210">
        <v>42785</v>
      </c>
      <c r="D422" s="208">
        <v>0</v>
      </c>
      <c r="E422" s="209" t="s">
        <v>2240</v>
      </c>
      <c r="F422" s="212" t="s">
        <v>2241</v>
      </c>
      <c r="G422" s="213"/>
    </row>
    <row r="423" s="201" customFormat="1" ht="15.95" customHeight="1" spans="1:7">
      <c r="A423" s="208">
        <v>422</v>
      </c>
      <c r="B423" s="209" t="s">
        <v>79</v>
      </c>
      <c r="C423" s="210">
        <v>43041</v>
      </c>
      <c r="D423" s="208">
        <v>0</v>
      </c>
      <c r="E423" s="209" t="s">
        <v>2242</v>
      </c>
      <c r="F423" s="212" t="s">
        <v>2243</v>
      </c>
      <c r="G423" s="213"/>
    </row>
    <row r="424" s="201" customFormat="1" ht="15.95" customHeight="1" spans="1:7">
      <c r="A424" s="208">
        <v>423</v>
      </c>
      <c r="B424" s="209" t="s">
        <v>79</v>
      </c>
      <c r="C424" s="210">
        <v>43297</v>
      </c>
      <c r="D424" s="208">
        <v>0</v>
      </c>
      <c r="E424" s="209" t="s">
        <v>2244</v>
      </c>
      <c r="F424" s="212" t="s">
        <v>2245</v>
      </c>
      <c r="G424" s="213"/>
    </row>
    <row r="425" s="201" customFormat="1" ht="15.95" customHeight="1" spans="1:7">
      <c r="A425" s="208">
        <v>424</v>
      </c>
      <c r="B425" s="209" t="s">
        <v>79</v>
      </c>
      <c r="C425" s="210">
        <v>41003</v>
      </c>
      <c r="D425" s="208">
        <v>0</v>
      </c>
      <c r="E425" s="211" t="s">
        <v>2246</v>
      </c>
      <c r="F425" s="212" t="s">
        <v>2247</v>
      </c>
      <c r="G425" s="213"/>
    </row>
    <row r="426" s="201" customFormat="1" ht="15.95" customHeight="1" spans="1:7">
      <c r="A426" s="208">
        <v>425</v>
      </c>
      <c r="B426" s="209" t="s">
        <v>79</v>
      </c>
      <c r="C426" s="210">
        <v>41259</v>
      </c>
      <c r="D426" s="208">
        <v>0</v>
      </c>
      <c r="E426" s="211" t="s">
        <v>2248</v>
      </c>
      <c r="F426" s="212" t="s">
        <v>2249</v>
      </c>
      <c r="G426" s="213"/>
    </row>
    <row r="427" s="201" customFormat="1" ht="15.95" customHeight="1" spans="1:7">
      <c r="A427" s="208">
        <v>426</v>
      </c>
      <c r="B427" s="209" t="s">
        <v>79</v>
      </c>
      <c r="C427" s="210">
        <v>41515</v>
      </c>
      <c r="D427" s="208">
        <v>0</v>
      </c>
      <c r="E427" s="211" t="s">
        <v>2250</v>
      </c>
      <c r="F427" s="212" t="s">
        <v>2251</v>
      </c>
      <c r="G427" s="213"/>
    </row>
    <row r="428" s="201" customFormat="1" ht="15.95" customHeight="1" spans="1:7">
      <c r="A428" s="208">
        <v>427</v>
      </c>
      <c r="B428" s="209" t="s">
        <v>79</v>
      </c>
      <c r="C428" s="210">
        <v>41771</v>
      </c>
      <c r="D428" s="208">
        <v>0</v>
      </c>
      <c r="E428" s="211" t="s">
        <v>2252</v>
      </c>
      <c r="F428" s="212" t="s">
        <v>2253</v>
      </c>
      <c r="G428" s="213"/>
    </row>
    <row r="429" s="201" customFormat="1" ht="15.95" customHeight="1" spans="1:7">
      <c r="A429" s="208">
        <v>428</v>
      </c>
      <c r="B429" s="209" t="s">
        <v>79</v>
      </c>
      <c r="C429" s="210">
        <v>42027</v>
      </c>
      <c r="D429" s="208">
        <v>0</v>
      </c>
      <c r="E429" s="211" t="s">
        <v>2254</v>
      </c>
      <c r="F429" s="212" t="s">
        <v>2255</v>
      </c>
      <c r="G429" s="213"/>
    </row>
    <row r="430" s="201" customFormat="1" ht="15.95" customHeight="1" spans="1:7">
      <c r="A430" s="208">
        <v>429</v>
      </c>
      <c r="B430" s="209" t="s">
        <v>79</v>
      </c>
      <c r="C430" s="210">
        <v>42283</v>
      </c>
      <c r="D430" s="208">
        <v>0</v>
      </c>
      <c r="E430" s="211" t="s">
        <v>2256</v>
      </c>
      <c r="F430" s="212" t="s">
        <v>2257</v>
      </c>
      <c r="G430" s="213"/>
    </row>
    <row r="431" s="201" customFormat="1" ht="15.95" customHeight="1" spans="1:7">
      <c r="A431" s="208">
        <v>430</v>
      </c>
      <c r="B431" s="209" t="s">
        <v>79</v>
      </c>
      <c r="C431" s="210">
        <v>42539</v>
      </c>
      <c r="D431" s="208">
        <v>0</v>
      </c>
      <c r="E431" s="209" t="s">
        <v>2258</v>
      </c>
      <c r="F431" s="212" t="s">
        <v>2259</v>
      </c>
      <c r="G431" s="213"/>
    </row>
    <row r="432" s="201" customFormat="1" ht="15.95" customHeight="1" spans="1:7">
      <c r="A432" s="208">
        <v>431</v>
      </c>
      <c r="B432" s="209" t="s">
        <v>79</v>
      </c>
      <c r="C432" s="210">
        <v>42795</v>
      </c>
      <c r="D432" s="208">
        <v>0</v>
      </c>
      <c r="E432" s="209" t="s">
        <v>2260</v>
      </c>
      <c r="F432" s="212" t="s">
        <v>2261</v>
      </c>
      <c r="G432" s="213"/>
    </row>
    <row r="433" s="201" customFormat="1" ht="15.95" customHeight="1" spans="1:7">
      <c r="A433" s="208">
        <v>432</v>
      </c>
      <c r="B433" s="209" t="s">
        <v>79</v>
      </c>
      <c r="C433" s="210">
        <v>43051</v>
      </c>
      <c r="D433" s="208">
        <v>0</v>
      </c>
      <c r="E433" s="209" t="s">
        <v>2262</v>
      </c>
      <c r="F433" s="212" t="s">
        <v>2263</v>
      </c>
      <c r="G433" s="213"/>
    </row>
    <row r="434" s="201" customFormat="1" ht="15.95" customHeight="1" spans="1:7">
      <c r="A434" s="208">
        <v>433</v>
      </c>
      <c r="B434" s="209" t="s">
        <v>79</v>
      </c>
      <c r="C434" s="210">
        <v>43307</v>
      </c>
      <c r="D434" s="208">
        <v>0</v>
      </c>
      <c r="E434" s="209" t="s">
        <v>2264</v>
      </c>
      <c r="F434" s="212" t="s">
        <v>2265</v>
      </c>
      <c r="G434" s="213"/>
    </row>
    <row r="435" s="201" customFormat="1" ht="15.95" customHeight="1" spans="1:7">
      <c r="A435" s="208">
        <v>434</v>
      </c>
      <c r="B435" s="209" t="s">
        <v>79</v>
      </c>
      <c r="C435" s="210">
        <v>41004</v>
      </c>
      <c r="D435" s="208">
        <v>0</v>
      </c>
      <c r="E435" s="211" t="s">
        <v>2266</v>
      </c>
      <c r="F435" s="212" t="s">
        <v>2267</v>
      </c>
      <c r="G435" s="213"/>
    </row>
    <row r="436" s="201" customFormat="1" ht="15.95" customHeight="1" spans="1:7">
      <c r="A436" s="208">
        <v>435</v>
      </c>
      <c r="B436" s="209" t="s">
        <v>79</v>
      </c>
      <c r="C436" s="210">
        <v>41260</v>
      </c>
      <c r="D436" s="208">
        <v>0</v>
      </c>
      <c r="E436" s="211" t="s">
        <v>2268</v>
      </c>
      <c r="F436" s="212" t="s">
        <v>2269</v>
      </c>
      <c r="G436" s="213"/>
    </row>
    <row r="437" s="201" customFormat="1" ht="15.95" customHeight="1" spans="1:7">
      <c r="A437" s="208">
        <v>436</v>
      </c>
      <c r="B437" s="209" t="s">
        <v>79</v>
      </c>
      <c r="C437" s="210">
        <v>41516</v>
      </c>
      <c r="D437" s="208">
        <v>0</v>
      </c>
      <c r="E437" s="211" t="s">
        <v>2270</v>
      </c>
      <c r="F437" s="212" t="s">
        <v>2271</v>
      </c>
      <c r="G437" s="213"/>
    </row>
    <row r="438" s="201" customFormat="1" ht="15.95" customHeight="1" spans="1:7">
      <c r="A438" s="208">
        <v>437</v>
      </c>
      <c r="B438" s="209" t="s">
        <v>79</v>
      </c>
      <c r="C438" s="210">
        <v>41772</v>
      </c>
      <c r="D438" s="208">
        <v>0</v>
      </c>
      <c r="E438" s="211" t="s">
        <v>2272</v>
      </c>
      <c r="F438" s="212" t="s">
        <v>2273</v>
      </c>
      <c r="G438" s="213"/>
    </row>
    <row r="439" s="201" customFormat="1" ht="15.95" customHeight="1" spans="1:7">
      <c r="A439" s="208">
        <v>438</v>
      </c>
      <c r="B439" s="209" t="s">
        <v>79</v>
      </c>
      <c r="C439" s="210">
        <v>42028</v>
      </c>
      <c r="D439" s="208">
        <v>0</v>
      </c>
      <c r="E439" s="211" t="s">
        <v>2274</v>
      </c>
      <c r="F439" s="212" t="s">
        <v>2275</v>
      </c>
      <c r="G439" s="213"/>
    </row>
    <row r="440" s="201" customFormat="1" ht="15.95" customHeight="1" spans="1:7">
      <c r="A440" s="208">
        <v>439</v>
      </c>
      <c r="B440" s="209" t="s">
        <v>79</v>
      </c>
      <c r="C440" s="210">
        <v>42284</v>
      </c>
      <c r="D440" s="208">
        <v>0</v>
      </c>
      <c r="E440" s="211" t="s">
        <v>2276</v>
      </c>
      <c r="F440" s="212" t="s">
        <v>2277</v>
      </c>
      <c r="G440" s="213"/>
    </row>
    <row r="441" s="201" customFormat="1" ht="15.95" customHeight="1" spans="1:7">
      <c r="A441" s="208">
        <v>440</v>
      </c>
      <c r="B441" s="209" t="s">
        <v>79</v>
      </c>
      <c r="C441" s="210">
        <v>42540</v>
      </c>
      <c r="D441" s="208">
        <v>0</v>
      </c>
      <c r="E441" s="209" t="s">
        <v>2278</v>
      </c>
      <c r="F441" s="212" t="s">
        <v>2279</v>
      </c>
      <c r="G441" s="213"/>
    </row>
    <row r="442" s="201" customFormat="1" ht="15.95" customHeight="1" spans="1:7">
      <c r="A442" s="208">
        <v>441</v>
      </c>
      <c r="B442" s="209" t="s">
        <v>79</v>
      </c>
      <c r="C442" s="210">
        <v>42796</v>
      </c>
      <c r="D442" s="208">
        <v>0</v>
      </c>
      <c r="E442" s="209" t="s">
        <v>2280</v>
      </c>
      <c r="F442" s="212" t="s">
        <v>2281</v>
      </c>
      <c r="G442" s="213"/>
    </row>
    <row r="443" s="201" customFormat="1" ht="15.95" customHeight="1" spans="1:7">
      <c r="A443" s="208">
        <v>442</v>
      </c>
      <c r="B443" s="209" t="s">
        <v>79</v>
      </c>
      <c r="C443" s="210">
        <v>43052</v>
      </c>
      <c r="D443" s="208">
        <v>0</v>
      </c>
      <c r="E443" s="209" t="s">
        <v>2282</v>
      </c>
      <c r="F443" s="212" t="s">
        <v>2283</v>
      </c>
      <c r="G443" s="213"/>
    </row>
    <row r="444" s="201" customFormat="1" ht="15.95" customHeight="1" spans="1:7">
      <c r="A444" s="208">
        <v>443</v>
      </c>
      <c r="B444" s="209" t="s">
        <v>79</v>
      </c>
      <c r="C444" s="210">
        <v>43308</v>
      </c>
      <c r="D444" s="208">
        <v>0</v>
      </c>
      <c r="E444" s="209" t="s">
        <v>2284</v>
      </c>
      <c r="F444" s="212" t="s">
        <v>2285</v>
      </c>
      <c r="G444" s="213"/>
    </row>
    <row r="445" s="201" customFormat="1" ht="15.95" customHeight="1" spans="1:7">
      <c r="A445" s="208">
        <v>444</v>
      </c>
      <c r="B445" s="209" t="s">
        <v>79</v>
      </c>
      <c r="C445" s="210">
        <v>43542</v>
      </c>
      <c r="D445" s="208">
        <v>0</v>
      </c>
      <c r="E445" s="211" t="s">
        <v>2286</v>
      </c>
      <c r="F445" s="212" t="s">
        <v>2287</v>
      </c>
      <c r="G445" s="213"/>
    </row>
    <row r="446" s="201" customFormat="1" ht="15.95" customHeight="1" spans="1:7">
      <c r="A446" s="208">
        <v>445</v>
      </c>
      <c r="B446" s="209" t="s">
        <v>79</v>
      </c>
      <c r="C446" s="210">
        <v>43798</v>
      </c>
      <c r="D446" s="208">
        <v>0</v>
      </c>
      <c r="E446" s="211" t="s">
        <v>2288</v>
      </c>
      <c r="F446" s="212" t="s">
        <v>2289</v>
      </c>
      <c r="G446" s="213"/>
    </row>
    <row r="447" s="201" customFormat="1" ht="15.95" customHeight="1" spans="1:7">
      <c r="A447" s="208">
        <v>446</v>
      </c>
      <c r="B447" s="209" t="s">
        <v>79</v>
      </c>
      <c r="C447" s="210">
        <v>44054</v>
      </c>
      <c r="D447" s="208">
        <v>0</v>
      </c>
      <c r="E447" s="211" t="s">
        <v>2290</v>
      </c>
      <c r="F447" s="212" t="s">
        <v>2291</v>
      </c>
      <c r="G447" s="213"/>
    </row>
    <row r="448" s="201" customFormat="1" ht="15.95" customHeight="1" spans="1:7">
      <c r="A448" s="208">
        <v>447</v>
      </c>
      <c r="B448" s="209" t="s">
        <v>79</v>
      </c>
      <c r="C448" s="210">
        <v>44310</v>
      </c>
      <c r="D448" s="208">
        <v>0</v>
      </c>
      <c r="E448" s="211" t="s">
        <v>2292</v>
      </c>
      <c r="F448" s="212" t="s">
        <v>2293</v>
      </c>
      <c r="G448" s="213"/>
    </row>
    <row r="449" s="201" customFormat="1" ht="15.95" customHeight="1" spans="1:7">
      <c r="A449" s="208">
        <v>448</v>
      </c>
      <c r="B449" s="209" t="s">
        <v>79</v>
      </c>
      <c r="C449" s="210">
        <v>44566</v>
      </c>
      <c r="D449" s="208">
        <v>0</v>
      </c>
      <c r="E449" s="211" t="s">
        <v>2294</v>
      </c>
      <c r="F449" s="212" t="s">
        <v>2295</v>
      </c>
      <c r="G449" s="213"/>
    </row>
    <row r="450" s="201" customFormat="1" ht="15.95" customHeight="1" spans="1:7">
      <c r="A450" s="208">
        <v>449</v>
      </c>
      <c r="B450" s="209" t="s">
        <v>79</v>
      </c>
      <c r="C450" s="210">
        <v>44822</v>
      </c>
      <c r="D450" s="208">
        <v>0</v>
      </c>
      <c r="E450" s="211" t="s">
        <v>2296</v>
      </c>
      <c r="F450" s="212" t="s">
        <v>2297</v>
      </c>
      <c r="G450" s="213"/>
    </row>
    <row r="451" s="201" customFormat="1" ht="15.95" customHeight="1" spans="1:7">
      <c r="A451" s="208">
        <v>450</v>
      </c>
      <c r="B451" s="209" t="s">
        <v>79</v>
      </c>
      <c r="C451" s="210">
        <v>45078</v>
      </c>
      <c r="D451" s="208">
        <v>0</v>
      </c>
      <c r="E451" s="209" t="s">
        <v>2298</v>
      </c>
      <c r="F451" s="212" t="s">
        <v>2299</v>
      </c>
      <c r="G451" s="213"/>
    </row>
    <row r="452" s="201" customFormat="1" ht="15.95" customHeight="1" spans="1:7">
      <c r="A452" s="208">
        <v>451</v>
      </c>
      <c r="B452" s="209" t="s">
        <v>79</v>
      </c>
      <c r="C452" s="210">
        <v>45334</v>
      </c>
      <c r="D452" s="208">
        <v>0</v>
      </c>
      <c r="E452" s="209" t="s">
        <v>2300</v>
      </c>
      <c r="F452" s="212" t="s">
        <v>2301</v>
      </c>
      <c r="G452" s="213"/>
    </row>
    <row r="453" s="201" customFormat="1" ht="15.95" customHeight="1" spans="1:7">
      <c r="A453" s="208">
        <v>452</v>
      </c>
      <c r="B453" s="209" t="s">
        <v>79</v>
      </c>
      <c r="C453" s="210">
        <v>45590</v>
      </c>
      <c r="D453" s="208">
        <v>0</v>
      </c>
      <c r="E453" s="209" t="s">
        <v>2302</v>
      </c>
      <c r="F453" s="212" t="s">
        <v>2303</v>
      </c>
      <c r="G453" s="213"/>
    </row>
    <row r="454" s="201" customFormat="1" ht="15.95" customHeight="1" spans="1:7">
      <c r="A454" s="208">
        <v>453</v>
      </c>
      <c r="B454" s="209" t="s">
        <v>79</v>
      </c>
      <c r="C454" s="210">
        <v>45846</v>
      </c>
      <c r="D454" s="208">
        <v>0</v>
      </c>
      <c r="E454" s="209" t="s">
        <v>2304</v>
      </c>
      <c r="F454" s="212" t="s">
        <v>2305</v>
      </c>
      <c r="G454" s="213"/>
    </row>
    <row r="455" s="201" customFormat="1" ht="15.95" customHeight="1" spans="1:7">
      <c r="A455" s="208">
        <v>454</v>
      </c>
      <c r="B455" s="209" t="s">
        <v>79</v>
      </c>
      <c r="C455" s="210">
        <v>43550</v>
      </c>
      <c r="D455" s="208">
        <v>0</v>
      </c>
      <c r="E455" s="211" t="s">
        <v>2306</v>
      </c>
      <c r="F455" s="212" t="s">
        <v>2307</v>
      </c>
      <c r="G455" s="213"/>
    </row>
    <row r="456" s="201" customFormat="1" ht="15.95" customHeight="1" spans="1:7">
      <c r="A456" s="208">
        <v>455</v>
      </c>
      <c r="B456" s="209" t="s">
        <v>79</v>
      </c>
      <c r="C456" s="210">
        <v>43806</v>
      </c>
      <c r="D456" s="208">
        <v>0</v>
      </c>
      <c r="E456" s="211" t="s">
        <v>2308</v>
      </c>
      <c r="F456" s="212" t="s">
        <v>2309</v>
      </c>
      <c r="G456" s="213"/>
    </row>
    <row r="457" s="201" customFormat="1" ht="15.95" customHeight="1" spans="1:7">
      <c r="A457" s="208">
        <v>456</v>
      </c>
      <c r="B457" s="209" t="s">
        <v>79</v>
      </c>
      <c r="C457" s="210">
        <v>44062</v>
      </c>
      <c r="D457" s="208">
        <v>0</v>
      </c>
      <c r="E457" s="211" t="s">
        <v>2310</v>
      </c>
      <c r="F457" s="212" t="s">
        <v>2311</v>
      </c>
      <c r="G457" s="213"/>
    </row>
    <row r="458" s="201" customFormat="1" ht="15.95" customHeight="1" spans="1:7">
      <c r="A458" s="208">
        <v>457</v>
      </c>
      <c r="B458" s="209" t="s">
        <v>79</v>
      </c>
      <c r="C458" s="210">
        <v>44318</v>
      </c>
      <c r="D458" s="208">
        <v>0</v>
      </c>
      <c r="E458" s="211" t="s">
        <v>2312</v>
      </c>
      <c r="F458" s="212" t="s">
        <v>2313</v>
      </c>
      <c r="G458" s="213"/>
    </row>
    <row r="459" s="201" customFormat="1" ht="15.95" customHeight="1" spans="1:7">
      <c r="A459" s="208">
        <v>458</v>
      </c>
      <c r="B459" s="209" t="s">
        <v>79</v>
      </c>
      <c r="C459" s="210">
        <v>44574</v>
      </c>
      <c r="D459" s="208">
        <v>0</v>
      </c>
      <c r="E459" s="211" t="s">
        <v>2314</v>
      </c>
      <c r="F459" s="212" t="s">
        <v>2315</v>
      </c>
      <c r="G459" s="213"/>
    </row>
    <row r="460" s="201" customFormat="1" ht="15.95" customHeight="1" spans="1:7">
      <c r="A460" s="208">
        <v>459</v>
      </c>
      <c r="B460" s="209" t="s">
        <v>79</v>
      </c>
      <c r="C460" s="210">
        <v>44830</v>
      </c>
      <c r="D460" s="208">
        <v>0</v>
      </c>
      <c r="E460" s="211" t="s">
        <v>2316</v>
      </c>
      <c r="F460" s="212" t="s">
        <v>2317</v>
      </c>
      <c r="G460" s="213"/>
    </row>
    <row r="461" s="201" customFormat="1" ht="15.95" customHeight="1" spans="1:7">
      <c r="A461" s="208">
        <v>460</v>
      </c>
      <c r="B461" s="209" t="s">
        <v>79</v>
      </c>
      <c r="C461" s="210">
        <v>45086</v>
      </c>
      <c r="D461" s="208">
        <v>0</v>
      </c>
      <c r="E461" s="209" t="s">
        <v>2318</v>
      </c>
      <c r="F461" s="212" t="s">
        <v>2319</v>
      </c>
      <c r="G461" s="213"/>
    </row>
    <row r="462" s="201" customFormat="1" ht="15.95" customHeight="1" spans="1:7">
      <c r="A462" s="208">
        <v>461</v>
      </c>
      <c r="B462" s="209" t="s">
        <v>79</v>
      </c>
      <c r="C462" s="210">
        <v>45342</v>
      </c>
      <c r="D462" s="208">
        <v>0</v>
      </c>
      <c r="E462" s="209" t="s">
        <v>2320</v>
      </c>
      <c r="F462" s="212" t="s">
        <v>2321</v>
      </c>
      <c r="G462" s="213"/>
    </row>
    <row r="463" s="201" customFormat="1" ht="15.95" customHeight="1" spans="1:7">
      <c r="A463" s="208">
        <v>462</v>
      </c>
      <c r="B463" s="209" t="s">
        <v>79</v>
      </c>
      <c r="C463" s="210">
        <v>45598</v>
      </c>
      <c r="D463" s="208">
        <v>0</v>
      </c>
      <c r="E463" s="209" t="s">
        <v>2322</v>
      </c>
      <c r="F463" s="212" t="s">
        <v>2323</v>
      </c>
      <c r="G463" s="213"/>
    </row>
    <row r="464" s="201" customFormat="1" ht="15.95" customHeight="1" spans="1:7">
      <c r="A464" s="208">
        <v>463</v>
      </c>
      <c r="B464" s="209" t="s">
        <v>79</v>
      </c>
      <c r="C464" s="210">
        <v>45854</v>
      </c>
      <c r="D464" s="208">
        <v>0</v>
      </c>
      <c r="E464" s="209" t="s">
        <v>2324</v>
      </c>
      <c r="F464" s="212" t="s">
        <v>2325</v>
      </c>
      <c r="G464" s="213"/>
    </row>
    <row r="465" s="201" customFormat="1" ht="15.95" customHeight="1" spans="1:7">
      <c r="A465" s="208">
        <v>464</v>
      </c>
      <c r="B465" s="209" t="s">
        <v>79</v>
      </c>
      <c r="C465" s="210">
        <v>43552</v>
      </c>
      <c r="D465" s="208">
        <v>0</v>
      </c>
      <c r="E465" s="211" t="s">
        <v>2326</v>
      </c>
      <c r="F465" s="212" t="s">
        <v>2327</v>
      </c>
      <c r="G465" s="213"/>
    </row>
    <row r="466" s="201" customFormat="1" ht="15.95" customHeight="1" spans="1:7">
      <c r="A466" s="208">
        <v>465</v>
      </c>
      <c r="B466" s="209" t="s">
        <v>79</v>
      </c>
      <c r="C466" s="210">
        <v>43808</v>
      </c>
      <c r="D466" s="208">
        <v>0</v>
      </c>
      <c r="E466" s="211" t="s">
        <v>2328</v>
      </c>
      <c r="F466" s="212" t="s">
        <v>2329</v>
      </c>
      <c r="G466" s="213"/>
    </row>
    <row r="467" s="201" customFormat="1" ht="15.95" customHeight="1" spans="1:7">
      <c r="A467" s="208">
        <v>466</v>
      </c>
      <c r="B467" s="209" t="s">
        <v>79</v>
      </c>
      <c r="C467" s="210">
        <v>44064</v>
      </c>
      <c r="D467" s="208">
        <v>0</v>
      </c>
      <c r="E467" s="211" t="s">
        <v>2330</v>
      </c>
      <c r="F467" s="212" t="s">
        <v>2331</v>
      </c>
      <c r="G467" s="213"/>
    </row>
    <row r="468" s="201" customFormat="1" ht="15.95" customHeight="1" spans="1:7">
      <c r="A468" s="208">
        <v>467</v>
      </c>
      <c r="B468" s="209" t="s">
        <v>79</v>
      </c>
      <c r="C468" s="210">
        <v>44320</v>
      </c>
      <c r="D468" s="208">
        <v>0</v>
      </c>
      <c r="E468" s="211" t="s">
        <v>2332</v>
      </c>
      <c r="F468" s="212" t="s">
        <v>2333</v>
      </c>
      <c r="G468" s="213"/>
    </row>
    <row r="469" s="201" customFormat="1" ht="15.95" customHeight="1" spans="1:7">
      <c r="A469" s="208">
        <v>468</v>
      </c>
      <c r="B469" s="209" t="s">
        <v>79</v>
      </c>
      <c r="C469" s="210">
        <v>44576</v>
      </c>
      <c r="D469" s="208">
        <v>0</v>
      </c>
      <c r="E469" s="211" t="s">
        <v>2334</v>
      </c>
      <c r="F469" s="212" t="s">
        <v>2335</v>
      </c>
      <c r="G469" s="213"/>
    </row>
    <row r="470" s="201" customFormat="1" ht="15.95" customHeight="1" spans="1:7">
      <c r="A470" s="208">
        <v>469</v>
      </c>
      <c r="B470" s="209" t="s">
        <v>79</v>
      </c>
      <c r="C470" s="210">
        <v>44832</v>
      </c>
      <c r="D470" s="208">
        <v>0</v>
      </c>
      <c r="E470" s="211" t="s">
        <v>2336</v>
      </c>
      <c r="F470" s="212" t="s">
        <v>2337</v>
      </c>
      <c r="G470" s="213"/>
    </row>
    <row r="471" s="201" customFormat="1" ht="15.95" customHeight="1" spans="1:7">
      <c r="A471" s="208">
        <v>470</v>
      </c>
      <c r="B471" s="209" t="s">
        <v>79</v>
      </c>
      <c r="C471" s="210">
        <v>45088</v>
      </c>
      <c r="D471" s="208">
        <v>0</v>
      </c>
      <c r="E471" s="209" t="s">
        <v>2338</v>
      </c>
      <c r="F471" s="212" t="s">
        <v>2339</v>
      </c>
      <c r="G471" s="213"/>
    </row>
    <row r="472" s="201" customFormat="1" ht="15.95" customHeight="1" spans="1:7">
      <c r="A472" s="208">
        <v>471</v>
      </c>
      <c r="B472" s="209" t="s">
        <v>79</v>
      </c>
      <c r="C472" s="210">
        <v>45344</v>
      </c>
      <c r="D472" s="208">
        <v>0</v>
      </c>
      <c r="E472" s="209" t="s">
        <v>2340</v>
      </c>
      <c r="F472" s="212" t="s">
        <v>2341</v>
      </c>
      <c r="G472" s="213"/>
    </row>
    <row r="473" s="201" customFormat="1" ht="15.95" customHeight="1" spans="1:7">
      <c r="A473" s="208">
        <v>472</v>
      </c>
      <c r="B473" s="209" t="s">
        <v>79</v>
      </c>
      <c r="C473" s="210">
        <v>45600</v>
      </c>
      <c r="D473" s="208">
        <v>0</v>
      </c>
      <c r="E473" s="209" t="s">
        <v>2342</v>
      </c>
      <c r="F473" s="212" t="s">
        <v>2343</v>
      </c>
      <c r="G473" s="213"/>
    </row>
    <row r="474" s="201" customFormat="1" ht="15.95" customHeight="1" spans="1:7">
      <c r="A474" s="208">
        <v>473</v>
      </c>
      <c r="B474" s="209" t="s">
        <v>79</v>
      </c>
      <c r="C474" s="210">
        <v>45856</v>
      </c>
      <c r="D474" s="208">
        <v>0</v>
      </c>
      <c r="E474" s="209" t="s">
        <v>2344</v>
      </c>
      <c r="F474" s="212" t="s">
        <v>2345</v>
      </c>
      <c r="G474" s="213"/>
    </row>
    <row r="475" s="201" customFormat="1" ht="15.95" customHeight="1" spans="1:7">
      <c r="A475" s="208">
        <v>474</v>
      </c>
      <c r="B475" s="209" t="s">
        <v>79</v>
      </c>
      <c r="C475" s="210">
        <v>43553</v>
      </c>
      <c r="D475" s="208">
        <v>0</v>
      </c>
      <c r="E475" s="211" t="s">
        <v>2346</v>
      </c>
      <c r="F475" s="212" t="s">
        <v>2347</v>
      </c>
      <c r="G475" s="213"/>
    </row>
    <row r="476" s="201" customFormat="1" ht="15.95" customHeight="1" spans="1:7">
      <c r="A476" s="208">
        <v>475</v>
      </c>
      <c r="B476" s="209" t="s">
        <v>79</v>
      </c>
      <c r="C476" s="210">
        <v>43809</v>
      </c>
      <c r="D476" s="208">
        <v>0</v>
      </c>
      <c r="E476" s="211" t="s">
        <v>2348</v>
      </c>
      <c r="F476" s="212" t="s">
        <v>2349</v>
      </c>
      <c r="G476" s="213"/>
    </row>
    <row r="477" s="201" customFormat="1" ht="15.95" customHeight="1" spans="1:7">
      <c r="A477" s="208">
        <v>476</v>
      </c>
      <c r="B477" s="209" t="s">
        <v>79</v>
      </c>
      <c r="C477" s="210">
        <v>44065</v>
      </c>
      <c r="D477" s="208">
        <v>0</v>
      </c>
      <c r="E477" s="211" t="s">
        <v>2350</v>
      </c>
      <c r="F477" s="212" t="s">
        <v>2351</v>
      </c>
      <c r="G477" s="213"/>
    </row>
    <row r="478" s="201" customFormat="1" ht="15.95" customHeight="1" spans="1:7">
      <c r="A478" s="208">
        <v>477</v>
      </c>
      <c r="B478" s="209" t="s">
        <v>79</v>
      </c>
      <c r="C478" s="210">
        <v>44321</v>
      </c>
      <c r="D478" s="208">
        <v>0</v>
      </c>
      <c r="E478" s="211" t="s">
        <v>2352</v>
      </c>
      <c r="F478" s="212" t="s">
        <v>2353</v>
      </c>
      <c r="G478" s="213"/>
    </row>
    <row r="479" s="201" customFormat="1" ht="15.95" customHeight="1" spans="1:7">
      <c r="A479" s="208">
        <v>478</v>
      </c>
      <c r="B479" s="209" t="s">
        <v>79</v>
      </c>
      <c r="C479" s="210">
        <v>44577</v>
      </c>
      <c r="D479" s="208">
        <v>0</v>
      </c>
      <c r="E479" s="211" t="s">
        <v>2354</v>
      </c>
      <c r="F479" s="212" t="s">
        <v>2355</v>
      </c>
      <c r="G479" s="213"/>
    </row>
    <row r="480" s="201" customFormat="1" ht="15.95" customHeight="1" spans="1:7">
      <c r="A480" s="208">
        <v>479</v>
      </c>
      <c r="B480" s="209" t="s">
        <v>79</v>
      </c>
      <c r="C480" s="210">
        <v>44833</v>
      </c>
      <c r="D480" s="208">
        <v>0</v>
      </c>
      <c r="E480" s="211" t="s">
        <v>2356</v>
      </c>
      <c r="F480" s="212" t="s">
        <v>2357</v>
      </c>
      <c r="G480" s="213"/>
    </row>
    <row r="481" s="201" customFormat="1" ht="15.95" customHeight="1" spans="1:7">
      <c r="A481" s="208">
        <v>480</v>
      </c>
      <c r="B481" s="209" t="s">
        <v>79</v>
      </c>
      <c r="C481" s="210">
        <v>45089</v>
      </c>
      <c r="D481" s="208">
        <v>0</v>
      </c>
      <c r="E481" s="209" t="s">
        <v>2358</v>
      </c>
      <c r="F481" s="212" t="s">
        <v>2359</v>
      </c>
      <c r="G481" s="213"/>
    </row>
    <row r="482" s="201" customFormat="1" ht="15.95" customHeight="1" spans="1:7">
      <c r="A482" s="208">
        <v>481</v>
      </c>
      <c r="B482" s="209" t="s">
        <v>79</v>
      </c>
      <c r="C482" s="210">
        <v>45345</v>
      </c>
      <c r="D482" s="208">
        <v>0</v>
      </c>
      <c r="E482" s="209" t="s">
        <v>2360</v>
      </c>
      <c r="F482" s="212" t="s">
        <v>2361</v>
      </c>
      <c r="G482" s="213"/>
    </row>
    <row r="483" s="201" customFormat="1" ht="15.95" customHeight="1" spans="1:7">
      <c r="A483" s="208">
        <v>482</v>
      </c>
      <c r="B483" s="209" t="s">
        <v>79</v>
      </c>
      <c r="C483" s="210">
        <v>45601</v>
      </c>
      <c r="D483" s="208">
        <v>0</v>
      </c>
      <c r="E483" s="209" t="s">
        <v>2362</v>
      </c>
      <c r="F483" s="212" t="s">
        <v>2363</v>
      </c>
      <c r="G483" s="213"/>
    </row>
    <row r="484" s="201" customFormat="1" ht="15.95" customHeight="1" spans="1:7">
      <c r="A484" s="208">
        <v>483</v>
      </c>
      <c r="B484" s="209" t="s">
        <v>79</v>
      </c>
      <c r="C484" s="210">
        <v>45857</v>
      </c>
      <c r="D484" s="208">
        <v>0</v>
      </c>
      <c r="E484" s="209" t="s">
        <v>2364</v>
      </c>
      <c r="F484" s="212" t="s">
        <v>2365</v>
      </c>
      <c r="G484" s="213"/>
    </row>
    <row r="485" s="201" customFormat="1" ht="15.95" customHeight="1" spans="1:7">
      <c r="A485" s="208">
        <v>484</v>
      </c>
      <c r="B485" s="209" t="s">
        <v>79</v>
      </c>
      <c r="C485" s="210">
        <v>43563</v>
      </c>
      <c r="D485" s="208">
        <v>0</v>
      </c>
      <c r="E485" s="211" t="s">
        <v>2366</v>
      </c>
      <c r="F485" s="212" t="s">
        <v>2367</v>
      </c>
      <c r="G485" s="213"/>
    </row>
    <row r="486" s="201" customFormat="1" ht="15.95" customHeight="1" spans="1:7">
      <c r="A486" s="208">
        <v>485</v>
      </c>
      <c r="B486" s="209" t="s">
        <v>79</v>
      </c>
      <c r="C486" s="210">
        <v>43819</v>
      </c>
      <c r="D486" s="208">
        <v>0</v>
      </c>
      <c r="E486" s="211" t="s">
        <v>2368</v>
      </c>
      <c r="F486" s="212" t="s">
        <v>2369</v>
      </c>
      <c r="G486" s="213"/>
    </row>
    <row r="487" s="201" customFormat="1" ht="15.95" customHeight="1" spans="1:7">
      <c r="A487" s="208">
        <v>486</v>
      </c>
      <c r="B487" s="209" t="s">
        <v>79</v>
      </c>
      <c r="C487" s="210">
        <v>44075</v>
      </c>
      <c r="D487" s="208">
        <v>0</v>
      </c>
      <c r="E487" s="211" t="s">
        <v>2370</v>
      </c>
      <c r="F487" s="212" t="s">
        <v>2371</v>
      </c>
      <c r="G487" s="213"/>
    </row>
    <row r="488" s="201" customFormat="1" ht="15.95" customHeight="1" spans="1:7">
      <c r="A488" s="208">
        <v>487</v>
      </c>
      <c r="B488" s="209" t="s">
        <v>79</v>
      </c>
      <c r="C488" s="210">
        <v>44331</v>
      </c>
      <c r="D488" s="208">
        <v>0</v>
      </c>
      <c r="E488" s="211" t="s">
        <v>2372</v>
      </c>
      <c r="F488" s="212" t="s">
        <v>2373</v>
      </c>
      <c r="G488" s="213"/>
    </row>
    <row r="489" s="201" customFormat="1" ht="15.95" customHeight="1" spans="1:7">
      <c r="A489" s="208">
        <v>488</v>
      </c>
      <c r="B489" s="209" t="s">
        <v>79</v>
      </c>
      <c r="C489" s="210">
        <v>44587</v>
      </c>
      <c r="D489" s="208">
        <v>0</v>
      </c>
      <c r="E489" s="211" t="s">
        <v>2374</v>
      </c>
      <c r="F489" s="212" t="s">
        <v>2375</v>
      </c>
      <c r="G489" s="213"/>
    </row>
    <row r="490" s="201" customFormat="1" ht="15.95" customHeight="1" spans="1:7">
      <c r="A490" s="208">
        <v>489</v>
      </c>
      <c r="B490" s="209" t="s">
        <v>79</v>
      </c>
      <c r="C490" s="210">
        <v>44843</v>
      </c>
      <c r="D490" s="208">
        <v>0</v>
      </c>
      <c r="E490" s="211" t="s">
        <v>2376</v>
      </c>
      <c r="F490" s="212" t="s">
        <v>2377</v>
      </c>
      <c r="G490" s="213"/>
    </row>
    <row r="491" s="201" customFormat="1" ht="15.95" customHeight="1" spans="1:7">
      <c r="A491" s="208">
        <v>490</v>
      </c>
      <c r="B491" s="209" t="s">
        <v>79</v>
      </c>
      <c r="C491" s="210">
        <v>45099</v>
      </c>
      <c r="D491" s="208">
        <v>0</v>
      </c>
      <c r="E491" s="209" t="s">
        <v>2378</v>
      </c>
      <c r="F491" s="212" t="s">
        <v>2379</v>
      </c>
      <c r="G491" s="213"/>
    </row>
    <row r="492" s="201" customFormat="1" ht="15.95" customHeight="1" spans="1:7">
      <c r="A492" s="208">
        <v>491</v>
      </c>
      <c r="B492" s="209" t="s">
        <v>79</v>
      </c>
      <c r="C492" s="210">
        <v>45355</v>
      </c>
      <c r="D492" s="208">
        <v>0</v>
      </c>
      <c r="E492" s="209" t="s">
        <v>2380</v>
      </c>
      <c r="F492" s="212" t="s">
        <v>2381</v>
      </c>
      <c r="G492" s="213"/>
    </row>
    <row r="493" s="201" customFormat="1" ht="15.95" customHeight="1" spans="1:7">
      <c r="A493" s="208">
        <v>492</v>
      </c>
      <c r="B493" s="209" t="s">
        <v>79</v>
      </c>
      <c r="C493" s="210">
        <v>45611</v>
      </c>
      <c r="D493" s="208">
        <v>0</v>
      </c>
      <c r="E493" s="209" t="s">
        <v>2382</v>
      </c>
      <c r="F493" s="212" t="s">
        <v>2383</v>
      </c>
      <c r="G493" s="213"/>
    </row>
    <row r="494" s="201" customFormat="1" ht="15.95" customHeight="1" spans="1:7">
      <c r="A494" s="208">
        <v>493</v>
      </c>
      <c r="B494" s="209" t="s">
        <v>79</v>
      </c>
      <c r="C494" s="210">
        <v>45867</v>
      </c>
      <c r="D494" s="208">
        <v>0</v>
      </c>
      <c r="E494" s="209" t="s">
        <v>2384</v>
      </c>
      <c r="F494" s="212" t="s">
        <v>2385</v>
      </c>
      <c r="G494" s="213"/>
    </row>
    <row r="495" s="201" customFormat="1" ht="15.95" customHeight="1" spans="1:7">
      <c r="A495" s="208">
        <v>494</v>
      </c>
      <c r="B495" s="209" t="s">
        <v>79</v>
      </c>
      <c r="C495" s="210">
        <v>43564</v>
      </c>
      <c r="D495" s="208">
        <v>0</v>
      </c>
      <c r="E495" s="211" t="s">
        <v>2386</v>
      </c>
      <c r="F495" s="212" t="s">
        <v>2387</v>
      </c>
      <c r="G495" s="213"/>
    </row>
    <row r="496" s="201" customFormat="1" ht="15.95" customHeight="1" spans="1:7">
      <c r="A496" s="208">
        <v>495</v>
      </c>
      <c r="B496" s="209" t="s">
        <v>79</v>
      </c>
      <c r="C496" s="210">
        <v>43820</v>
      </c>
      <c r="D496" s="208">
        <v>0</v>
      </c>
      <c r="E496" s="211" t="s">
        <v>2388</v>
      </c>
      <c r="F496" s="212" t="s">
        <v>2389</v>
      </c>
      <c r="G496" s="213"/>
    </row>
    <row r="497" s="201" customFormat="1" ht="15.95" customHeight="1" spans="1:7">
      <c r="A497" s="208">
        <v>496</v>
      </c>
      <c r="B497" s="209" t="s">
        <v>79</v>
      </c>
      <c r="C497" s="210">
        <v>44076</v>
      </c>
      <c r="D497" s="208">
        <v>0</v>
      </c>
      <c r="E497" s="211" t="s">
        <v>2390</v>
      </c>
      <c r="F497" s="212" t="s">
        <v>2391</v>
      </c>
      <c r="G497" s="213"/>
    </row>
    <row r="498" s="201" customFormat="1" ht="15.95" customHeight="1" spans="1:7">
      <c r="A498" s="208">
        <v>497</v>
      </c>
      <c r="B498" s="209" t="s">
        <v>79</v>
      </c>
      <c r="C498" s="210">
        <v>44332</v>
      </c>
      <c r="D498" s="208">
        <v>0</v>
      </c>
      <c r="E498" s="211" t="s">
        <v>2392</v>
      </c>
      <c r="F498" s="212" t="s">
        <v>2393</v>
      </c>
      <c r="G498" s="213"/>
    </row>
    <row r="499" s="201" customFormat="1" ht="15.95" customHeight="1" spans="1:7">
      <c r="A499" s="208">
        <v>498</v>
      </c>
      <c r="B499" s="209" t="s">
        <v>79</v>
      </c>
      <c r="C499" s="210">
        <v>44588</v>
      </c>
      <c r="D499" s="208">
        <v>0</v>
      </c>
      <c r="E499" s="211" t="s">
        <v>2394</v>
      </c>
      <c r="F499" s="212" t="s">
        <v>2395</v>
      </c>
      <c r="G499" s="213"/>
    </row>
    <row r="500" s="201" customFormat="1" ht="15.95" customHeight="1" spans="1:7">
      <c r="A500" s="208">
        <v>499</v>
      </c>
      <c r="B500" s="209" t="s">
        <v>79</v>
      </c>
      <c r="C500" s="210">
        <v>44844</v>
      </c>
      <c r="D500" s="208">
        <v>0</v>
      </c>
      <c r="E500" s="211" t="s">
        <v>2396</v>
      </c>
      <c r="F500" s="212" t="s">
        <v>2397</v>
      </c>
      <c r="G500" s="213"/>
    </row>
    <row r="501" s="201" customFormat="1" ht="15.95" customHeight="1" spans="1:7">
      <c r="A501" s="208">
        <v>500</v>
      </c>
      <c r="B501" s="209" t="s">
        <v>79</v>
      </c>
      <c r="C501" s="210">
        <v>45100</v>
      </c>
      <c r="D501" s="208">
        <v>0</v>
      </c>
      <c r="E501" s="209" t="s">
        <v>2398</v>
      </c>
      <c r="F501" s="212" t="s">
        <v>2399</v>
      </c>
      <c r="G501" s="213"/>
    </row>
    <row r="502" s="201" customFormat="1" ht="15.95" customHeight="1" spans="1:7">
      <c r="A502" s="208">
        <v>501</v>
      </c>
      <c r="B502" s="209" t="s">
        <v>79</v>
      </c>
      <c r="C502" s="210">
        <v>45356</v>
      </c>
      <c r="D502" s="208">
        <v>0</v>
      </c>
      <c r="E502" s="209" t="s">
        <v>2400</v>
      </c>
      <c r="F502" s="212" t="s">
        <v>2401</v>
      </c>
      <c r="G502" s="213"/>
    </row>
    <row r="503" s="201" customFormat="1" ht="15.95" customHeight="1" spans="1:7">
      <c r="A503" s="208">
        <v>502</v>
      </c>
      <c r="B503" s="209" t="s">
        <v>79</v>
      </c>
      <c r="C503" s="210">
        <v>45612</v>
      </c>
      <c r="D503" s="208">
        <v>0</v>
      </c>
      <c r="E503" s="209" t="s">
        <v>2402</v>
      </c>
      <c r="F503" s="212" t="s">
        <v>2403</v>
      </c>
      <c r="G503" s="213"/>
    </row>
    <row r="504" s="201" customFormat="1" ht="15.95" customHeight="1" spans="1:7">
      <c r="A504" s="208">
        <v>503</v>
      </c>
      <c r="B504" s="209" t="s">
        <v>79</v>
      </c>
      <c r="C504" s="210">
        <v>45868</v>
      </c>
      <c r="D504" s="208">
        <v>0</v>
      </c>
      <c r="E504" s="209" t="s">
        <v>2404</v>
      </c>
      <c r="F504" s="212" t="s">
        <v>2405</v>
      </c>
      <c r="G504" s="213"/>
    </row>
    <row r="505" s="201" customFormat="1" ht="15.95" customHeight="1" spans="1:7">
      <c r="A505" s="208">
        <v>504</v>
      </c>
      <c r="B505" s="209" t="s">
        <v>79</v>
      </c>
      <c r="C505" s="210">
        <v>46102</v>
      </c>
      <c r="D505" s="208">
        <v>0</v>
      </c>
      <c r="E505" s="211" t="s">
        <v>2406</v>
      </c>
      <c r="F505" s="212" t="s">
        <v>2407</v>
      </c>
      <c r="G505" s="213"/>
    </row>
    <row r="506" s="201" customFormat="1" ht="15.95" customHeight="1" spans="1:7">
      <c r="A506" s="208">
        <v>505</v>
      </c>
      <c r="B506" s="209" t="s">
        <v>79</v>
      </c>
      <c r="C506" s="210">
        <v>46358</v>
      </c>
      <c r="D506" s="208">
        <v>0</v>
      </c>
      <c r="E506" s="211" t="s">
        <v>2408</v>
      </c>
      <c r="F506" s="212" t="s">
        <v>2409</v>
      </c>
      <c r="G506" s="213"/>
    </row>
    <row r="507" s="201" customFormat="1" ht="15.95" customHeight="1" spans="1:7">
      <c r="A507" s="208">
        <v>506</v>
      </c>
      <c r="B507" s="209" t="s">
        <v>79</v>
      </c>
      <c r="C507" s="210">
        <v>46614</v>
      </c>
      <c r="D507" s="208">
        <v>0</v>
      </c>
      <c r="E507" s="211" t="s">
        <v>2410</v>
      </c>
      <c r="F507" s="212" t="s">
        <v>2411</v>
      </c>
      <c r="G507" s="213"/>
    </row>
    <row r="508" s="201" customFormat="1" ht="15.95" customHeight="1" spans="1:7">
      <c r="A508" s="208">
        <v>507</v>
      </c>
      <c r="B508" s="209" t="s">
        <v>79</v>
      </c>
      <c r="C508" s="210">
        <v>46870</v>
      </c>
      <c r="D508" s="208">
        <v>0</v>
      </c>
      <c r="E508" s="211" t="s">
        <v>2412</v>
      </c>
      <c r="F508" s="212" t="s">
        <v>2413</v>
      </c>
      <c r="G508" s="213"/>
    </row>
    <row r="509" s="201" customFormat="1" ht="15.95" customHeight="1" spans="1:7">
      <c r="A509" s="208">
        <v>508</v>
      </c>
      <c r="B509" s="209" t="s">
        <v>79</v>
      </c>
      <c r="C509" s="210">
        <v>47126</v>
      </c>
      <c r="D509" s="208">
        <v>0</v>
      </c>
      <c r="E509" s="211" t="s">
        <v>2414</v>
      </c>
      <c r="F509" s="212" t="s">
        <v>2415</v>
      </c>
      <c r="G509" s="213"/>
    </row>
    <row r="510" s="201" customFormat="1" ht="15.95" customHeight="1" spans="1:7">
      <c r="A510" s="208">
        <v>509</v>
      </c>
      <c r="B510" s="209" t="s">
        <v>79</v>
      </c>
      <c r="C510" s="210">
        <v>47382</v>
      </c>
      <c r="D510" s="208">
        <v>0</v>
      </c>
      <c r="E510" s="211" t="s">
        <v>2416</v>
      </c>
      <c r="F510" s="212" t="s">
        <v>2417</v>
      </c>
      <c r="G510" s="213"/>
    </row>
    <row r="511" s="201" customFormat="1" ht="15.95" customHeight="1" spans="1:7">
      <c r="A511" s="208">
        <v>510</v>
      </c>
      <c r="B511" s="209" t="s">
        <v>79</v>
      </c>
      <c r="C511" s="210">
        <v>47638</v>
      </c>
      <c r="D511" s="208">
        <v>0</v>
      </c>
      <c r="E511" s="209" t="s">
        <v>2418</v>
      </c>
      <c r="F511" s="212" t="s">
        <v>2419</v>
      </c>
      <c r="G511" s="213"/>
    </row>
    <row r="512" s="201" customFormat="1" ht="15.95" customHeight="1" spans="1:7">
      <c r="A512" s="208">
        <v>511</v>
      </c>
      <c r="B512" s="209" t="s">
        <v>79</v>
      </c>
      <c r="C512" s="210">
        <v>47894</v>
      </c>
      <c r="D512" s="208">
        <v>0</v>
      </c>
      <c r="E512" s="209" t="s">
        <v>2420</v>
      </c>
      <c r="F512" s="212" t="s">
        <v>2421</v>
      </c>
      <c r="G512" s="213"/>
    </row>
    <row r="513" s="201" customFormat="1" ht="15.95" customHeight="1" spans="1:7">
      <c r="A513" s="208">
        <v>512</v>
      </c>
      <c r="B513" s="209" t="s">
        <v>79</v>
      </c>
      <c r="C513" s="210">
        <v>48150</v>
      </c>
      <c r="D513" s="208">
        <v>0</v>
      </c>
      <c r="E513" s="209" t="s">
        <v>2422</v>
      </c>
      <c r="F513" s="212" t="s">
        <v>2423</v>
      </c>
      <c r="G513" s="213"/>
    </row>
    <row r="514" s="201" customFormat="1" ht="15.95" customHeight="1" spans="1:7">
      <c r="A514" s="208">
        <v>513</v>
      </c>
      <c r="B514" s="209" t="s">
        <v>79</v>
      </c>
      <c r="C514" s="210">
        <v>48406</v>
      </c>
      <c r="D514" s="208">
        <v>0</v>
      </c>
      <c r="E514" s="209" t="s">
        <v>2424</v>
      </c>
      <c r="F514" s="212" t="s">
        <v>2425</v>
      </c>
      <c r="G514" s="213"/>
    </row>
    <row r="515" s="201" customFormat="1" ht="15.95" customHeight="1" spans="1:7">
      <c r="A515" s="208">
        <v>514</v>
      </c>
      <c r="B515" s="209" t="s">
        <v>79</v>
      </c>
      <c r="C515" s="210">
        <v>46110</v>
      </c>
      <c r="D515" s="208">
        <v>0</v>
      </c>
      <c r="E515" s="211" t="s">
        <v>2426</v>
      </c>
      <c r="F515" s="212" t="s">
        <v>2427</v>
      </c>
      <c r="G515" s="213"/>
    </row>
    <row r="516" s="201" customFormat="1" ht="15.95" customHeight="1" spans="1:7">
      <c r="A516" s="208">
        <v>515</v>
      </c>
      <c r="B516" s="209" t="s">
        <v>79</v>
      </c>
      <c r="C516" s="210">
        <v>46366</v>
      </c>
      <c r="D516" s="208">
        <v>0</v>
      </c>
      <c r="E516" s="211" t="s">
        <v>2428</v>
      </c>
      <c r="F516" s="212" t="s">
        <v>2429</v>
      </c>
      <c r="G516" s="213"/>
    </row>
    <row r="517" s="201" customFormat="1" ht="15.95" customHeight="1" spans="1:7">
      <c r="A517" s="208">
        <v>516</v>
      </c>
      <c r="B517" s="209" t="s">
        <v>79</v>
      </c>
      <c r="C517" s="210">
        <v>46622</v>
      </c>
      <c r="D517" s="208">
        <v>0</v>
      </c>
      <c r="E517" s="211" t="s">
        <v>2430</v>
      </c>
      <c r="F517" s="212" t="s">
        <v>2431</v>
      </c>
      <c r="G517" s="213"/>
    </row>
    <row r="518" s="201" customFormat="1" ht="15.95" customHeight="1" spans="1:7">
      <c r="A518" s="208">
        <v>517</v>
      </c>
      <c r="B518" s="209" t="s">
        <v>79</v>
      </c>
      <c r="C518" s="210">
        <v>46878</v>
      </c>
      <c r="D518" s="208">
        <v>0</v>
      </c>
      <c r="E518" s="211" t="s">
        <v>2432</v>
      </c>
      <c r="F518" s="212" t="s">
        <v>2433</v>
      </c>
      <c r="G518" s="213"/>
    </row>
    <row r="519" s="201" customFormat="1" ht="15.95" customHeight="1" spans="1:7">
      <c r="A519" s="208">
        <v>518</v>
      </c>
      <c r="B519" s="209" t="s">
        <v>79</v>
      </c>
      <c r="C519" s="210">
        <v>47134</v>
      </c>
      <c r="D519" s="208">
        <v>0</v>
      </c>
      <c r="E519" s="211" t="s">
        <v>2434</v>
      </c>
      <c r="F519" s="212" t="s">
        <v>2435</v>
      </c>
      <c r="G519" s="213"/>
    </row>
    <row r="520" s="201" customFormat="1" ht="15.95" customHeight="1" spans="1:7">
      <c r="A520" s="208">
        <v>519</v>
      </c>
      <c r="B520" s="209" t="s">
        <v>79</v>
      </c>
      <c r="C520" s="210">
        <v>47390</v>
      </c>
      <c r="D520" s="208">
        <v>0</v>
      </c>
      <c r="E520" s="211" t="s">
        <v>2436</v>
      </c>
      <c r="F520" s="212" t="s">
        <v>2437</v>
      </c>
      <c r="G520" s="213"/>
    </row>
    <row r="521" s="201" customFormat="1" ht="15.95" customHeight="1" spans="1:7">
      <c r="A521" s="208">
        <v>520</v>
      </c>
      <c r="B521" s="209" t="s">
        <v>79</v>
      </c>
      <c r="C521" s="210">
        <v>47646</v>
      </c>
      <c r="D521" s="208">
        <v>0</v>
      </c>
      <c r="E521" s="209" t="s">
        <v>2438</v>
      </c>
      <c r="F521" s="212" t="s">
        <v>2439</v>
      </c>
      <c r="G521" s="213"/>
    </row>
    <row r="522" s="201" customFormat="1" ht="15.95" customHeight="1" spans="1:7">
      <c r="A522" s="208">
        <v>521</v>
      </c>
      <c r="B522" s="209" t="s">
        <v>79</v>
      </c>
      <c r="C522" s="210">
        <v>47902</v>
      </c>
      <c r="D522" s="208">
        <v>0</v>
      </c>
      <c r="E522" s="209" t="s">
        <v>2440</v>
      </c>
      <c r="F522" s="212" t="s">
        <v>2441</v>
      </c>
      <c r="G522" s="213"/>
    </row>
    <row r="523" s="201" customFormat="1" ht="15.95" customHeight="1" spans="1:7">
      <c r="A523" s="208">
        <v>522</v>
      </c>
      <c r="B523" s="209" t="s">
        <v>79</v>
      </c>
      <c r="C523" s="210">
        <v>48158</v>
      </c>
      <c r="D523" s="208">
        <v>0</v>
      </c>
      <c r="E523" s="209" t="s">
        <v>2442</v>
      </c>
      <c r="F523" s="212" t="s">
        <v>2443</v>
      </c>
      <c r="G523" s="213"/>
    </row>
    <row r="524" s="201" customFormat="1" ht="15.95" customHeight="1" spans="1:7">
      <c r="A524" s="208">
        <v>523</v>
      </c>
      <c r="B524" s="209" t="s">
        <v>79</v>
      </c>
      <c r="C524" s="210">
        <v>48414</v>
      </c>
      <c r="D524" s="208">
        <v>0</v>
      </c>
      <c r="E524" s="209" t="s">
        <v>2444</v>
      </c>
      <c r="F524" s="212" t="s">
        <v>2445</v>
      </c>
      <c r="G524" s="213"/>
    </row>
    <row r="525" s="201" customFormat="1" ht="15.95" customHeight="1" spans="1:7">
      <c r="A525" s="208">
        <v>524</v>
      </c>
      <c r="B525" s="209" t="s">
        <v>79</v>
      </c>
      <c r="C525" s="210">
        <v>46112</v>
      </c>
      <c r="D525" s="208">
        <v>0</v>
      </c>
      <c r="E525" s="211" t="s">
        <v>2446</v>
      </c>
      <c r="F525" s="212" t="s">
        <v>2447</v>
      </c>
      <c r="G525" s="213"/>
    </row>
    <row r="526" s="201" customFormat="1" ht="15.95" customHeight="1" spans="1:7">
      <c r="A526" s="208">
        <v>525</v>
      </c>
      <c r="B526" s="209" t="s">
        <v>79</v>
      </c>
      <c r="C526" s="210">
        <v>46368</v>
      </c>
      <c r="D526" s="208">
        <v>0</v>
      </c>
      <c r="E526" s="211" t="s">
        <v>2448</v>
      </c>
      <c r="F526" s="212" t="s">
        <v>2449</v>
      </c>
      <c r="G526" s="213"/>
    </row>
    <row r="527" s="201" customFormat="1" ht="15.95" customHeight="1" spans="1:7">
      <c r="A527" s="208">
        <v>526</v>
      </c>
      <c r="B527" s="209" t="s">
        <v>79</v>
      </c>
      <c r="C527" s="210">
        <v>46624</v>
      </c>
      <c r="D527" s="208">
        <v>0</v>
      </c>
      <c r="E527" s="211" t="s">
        <v>2450</v>
      </c>
      <c r="F527" s="212" t="s">
        <v>2451</v>
      </c>
      <c r="G527" s="213"/>
    </row>
    <row r="528" s="201" customFormat="1" ht="15.95" customHeight="1" spans="1:7">
      <c r="A528" s="208">
        <v>527</v>
      </c>
      <c r="B528" s="209" t="s">
        <v>79</v>
      </c>
      <c r="C528" s="210">
        <v>46880</v>
      </c>
      <c r="D528" s="208">
        <v>0</v>
      </c>
      <c r="E528" s="211" t="s">
        <v>2452</v>
      </c>
      <c r="F528" s="212" t="s">
        <v>2453</v>
      </c>
      <c r="G528" s="213"/>
    </row>
    <row r="529" s="201" customFormat="1" ht="15.95" customHeight="1" spans="1:7">
      <c r="A529" s="208">
        <v>528</v>
      </c>
      <c r="B529" s="209" t="s">
        <v>79</v>
      </c>
      <c r="C529" s="210">
        <v>47136</v>
      </c>
      <c r="D529" s="208">
        <v>0</v>
      </c>
      <c r="E529" s="211" t="s">
        <v>2454</v>
      </c>
      <c r="F529" s="212" t="s">
        <v>2455</v>
      </c>
      <c r="G529" s="213"/>
    </row>
    <row r="530" s="201" customFormat="1" ht="15.95" customHeight="1" spans="1:7">
      <c r="A530" s="208">
        <v>529</v>
      </c>
      <c r="B530" s="209" t="s">
        <v>79</v>
      </c>
      <c r="C530" s="210">
        <v>47392</v>
      </c>
      <c r="D530" s="208">
        <v>0</v>
      </c>
      <c r="E530" s="211" t="s">
        <v>2456</v>
      </c>
      <c r="F530" s="212" t="s">
        <v>2457</v>
      </c>
      <c r="G530" s="213"/>
    </row>
    <row r="531" s="201" customFormat="1" ht="15.95" customHeight="1" spans="1:7">
      <c r="A531" s="208">
        <v>530</v>
      </c>
      <c r="B531" s="209" t="s">
        <v>79</v>
      </c>
      <c r="C531" s="210">
        <v>47648</v>
      </c>
      <c r="D531" s="208">
        <v>0</v>
      </c>
      <c r="E531" s="209" t="s">
        <v>2458</v>
      </c>
      <c r="F531" s="212" t="s">
        <v>2459</v>
      </c>
      <c r="G531" s="213"/>
    </row>
    <row r="532" s="201" customFormat="1" ht="15.95" customHeight="1" spans="1:7">
      <c r="A532" s="208">
        <v>531</v>
      </c>
      <c r="B532" s="209" t="s">
        <v>79</v>
      </c>
      <c r="C532" s="210">
        <v>47904</v>
      </c>
      <c r="D532" s="208">
        <v>0</v>
      </c>
      <c r="E532" s="209" t="s">
        <v>2460</v>
      </c>
      <c r="F532" s="212" t="s">
        <v>2461</v>
      </c>
      <c r="G532" s="213"/>
    </row>
    <row r="533" s="201" customFormat="1" ht="15.95" customHeight="1" spans="1:7">
      <c r="A533" s="208">
        <v>532</v>
      </c>
      <c r="B533" s="209" t="s">
        <v>79</v>
      </c>
      <c r="C533" s="210">
        <v>48160</v>
      </c>
      <c r="D533" s="208">
        <v>0</v>
      </c>
      <c r="E533" s="209" t="s">
        <v>2462</v>
      </c>
      <c r="F533" s="212" t="s">
        <v>2463</v>
      </c>
      <c r="G533" s="213"/>
    </row>
    <row r="534" s="201" customFormat="1" ht="15.95" customHeight="1" spans="1:7">
      <c r="A534" s="208">
        <v>533</v>
      </c>
      <c r="B534" s="209" t="s">
        <v>79</v>
      </c>
      <c r="C534" s="210">
        <v>48416</v>
      </c>
      <c r="D534" s="208">
        <v>0</v>
      </c>
      <c r="E534" s="209" t="s">
        <v>2464</v>
      </c>
      <c r="F534" s="212" t="s">
        <v>2465</v>
      </c>
      <c r="G534" s="213"/>
    </row>
    <row r="535" s="201" customFormat="1" ht="15.95" customHeight="1" spans="1:7">
      <c r="A535" s="208">
        <v>534</v>
      </c>
      <c r="B535" s="209" t="s">
        <v>79</v>
      </c>
      <c r="C535" s="210">
        <v>46113</v>
      </c>
      <c r="D535" s="208">
        <v>0</v>
      </c>
      <c r="E535" s="211" t="s">
        <v>2466</v>
      </c>
      <c r="F535" s="212" t="s">
        <v>2467</v>
      </c>
      <c r="G535" s="213"/>
    </row>
    <row r="536" s="201" customFormat="1" ht="15.95" customHeight="1" spans="1:7">
      <c r="A536" s="208">
        <v>535</v>
      </c>
      <c r="B536" s="209" t="s">
        <v>79</v>
      </c>
      <c r="C536" s="210">
        <v>46369</v>
      </c>
      <c r="D536" s="208">
        <v>0</v>
      </c>
      <c r="E536" s="211" t="s">
        <v>2468</v>
      </c>
      <c r="F536" s="212" t="s">
        <v>2469</v>
      </c>
      <c r="G536" s="213"/>
    </row>
    <row r="537" s="201" customFormat="1" ht="15.95" customHeight="1" spans="1:7">
      <c r="A537" s="208">
        <v>536</v>
      </c>
      <c r="B537" s="209" t="s">
        <v>79</v>
      </c>
      <c r="C537" s="210">
        <v>46625</v>
      </c>
      <c r="D537" s="208">
        <v>0</v>
      </c>
      <c r="E537" s="211" t="s">
        <v>2470</v>
      </c>
      <c r="F537" s="212" t="s">
        <v>2471</v>
      </c>
      <c r="G537" s="213"/>
    </row>
    <row r="538" s="201" customFormat="1" ht="15.95" customHeight="1" spans="1:7">
      <c r="A538" s="208">
        <v>537</v>
      </c>
      <c r="B538" s="209" t="s">
        <v>79</v>
      </c>
      <c r="C538" s="210">
        <v>46881</v>
      </c>
      <c r="D538" s="208">
        <v>0</v>
      </c>
      <c r="E538" s="211" t="s">
        <v>2472</v>
      </c>
      <c r="F538" s="212" t="s">
        <v>2473</v>
      </c>
      <c r="G538" s="213"/>
    </row>
    <row r="539" s="201" customFormat="1" ht="15.95" customHeight="1" spans="1:7">
      <c r="A539" s="208">
        <v>538</v>
      </c>
      <c r="B539" s="209" t="s">
        <v>79</v>
      </c>
      <c r="C539" s="210">
        <v>47137</v>
      </c>
      <c r="D539" s="208">
        <v>0</v>
      </c>
      <c r="E539" s="211" t="s">
        <v>2474</v>
      </c>
      <c r="F539" s="212" t="s">
        <v>2475</v>
      </c>
      <c r="G539" s="213"/>
    </row>
    <row r="540" s="201" customFormat="1" ht="15.95" customHeight="1" spans="1:7">
      <c r="A540" s="208">
        <v>539</v>
      </c>
      <c r="B540" s="209" t="s">
        <v>79</v>
      </c>
      <c r="C540" s="210">
        <v>47393</v>
      </c>
      <c r="D540" s="208">
        <v>0</v>
      </c>
      <c r="E540" s="211" t="s">
        <v>2476</v>
      </c>
      <c r="F540" s="212" t="s">
        <v>2477</v>
      </c>
      <c r="G540" s="213"/>
    </row>
    <row r="541" s="201" customFormat="1" ht="15.95" customHeight="1" spans="1:7">
      <c r="A541" s="208">
        <v>540</v>
      </c>
      <c r="B541" s="209" t="s">
        <v>79</v>
      </c>
      <c r="C541" s="210">
        <v>47649</v>
      </c>
      <c r="D541" s="208">
        <v>0</v>
      </c>
      <c r="E541" s="211" t="s">
        <v>2478</v>
      </c>
      <c r="F541" s="212" t="s">
        <v>2479</v>
      </c>
      <c r="G541" s="213"/>
    </row>
    <row r="542" s="201" customFormat="1" ht="15.95" customHeight="1" spans="1:7">
      <c r="A542" s="208">
        <v>541</v>
      </c>
      <c r="B542" s="209" t="s">
        <v>79</v>
      </c>
      <c r="C542" s="210">
        <v>47905</v>
      </c>
      <c r="D542" s="208">
        <v>0</v>
      </c>
      <c r="E542" s="211" t="s">
        <v>2480</v>
      </c>
      <c r="F542" s="212" t="s">
        <v>2481</v>
      </c>
      <c r="G542" s="213"/>
    </row>
    <row r="543" s="201" customFormat="1" ht="15.95" customHeight="1" spans="1:7">
      <c r="A543" s="208">
        <v>542</v>
      </c>
      <c r="B543" s="209" t="s">
        <v>79</v>
      </c>
      <c r="C543" s="210">
        <v>48161</v>
      </c>
      <c r="D543" s="208">
        <v>0</v>
      </c>
      <c r="E543" s="211" t="s">
        <v>2482</v>
      </c>
      <c r="F543" s="212" t="s">
        <v>2483</v>
      </c>
      <c r="G543" s="213"/>
    </row>
    <row r="544" s="201" customFormat="1" ht="15.95" customHeight="1" spans="1:7">
      <c r="A544" s="208">
        <v>543</v>
      </c>
      <c r="B544" s="209" t="s">
        <v>79</v>
      </c>
      <c r="C544" s="210">
        <v>48417</v>
      </c>
      <c r="D544" s="208">
        <v>0</v>
      </c>
      <c r="E544" s="211" t="s">
        <v>2484</v>
      </c>
      <c r="F544" s="212" t="s">
        <v>2485</v>
      </c>
      <c r="G544" s="213"/>
    </row>
    <row r="545" s="201" customFormat="1" ht="15.95" customHeight="1" spans="1:7">
      <c r="A545" s="208">
        <v>544</v>
      </c>
      <c r="B545" s="209" t="s">
        <v>79</v>
      </c>
      <c r="C545" s="210">
        <v>46123</v>
      </c>
      <c r="D545" s="208">
        <v>0</v>
      </c>
      <c r="E545" s="211" t="s">
        <v>2486</v>
      </c>
      <c r="F545" s="212" t="s">
        <v>2487</v>
      </c>
      <c r="G545" s="213"/>
    </row>
    <row r="546" s="201" customFormat="1" ht="15.95" customHeight="1" spans="1:7">
      <c r="A546" s="208">
        <v>545</v>
      </c>
      <c r="B546" s="209" t="s">
        <v>79</v>
      </c>
      <c r="C546" s="210">
        <v>46379</v>
      </c>
      <c r="D546" s="208">
        <v>0</v>
      </c>
      <c r="E546" s="211" t="s">
        <v>2488</v>
      </c>
      <c r="F546" s="212" t="s">
        <v>2489</v>
      </c>
      <c r="G546" s="213"/>
    </row>
    <row r="547" s="201" customFormat="1" ht="15.95" customHeight="1" spans="1:7">
      <c r="A547" s="208">
        <v>546</v>
      </c>
      <c r="B547" s="209" t="s">
        <v>79</v>
      </c>
      <c r="C547" s="210">
        <v>46635</v>
      </c>
      <c r="D547" s="208">
        <v>0</v>
      </c>
      <c r="E547" s="211" t="s">
        <v>2490</v>
      </c>
      <c r="F547" s="212" t="s">
        <v>2491</v>
      </c>
      <c r="G547" s="213"/>
    </row>
    <row r="548" s="201" customFormat="1" ht="15.95" customHeight="1" spans="1:7">
      <c r="A548" s="208">
        <v>547</v>
      </c>
      <c r="B548" s="209" t="s">
        <v>79</v>
      </c>
      <c r="C548" s="210">
        <v>46891</v>
      </c>
      <c r="D548" s="208">
        <v>0</v>
      </c>
      <c r="E548" s="211" t="s">
        <v>2492</v>
      </c>
      <c r="F548" s="212" t="s">
        <v>2493</v>
      </c>
      <c r="G548" s="213"/>
    </row>
    <row r="549" s="201" customFormat="1" ht="15.95" customHeight="1" spans="1:7">
      <c r="A549" s="208">
        <v>548</v>
      </c>
      <c r="B549" s="209" t="s">
        <v>79</v>
      </c>
      <c r="C549" s="210">
        <v>47147</v>
      </c>
      <c r="D549" s="208">
        <v>0</v>
      </c>
      <c r="E549" s="211" t="s">
        <v>2494</v>
      </c>
      <c r="F549" s="212" t="s">
        <v>2495</v>
      </c>
      <c r="G549" s="213"/>
    </row>
    <row r="550" s="201" customFormat="1" ht="15.95" customHeight="1" spans="1:7">
      <c r="A550" s="208">
        <v>549</v>
      </c>
      <c r="B550" s="209" t="s">
        <v>79</v>
      </c>
      <c r="C550" s="210">
        <v>47403</v>
      </c>
      <c r="D550" s="208">
        <v>0</v>
      </c>
      <c r="E550" s="211" t="s">
        <v>2496</v>
      </c>
      <c r="F550" s="212" t="s">
        <v>2497</v>
      </c>
      <c r="G550" s="213"/>
    </row>
    <row r="551" s="201" customFormat="1" ht="15.95" customHeight="1" spans="1:7">
      <c r="A551" s="208">
        <v>550</v>
      </c>
      <c r="B551" s="209" t="s">
        <v>79</v>
      </c>
      <c r="C551" s="210">
        <v>47659</v>
      </c>
      <c r="D551" s="208">
        <v>0</v>
      </c>
      <c r="E551" s="211" t="s">
        <v>2498</v>
      </c>
      <c r="F551" s="212" t="s">
        <v>2499</v>
      </c>
      <c r="G551" s="213"/>
    </row>
    <row r="552" s="201" customFormat="1" ht="15.95" customHeight="1" spans="1:7">
      <c r="A552" s="208">
        <v>551</v>
      </c>
      <c r="B552" s="209" t="s">
        <v>79</v>
      </c>
      <c r="C552" s="210">
        <v>47915</v>
      </c>
      <c r="D552" s="208">
        <v>0</v>
      </c>
      <c r="E552" s="211" t="s">
        <v>2500</v>
      </c>
      <c r="F552" s="212" t="s">
        <v>2501</v>
      </c>
      <c r="G552" s="213"/>
    </row>
    <row r="553" s="201" customFormat="1" ht="15.95" customHeight="1" spans="1:7">
      <c r="A553" s="208">
        <v>552</v>
      </c>
      <c r="B553" s="209" t="s">
        <v>79</v>
      </c>
      <c r="C553" s="210">
        <v>48171</v>
      </c>
      <c r="D553" s="208">
        <v>0</v>
      </c>
      <c r="E553" s="211" t="s">
        <v>2502</v>
      </c>
      <c r="F553" s="212" t="s">
        <v>2503</v>
      </c>
      <c r="G553" s="213"/>
    </row>
    <row r="554" s="201" customFormat="1" ht="15.95" customHeight="1" spans="1:7">
      <c r="A554" s="208">
        <v>553</v>
      </c>
      <c r="B554" s="209" t="s">
        <v>79</v>
      </c>
      <c r="C554" s="210">
        <v>48427</v>
      </c>
      <c r="D554" s="208">
        <v>0</v>
      </c>
      <c r="E554" s="211" t="s">
        <v>2504</v>
      </c>
      <c r="F554" s="212" t="s">
        <v>2505</v>
      </c>
      <c r="G554" s="213"/>
    </row>
    <row r="555" s="201" customFormat="1" ht="15.95" customHeight="1" spans="1:7">
      <c r="A555" s="208">
        <v>554</v>
      </c>
      <c r="B555" s="209" t="s">
        <v>79</v>
      </c>
      <c r="C555" s="210">
        <v>48662</v>
      </c>
      <c r="D555" s="208">
        <v>0</v>
      </c>
      <c r="E555" s="211" t="s">
        <v>2506</v>
      </c>
      <c r="F555" s="212" t="s">
        <v>2507</v>
      </c>
      <c r="G555" s="213"/>
    </row>
    <row r="556" s="201" customFormat="1" ht="15.95" customHeight="1" spans="1:7">
      <c r="A556" s="208">
        <v>555</v>
      </c>
      <c r="B556" s="209" t="s">
        <v>79</v>
      </c>
      <c r="C556" s="210">
        <v>48918</v>
      </c>
      <c r="D556" s="208">
        <v>0</v>
      </c>
      <c r="E556" s="211" t="s">
        <v>2508</v>
      </c>
      <c r="F556" s="212" t="s">
        <v>2509</v>
      </c>
      <c r="G556" s="213"/>
    </row>
    <row r="557" s="201" customFormat="1" ht="15.95" customHeight="1" spans="1:7">
      <c r="A557" s="208">
        <v>556</v>
      </c>
      <c r="B557" s="209" t="s">
        <v>79</v>
      </c>
      <c r="C557" s="210">
        <v>49174</v>
      </c>
      <c r="D557" s="208">
        <v>0</v>
      </c>
      <c r="E557" s="211" t="s">
        <v>2510</v>
      </c>
      <c r="F557" s="212" t="s">
        <v>2511</v>
      </c>
      <c r="G557" s="213"/>
    </row>
    <row r="558" s="201" customFormat="1" ht="15.95" customHeight="1" spans="1:7">
      <c r="A558" s="208">
        <v>557</v>
      </c>
      <c r="B558" s="209" t="s">
        <v>79</v>
      </c>
      <c r="C558" s="210">
        <v>49430</v>
      </c>
      <c r="D558" s="208">
        <v>0</v>
      </c>
      <c r="E558" s="211" t="s">
        <v>2512</v>
      </c>
      <c r="F558" s="212" t="s">
        <v>2513</v>
      </c>
      <c r="G558" s="213"/>
    </row>
    <row r="559" s="201" customFormat="1" ht="15.95" customHeight="1" spans="1:7">
      <c r="A559" s="208">
        <v>558</v>
      </c>
      <c r="B559" s="209" t="s">
        <v>79</v>
      </c>
      <c r="C559" s="210">
        <v>49686</v>
      </c>
      <c r="D559" s="208">
        <v>0</v>
      </c>
      <c r="E559" s="211" t="s">
        <v>2514</v>
      </c>
      <c r="F559" s="212" t="s">
        <v>2515</v>
      </c>
      <c r="G559" s="213"/>
    </row>
    <row r="560" s="201" customFormat="1" ht="15.95" customHeight="1" spans="1:7">
      <c r="A560" s="208">
        <v>559</v>
      </c>
      <c r="B560" s="209" t="s">
        <v>79</v>
      </c>
      <c r="C560" s="210">
        <v>49942</v>
      </c>
      <c r="D560" s="208">
        <v>0</v>
      </c>
      <c r="E560" s="211" t="s">
        <v>2516</v>
      </c>
      <c r="F560" s="212" t="s">
        <v>2517</v>
      </c>
      <c r="G560" s="213"/>
    </row>
    <row r="561" s="201" customFormat="1" ht="15.95" customHeight="1" spans="1:7">
      <c r="A561" s="208">
        <v>560</v>
      </c>
      <c r="B561" s="209" t="s">
        <v>79</v>
      </c>
      <c r="C561" s="210">
        <v>50198</v>
      </c>
      <c r="D561" s="208">
        <v>0</v>
      </c>
      <c r="E561" s="211" t="s">
        <v>2518</v>
      </c>
      <c r="F561" s="212" t="s">
        <v>2519</v>
      </c>
      <c r="G561" s="213"/>
    </row>
    <row r="562" s="201" customFormat="1" ht="15.95" customHeight="1" spans="1:7">
      <c r="A562" s="208">
        <v>561</v>
      </c>
      <c r="B562" s="209" t="s">
        <v>79</v>
      </c>
      <c r="C562" s="210">
        <v>50454</v>
      </c>
      <c r="D562" s="208">
        <v>0</v>
      </c>
      <c r="E562" s="211" t="s">
        <v>2520</v>
      </c>
      <c r="F562" s="212" t="s">
        <v>2521</v>
      </c>
      <c r="G562" s="213"/>
    </row>
    <row r="563" s="201" customFormat="1" ht="15.95" customHeight="1" spans="1:7">
      <c r="A563" s="208">
        <v>562</v>
      </c>
      <c r="B563" s="209" t="s">
        <v>79</v>
      </c>
      <c r="C563" s="210">
        <v>50710</v>
      </c>
      <c r="D563" s="208">
        <v>0</v>
      </c>
      <c r="E563" s="211" t="s">
        <v>2522</v>
      </c>
      <c r="F563" s="212" t="s">
        <v>2523</v>
      </c>
      <c r="G563" s="213"/>
    </row>
    <row r="564" s="201" customFormat="1" ht="15.95" customHeight="1" spans="1:7">
      <c r="A564" s="208">
        <v>563</v>
      </c>
      <c r="B564" s="209" t="s">
        <v>79</v>
      </c>
      <c r="C564" s="210">
        <v>50966</v>
      </c>
      <c r="D564" s="208">
        <v>0</v>
      </c>
      <c r="E564" s="211" t="s">
        <v>2524</v>
      </c>
      <c r="F564" s="212" t="s">
        <v>2525</v>
      </c>
      <c r="G564" s="213"/>
    </row>
    <row r="565" s="201" customFormat="1" ht="15.95" customHeight="1" spans="1:7">
      <c r="A565" s="208">
        <v>564</v>
      </c>
      <c r="B565" s="209" t="s">
        <v>79</v>
      </c>
      <c r="C565" s="210">
        <v>48663</v>
      </c>
      <c r="D565" s="208">
        <v>0</v>
      </c>
      <c r="E565" s="211" t="s">
        <v>2526</v>
      </c>
      <c r="F565" s="212" t="s">
        <v>2527</v>
      </c>
      <c r="G565" s="213"/>
    </row>
    <row r="566" s="201" customFormat="1" ht="15.95" customHeight="1" spans="1:7">
      <c r="A566" s="208">
        <v>565</v>
      </c>
      <c r="B566" s="209" t="s">
        <v>79</v>
      </c>
      <c r="C566" s="210">
        <v>48919</v>
      </c>
      <c r="D566" s="208">
        <v>0</v>
      </c>
      <c r="E566" s="211" t="s">
        <v>2528</v>
      </c>
      <c r="F566" s="212" t="s">
        <v>2529</v>
      </c>
      <c r="G566" s="213"/>
    </row>
    <row r="567" s="201" customFormat="1" ht="15.95" customHeight="1" spans="1:7">
      <c r="A567" s="208">
        <v>566</v>
      </c>
      <c r="B567" s="209" t="s">
        <v>79</v>
      </c>
      <c r="C567" s="210">
        <v>49175</v>
      </c>
      <c r="D567" s="208">
        <v>0</v>
      </c>
      <c r="E567" s="211" t="s">
        <v>2530</v>
      </c>
      <c r="F567" s="212" t="s">
        <v>2531</v>
      </c>
      <c r="G567" s="213"/>
    </row>
    <row r="568" s="201" customFormat="1" ht="15.95" customHeight="1" spans="1:7">
      <c r="A568" s="208">
        <v>567</v>
      </c>
      <c r="B568" s="209" t="s">
        <v>79</v>
      </c>
      <c r="C568" s="210">
        <v>49431</v>
      </c>
      <c r="D568" s="208">
        <v>0</v>
      </c>
      <c r="E568" s="211" t="s">
        <v>2532</v>
      </c>
      <c r="F568" s="212" t="s">
        <v>2533</v>
      </c>
      <c r="G568" s="213"/>
    </row>
    <row r="569" s="201" customFormat="1" ht="15.95" customHeight="1" spans="1:7">
      <c r="A569" s="208">
        <v>568</v>
      </c>
      <c r="B569" s="209" t="s">
        <v>79</v>
      </c>
      <c r="C569" s="210">
        <v>49687</v>
      </c>
      <c r="D569" s="208">
        <v>0</v>
      </c>
      <c r="E569" s="211" t="s">
        <v>2534</v>
      </c>
      <c r="F569" s="212" t="s">
        <v>2535</v>
      </c>
      <c r="G569" s="213"/>
    </row>
    <row r="570" s="201" customFormat="1" ht="15.95" customHeight="1" spans="1:7">
      <c r="A570" s="208">
        <v>569</v>
      </c>
      <c r="B570" s="209" t="s">
        <v>79</v>
      </c>
      <c r="C570" s="210">
        <v>49943</v>
      </c>
      <c r="D570" s="208">
        <v>0</v>
      </c>
      <c r="E570" s="211" t="s">
        <v>2536</v>
      </c>
      <c r="F570" s="212" t="s">
        <v>2537</v>
      </c>
      <c r="G570" s="213"/>
    </row>
    <row r="571" s="201" customFormat="1" ht="15.95" customHeight="1" spans="1:7">
      <c r="A571" s="208">
        <v>570</v>
      </c>
      <c r="B571" s="209" t="s">
        <v>79</v>
      </c>
      <c r="C571" s="210">
        <v>50199</v>
      </c>
      <c r="D571" s="208">
        <v>0</v>
      </c>
      <c r="E571" s="211" t="s">
        <v>2538</v>
      </c>
      <c r="F571" s="212" t="s">
        <v>2539</v>
      </c>
      <c r="G571" s="213"/>
    </row>
    <row r="572" s="201" customFormat="1" ht="15.95" customHeight="1" spans="1:7">
      <c r="A572" s="208">
        <v>571</v>
      </c>
      <c r="B572" s="209" t="s">
        <v>79</v>
      </c>
      <c r="C572" s="210">
        <v>50455</v>
      </c>
      <c r="D572" s="208">
        <v>0</v>
      </c>
      <c r="E572" s="211" t="s">
        <v>2540</v>
      </c>
      <c r="F572" s="212" t="s">
        <v>2541</v>
      </c>
      <c r="G572" s="213"/>
    </row>
    <row r="573" s="201" customFormat="1" ht="15.95" customHeight="1" spans="1:7">
      <c r="A573" s="208">
        <v>572</v>
      </c>
      <c r="B573" s="209" t="s">
        <v>79</v>
      </c>
      <c r="C573" s="210">
        <v>50711</v>
      </c>
      <c r="D573" s="208">
        <v>0</v>
      </c>
      <c r="E573" s="211" t="s">
        <v>2542</v>
      </c>
      <c r="F573" s="212" t="s">
        <v>2543</v>
      </c>
      <c r="G573" s="213"/>
    </row>
    <row r="574" s="201" customFormat="1" ht="15.95" customHeight="1" spans="1:7">
      <c r="A574" s="208">
        <v>573</v>
      </c>
      <c r="B574" s="209" t="s">
        <v>79</v>
      </c>
      <c r="C574" s="210">
        <v>50967</v>
      </c>
      <c r="D574" s="208">
        <v>0</v>
      </c>
      <c r="E574" s="211" t="s">
        <v>2544</v>
      </c>
      <c r="F574" s="212" t="s">
        <v>2545</v>
      </c>
      <c r="G574" s="213"/>
    </row>
    <row r="575" s="201" customFormat="1" ht="15.95" customHeight="1" spans="1:7">
      <c r="A575" s="208">
        <v>574</v>
      </c>
      <c r="B575" s="209" t="s">
        <v>79</v>
      </c>
      <c r="C575" s="210">
        <v>48667</v>
      </c>
      <c r="D575" s="208">
        <v>0</v>
      </c>
      <c r="E575" s="211" t="s">
        <v>2546</v>
      </c>
      <c r="F575" s="212" t="s">
        <v>2547</v>
      </c>
      <c r="G575" s="213"/>
    </row>
    <row r="576" s="201" customFormat="1" ht="15.95" customHeight="1" spans="1:7">
      <c r="A576" s="208">
        <v>575</v>
      </c>
      <c r="B576" s="209" t="s">
        <v>79</v>
      </c>
      <c r="C576" s="210">
        <v>48923</v>
      </c>
      <c r="D576" s="208">
        <v>0</v>
      </c>
      <c r="E576" s="211" t="s">
        <v>2548</v>
      </c>
      <c r="F576" s="212" t="s">
        <v>2549</v>
      </c>
      <c r="G576" s="213"/>
    </row>
    <row r="577" s="201" customFormat="1" ht="15.95" customHeight="1" spans="1:7">
      <c r="A577" s="208">
        <v>576</v>
      </c>
      <c r="B577" s="209" t="s">
        <v>79</v>
      </c>
      <c r="C577" s="210">
        <v>49179</v>
      </c>
      <c r="D577" s="208">
        <v>0</v>
      </c>
      <c r="E577" s="211" t="s">
        <v>2550</v>
      </c>
      <c r="F577" s="212" t="s">
        <v>2551</v>
      </c>
      <c r="G577" s="213"/>
    </row>
    <row r="578" s="201" customFormat="1" ht="15.95" customHeight="1" spans="1:7">
      <c r="A578" s="208">
        <v>577</v>
      </c>
      <c r="B578" s="209" t="s">
        <v>79</v>
      </c>
      <c r="C578" s="210">
        <v>49435</v>
      </c>
      <c r="D578" s="208">
        <v>0</v>
      </c>
      <c r="E578" s="211" t="s">
        <v>2552</v>
      </c>
      <c r="F578" s="212" t="s">
        <v>2553</v>
      </c>
      <c r="G578" s="213"/>
    </row>
    <row r="579" s="201" customFormat="1" ht="15.95" customHeight="1" spans="1:7">
      <c r="A579" s="208">
        <v>578</v>
      </c>
      <c r="B579" s="209" t="s">
        <v>79</v>
      </c>
      <c r="C579" s="210">
        <v>49691</v>
      </c>
      <c r="D579" s="208">
        <v>0</v>
      </c>
      <c r="E579" s="211" t="s">
        <v>2554</v>
      </c>
      <c r="F579" s="212" t="s">
        <v>2555</v>
      </c>
      <c r="G579" s="213"/>
    </row>
    <row r="580" s="201" customFormat="1" ht="15.95" customHeight="1" spans="1:7">
      <c r="A580" s="208">
        <v>579</v>
      </c>
      <c r="B580" s="209" t="s">
        <v>79</v>
      </c>
      <c r="C580" s="210">
        <v>49947</v>
      </c>
      <c r="D580" s="208">
        <v>0</v>
      </c>
      <c r="E580" s="211" t="s">
        <v>2556</v>
      </c>
      <c r="F580" s="212" t="s">
        <v>2557</v>
      </c>
      <c r="G580" s="213"/>
    </row>
    <row r="581" s="201" customFormat="1" ht="15.95" customHeight="1" spans="1:7">
      <c r="A581" s="208">
        <v>580</v>
      </c>
      <c r="B581" s="209" t="s">
        <v>79</v>
      </c>
      <c r="C581" s="210">
        <v>50203</v>
      </c>
      <c r="D581" s="208">
        <v>0</v>
      </c>
      <c r="E581" s="211" t="s">
        <v>2558</v>
      </c>
      <c r="F581" s="212" t="s">
        <v>2559</v>
      </c>
      <c r="G581" s="213"/>
    </row>
    <row r="582" s="201" customFormat="1" ht="15.95" customHeight="1" spans="1:7">
      <c r="A582" s="208">
        <v>581</v>
      </c>
      <c r="B582" s="209" t="s">
        <v>79</v>
      </c>
      <c r="C582" s="210">
        <v>50459</v>
      </c>
      <c r="D582" s="208">
        <v>0</v>
      </c>
      <c r="E582" s="211" t="s">
        <v>2560</v>
      </c>
      <c r="F582" s="212" t="s">
        <v>2561</v>
      </c>
      <c r="G582" s="213"/>
    </row>
    <row r="583" s="201" customFormat="1" ht="15.95" customHeight="1" spans="1:7">
      <c r="A583" s="208">
        <v>582</v>
      </c>
      <c r="B583" s="209" t="s">
        <v>79</v>
      </c>
      <c r="C583" s="210">
        <v>50715</v>
      </c>
      <c r="D583" s="208">
        <v>0</v>
      </c>
      <c r="E583" s="211" t="s">
        <v>2562</v>
      </c>
      <c r="F583" s="212" t="s">
        <v>2563</v>
      </c>
      <c r="G583" s="213"/>
    </row>
    <row r="584" s="201" customFormat="1" ht="15.95" customHeight="1" spans="1:7">
      <c r="A584" s="208">
        <v>583</v>
      </c>
      <c r="B584" s="209" t="s">
        <v>79</v>
      </c>
      <c r="C584" s="210">
        <v>50971</v>
      </c>
      <c r="D584" s="208">
        <v>0</v>
      </c>
      <c r="E584" s="211" t="s">
        <v>2564</v>
      </c>
      <c r="F584" s="212" t="s">
        <v>2565</v>
      </c>
      <c r="G584" s="213"/>
    </row>
    <row r="585" s="201" customFormat="1" ht="15.95" customHeight="1" spans="1:7">
      <c r="A585" s="208">
        <v>584</v>
      </c>
      <c r="B585" s="209" t="s">
        <v>79</v>
      </c>
      <c r="C585" s="210">
        <v>48668</v>
      </c>
      <c r="D585" s="208">
        <v>0</v>
      </c>
      <c r="E585" s="211" t="s">
        <v>2566</v>
      </c>
      <c r="F585" s="212" t="s">
        <v>2567</v>
      </c>
      <c r="G585" s="213"/>
    </row>
    <row r="586" s="201" customFormat="1" ht="15.95" customHeight="1" spans="1:7">
      <c r="A586" s="208">
        <v>585</v>
      </c>
      <c r="B586" s="209" t="s">
        <v>79</v>
      </c>
      <c r="C586" s="210">
        <v>48924</v>
      </c>
      <c r="D586" s="208">
        <v>0</v>
      </c>
      <c r="E586" s="211" t="s">
        <v>2568</v>
      </c>
      <c r="F586" s="212" t="s">
        <v>2569</v>
      </c>
      <c r="G586" s="213"/>
    </row>
    <row r="587" s="201" customFormat="1" ht="15.95" customHeight="1" spans="1:7">
      <c r="A587" s="208">
        <v>586</v>
      </c>
      <c r="B587" s="209" t="s">
        <v>79</v>
      </c>
      <c r="C587" s="210">
        <v>49180</v>
      </c>
      <c r="D587" s="208">
        <v>0</v>
      </c>
      <c r="E587" s="211" t="s">
        <v>2570</v>
      </c>
      <c r="F587" s="212" t="s">
        <v>2571</v>
      </c>
      <c r="G587" s="213"/>
    </row>
    <row r="588" s="201" customFormat="1" ht="15.95" customHeight="1" spans="1:7">
      <c r="A588" s="208">
        <v>587</v>
      </c>
      <c r="B588" s="209" t="s">
        <v>79</v>
      </c>
      <c r="C588" s="210">
        <v>49436</v>
      </c>
      <c r="D588" s="208">
        <v>0</v>
      </c>
      <c r="E588" s="211" t="s">
        <v>2572</v>
      </c>
      <c r="F588" s="212" t="s">
        <v>2573</v>
      </c>
      <c r="G588" s="213"/>
    </row>
    <row r="589" s="201" customFormat="1" ht="15.95" customHeight="1" spans="1:7">
      <c r="A589" s="208">
        <v>588</v>
      </c>
      <c r="B589" s="209" t="s">
        <v>79</v>
      </c>
      <c r="C589" s="210">
        <v>49692</v>
      </c>
      <c r="D589" s="208">
        <v>0</v>
      </c>
      <c r="E589" s="211" t="s">
        <v>2574</v>
      </c>
      <c r="F589" s="212" t="s">
        <v>2575</v>
      </c>
      <c r="G589" s="213"/>
    </row>
    <row r="590" s="201" customFormat="1" ht="15.95" customHeight="1" spans="1:7">
      <c r="A590" s="208">
        <v>589</v>
      </c>
      <c r="B590" s="209" t="s">
        <v>79</v>
      </c>
      <c r="C590" s="210">
        <v>49948</v>
      </c>
      <c r="D590" s="208">
        <v>0</v>
      </c>
      <c r="E590" s="211" t="s">
        <v>2576</v>
      </c>
      <c r="F590" s="212" t="s">
        <v>2577</v>
      </c>
      <c r="G590" s="213"/>
    </row>
    <row r="591" s="201" customFormat="1" ht="15.95" customHeight="1" spans="1:7">
      <c r="A591" s="208">
        <v>590</v>
      </c>
      <c r="B591" s="209" t="s">
        <v>79</v>
      </c>
      <c r="C591" s="210">
        <v>50204</v>
      </c>
      <c r="D591" s="208">
        <v>0</v>
      </c>
      <c r="E591" s="211" t="s">
        <v>2578</v>
      </c>
      <c r="F591" s="212" t="s">
        <v>2579</v>
      </c>
      <c r="G591" s="213"/>
    </row>
    <row r="592" s="201" customFormat="1" ht="15.95" customHeight="1" spans="1:7">
      <c r="A592" s="208">
        <v>591</v>
      </c>
      <c r="B592" s="209" t="s">
        <v>79</v>
      </c>
      <c r="C592" s="210">
        <v>50460</v>
      </c>
      <c r="D592" s="208">
        <v>0</v>
      </c>
      <c r="E592" s="211" t="s">
        <v>2580</v>
      </c>
      <c r="F592" s="212" t="s">
        <v>2581</v>
      </c>
      <c r="G592" s="213"/>
    </row>
    <row r="593" s="201" customFormat="1" ht="15.95" customHeight="1" spans="1:7">
      <c r="A593" s="208">
        <v>592</v>
      </c>
      <c r="B593" s="209" t="s">
        <v>79</v>
      </c>
      <c r="C593" s="210">
        <v>50716</v>
      </c>
      <c r="D593" s="208">
        <v>0</v>
      </c>
      <c r="E593" s="211" t="s">
        <v>2582</v>
      </c>
      <c r="F593" s="212" t="s">
        <v>2583</v>
      </c>
      <c r="G593" s="213"/>
    </row>
    <row r="594" s="201" customFormat="1" ht="15.95" customHeight="1" spans="1:7">
      <c r="A594" s="208">
        <v>593</v>
      </c>
      <c r="B594" s="209" t="s">
        <v>79</v>
      </c>
      <c r="C594" s="210">
        <v>50972</v>
      </c>
      <c r="D594" s="208">
        <v>0</v>
      </c>
      <c r="E594" s="211" t="s">
        <v>2584</v>
      </c>
      <c r="F594" s="212" t="s">
        <v>2585</v>
      </c>
      <c r="G594" s="213"/>
    </row>
    <row r="595" s="201" customFormat="1" ht="15.95" customHeight="1" spans="1:7">
      <c r="A595" s="208">
        <v>594</v>
      </c>
      <c r="B595" s="209" t="s">
        <v>79</v>
      </c>
      <c r="C595" s="210">
        <v>51260</v>
      </c>
      <c r="D595" s="208">
        <v>0</v>
      </c>
      <c r="E595" s="211" t="s">
        <v>2586</v>
      </c>
      <c r="F595" s="212" t="s">
        <v>2587</v>
      </c>
      <c r="G595" s="213"/>
    </row>
    <row r="596" s="201" customFormat="1" ht="15.95" customHeight="1" spans="1:7">
      <c r="A596" s="208">
        <v>595</v>
      </c>
      <c r="B596" s="209" t="s">
        <v>79</v>
      </c>
      <c r="C596" s="210">
        <v>51516</v>
      </c>
      <c r="D596" s="208">
        <v>0</v>
      </c>
      <c r="E596" s="211" t="s">
        <v>2588</v>
      </c>
      <c r="F596" s="212" t="s">
        <v>2589</v>
      </c>
      <c r="G596" s="213"/>
    </row>
    <row r="597" s="201" customFormat="1" ht="15.95" customHeight="1" spans="1:7">
      <c r="A597" s="208">
        <v>596</v>
      </c>
      <c r="B597" s="209" t="s">
        <v>79</v>
      </c>
      <c r="C597" s="210">
        <v>51772</v>
      </c>
      <c r="D597" s="208">
        <v>0</v>
      </c>
      <c r="E597" s="211" t="s">
        <v>2590</v>
      </c>
      <c r="F597" s="212" t="s">
        <v>2591</v>
      </c>
      <c r="G597" s="213"/>
    </row>
    <row r="598" s="201" customFormat="1" ht="15.95" customHeight="1" spans="1:7">
      <c r="A598" s="208">
        <v>597</v>
      </c>
      <c r="B598" s="209" t="s">
        <v>79</v>
      </c>
      <c r="C598" s="210">
        <v>52028</v>
      </c>
      <c r="D598" s="208">
        <v>0</v>
      </c>
      <c r="E598" s="211" t="s">
        <v>2592</v>
      </c>
      <c r="F598" s="212" t="s">
        <v>2593</v>
      </c>
      <c r="G598" s="213"/>
    </row>
    <row r="599" s="201" customFormat="1" ht="15.95" customHeight="1" spans="1:7">
      <c r="A599" s="208">
        <v>598</v>
      </c>
      <c r="B599" s="209" t="s">
        <v>79</v>
      </c>
      <c r="C599" s="210">
        <v>52284</v>
      </c>
      <c r="D599" s="208">
        <v>0</v>
      </c>
      <c r="E599" s="211" t="s">
        <v>2594</v>
      </c>
      <c r="F599" s="212" t="s">
        <v>2595</v>
      </c>
      <c r="G599" s="213"/>
    </row>
    <row r="600" s="201" customFormat="1" ht="15.95" customHeight="1" spans="1:7">
      <c r="A600" s="208">
        <v>599</v>
      </c>
      <c r="B600" s="209" t="s">
        <v>79</v>
      </c>
      <c r="C600" s="210">
        <v>52540</v>
      </c>
      <c r="D600" s="208">
        <v>0</v>
      </c>
      <c r="E600" s="211" t="s">
        <v>2596</v>
      </c>
      <c r="F600" s="212" t="s">
        <v>2597</v>
      </c>
      <c r="G600" s="213"/>
    </row>
    <row r="601" s="201" customFormat="1" ht="15.95" customHeight="1" spans="1:7">
      <c r="A601" s="208">
        <v>600</v>
      </c>
      <c r="B601" s="209" t="s">
        <v>79</v>
      </c>
      <c r="C601" s="210">
        <v>52796</v>
      </c>
      <c r="D601" s="208">
        <v>0</v>
      </c>
      <c r="E601" s="211" t="s">
        <v>2598</v>
      </c>
      <c r="F601" s="212" t="s">
        <v>2599</v>
      </c>
      <c r="G601" s="213"/>
    </row>
    <row r="602" s="201" customFormat="1" ht="15.95" customHeight="1" spans="1:7">
      <c r="A602" s="208">
        <v>601</v>
      </c>
      <c r="B602" s="209" t="s">
        <v>79</v>
      </c>
      <c r="C602" s="210">
        <v>53052</v>
      </c>
      <c r="D602" s="208">
        <v>0</v>
      </c>
      <c r="E602" s="211" t="s">
        <v>2600</v>
      </c>
      <c r="F602" s="212" t="s">
        <v>2601</v>
      </c>
      <c r="G602" s="213"/>
    </row>
    <row r="603" s="201" customFormat="1" ht="15.95" customHeight="1" spans="1:7">
      <c r="A603" s="208">
        <v>602</v>
      </c>
      <c r="B603" s="209" t="s">
        <v>79</v>
      </c>
      <c r="C603" s="210">
        <v>53308</v>
      </c>
      <c r="D603" s="208">
        <v>0</v>
      </c>
      <c r="E603" s="211" t="s">
        <v>2602</v>
      </c>
      <c r="F603" s="212" t="s">
        <v>2603</v>
      </c>
      <c r="G603" s="213"/>
    </row>
    <row r="604" s="201" customFormat="1" ht="15.95" customHeight="1" spans="1:7">
      <c r="A604" s="208">
        <v>603</v>
      </c>
      <c r="B604" s="209" t="s">
        <v>79</v>
      </c>
      <c r="C604" s="210">
        <v>53564</v>
      </c>
      <c r="D604" s="208">
        <v>0</v>
      </c>
      <c r="E604" s="211" t="s">
        <v>2604</v>
      </c>
      <c r="F604" s="212" t="s">
        <v>2605</v>
      </c>
      <c r="G604" s="213"/>
    </row>
    <row r="605" s="201" customFormat="1" ht="15.95" customHeight="1" spans="1:7">
      <c r="A605" s="208">
        <v>604</v>
      </c>
      <c r="B605" s="209" t="s">
        <v>79</v>
      </c>
      <c r="C605" s="210">
        <v>51261</v>
      </c>
      <c r="D605" s="208">
        <v>0</v>
      </c>
      <c r="E605" s="211" t="s">
        <v>2606</v>
      </c>
      <c r="F605" s="212" t="s">
        <v>2607</v>
      </c>
      <c r="G605" s="213"/>
    </row>
    <row r="606" s="201" customFormat="1" ht="15.95" customHeight="1" spans="1:7">
      <c r="A606" s="208">
        <v>605</v>
      </c>
      <c r="B606" s="209" t="s">
        <v>79</v>
      </c>
      <c r="C606" s="210">
        <v>51517</v>
      </c>
      <c r="D606" s="208">
        <v>0</v>
      </c>
      <c r="E606" s="211" t="s">
        <v>2608</v>
      </c>
      <c r="F606" s="212" t="s">
        <v>2609</v>
      </c>
      <c r="G606" s="213"/>
    </row>
    <row r="607" s="201" customFormat="1" ht="15.95" customHeight="1" spans="1:7">
      <c r="A607" s="208">
        <v>606</v>
      </c>
      <c r="B607" s="209" t="s">
        <v>79</v>
      </c>
      <c r="C607" s="210">
        <v>51773</v>
      </c>
      <c r="D607" s="208">
        <v>0</v>
      </c>
      <c r="E607" s="211" t="s">
        <v>2610</v>
      </c>
      <c r="F607" s="212" t="s">
        <v>2611</v>
      </c>
      <c r="G607" s="213"/>
    </row>
    <row r="608" s="201" customFormat="1" ht="15.95" customHeight="1" spans="1:7">
      <c r="A608" s="208">
        <v>607</v>
      </c>
      <c r="B608" s="209" t="s">
        <v>79</v>
      </c>
      <c r="C608" s="210">
        <v>52029</v>
      </c>
      <c r="D608" s="208">
        <v>0</v>
      </c>
      <c r="E608" s="211" t="s">
        <v>2612</v>
      </c>
      <c r="F608" s="212" t="s">
        <v>2613</v>
      </c>
      <c r="G608" s="213"/>
    </row>
    <row r="609" s="201" customFormat="1" ht="15.95" customHeight="1" spans="1:7">
      <c r="A609" s="208">
        <v>608</v>
      </c>
      <c r="B609" s="209" t="s">
        <v>79</v>
      </c>
      <c r="C609" s="210">
        <v>52285</v>
      </c>
      <c r="D609" s="208">
        <v>0</v>
      </c>
      <c r="E609" s="211" t="s">
        <v>2614</v>
      </c>
      <c r="F609" s="212" t="s">
        <v>2615</v>
      </c>
      <c r="G609" s="213"/>
    </row>
    <row r="610" s="201" customFormat="1" ht="15.95" customHeight="1" spans="1:7">
      <c r="A610" s="208">
        <v>609</v>
      </c>
      <c r="B610" s="209" t="s">
        <v>79</v>
      </c>
      <c r="C610" s="210">
        <v>52541</v>
      </c>
      <c r="D610" s="208">
        <v>0</v>
      </c>
      <c r="E610" s="211" t="s">
        <v>2616</v>
      </c>
      <c r="F610" s="212" t="s">
        <v>2617</v>
      </c>
      <c r="G610" s="213"/>
    </row>
    <row r="611" s="201" customFormat="1" ht="15.95" customHeight="1" spans="1:7">
      <c r="A611" s="208">
        <v>610</v>
      </c>
      <c r="B611" s="209" t="s">
        <v>79</v>
      </c>
      <c r="C611" s="210">
        <v>52797</v>
      </c>
      <c r="D611" s="208">
        <v>0</v>
      </c>
      <c r="E611" s="211" t="s">
        <v>2618</v>
      </c>
      <c r="F611" s="212" t="s">
        <v>2619</v>
      </c>
      <c r="G611" s="213"/>
    </row>
    <row r="612" s="201" customFormat="1" ht="15.95" customHeight="1" spans="1:7">
      <c r="A612" s="208">
        <v>611</v>
      </c>
      <c r="B612" s="209" t="s">
        <v>79</v>
      </c>
      <c r="C612" s="210">
        <v>53053</v>
      </c>
      <c r="D612" s="208">
        <v>0</v>
      </c>
      <c r="E612" s="211" t="s">
        <v>2620</v>
      </c>
      <c r="F612" s="212" t="s">
        <v>2621</v>
      </c>
      <c r="G612" s="213"/>
    </row>
    <row r="613" s="201" customFormat="1" ht="15.95" customHeight="1" spans="1:7">
      <c r="A613" s="208">
        <v>612</v>
      </c>
      <c r="B613" s="209" t="s">
        <v>79</v>
      </c>
      <c r="C613" s="210">
        <v>53309</v>
      </c>
      <c r="D613" s="208">
        <v>0</v>
      </c>
      <c r="E613" s="211" t="s">
        <v>2622</v>
      </c>
      <c r="F613" s="212" t="s">
        <v>2623</v>
      </c>
      <c r="G613" s="213"/>
    </row>
    <row r="614" s="201" customFormat="1" ht="15.95" customHeight="1" spans="1:7">
      <c r="A614" s="208">
        <v>613</v>
      </c>
      <c r="B614" s="209" t="s">
        <v>79</v>
      </c>
      <c r="C614" s="210">
        <v>53565</v>
      </c>
      <c r="D614" s="208">
        <v>0</v>
      </c>
      <c r="E614" s="211" t="s">
        <v>2624</v>
      </c>
      <c r="F614" s="212" t="s">
        <v>2625</v>
      </c>
      <c r="G614" s="213"/>
    </row>
    <row r="615" s="201" customFormat="1" ht="15.95" customHeight="1" spans="1:7">
      <c r="A615" s="208">
        <v>614</v>
      </c>
      <c r="B615" s="209" t="s">
        <v>79</v>
      </c>
      <c r="C615" s="210">
        <v>51262</v>
      </c>
      <c r="D615" s="208">
        <v>0</v>
      </c>
      <c r="E615" s="211" t="s">
        <v>2626</v>
      </c>
      <c r="F615" s="212" t="s">
        <v>2627</v>
      </c>
      <c r="G615" s="213"/>
    </row>
    <row r="616" s="201" customFormat="1" ht="15.95" customHeight="1" spans="1:7">
      <c r="A616" s="208">
        <v>615</v>
      </c>
      <c r="B616" s="209" t="s">
        <v>79</v>
      </c>
      <c r="C616" s="210">
        <v>51518</v>
      </c>
      <c r="D616" s="208">
        <v>0</v>
      </c>
      <c r="E616" s="211" t="s">
        <v>2628</v>
      </c>
      <c r="F616" s="212" t="s">
        <v>2629</v>
      </c>
      <c r="G616" s="213"/>
    </row>
    <row r="617" s="201" customFormat="1" ht="15.95" customHeight="1" spans="1:7">
      <c r="A617" s="208">
        <v>616</v>
      </c>
      <c r="B617" s="209" t="s">
        <v>79</v>
      </c>
      <c r="C617" s="210">
        <v>51774</v>
      </c>
      <c r="D617" s="208">
        <v>0</v>
      </c>
      <c r="E617" s="211" t="s">
        <v>2630</v>
      </c>
      <c r="F617" s="212" t="s">
        <v>2631</v>
      </c>
      <c r="G617" s="213"/>
    </row>
    <row r="618" s="201" customFormat="1" ht="15.95" customHeight="1" spans="1:7">
      <c r="A618" s="208">
        <v>617</v>
      </c>
      <c r="B618" s="209" t="s">
        <v>79</v>
      </c>
      <c r="C618" s="210">
        <v>52030</v>
      </c>
      <c r="D618" s="208">
        <v>0</v>
      </c>
      <c r="E618" s="211" t="s">
        <v>2632</v>
      </c>
      <c r="F618" s="212" t="s">
        <v>2633</v>
      </c>
      <c r="G618" s="213"/>
    </row>
    <row r="619" s="201" customFormat="1" ht="15.95" customHeight="1" spans="1:7">
      <c r="A619" s="208">
        <v>618</v>
      </c>
      <c r="B619" s="209" t="s">
        <v>79</v>
      </c>
      <c r="C619" s="210">
        <v>52286</v>
      </c>
      <c r="D619" s="208">
        <v>0</v>
      </c>
      <c r="E619" s="211" t="s">
        <v>2634</v>
      </c>
      <c r="F619" s="212" t="s">
        <v>2635</v>
      </c>
      <c r="G619" s="213"/>
    </row>
    <row r="620" s="201" customFormat="1" ht="15.95" customHeight="1" spans="1:7">
      <c r="A620" s="208">
        <v>619</v>
      </c>
      <c r="B620" s="209" t="s">
        <v>79</v>
      </c>
      <c r="C620" s="210">
        <v>52542</v>
      </c>
      <c r="D620" s="208">
        <v>0</v>
      </c>
      <c r="E620" s="211" t="s">
        <v>2636</v>
      </c>
      <c r="F620" s="212" t="s">
        <v>2637</v>
      </c>
      <c r="G620" s="213"/>
    </row>
    <row r="621" s="201" customFormat="1" ht="15.95" customHeight="1" spans="1:7">
      <c r="A621" s="208">
        <v>620</v>
      </c>
      <c r="B621" s="209" t="s">
        <v>79</v>
      </c>
      <c r="C621" s="210">
        <v>52798</v>
      </c>
      <c r="D621" s="208">
        <v>0</v>
      </c>
      <c r="E621" s="211" t="s">
        <v>2638</v>
      </c>
      <c r="F621" s="212" t="s">
        <v>2639</v>
      </c>
      <c r="G621" s="213"/>
    </row>
    <row r="622" s="201" customFormat="1" ht="15.95" customHeight="1" spans="1:7">
      <c r="A622" s="208">
        <v>621</v>
      </c>
      <c r="B622" s="209" t="s">
        <v>79</v>
      </c>
      <c r="C622" s="210">
        <v>53054</v>
      </c>
      <c r="D622" s="208">
        <v>0</v>
      </c>
      <c r="E622" s="211" t="s">
        <v>2640</v>
      </c>
      <c r="F622" s="212" t="s">
        <v>2641</v>
      </c>
      <c r="G622" s="213"/>
    </row>
    <row r="623" s="201" customFormat="1" ht="15.95" customHeight="1" spans="1:7">
      <c r="A623" s="208">
        <v>622</v>
      </c>
      <c r="B623" s="209" t="s">
        <v>79</v>
      </c>
      <c r="C623" s="210">
        <v>53310</v>
      </c>
      <c r="D623" s="208">
        <v>0</v>
      </c>
      <c r="E623" s="211" t="s">
        <v>2642</v>
      </c>
      <c r="F623" s="212" t="s">
        <v>2643</v>
      </c>
      <c r="G623" s="213"/>
    </row>
    <row r="624" s="201" customFormat="1" ht="15.95" customHeight="1" spans="1:7">
      <c r="A624" s="208">
        <v>623</v>
      </c>
      <c r="B624" s="209" t="s">
        <v>79</v>
      </c>
      <c r="C624" s="210">
        <v>53566</v>
      </c>
      <c r="D624" s="208">
        <v>0</v>
      </c>
      <c r="E624" s="211" t="s">
        <v>2644</v>
      </c>
      <c r="F624" s="212" t="s">
        <v>2645</v>
      </c>
      <c r="G624" s="213"/>
    </row>
    <row r="625" s="201" customFormat="1" ht="15.95" customHeight="1" spans="1:7">
      <c r="A625" s="208">
        <v>624</v>
      </c>
      <c r="B625" s="209" t="s">
        <v>79</v>
      </c>
      <c r="C625" s="210">
        <v>51263</v>
      </c>
      <c r="D625" s="208">
        <v>0</v>
      </c>
      <c r="E625" s="211" t="s">
        <v>2646</v>
      </c>
      <c r="F625" s="212" t="s">
        <v>2647</v>
      </c>
      <c r="G625" s="213"/>
    </row>
    <row r="626" s="201" customFormat="1" ht="15.95" customHeight="1" spans="1:7">
      <c r="A626" s="208">
        <v>625</v>
      </c>
      <c r="B626" s="209" t="s">
        <v>79</v>
      </c>
      <c r="C626" s="210">
        <v>51519</v>
      </c>
      <c r="D626" s="208">
        <v>0</v>
      </c>
      <c r="E626" s="211" t="s">
        <v>2648</v>
      </c>
      <c r="F626" s="212" t="s">
        <v>2649</v>
      </c>
      <c r="G626" s="213"/>
    </row>
    <row r="627" s="201" customFormat="1" ht="15.95" customHeight="1" spans="1:7">
      <c r="A627" s="208">
        <v>626</v>
      </c>
      <c r="B627" s="209" t="s">
        <v>79</v>
      </c>
      <c r="C627" s="210">
        <v>51775</v>
      </c>
      <c r="D627" s="208">
        <v>0</v>
      </c>
      <c r="E627" s="211" t="s">
        <v>2650</v>
      </c>
      <c r="F627" s="212" t="s">
        <v>2651</v>
      </c>
      <c r="G627" s="213"/>
    </row>
    <row r="628" s="201" customFormat="1" ht="15.95" customHeight="1" spans="1:7">
      <c r="A628" s="208">
        <v>627</v>
      </c>
      <c r="B628" s="209" t="s">
        <v>79</v>
      </c>
      <c r="C628" s="210">
        <v>52031</v>
      </c>
      <c r="D628" s="208">
        <v>0</v>
      </c>
      <c r="E628" s="211" t="s">
        <v>2652</v>
      </c>
      <c r="F628" s="212" t="s">
        <v>2653</v>
      </c>
      <c r="G628" s="213"/>
    </row>
    <row r="629" s="201" customFormat="1" ht="15.95" customHeight="1" spans="1:7">
      <c r="A629" s="208">
        <v>628</v>
      </c>
      <c r="B629" s="209" t="s">
        <v>79</v>
      </c>
      <c r="C629" s="210">
        <v>52287</v>
      </c>
      <c r="D629" s="208">
        <v>0</v>
      </c>
      <c r="E629" s="211" t="s">
        <v>2654</v>
      </c>
      <c r="F629" s="212" t="s">
        <v>2655</v>
      </c>
      <c r="G629" s="213"/>
    </row>
    <row r="630" s="201" customFormat="1" ht="15.95" customHeight="1" spans="1:7">
      <c r="A630" s="208">
        <v>629</v>
      </c>
      <c r="B630" s="209" t="s">
        <v>79</v>
      </c>
      <c r="C630" s="210">
        <v>52543</v>
      </c>
      <c r="D630" s="208">
        <v>0</v>
      </c>
      <c r="E630" s="211" t="s">
        <v>2656</v>
      </c>
      <c r="F630" s="212" t="s">
        <v>2657</v>
      </c>
      <c r="G630" s="213"/>
    </row>
    <row r="631" s="201" customFormat="1" ht="15.95" customHeight="1" spans="1:7">
      <c r="A631" s="208">
        <v>630</v>
      </c>
      <c r="B631" s="209" t="s">
        <v>79</v>
      </c>
      <c r="C631" s="210">
        <v>52799</v>
      </c>
      <c r="D631" s="208">
        <v>0</v>
      </c>
      <c r="E631" s="211" t="s">
        <v>2658</v>
      </c>
      <c r="F631" s="212" t="s">
        <v>2659</v>
      </c>
      <c r="G631" s="213"/>
    </row>
    <row r="632" s="201" customFormat="1" ht="15.95" customHeight="1" spans="1:7">
      <c r="A632" s="208">
        <v>631</v>
      </c>
      <c r="B632" s="209" t="s">
        <v>79</v>
      </c>
      <c r="C632" s="210">
        <v>53055</v>
      </c>
      <c r="D632" s="208">
        <v>0</v>
      </c>
      <c r="E632" s="211" t="s">
        <v>2660</v>
      </c>
      <c r="F632" s="212" t="s">
        <v>2661</v>
      </c>
      <c r="G632" s="213"/>
    </row>
    <row r="633" s="201" customFormat="1" ht="15.95" customHeight="1" spans="1:7">
      <c r="A633" s="208">
        <v>632</v>
      </c>
      <c r="B633" s="209" t="s">
        <v>79</v>
      </c>
      <c r="C633" s="210">
        <v>53311</v>
      </c>
      <c r="D633" s="208">
        <v>0</v>
      </c>
      <c r="E633" s="211" t="s">
        <v>2662</v>
      </c>
      <c r="F633" s="212" t="s">
        <v>2663</v>
      </c>
      <c r="G633" s="213"/>
    </row>
    <row r="634" s="201" customFormat="1" ht="15.95" customHeight="1" spans="1:7">
      <c r="A634" s="208">
        <v>633</v>
      </c>
      <c r="B634" s="209" t="s">
        <v>79</v>
      </c>
      <c r="C634" s="210">
        <v>53567</v>
      </c>
      <c r="D634" s="208">
        <v>0</v>
      </c>
      <c r="E634" s="211" t="s">
        <v>2664</v>
      </c>
      <c r="F634" s="212" t="s">
        <v>2665</v>
      </c>
      <c r="G634" s="213"/>
    </row>
    <row r="635" s="201" customFormat="1" ht="15.95" customHeight="1" spans="1:7">
      <c r="A635" s="208">
        <v>634</v>
      </c>
      <c r="B635" s="209" t="s">
        <v>79</v>
      </c>
      <c r="C635" s="210">
        <v>51266</v>
      </c>
      <c r="D635" s="208">
        <v>0</v>
      </c>
      <c r="E635" s="211" t="s">
        <v>2666</v>
      </c>
      <c r="F635" s="212" t="s">
        <v>2667</v>
      </c>
      <c r="G635" s="213"/>
    </row>
    <row r="636" s="201" customFormat="1" ht="15.95" customHeight="1" spans="1:7">
      <c r="A636" s="208">
        <v>635</v>
      </c>
      <c r="B636" s="209" t="s">
        <v>79</v>
      </c>
      <c r="C636" s="210">
        <v>51522</v>
      </c>
      <c r="D636" s="208">
        <v>0</v>
      </c>
      <c r="E636" s="211" t="s">
        <v>2668</v>
      </c>
      <c r="F636" s="212" t="s">
        <v>2669</v>
      </c>
      <c r="G636" s="213"/>
    </row>
    <row r="637" s="201" customFormat="1" ht="15.95" customHeight="1" spans="1:7">
      <c r="A637" s="208">
        <v>636</v>
      </c>
      <c r="B637" s="209" t="s">
        <v>79</v>
      </c>
      <c r="C637" s="210">
        <v>51778</v>
      </c>
      <c r="D637" s="208">
        <v>0</v>
      </c>
      <c r="E637" s="211" t="s">
        <v>2670</v>
      </c>
      <c r="F637" s="212" t="s">
        <v>2671</v>
      </c>
      <c r="G637" s="213"/>
    </row>
    <row r="638" s="201" customFormat="1" ht="15.95" customHeight="1" spans="1:7">
      <c r="A638" s="208">
        <v>637</v>
      </c>
      <c r="B638" s="209" t="s">
        <v>79</v>
      </c>
      <c r="C638" s="210">
        <v>52034</v>
      </c>
      <c r="D638" s="208">
        <v>0</v>
      </c>
      <c r="E638" s="211" t="s">
        <v>2672</v>
      </c>
      <c r="F638" s="212" t="s">
        <v>2673</v>
      </c>
      <c r="G638" s="213"/>
    </row>
    <row r="639" s="201" customFormat="1" ht="15.95" customHeight="1" spans="1:7">
      <c r="A639" s="208">
        <v>638</v>
      </c>
      <c r="B639" s="209" t="s">
        <v>79</v>
      </c>
      <c r="C639" s="210">
        <v>52290</v>
      </c>
      <c r="D639" s="208">
        <v>0</v>
      </c>
      <c r="E639" s="211" t="s">
        <v>2674</v>
      </c>
      <c r="F639" s="212" t="s">
        <v>2675</v>
      </c>
      <c r="G639" s="213"/>
    </row>
    <row r="640" s="201" customFormat="1" ht="15.95" customHeight="1" spans="1:7">
      <c r="A640" s="208">
        <v>639</v>
      </c>
      <c r="B640" s="209" t="s">
        <v>79</v>
      </c>
      <c r="C640" s="210">
        <v>52546</v>
      </c>
      <c r="D640" s="208">
        <v>0</v>
      </c>
      <c r="E640" s="211" t="s">
        <v>2676</v>
      </c>
      <c r="F640" s="212" t="s">
        <v>2677</v>
      </c>
      <c r="G640" s="213"/>
    </row>
    <row r="641" s="201" customFormat="1" ht="15.95" customHeight="1" spans="1:7">
      <c r="A641" s="208">
        <v>640</v>
      </c>
      <c r="B641" s="209" t="s">
        <v>79</v>
      </c>
      <c r="C641" s="210">
        <v>52802</v>
      </c>
      <c r="D641" s="208">
        <v>0</v>
      </c>
      <c r="E641" s="211" t="s">
        <v>2678</v>
      </c>
      <c r="F641" s="212" t="s">
        <v>2679</v>
      </c>
      <c r="G641" s="213"/>
    </row>
    <row r="642" s="201" customFormat="1" ht="15.95" customHeight="1" spans="1:7">
      <c r="A642" s="208">
        <v>641</v>
      </c>
      <c r="B642" s="209" t="s">
        <v>79</v>
      </c>
      <c r="C642" s="210">
        <v>53058</v>
      </c>
      <c r="D642" s="208">
        <v>0</v>
      </c>
      <c r="E642" s="211" t="s">
        <v>2680</v>
      </c>
      <c r="F642" s="212" t="s">
        <v>2681</v>
      </c>
      <c r="G642" s="213"/>
    </row>
    <row r="643" s="201" customFormat="1" ht="15.95" customHeight="1" spans="1:7">
      <c r="A643" s="208">
        <v>642</v>
      </c>
      <c r="B643" s="209" t="s">
        <v>79</v>
      </c>
      <c r="C643" s="210">
        <v>53314</v>
      </c>
      <c r="D643" s="208">
        <v>0</v>
      </c>
      <c r="E643" s="211" t="s">
        <v>2682</v>
      </c>
      <c r="F643" s="212" t="s">
        <v>2683</v>
      </c>
      <c r="G643" s="213"/>
    </row>
    <row r="644" s="201" customFormat="1" ht="15.95" customHeight="1" spans="1:7">
      <c r="A644" s="208">
        <v>643</v>
      </c>
      <c r="B644" s="209" t="s">
        <v>79</v>
      </c>
      <c r="C644" s="210">
        <v>53570</v>
      </c>
      <c r="D644" s="208">
        <v>0</v>
      </c>
      <c r="E644" s="211" t="s">
        <v>2684</v>
      </c>
      <c r="F644" s="212" t="s">
        <v>2685</v>
      </c>
      <c r="G644" s="213"/>
    </row>
    <row r="645" s="201" customFormat="1" ht="15.95" customHeight="1" spans="1:7">
      <c r="A645" s="208">
        <v>644</v>
      </c>
      <c r="B645" s="209" t="s">
        <v>79</v>
      </c>
      <c r="C645" s="210">
        <v>51267</v>
      </c>
      <c r="D645" s="208">
        <v>0</v>
      </c>
      <c r="E645" s="211" t="s">
        <v>2686</v>
      </c>
      <c r="F645" s="212" t="s">
        <v>2687</v>
      </c>
      <c r="G645" s="213"/>
    </row>
    <row r="646" s="201" customFormat="1" ht="15.95" customHeight="1" spans="1:7">
      <c r="A646" s="208">
        <v>645</v>
      </c>
      <c r="B646" s="209" t="s">
        <v>79</v>
      </c>
      <c r="C646" s="210">
        <v>51523</v>
      </c>
      <c r="D646" s="208">
        <v>0</v>
      </c>
      <c r="E646" s="211" t="s">
        <v>2688</v>
      </c>
      <c r="F646" s="212" t="s">
        <v>2689</v>
      </c>
      <c r="G646" s="213"/>
    </row>
    <row r="647" s="201" customFormat="1" ht="15.95" customHeight="1" spans="1:7">
      <c r="A647" s="208">
        <v>646</v>
      </c>
      <c r="B647" s="209" t="s">
        <v>79</v>
      </c>
      <c r="C647" s="210">
        <v>51779</v>
      </c>
      <c r="D647" s="208">
        <v>0</v>
      </c>
      <c r="E647" s="211" t="s">
        <v>2690</v>
      </c>
      <c r="F647" s="212" t="s">
        <v>2691</v>
      </c>
      <c r="G647" s="213"/>
    </row>
    <row r="648" s="201" customFormat="1" ht="15.95" customHeight="1" spans="1:7">
      <c r="A648" s="208">
        <v>647</v>
      </c>
      <c r="B648" s="209" t="s">
        <v>79</v>
      </c>
      <c r="C648" s="210">
        <v>52035</v>
      </c>
      <c r="D648" s="208">
        <v>0</v>
      </c>
      <c r="E648" s="211" t="s">
        <v>2692</v>
      </c>
      <c r="F648" s="212" t="s">
        <v>2693</v>
      </c>
      <c r="G648" s="213"/>
    </row>
    <row r="649" s="201" customFormat="1" ht="15.95" customHeight="1" spans="1:7">
      <c r="A649" s="208">
        <v>648</v>
      </c>
      <c r="B649" s="209" t="s">
        <v>79</v>
      </c>
      <c r="C649" s="210">
        <v>52291</v>
      </c>
      <c r="D649" s="208">
        <v>0</v>
      </c>
      <c r="E649" s="211" t="s">
        <v>2694</v>
      </c>
      <c r="F649" s="212" t="s">
        <v>2695</v>
      </c>
      <c r="G649" s="213"/>
    </row>
    <row r="650" s="201" customFormat="1" ht="15.95" customHeight="1" spans="1:7">
      <c r="A650" s="208">
        <v>649</v>
      </c>
      <c r="B650" s="209" t="s">
        <v>79</v>
      </c>
      <c r="C650" s="210">
        <v>52547</v>
      </c>
      <c r="D650" s="208">
        <v>0</v>
      </c>
      <c r="E650" s="211" t="s">
        <v>2696</v>
      </c>
      <c r="F650" s="212" t="s">
        <v>2697</v>
      </c>
      <c r="G650" s="213"/>
    </row>
    <row r="651" s="201" customFormat="1" ht="15.95" customHeight="1" spans="1:7">
      <c r="A651" s="208">
        <v>650</v>
      </c>
      <c r="B651" s="209" t="s">
        <v>79</v>
      </c>
      <c r="C651" s="210">
        <v>52803</v>
      </c>
      <c r="D651" s="208">
        <v>0</v>
      </c>
      <c r="E651" s="211" t="s">
        <v>2698</v>
      </c>
      <c r="F651" s="212" t="s">
        <v>2699</v>
      </c>
      <c r="G651" s="213"/>
    </row>
    <row r="652" s="201" customFormat="1" ht="15.95" customHeight="1" spans="1:7">
      <c r="A652" s="208">
        <v>651</v>
      </c>
      <c r="B652" s="209" t="s">
        <v>79</v>
      </c>
      <c r="C652" s="210">
        <v>53059</v>
      </c>
      <c r="D652" s="208">
        <v>0</v>
      </c>
      <c r="E652" s="211" t="s">
        <v>2700</v>
      </c>
      <c r="F652" s="212" t="s">
        <v>2701</v>
      </c>
      <c r="G652" s="213"/>
    </row>
    <row r="653" s="201" customFormat="1" ht="15.95" customHeight="1" spans="1:7">
      <c r="A653" s="208">
        <v>652</v>
      </c>
      <c r="B653" s="209" t="s">
        <v>79</v>
      </c>
      <c r="C653" s="210">
        <v>53315</v>
      </c>
      <c r="D653" s="208">
        <v>0</v>
      </c>
      <c r="E653" s="211" t="s">
        <v>2702</v>
      </c>
      <c r="F653" s="212" t="s">
        <v>2703</v>
      </c>
      <c r="G653" s="213"/>
    </row>
    <row r="654" s="201" customFormat="1" ht="15.95" customHeight="1" spans="1:7">
      <c r="A654" s="208">
        <v>653</v>
      </c>
      <c r="B654" s="209" t="s">
        <v>79</v>
      </c>
      <c r="C654" s="210">
        <v>53571</v>
      </c>
      <c r="D654" s="208">
        <v>0</v>
      </c>
      <c r="E654" s="211" t="s">
        <v>2704</v>
      </c>
      <c r="F654" s="212" t="s">
        <v>2705</v>
      </c>
      <c r="G654" s="213"/>
    </row>
    <row r="655" s="201" customFormat="1" ht="15.95" customHeight="1" spans="1:7">
      <c r="A655" s="208">
        <v>654</v>
      </c>
      <c r="B655" s="209" t="s">
        <v>79</v>
      </c>
      <c r="C655" s="210">
        <v>51268</v>
      </c>
      <c r="D655" s="208">
        <v>0</v>
      </c>
      <c r="E655" s="211" t="s">
        <v>2706</v>
      </c>
      <c r="F655" s="212" t="s">
        <v>2707</v>
      </c>
      <c r="G655" s="213"/>
    </row>
    <row r="656" s="201" customFormat="1" ht="15.95" customHeight="1" spans="1:7">
      <c r="A656" s="208">
        <v>655</v>
      </c>
      <c r="B656" s="209" t="s">
        <v>79</v>
      </c>
      <c r="C656" s="210">
        <v>51524</v>
      </c>
      <c r="D656" s="208">
        <v>0</v>
      </c>
      <c r="E656" s="211" t="s">
        <v>2708</v>
      </c>
      <c r="F656" s="212" t="s">
        <v>2709</v>
      </c>
      <c r="G656" s="213"/>
    </row>
    <row r="657" s="201" customFormat="1" ht="15.95" customHeight="1" spans="1:7">
      <c r="A657" s="208">
        <v>656</v>
      </c>
      <c r="B657" s="209" t="s">
        <v>79</v>
      </c>
      <c r="C657" s="210">
        <v>51780</v>
      </c>
      <c r="D657" s="208">
        <v>0</v>
      </c>
      <c r="E657" s="211" t="s">
        <v>2710</v>
      </c>
      <c r="F657" s="212" t="s">
        <v>2711</v>
      </c>
      <c r="G657" s="213"/>
    </row>
    <row r="658" s="201" customFormat="1" ht="15.95" customHeight="1" spans="1:7">
      <c r="A658" s="208">
        <v>657</v>
      </c>
      <c r="B658" s="209" t="s">
        <v>79</v>
      </c>
      <c r="C658" s="210">
        <v>52036</v>
      </c>
      <c r="D658" s="208">
        <v>0</v>
      </c>
      <c r="E658" s="211" t="s">
        <v>2712</v>
      </c>
      <c r="F658" s="212" t="s">
        <v>2713</v>
      </c>
      <c r="G658" s="213"/>
    </row>
    <row r="659" s="201" customFormat="1" ht="15.95" customHeight="1" spans="1:7">
      <c r="A659" s="208">
        <v>658</v>
      </c>
      <c r="B659" s="209" t="s">
        <v>79</v>
      </c>
      <c r="C659" s="210">
        <v>52292</v>
      </c>
      <c r="D659" s="208">
        <v>0</v>
      </c>
      <c r="E659" s="211" t="s">
        <v>2714</v>
      </c>
      <c r="F659" s="212" t="s">
        <v>2715</v>
      </c>
      <c r="G659" s="213"/>
    </row>
    <row r="660" s="201" customFormat="1" ht="15.95" customHeight="1" spans="1:7">
      <c r="A660" s="208">
        <v>659</v>
      </c>
      <c r="B660" s="209" t="s">
        <v>79</v>
      </c>
      <c r="C660" s="210">
        <v>52548</v>
      </c>
      <c r="D660" s="208">
        <v>0</v>
      </c>
      <c r="E660" s="211" t="s">
        <v>2716</v>
      </c>
      <c r="F660" s="212" t="s">
        <v>2717</v>
      </c>
      <c r="G660" s="213"/>
    </row>
    <row r="661" s="201" customFormat="1" ht="15.95" customHeight="1" spans="1:7">
      <c r="A661" s="208">
        <v>660</v>
      </c>
      <c r="B661" s="209" t="s">
        <v>79</v>
      </c>
      <c r="C661" s="210">
        <v>52804</v>
      </c>
      <c r="D661" s="208">
        <v>0</v>
      </c>
      <c r="E661" s="211" t="s">
        <v>2718</v>
      </c>
      <c r="F661" s="212" t="s">
        <v>2719</v>
      </c>
      <c r="G661" s="213"/>
    </row>
    <row r="662" s="201" customFormat="1" ht="15.95" customHeight="1" spans="1:7">
      <c r="A662" s="208">
        <v>661</v>
      </c>
      <c r="B662" s="209" t="s">
        <v>79</v>
      </c>
      <c r="C662" s="210">
        <v>53060</v>
      </c>
      <c r="D662" s="208">
        <v>0</v>
      </c>
      <c r="E662" s="211" t="s">
        <v>2720</v>
      </c>
      <c r="F662" s="212" t="s">
        <v>2721</v>
      </c>
      <c r="G662" s="213"/>
    </row>
    <row r="663" s="201" customFormat="1" ht="15.95" customHeight="1" spans="1:7">
      <c r="A663" s="208">
        <v>662</v>
      </c>
      <c r="B663" s="209" t="s">
        <v>79</v>
      </c>
      <c r="C663" s="210">
        <v>53316</v>
      </c>
      <c r="D663" s="208">
        <v>0</v>
      </c>
      <c r="E663" s="211" t="s">
        <v>2722</v>
      </c>
      <c r="F663" s="212" t="s">
        <v>2723</v>
      </c>
      <c r="G663" s="213"/>
    </row>
    <row r="664" s="201" customFormat="1" ht="15.95" customHeight="1" spans="1:7">
      <c r="A664" s="208">
        <v>663</v>
      </c>
      <c r="B664" s="209" t="s">
        <v>79</v>
      </c>
      <c r="C664" s="210">
        <v>53572</v>
      </c>
      <c r="D664" s="208">
        <v>0</v>
      </c>
      <c r="E664" s="211" t="s">
        <v>2724</v>
      </c>
      <c r="F664" s="212" t="s">
        <v>2725</v>
      </c>
      <c r="G664" s="213"/>
    </row>
    <row r="665" s="201" customFormat="1" ht="15.95" customHeight="1" spans="1:7">
      <c r="A665" s="208">
        <v>664</v>
      </c>
      <c r="B665" s="209" t="s">
        <v>79</v>
      </c>
      <c r="C665" s="210">
        <v>51269</v>
      </c>
      <c r="D665" s="208">
        <v>0</v>
      </c>
      <c r="E665" s="211" t="s">
        <v>2726</v>
      </c>
      <c r="F665" s="212" t="s">
        <v>2727</v>
      </c>
      <c r="G665" s="213"/>
    </row>
    <row r="666" s="201" customFormat="1" ht="15.95" customHeight="1" spans="1:7">
      <c r="A666" s="208">
        <v>665</v>
      </c>
      <c r="B666" s="209" t="s">
        <v>79</v>
      </c>
      <c r="C666" s="210">
        <v>51525</v>
      </c>
      <c r="D666" s="208">
        <v>0</v>
      </c>
      <c r="E666" s="211" t="s">
        <v>2728</v>
      </c>
      <c r="F666" s="212" t="s">
        <v>2729</v>
      </c>
      <c r="G666" s="213"/>
    </row>
    <row r="667" s="201" customFormat="1" ht="15.95" customHeight="1" spans="1:7">
      <c r="A667" s="208">
        <v>666</v>
      </c>
      <c r="B667" s="209" t="s">
        <v>79</v>
      </c>
      <c r="C667" s="210">
        <v>51781</v>
      </c>
      <c r="D667" s="208">
        <v>0</v>
      </c>
      <c r="E667" s="211" t="s">
        <v>2730</v>
      </c>
      <c r="F667" s="212" t="s">
        <v>2731</v>
      </c>
      <c r="G667" s="213"/>
    </row>
    <row r="668" s="201" customFormat="1" ht="15.95" customHeight="1" spans="1:7">
      <c r="A668" s="208">
        <v>667</v>
      </c>
      <c r="B668" s="209" t="s">
        <v>79</v>
      </c>
      <c r="C668" s="210">
        <v>52037</v>
      </c>
      <c r="D668" s="208">
        <v>0</v>
      </c>
      <c r="E668" s="211" t="s">
        <v>2732</v>
      </c>
      <c r="F668" s="212" t="s">
        <v>2733</v>
      </c>
      <c r="G668" s="213"/>
    </row>
    <row r="669" s="201" customFormat="1" ht="15.95" customHeight="1" spans="1:7">
      <c r="A669" s="208">
        <v>668</v>
      </c>
      <c r="B669" s="209" t="s">
        <v>79</v>
      </c>
      <c r="C669" s="210">
        <v>52293</v>
      </c>
      <c r="D669" s="208">
        <v>0</v>
      </c>
      <c r="E669" s="211" t="s">
        <v>2734</v>
      </c>
      <c r="F669" s="212" t="s">
        <v>2735</v>
      </c>
      <c r="G669" s="213"/>
    </row>
    <row r="670" s="201" customFormat="1" ht="15.95" customHeight="1" spans="1:7">
      <c r="A670" s="208">
        <v>669</v>
      </c>
      <c r="B670" s="209" t="s">
        <v>79</v>
      </c>
      <c r="C670" s="210">
        <v>52549</v>
      </c>
      <c r="D670" s="208">
        <v>0</v>
      </c>
      <c r="E670" s="211" t="s">
        <v>2736</v>
      </c>
      <c r="F670" s="212" t="s">
        <v>2737</v>
      </c>
      <c r="G670" s="213"/>
    </row>
    <row r="671" s="201" customFormat="1" ht="15.95" customHeight="1" spans="1:7">
      <c r="A671" s="208">
        <v>670</v>
      </c>
      <c r="B671" s="209" t="s">
        <v>79</v>
      </c>
      <c r="C671" s="210">
        <v>52805</v>
      </c>
      <c r="D671" s="208">
        <v>0</v>
      </c>
      <c r="E671" s="211" t="s">
        <v>2738</v>
      </c>
      <c r="F671" s="212" t="s">
        <v>2739</v>
      </c>
      <c r="G671" s="213"/>
    </row>
    <row r="672" s="201" customFormat="1" ht="15.95" customHeight="1" spans="1:7">
      <c r="A672" s="208">
        <v>671</v>
      </c>
      <c r="B672" s="209" t="s">
        <v>79</v>
      </c>
      <c r="C672" s="210">
        <v>53061</v>
      </c>
      <c r="D672" s="208">
        <v>0</v>
      </c>
      <c r="E672" s="211" t="s">
        <v>2740</v>
      </c>
      <c r="F672" s="212" t="s">
        <v>2741</v>
      </c>
      <c r="G672" s="213"/>
    </row>
    <row r="673" s="201" customFormat="1" ht="15.95" customHeight="1" spans="1:7">
      <c r="A673" s="208">
        <v>672</v>
      </c>
      <c r="B673" s="209" t="s">
        <v>79</v>
      </c>
      <c r="C673" s="210">
        <v>53317</v>
      </c>
      <c r="D673" s="208">
        <v>0</v>
      </c>
      <c r="E673" s="211" t="s">
        <v>2742</v>
      </c>
      <c r="F673" s="212" t="s">
        <v>2743</v>
      </c>
      <c r="G673" s="213"/>
    </row>
    <row r="674" s="201" customFormat="1" ht="15.95" customHeight="1" spans="1:7">
      <c r="A674" s="208">
        <v>673</v>
      </c>
      <c r="B674" s="209" t="s">
        <v>79</v>
      </c>
      <c r="C674" s="210">
        <v>53573</v>
      </c>
      <c r="D674" s="208">
        <v>0</v>
      </c>
      <c r="E674" s="211" t="s">
        <v>2744</v>
      </c>
      <c r="F674" s="212" t="s">
        <v>2745</v>
      </c>
      <c r="G674" s="213"/>
    </row>
    <row r="675" s="201" customFormat="1" ht="15.95" customHeight="1" spans="1:7">
      <c r="A675" s="208">
        <v>674</v>
      </c>
      <c r="B675" s="209" t="s">
        <v>79</v>
      </c>
      <c r="C675" s="210">
        <v>51270</v>
      </c>
      <c r="D675" s="208">
        <v>0</v>
      </c>
      <c r="E675" s="211" t="s">
        <v>2746</v>
      </c>
      <c r="F675" s="212" t="s">
        <v>2747</v>
      </c>
      <c r="G675" s="213"/>
    </row>
    <row r="676" s="201" customFormat="1" ht="15.95" customHeight="1" spans="1:7">
      <c r="A676" s="208">
        <v>675</v>
      </c>
      <c r="B676" s="209" t="s">
        <v>79</v>
      </c>
      <c r="C676" s="210">
        <v>51526</v>
      </c>
      <c r="D676" s="208">
        <v>0</v>
      </c>
      <c r="E676" s="211" t="s">
        <v>2748</v>
      </c>
      <c r="F676" s="212" t="s">
        <v>2749</v>
      </c>
      <c r="G676" s="213"/>
    </row>
    <row r="677" s="201" customFormat="1" ht="15.95" customHeight="1" spans="1:7">
      <c r="A677" s="208">
        <v>676</v>
      </c>
      <c r="B677" s="209" t="s">
        <v>79</v>
      </c>
      <c r="C677" s="210">
        <v>51782</v>
      </c>
      <c r="D677" s="208">
        <v>0</v>
      </c>
      <c r="E677" s="211" t="s">
        <v>2750</v>
      </c>
      <c r="F677" s="212" t="s">
        <v>2751</v>
      </c>
      <c r="G677" s="213"/>
    </row>
    <row r="678" s="201" customFormat="1" ht="15.95" customHeight="1" spans="1:7">
      <c r="A678" s="208">
        <v>677</v>
      </c>
      <c r="B678" s="209" t="s">
        <v>79</v>
      </c>
      <c r="C678" s="210">
        <v>52038</v>
      </c>
      <c r="D678" s="208">
        <v>0</v>
      </c>
      <c r="E678" s="211" t="s">
        <v>2752</v>
      </c>
      <c r="F678" s="212" t="s">
        <v>2753</v>
      </c>
      <c r="G678" s="213"/>
    </row>
    <row r="679" s="201" customFormat="1" ht="15.95" customHeight="1" spans="1:7">
      <c r="A679" s="208">
        <v>678</v>
      </c>
      <c r="B679" s="209" t="s">
        <v>79</v>
      </c>
      <c r="C679" s="210">
        <v>52294</v>
      </c>
      <c r="D679" s="208">
        <v>0</v>
      </c>
      <c r="E679" s="211" t="s">
        <v>2754</v>
      </c>
      <c r="F679" s="212" t="s">
        <v>2755</v>
      </c>
      <c r="G679" s="213"/>
    </row>
    <row r="680" s="201" customFormat="1" ht="15.95" customHeight="1" spans="1:7">
      <c r="A680" s="208">
        <v>679</v>
      </c>
      <c r="B680" s="209" t="s">
        <v>79</v>
      </c>
      <c r="C680" s="210">
        <v>52550</v>
      </c>
      <c r="D680" s="208">
        <v>0</v>
      </c>
      <c r="E680" s="211" t="s">
        <v>2756</v>
      </c>
      <c r="F680" s="212" t="s">
        <v>2757</v>
      </c>
      <c r="G680" s="213"/>
    </row>
    <row r="681" s="201" customFormat="1" ht="15.95" customHeight="1" spans="1:7">
      <c r="A681" s="208">
        <v>680</v>
      </c>
      <c r="B681" s="209" t="s">
        <v>79</v>
      </c>
      <c r="C681" s="210">
        <v>52806</v>
      </c>
      <c r="D681" s="208">
        <v>0</v>
      </c>
      <c r="E681" s="211" t="s">
        <v>2758</v>
      </c>
      <c r="F681" s="212" t="s">
        <v>2759</v>
      </c>
      <c r="G681" s="213"/>
    </row>
    <row r="682" s="201" customFormat="1" ht="15.95" customHeight="1" spans="1:7">
      <c r="A682" s="208">
        <v>681</v>
      </c>
      <c r="B682" s="209" t="s">
        <v>79</v>
      </c>
      <c r="C682" s="210">
        <v>53062</v>
      </c>
      <c r="D682" s="208">
        <v>0</v>
      </c>
      <c r="E682" s="211" t="s">
        <v>2760</v>
      </c>
      <c r="F682" s="212" t="s">
        <v>2761</v>
      </c>
      <c r="G682" s="213"/>
    </row>
    <row r="683" s="201" customFormat="1" ht="15.95" customHeight="1" spans="1:7">
      <c r="A683" s="208">
        <v>682</v>
      </c>
      <c r="B683" s="209" t="s">
        <v>79</v>
      </c>
      <c r="C683" s="210">
        <v>53318</v>
      </c>
      <c r="D683" s="208">
        <v>0</v>
      </c>
      <c r="E683" s="211" t="s">
        <v>2762</v>
      </c>
      <c r="F683" s="212" t="s">
        <v>2763</v>
      </c>
      <c r="G683" s="213"/>
    </row>
    <row r="684" s="201" customFormat="1" ht="15.95" customHeight="1" spans="1:7">
      <c r="A684" s="208">
        <v>683</v>
      </c>
      <c r="B684" s="209" t="s">
        <v>79</v>
      </c>
      <c r="C684" s="210">
        <v>53574</v>
      </c>
      <c r="D684" s="208">
        <v>0</v>
      </c>
      <c r="E684" s="211" t="s">
        <v>2764</v>
      </c>
      <c r="F684" s="212" t="s">
        <v>2765</v>
      </c>
      <c r="G684" s="213"/>
    </row>
    <row r="685" s="201" customFormat="1" ht="15.95" customHeight="1" spans="1:7">
      <c r="A685" s="208">
        <v>684</v>
      </c>
      <c r="B685" s="209" t="s">
        <v>79</v>
      </c>
      <c r="C685" s="210">
        <v>51271</v>
      </c>
      <c r="D685" s="208">
        <v>0</v>
      </c>
      <c r="E685" s="211" t="s">
        <v>2766</v>
      </c>
      <c r="F685" s="212" t="s">
        <v>2767</v>
      </c>
      <c r="G685" s="213"/>
    </row>
    <row r="686" s="201" customFormat="1" ht="15.95" customHeight="1" spans="1:7">
      <c r="A686" s="208">
        <v>685</v>
      </c>
      <c r="B686" s="209" t="s">
        <v>79</v>
      </c>
      <c r="C686" s="210">
        <v>51527</v>
      </c>
      <c r="D686" s="208">
        <v>0</v>
      </c>
      <c r="E686" s="211" t="s">
        <v>2768</v>
      </c>
      <c r="F686" s="212" t="s">
        <v>2769</v>
      </c>
      <c r="G686" s="213"/>
    </row>
    <row r="687" s="201" customFormat="1" ht="15.95" customHeight="1" spans="1:7">
      <c r="A687" s="208">
        <v>686</v>
      </c>
      <c r="B687" s="209" t="s">
        <v>79</v>
      </c>
      <c r="C687" s="210">
        <v>51783</v>
      </c>
      <c r="D687" s="208">
        <v>0</v>
      </c>
      <c r="E687" s="211" t="s">
        <v>2770</v>
      </c>
      <c r="F687" s="212" t="s">
        <v>2771</v>
      </c>
      <c r="G687" s="213"/>
    </row>
    <row r="688" s="201" customFormat="1" ht="15.95" customHeight="1" spans="1:7">
      <c r="A688" s="208">
        <v>687</v>
      </c>
      <c r="B688" s="209" t="s">
        <v>79</v>
      </c>
      <c r="C688" s="210">
        <v>52039</v>
      </c>
      <c r="D688" s="208">
        <v>0</v>
      </c>
      <c r="E688" s="211" t="s">
        <v>2772</v>
      </c>
      <c r="F688" s="212" t="s">
        <v>2773</v>
      </c>
      <c r="G688" s="213"/>
    </row>
    <row r="689" s="201" customFormat="1" ht="15.95" customHeight="1" spans="1:7">
      <c r="A689" s="208">
        <v>688</v>
      </c>
      <c r="B689" s="209" t="s">
        <v>79</v>
      </c>
      <c r="C689" s="210">
        <v>52295</v>
      </c>
      <c r="D689" s="208">
        <v>0</v>
      </c>
      <c r="E689" s="211" t="s">
        <v>2774</v>
      </c>
      <c r="F689" s="212" t="s">
        <v>2775</v>
      </c>
      <c r="G689" s="213"/>
    </row>
    <row r="690" s="201" customFormat="1" ht="15.95" customHeight="1" spans="1:7">
      <c r="A690" s="208">
        <v>689</v>
      </c>
      <c r="B690" s="209" t="s">
        <v>79</v>
      </c>
      <c r="C690" s="210">
        <v>52551</v>
      </c>
      <c r="D690" s="208">
        <v>0</v>
      </c>
      <c r="E690" s="211" t="s">
        <v>2776</v>
      </c>
      <c r="F690" s="212" t="s">
        <v>2777</v>
      </c>
      <c r="G690" s="213"/>
    </row>
    <row r="691" s="201" customFormat="1" ht="15.95" customHeight="1" spans="1:7">
      <c r="A691" s="208">
        <v>690</v>
      </c>
      <c r="B691" s="209" t="s">
        <v>79</v>
      </c>
      <c r="C691" s="210">
        <v>52807</v>
      </c>
      <c r="D691" s="208">
        <v>0</v>
      </c>
      <c r="E691" s="211" t="s">
        <v>2778</v>
      </c>
      <c r="F691" s="212" t="s">
        <v>2779</v>
      </c>
      <c r="G691" s="213"/>
    </row>
    <row r="692" s="201" customFormat="1" ht="15.95" customHeight="1" spans="1:7">
      <c r="A692" s="208">
        <v>691</v>
      </c>
      <c r="B692" s="209" t="s">
        <v>79</v>
      </c>
      <c r="C692" s="210">
        <v>53063</v>
      </c>
      <c r="D692" s="208">
        <v>0</v>
      </c>
      <c r="E692" s="211" t="s">
        <v>2780</v>
      </c>
      <c r="F692" s="212" t="s">
        <v>2781</v>
      </c>
      <c r="G692" s="213"/>
    </row>
    <row r="693" s="201" customFormat="1" ht="15.95" customHeight="1" spans="1:7">
      <c r="A693" s="208">
        <v>692</v>
      </c>
      <c r="B693" s="209" t="s">
        <v>79</v>
      </c>
      <c r="C693" s="210">
        <v>53319</v>
      </c>
      <c r="D693" s="208">
        <v>0</v>
      </c>
      <c r="E693" s="211" t="s">
        <v>2782</v>
      </c>
      <c r="F693" s="212" t="s">
        <v>2783</v>
      </c>
      <c r="G693" s="213"/>
    </row>
    <row r="694" s="201" customFormat="1" ht="15.95" customHeight="1" spans="1:7">
      <c r="A694" s="208">
        <v>693</v>
      </c>
      <c r="B694" s="209" t="s">
        <v>79</v>
      </c>
      <c r="C694" s="210">
        <v>53575</v>
      </c>
      <c r="D694" s="208">
        <v>0</v>
      </c>
      <c r="E694" s="211" t="s">
        <v>2784</v>
      </c>
      <c r="F694" s="212" t="s">
        <v>2785</v>
      </c>
      <c r="G694" s="213"/>
    </row>
    <row r="695" s="201" customFormat="1" ht="15.95" customHeight="1" spans="1:7">
      <c r="A695" s="208">
        <v>694</v>
      </c>
      <c r="B695" s="209" t="s">
        <v>79</v>
      </c>
      <c r="C695" s="210">
        <v>65025</v>
      </c>
      <c r="D695" s="208">
        <v>0</v>
      </c>
      <c r="E695" s="209" t="s">
        <v>2786</v>
      </c>
      <c r="F695" s="212" t="s">
        <v>2787</v>
      </c>
      <c r="G695" s="213"/>
    </row>
    <row r="696" s="201" customFormat="1" ht="15.95" customHeight="1" spans="1:7">
      <c r="A696" s="208">
        <v>695</v>
      </c>
      <c r="B696" s="209" t="s">
        <v>79</v>
      </c>
      <c r="C696" s="210">
        <v>65026</v>
      </c>
      <c r="D696" s="208">
        <v>0</v>
      </c>
      <c r="E696" s="209" t="s">
        <v>2788</v>
      </c>
      <c r="F696" s="212" t="s">
        <v>2789</v>
      </c>
      <c r="G696" s="213"/>
    </row>
    <row r="697" s="201" customFormat="1" ht="15.95" customHeight="1" spans="1:7">
      <c r="A697" s="208">
        <v>696</v>
      </c>
      <c r="B697" s="209" t="s">
        <v>79</v>
      </c>
      <c r="C697" s="210">
        <v>65113</v>
      </c>
      <c r="D697" s="208">
        <v>0</v>
      </c>
      <c r="E697" s="209" t="s">
        <v>2790</v>
      </c>
      <c r="F697" s="212" t="s">
        <v>2791</v>
      </c>
      <c r="G697" s="213"/>
    </row>
    <row r="698" s="201" customFormat="1" ht="15.95" customHeight="1" spans="1:7">
      <c r="A698" s="208">
        <v>697</v>
      </c>
      <c r="B698" s="209" t="s">
        <v>79</v>
      </c>
      <c r="C698" s="210">
        <v>65229</v>
      </c>
      <c r="D698" s="208">
        <v>0</v>
      </c>
      <c r="E698" s="209" t="s">
        <v>2792</v>
      </c>
      <c r="F698" s="212" t="s">
        <v>2793</v>
      </c>
      <c r="G698" s="213"/>
    </row>
    <row r="699" s="201" customFormat="1" ht="15.95" customHeight="1" spans="1:7">
      <c r="A699" s="208">
        <v>698</v>
      </c>
      <c r="B699" s="209" t="s">
        <v>79</v>
      </c>
      <c r="C699" s="210">
        <v>24832</v>
      </c>
      <c r="D699" s="208">
        <v>0</v>
      </c>
      <c r="E699" s="209" t="s">
        <v>2794</v>
      </c>
      <c r="F699" s="212" t="s">
        <v>2795</v>
      </c>
      <c r="G699" s="213"/>
    </row>
    <row r="700" s="201" customFormat="1" ht="15.95" customHeight="1" spans="1:7">
      <c r="A700" s="208">
        <v>699</v>
      </c>
      <c r="B700" s="209" t="s">
        <v>79</v>
      </c>
      <c r="C700" s="210">
        <v>24864</v>
      </c>
      <c r="D700" s="208">
        <v>0</v>
      </c>
      <c r="E700" s="209" t="s">
        <v>2796</v>
      </c>
      <c r="F700" s="212" t="s">
        <v>2797</v>
      </c>
      <c r="G700" s="213"/>
    </row>
    <row r="701" spans="1:7">
      <c r="A701" s="208">
        <v>700</v>
      </c>
      <c r="B701" s="209" t="s">
        <v>79</v>
      </c>
      <c r="C701" s="214">
        <v>13012</v>
      </c>
      <c r="D701" s="208">
        <v>0</v>
      </c>
      <c r="E701" s="215" t="s">
        <v>2798</v>
      </c>
      <c r="F701" s="216" t="s">
        <v>2799</v>
      </c>
      <c r="G701" s="213"/>
    </row>
    <row r="702" spans="1:7">
      <c r="A702" s="208">
        <v>701</v>
      </c>
      <c r="B702" s="209" t="s">
        <v>79</v>
      </c>
      <c r="C702" s="214">
        <v>13268</v>
      </c>
      <c r="D702" s="208">
        <v>0</v>
      </c>
      <c r="E702" s="215" t="s">
        <v>2800</v>
      </c>
      <c r="F702" s="216" t="s">
        <v>2801</v>
      </c>
      <c r="G702" s="213"/>
    </row>
    <row r="703" spans="1:7">
      <c r="A703" s="208">
        <v>702</v>
      </c>
      <c r="B703" s="209" t="s">
        <v>79</v>
      </c>
      <c r="C703" s="214">
        <v>13270</v>
      </c>
      <c r="D703" s="208">
        <v>0</v>
      </c>
      <c r="E703" s="215" t="s">
        <v>2802</v>
      </c>
      <c r="F703" s="216" t="s">
        <v>2803</v>
      </c>
      <c r="G703" s="213"/>
    </row>
    <row r="704" spans="1:7">
      <c r="A704" s="208">
        <v>703</v>
      </c>
      <c r="B704" s="209" t="s">
        <v>79</v>
      </c>
      <c r="C704" s="214">
        <v>13281</v>
      </c>
      <c r="D704" s="208">
        <v>0</v>
      </c>
      <c r="E704" s="215" t="s">
        <v>2804</v>
      </c>
      <c r="F704" s="216" t="s">
        <v>2805</v>
      </c>
      <c r="G704" s="213"/>
    </row>
    <row r="705" spans="1:7">
      <c r="A705" s="208">
        <v>704</v>
      </c>
      <c r="B705" s="209" t="s">
        <v>79</v>
      </c>
      <c r="C705" s="214">
        <v>13282</v>
      </c>
      <c r="D705" s="208">
        <v>0</v>
      </c>
      <c r="E705" s="215" t="s">
        <v>2806</v>
      </c>
      <c r="F705" s="216" t="s">
        <v>2807</v>
      </c>
      <c r="G705" s="213"/>
    </row>
    <row r="706" spans="1:7">
      <c r="A706" s="208">
        <v>705</v>
      </c>
      <c r="B706" s="209" t="s">
        <v>79</v>
      </c>
      <c r="C706" s="214">
        <v>13793</v>
      </c>
      <c r="D706" s="208">
        <v>0</v>
      </c>
      <c r="E706" s="215" t="s">
        <v>2808</v>
      </c>
      <c r="F706" s="216" t="s">
        <v>2809</v>
      </c>
      <c r="G706" s="213"/>
    </row>
    <row r="707" spans="1:7">
      <c r="A707" s="208">
        <v>706</v>
      </c>
      <c r="B707" s="209" t="s">
        <v>79</v>
      </c>
      <c r="C707" s="214">
        <v>13795</v>
      </c>
      <c r="D707" s="208">
        <v>0</v>
      </c>
      <c r="E707" s="215" t="s">
        <v>2810</v>
      </c>
      <c r="F707" s="216" t="s">
        <v>2811</v>
      </c>
      <c r="G707" s="213"/>
    </row>
    <row r="708" spans="7:7">
      <c r="G708" s="213"/>
    </row>
    <row r="709" spans="7:7">
      <c r="G709" s="213"/>
    </row>
    <row r="710" spans="7:7">
      <c r="G710" s="213"/>
    </row>
    <row r="711" spans="7:7">
      <c r="G711" s="213"/>
    </row>
    <row r="712" spans="7:7">
      <c r="G712" s="213"/>
    </row>
    <row r="713" spans="7:7">
      <c r="G713" s="213"/>
    </row>
    <row r="714" spans="7:7">
      <c r="G714" s="213"/>
    </row>
    <row r="715" spans="7:7">
      <c r="G715" s="213"/>
    </row>
    <row r="716" spans="7:7">
      <c r="G716" s="213"/>
    </row>
  </sheetData>
  <conditionalFormatting sqref="C$1:C$1048576">
    <cfRule type="duplicateValues" dxfId="0" priority="3"/>
    <cfRule type="duplicateValues" dxfId="0" priority="5"/>
  </conditionalFormatting>
  <conditionalFormatting sqref="C2:C497">
    <cfRule type="duplicateValues" dxfId="0" priority="10"/>
    <cfRule type="duplicateValues" dxfId="0" priority="11"/>
  </conditionalFormatting>
  <conditionalFormatting sqref="C498:C698">
    <cfRule type="duplicateValues" dxfId="0" priority="8"/>
    <cfRule type="duplicateValues" dxfId="0" priority="9"/>
  </conditionalFormatting>
  <conditionalFormatting sqref="C699:C700">
    <cfRule type="duplicateValues" dxfId="0" priority="6"/>
    <cfRule type="duplicateValues" dxfId="0" priority="7"/>
  </conditionalFormatting>
  <conditionalFormatting sqref="E1:E700">
    <cfRule type="duplicateValues" dxfId="0" priority="12"/>
  </conditionalFormatting>
  <conditionalFormatting sqref="E701:E707">
    <cfRule type="duplicateValues" dxfId="0" priority="4"/>
  </conditionalFormatting>
  <conditionalFormatting sqref="F$1:F$1048576">
    <cfRule type="duplicateValues" dxfId="0" priority="2"/>
  </conditionalFormatting>
  <conditionalFormatting sqref="F$1:G$1048576">
    <cfRule type="duplicateValues" dxfId="0" priority="1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88"/>
  <sheetViews>
    <sheetView zoomScale="90" zoomScaleNormal="90" workbookViewId="0">
      <pane xSplit="1" ySplit="1" topLeftCell="B59" activePane="bottomRight" state="frozen"/>
      <selection/>
      <selection pane="topRight"/>
      <selection pane="bottomLeft"/>
      <selection pane="bottomRight" activeCell="G84" sqref="G84"/>
    </sheetView>
  </sheetViews>
  <sheetFormatPr defaultColWidth="9" defaultRowHeight="13.5"/>
  <cols>
    <col min="1" max="1" width="4.625" style="175" customWidth="1"/>
    <col min="2" max="2" width="36.625" style="175" customWidth="1"/>
    <col min="3" max="3" width="61.75" style="177" customWidth="1"/>
    <col min="4" max="4" width="12.25" style="176" customWidth="1"/>
    <col min="5" max="5" width="6.5" style="176" customWidth="1"/>
    <col min="6" max="16384" width="9" style="175"/>
  </cols>
  <sheetData>
    <row r="1" s="174" customFormat="1" ht="28.5" spans="1:79">
      <c r="A1" s="178" t="s">
        <v>125</v>
      </c>
      <c r="B1" s="179" t="s">
        <v>481</v>
      </c>
      <c r="C1" s="178" t="s">
        <v>482</v>
      </c>
      <c r="D1" s="178" t="s">
        <v>128</v>
      </c>
      <c r="E1" s="178" t="s">
        <v>129</v>
      </c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96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97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</row>
    <row r="2" ht="14.25" spans="1:5">
      <c r="A2" s="181">
        <v>1</v>
      </c>
      <c r="B2" s="181" t="s">
        <v>2812</v>
      </c>
      <c r="C2" s="184" t="s">
        <v>2813</v>
      </c>
      <c r="D2" s="182">
        <v>518100</v>
      </c>
      <c r="E2" s="181">
        <v>5</v>
      </c>
    </row>
    <row r="3" ht="14.25" spans="1:5">
      <c r="A3" s="181">
        <v>2</v>
      </c>
      <c r="B3" s="181" t="s">
        <v>2814</v>
      </c>
      <c r="C3" s="184" t="s">
        <v>2815</v>
      </c>
      <c r="D3" s="182">
        <v>518100</v>
      </c>
      <c r="E3" s="182">
        <v>6</v>
      </c>
    </row>
    <row r="4" ht="14.25" spans="1:5">
      <c r="A4" s="181">
        <v>3</v>
      </c>
      <c r="B4" s="181" t="s">
        <v>2816</v>
      </c>
      <c r="C4" s="198" t="s">
        <v>2817</v>
      </c>
      <c r="D4" s="182">
        <v>518101</v>
      </c>
      <c r="E4" s="181">
        <v>5</v>
      </c>
    </row>
    <row r="5" ht="14.25" spans="1:5">
      <c r="A5" s="181">
        <v>4</v>
      </c>
      <c r="B5" s="181" t="s">
        <v>2818</v>
      </c>
      <c r="C5" s="198" t="s">
        <v>2819</v>
      </c>
      <c r="D5" s="182">
        <v>518101</v>
      </c>
      <c r="E5" s="181">
        <v>6</v>
      </c>
    </row>
    <row r="6" ht="14.25" spans="1:5">
      <c r="A6" s="181">
        <v>5</v>
      </c>
      <c r="B6" s="181" t="s">
        <v>2820</v>
      </c>
      <c r="C6" s="184" t="s">
        <v>2821</v>
      </c>
      <c r="D6" s="182">
        <v>518102</v>
      </c>
      <c r="E6" s="181">
        <v>5</v>
      </c>
    </row>
    <row r="7" ht="14.25" spans="1:5">
      <c r="A7" s="181">
        <v>6</v>
      </c>
      <c r="B7" s="181" t="s">
        <v>2822</v>
      </c>
      <c r="C7" s="184" t="s">
        <v>2823</v>
      </c>
      <c r="D7" s="182">
        <v>518102</v>
      </c>
      <c r="E7" s="182">
        <v>6</v>
      </c>
    </row>
    <row r="8" ht="14.25" spans="1:5">
      <c r="A8" s="181">
        <v>7</v>
      </c>
      <c r="B8" s="181" t="s">
        <v>2824</v>
      </c>
      <c r="C8" s="198" t="s">
        <v>2825</v>
      </c>
      <c r="D8" s="182">
        <v>518103</v>
      </c>
      <c r="E8" s="181">
        <v>5</v>
      </c>
    </row>
    <row r="9" ht="14.25" spans="1:5">
      <c r="A9" s="181">
        <v>8</v>
      </c>
      <c r="B9" s="181" t="s">
        <v>2826</v>
      </c>
      <c r="C9" s="198" t="s">
        <v>2827</v>
      </c>
      <c r="D9" s="182">
        <v>518103</v>
      </c>
      <c r="E9" s="181">
        <v>6</v>
      </c>
    </row>
    <row r="10" ht="14.25" spans="1:5">
      <c r="A10" s="181">
        <v>9</v>
      </c>
      <c r="B10" s="181" t="s">
        <v>2828</v>
      </c>
      <c r="C10" s="198" t="s">
        <v>2829</v>
      </c>
      <c r="D10" s="182">
        <v>518104</v>
      </c>
      <c r="E10" s="181">
        <v>5</v>
      </c>
    </row>
    <row r="11" ht="14.25" spans="1:5">
      <c r="A11" s="181">
        <v>10</v>
      </c>
      <c r="B11" s="181" t="s">
        <v>2830</v>
      </c>
      <c r="C11" s="198" t="s">
        <v>2831</v>
      </c>
      <c r="D11" s="182">
        <v>518104</v>
      </c>
      <c r="E11" s="182">
        <v>6</v>
      </c>
    </row>
    <row r="12" ht="14.25" spans="1:5">
      <c r="A12" s="181">
        <v>11</v>
      </c>
      <c r="B12" s="181" t="s">
        <v>2832</v>
      </c>
      <c r="C12" s="184" t="s">
        <v>2833</v>
      </c>
      <c r="D12" s="182">
        <v>518105</v>
      </c>
      <c r="E12" s="181">
        <v>6</v>
      </c>
    </row>
    <row r="13" ht="14.25" spans="1:5">
      <c r="A13" s="181">
        <v>12</v>
      </c>
      <c r="B13" s="181" t="s">
        <v>2834</v>
      </c>
      <c r="C13" s="184" t="s">
        <v>2835</v>
      </c>
      <c r="D13" s="182">
        <v>518106</v>
      </c>
      <c r="E13" s="181">
        <v>5</v>
      </c>
    </row>
    <row r="14" ht="14.25" spans="1:5">
      <c r="A14" s="181">
        <v>13</v>
      </c>
      <c r="B14" s="181" t="s">
        <v>2836</v>
      </c>
      <c r="C14" s="184" t="s">
        <v>2837</v>
      </c>
      <c r="D14" s="182">
        <v>518106</v>
      </c>
      <c r="E14" s="182">
        <v>6</v>
      </c>
    </row>
    <row r="15" ht="14.25" spans="1:5">
      <c r="A15" s="181">
        <v>14</v>
      </c>
      <c r="B15" s="181" t="s">
        <v>2838</v>
      </c>
      <c r="C15" s="184" t="s">
        <v>2839</v>
      </c>
      <c r="D15" s="182">
        <v>518107</v>
      </c>
      <c r="E15" s="181">
        <v>5</v>
      </c>
    </row>
    <row r="16" ht="14.25" spans="1:5">
      <c r="A16" s="181">
        <v>15</v>
      </c>
      <c r="B16" s="181" t="s">
        <v>2840</v>
      </c>
      <c r="C16" s="184" t="s">
        <v>2841</v>
      </c>
      <c r="D16" s="182">
        <v>518107</v>
      </c>
      <c r="E16" s="181">
        <v>6</v>
      </c>
    </row>
    <row r="17" ht="14.25" spans="1:5">
      <c r="A17" s="181">
        <v>16</v>
      </c>
      <c r="B17" s="181" t="s">
        <v>2842</v>
      </c>
      <c r="C17" s="184" t="s">
        <v>2843</v>
      </c>
      <c r="D17" s="182">
        <v>518108</v>
      </c>
      <c r="E17" s="181">
        <v>5</v>
      </c>
    </row>
    <row r="18" ht="14.25" spans="1:5">
      <c r="A18" s="181">
        <v>17</v>
      </c>
      <c r="B18" s="181" t="s">
        <v>2844</v>
      </c>
      <c r="C18" s="184" t="s">
        <v>2845</v>
      </c>
      <c r="D18" s="182">
        <v>518108</v>
      </c>
      <c r="E18" s="182">
        <v>6</v>
      </c>
    </row>
    <row r="19" ht="14.25" spans="1:5">
      <c r="A19" s="181">
        <v>18</v>
      </c>
      <c r="B19" s="181" t="s">
        <v>2846</v>
      </c>
      <c r="C19" s="184" t="s">
        <v>2847</v>
      </c>
      <c r="D19" s="182">
        <v>518108</v>
      </c>
      <c r="E19" s="181">
        <v>13</v>
      </c>
    </row>
    <row r="20" ht="14.25" spans="1:5">
      <c r="A20" s="181">
        <v>19</v>
      </c>
      <c r="B20" s="181" t="s">
        <v>2848</v>
      </c>
      <c r="C20" s="184" t="s">
        <v>2849</v>
      </c>
      <c r="D20" s="182">
        <v>518109</v>
      </c>
      <c r="E20" s="181">
        <v>5</v>
      </c>
    </row>
    <row r="21" ht="14.25" spans="1:5">
      <c r="A21" s="181">
        <v>20</v>
      </c>
      <c r="B21" s="181" t="s">
        <v>2850</v>
      </c>
      <c r="C21" s="184" t="s">
        <v>2851</v>
      </c>
      <c r="D21" s="182">
        <v>518109</v>
      </c>
      <c r="E21" s="181">
        <v>6</v>
      </c>
    </row>
    <row r="22" ht="14.25" spans="1:5">
      <c r="A22" s="181">
        <v>21</v>
      </c>
      <c r="B22" s="181" t="s">
        <v>2852</v>
      </c>
      <c r="C22" s="184" t="s">
        <v>2853</v>
      </c>
      <c r="D22" s="182">
        <v>518109</v>
      </c>
      <c r="E22" s="181">
        <v>13</v>
      </c>
    </row>
    <row r="23" ht="14.25" spans="1:5">
      <c r="A23" s="181">
        <v>22</v>
      </c>
      <c r="B23" s="181" t="s">
        <v>2854</v>
      </c>
      <c r="C23" s="184" t="s">
        <v>2855</v>
      </c>
      <c r="D23" s="182">
        <v>518110</v>
      </c>
      <c r="E23" s="181">
        <v>5</v>
      </c>
    </row>
    <row r="24" ht="14.25" spans="1:5">
      <c r="A24" s="181">
        <v>23</v>
      </c>
      <c r="B24" s="181" t="s">
        <v>2856</v>
      </c>
      <c r="C24" s="184" t="s">
        <v>2857</v>
      </c>
      <c r="D24" s="182">
        <v>518110</v>
      </c>
      <c r="E24" s="181">
        <v>6</v>
      </c>
    </row>
    <row r="25" ht="14.25" spans="1:5">
      <c r="A25" s="181">
        <v>24</v>
      </c>
      <c r="B25" s="181" t="s">
        <v>2858</v>
      </c>
      <c r="C25" s="184" t="s">
        <v>2859</v>
      </c>
      <c r="D25" s="182">
        <v>518110</v>
      </c>
      <c r="E25" s="181">
        <v>13</v>
      </c>
    </row>
    <row r="26" ht="14.25" spans="1:5">
      <c r="A26" s="181">
        <v>25</v>
      </c>
      <c r="B26" s="181" t="s">
        <v>2860</v>
      </c>
      <c r="C26" s="184" t="s">
        <v>2861</v>
      </c>
      <c r="D26" s="182">
        <v>518111</v>
      </c>
      <c r="E26" s="181">
        <v>5</v>
      </c>
    </row>
    <row r="27" ht="14.25" spans="1:5">
      <c r="A27" s="181">
        <v>26</v>
      </c>
      <c r="B27" s="181" t="s">
        <v>2862</v>
      </c>
      <c r="C27" s="184" t="s">
        <v>2863</v>
      </c>
      <c r="D27" s="182">
        <v>518111</v>
      </c>
      <c r="E27" s="181">
        <v>6</v>
      </c>
    </row>
    <row r="28" ht="14.25" spans="1:5">
      <c r="A28" s="181">
        <v>27</v>
      </c>
      <c r="B28" s="181" t="s">
        <v>2864</v>
      </c>
      <c r="C28" s="184" t="s">
        <v>2865</v>
      </c>
      <c r="D28" s="182">
        <v>518111</v>
      </c>
      <c r="E28" s="181">
        <v>13</v>
      </c>
    </row>
    <row r="29" ht="14.25" spans="1:5">
      <c r="A29" s="181">
        <v>28</v>
      </c>
      <c r="B29" s="181" t="s">
        <v>2866</v>
      </c>
      <c r="C29" s="184" t="s">
        <v>2867</v>
      </c>
      <c r="D29" s="182">
        <v>518112</v>
      </c>
      <c r="E29" s="181">
        <v>5</v>
      </c>
    </row>
    <row r="30" ht="14.25" spans="1:5">
      <c r="A30" s="181">
        <v>29</v>
      </c>
      <c r="B30" s="181" t="s">
        <v>2868</v>
      </c>
      <c r="C30" s="184" t="s">
        <v>2869</v>
      </c>
      <c r="D30" s="182">
        <v>518112</v>
      </c>
      <c r="E30" s="181">
        <v>6</v>
      </c>
    </row>
    <row r="31" ht="14.25" spans="1:5">
      <c r="A31" s="181">
        <v>30</v>
      </c>
      <c r="B31" s="181" t="s">
        <v>2870</v>
      </c>
      <c r="C31" s="184" t="s">
        <v>2871</v>
      </c>
      <c r="D31" s="182">
        <v>518112</v>
      </c>
      <c r="E31" s="181">
        <v>13</v>
      </c>
    </row>
    <row r="32" ht="14.25" spans="1:5">
      <c r="A32" s="181">
        <v>31</v>
      </c>
      <c r="B32" s="181" t="s">
        <v>2872</v>
      </c>
      <c r="C32" s="184" t="s">
        <v>2873</v>
      </c>
      <c r="D32" s="182">
        <v>518113</v>
      </c>
      <c r="E32" s="181">
        <v>5</v>
      </c>
    </row>
    <row r="33" ht="14.25" spans="1:5">
      <c r="A33" s="181">
        <v>32</v>
      </c>
      <c r="B33" s="181" t="s">
        <v>2874</v>
      </c>
      <c r="C33" s="184" t="s">
        <v>2875</v>
      </c>
      <c r="D33" s="182">
        <v>518113</v>
      </c>
      <c r="E33" s="181">
        <v>6</v>
      </c>
    </row>
    <row r="34" ht="14.25" spans="1:5">
      <c r="A34" s="181">
        <v>33</v>
      </c>
      <c r="B34" s="181" t="s">
        <v>2876</v>
      </c>
      <c r="C34" s="184" t="s">
        <v>2877</v>
      </c>
      <c r="D34" s="182">
        <v>518113</v>
      </c>
      <c r="E34" s="181">
        <v>13</v>
      </c>
    </row>
    <row r="35" ht="14.25" spans="1:5">
      <c r="A35" s="181">
        <v>34</v>
      </c>
      <c r="B35" s="181" t="s">
        <v>2878</v>
      </c>
      <c r="C35" s="184" t="s">
        <v>2879</v>
      </c>
      <c r="D35" s="182">
        <v>518114</v>
      </c>
      <c r="E35" s="181">
        <v>5</v>
      </c>
    </row>
    <row r="36" ht="14.25" spans="1:5">
      <c r="A36" s="181">
        <v>35</v>
      </c>
      <c r="B36" s="181" t="s">
        <v>2880</v>
      </c>
      <c r="C36" s="184" t="s">
        <v>2881</v>
      </c>
      <c r="D36" s="182">
        <v>518114</v>
      </c>
      <c r="E36" s="181">
        <v>6</v>
      </c>
    </row>
    <row r="37" ht="14.25" spans="1:5">
      <c r="A37" s="181">
        <v>36</v>
      </c>
      <c r="B37" s="181" t="s">
        <v>2882</v>
      </c>
      <c r="C37" s="184" t="s">
        <v>2883</v>
      </c>
      <c r="D37" s="182">
        <v>518114</v>
      </c>
      <c r="E37" s="181">
        <v>13</v>
      </c>
    </row>
    <row r="38" ht="14.25" spans="1:5">
      <c r="A38" s="181">
        <v>37</v>
      </c>
      <c r="B38" s="181" t="s">
        <v>2884</v>
      </c>
      <c r="C38" s="184" t="s">
        <v>2885</v>
      </c>
      <c r="D38" s="182">
        <v>518115</v>
      </c>
      <c r="E38" s="181">
        <v>5</v>
      </c>
    </row>
    <row r="39" ht="14.25" spans="1:5">
      <c r="A39" s="181">
        <v>38</v>
      </c>
      <c r="B39" s="181" t="s">
        <v>2886</v>
      </c>
      <c r="C39" s="184" t="s">
        <v>2887</v>
      </c>
      <c r="D39" s="182">
        <v>518115</v>
      </c>
      <c r="E39" s="181">
        <v>6</v>
      </c>
    </row>
    <row r="40" ht="14.25" spans="1:5">
      <c r="A40" s="181">
        <v>39</v>
      </c>
      <c r="B40" s="181" t="s">
        <v>2888</v>
      </c>
      <c r="C40" s="184" t="s">
        <v>2889</v>
      </c>
      <c r="D40" s="182">
        <v>518115</v>
      </c>
      <c r="E40" s="181">
        <v>13</v>
      </c>
    </row>
    <row r="41" ht="14.25" spans="1:5">
      <c r="A41" s="181">
        <v>40</v>
      </c>
      <c r="B41" s="181" t="s">
        <v>2890</v>
      </c>
      <c r="C41" s="184" t="s">
        <v>2891</v>
      </c>
      <c r="D41" s="182">
        <v>518116</v>
      </c>
      <c r="E41" s="181">
        <v>5</v>
      </c>
    </row>
    <row r="42" ht="14.25" spans="1:5">
      <c r="A42" s="181">
        <v>41</v>
      </c>
      <c r="B42" s="181" t="s">
        <v>2892</v>
      </c>
      <c r="C42" s="184" t="s">
        <v>2893</v>
      </c>
      <c r="D42" s="182">
        <v>518116</v>
      </c>
      <c r="E42" s="181">
        <v>6</v>
      </c>
    </row>
    <row r="43" ht="14.25" spans="1:5">
      <c r="A43" s="181">
        <v>42</v>
      </c>
      <c r="B43" s="181" t="s">
        <v>2894</v>
      </c>
      <c r="C43" s="184" t="s">
        <v>2895</v>
      </c>
      <c r="D43" s="182">
        <v>518116</v>
      </c>
      <c r="E43" s="181">
        <v>13</v>
      </c>
    </row>
    <row r="44" s="196" customFormat="1" ht="14.25" spans="1:5">
      <c r="A44" s="181">
        <v>43</v>
      </c>
      <c r="B44" s="181" t="s">
        <v>2896</v>
      </c>
      <c r="C44" s="184" t="s">
        <v>2897</v>
      </c>
      <c r="D44" s="182">
        <v>518117</v>
      </c>
      <c r="E44" s="181">
        <v>5</v>
      </c>
    </row>
    <row r="45" ht="14.25" spans="1:5">
      <c r="A45" s="181">
        <v>44</v>
      </c>
      <c r="B45" s="181" t="s">
        <v>2898</v>
      </c>
      <c r="C45" s="184" t="s">
        <v>2899</v>
      </c>
      <c r="D45" s="182">
        <v>518117</v>
      </c>
      <c r="E45" s="181">
        <v>6</v>
      </c>
    </row>
    <row r="46" ht="14.25" spans="1:5">
      <c r="A46" s="181">
        <v>45</v>
      </c>
      <c r="B46" s="181" t="s">
        <v>2900</v>
      </c>
      <c r="C46" s="184" t="s">
        <v>2901</v>
      </c>
      <c r="D46" s="182">
        <v>518117</v>
      </c>
      <c r="E46" s="181">
        <v>13</v>
      </c>
    </row>
    <row r="47" ht="14.25" spans="1:5">
      <c r="A47" s="181">
        <v>46</v>
      </c>
      <c r="B47" s="181" t="s">
        <v>2902</v>
      </c>
      <c r="C47" s="184" t="s">
        <v>2903</v>
      </c>
      <c r="D47" s="182">
        <v>518118</v>
      </c>
      <c r="E47" s="181">
        <v>5</v>
      </c>
    </row>
    <row r="48" ht="14.25" spans="1:5">
      <c r="A48" s="181">
        <v>47</v>
      </c>
      <c r="B48" s="181" t="s">
        <v>2904</v>
      </c>
      <c r="C48" s="184" t="s">
        <v>2905</v>
      </c>
      <c r="D48" s="182">
        <v>518118</v>
      </c>
      <c r="E48" s="181">
        <v>6</v>
      </c>
    </row>
    <row r="49" ht="14.25" spans="1:5">
      <c r="A49" s="181">
        <v>48</v>
      </c>
      <c r="B49" s="181" t="s">
        <v>2906</v>
      </c>
      <c r="C49" s="184" t="s">
        <v>2907</v>
      </c>
      <c r="D49" s="182">
        <v>518118</v>
      </c>
      <c r="E49" s="181">
        <v>13</v>
      </c>
    </row>
    <row r="50" ht="14.25" spans="1:5">
      <c r="A50" s="181">
        <v>49</v>
      </c>
      <c r="B50" s="181" t="s">
        <v>2908</v>
      </c>
      <c r="C50" s="184" t="s">
        <v>2909</v>
      </c>
      <c r="D50" s="182">
        <v>518119</v>
      </c>
      <c r="E50" s="181">
        <v>5</v>
      </c>
    </row>
    <row r="51" ht="14.25" spans="1:5">
      <c r="A51" s="181">
        <v>50</v>
      </c>
      <c r="B51" s="181" t="s">
        <v>2910</v>
      </c>
      <c r="C51" s="184" t="s">
        <v>2911</v>
      </c>
      <c r="D51" s="182">
        <v>518119</v>
      </c>
      <c r="E51" s="181">
        <v>6</v>
      </c>
    </row>
    <row r="52" ht="14.25" spans="1:5">
      <c r="A52" s="181">
        <v>51</v>
      </c>
      <c r="B52" s="181" t="s">
        <v>2912</v>
      </c>
      <c r="C52" s="184" t="s">
        <v>2913</v>
      </c>
      <c r="D52" s="182">
        <v>518119</v>
      </c>
      <c r="E52" s="181">
        <v>13</v>
      </c>
    </row>
    <row r="53" ht="14.25" spans="1:5">
      <c r="A53" s="181">
        <v>52</v>
      </c>
      <c r="B53" s="181" t="s">
        <v>2914</v>
      </c>
      <c r="C53" s="184" t="s">
        <v>2915</v>
      </c>
      <c r="D53" s="182">
        <v>518120</v>
      </c>
      <c r="E53" s="181">
        <v>5</v>
      </c>
    </row>
    <row r="54" ht="14.25" spans="1:5">
      <c r="A54" s="181">
        <v>53</v>
      </c>
      <c r="B54" s="181" t="s">
        <v>2916</v>
      </c>
      <c r="C54" s="184" t="s">
        <v>2917</v>
      </c>
      <c r="D54" s="182">
        <v>518120</v>
      </c>
      <c r="E54" s="181">
        <v>6</v>
      </c>
    </row>
    <row r="55" ht="14.25" spans="1:5">
      <c r="A55" s="181">
        <v>54</v>
      </c>
      <c r="B55" s="181" t="s">
        <v>2918</v>
      </c>
      <c r="C55" s="184" t="s">
        <v>2919</v>
      </c>
      <c r="D55" s="182">
        <v>518120</v>
      </c>
      <c r="E55" s="181">
        <v>13</v>
      </c>
    </row>
    <row r="56" ht="14.25" spans="1:5">
      <c r="A56" s="181">
        <v>55</v>
      </c>
      <c r="B56" s="181" t="s">
        <v>2920</v>
      </c>
      <c r="C56" s="184" t="s">
        <v>2921</v>
      </c>
      <c r="D56" s="182">
        <v>518121</v>
      </c>
      <c r="E56" s="181">
        <v>5</v>
      </c>
    </row>
    <row r="57" ht="14.25" spans="1:5">
      <c r="A57" s="181">
        <v>56</v>
      </c>
      <c r="B57" s="181" t="s">
        <v>2922</v>
      </c>
      <c r="C57" s="184" t="s">
        <v>2923</v>
      </c>
      <c r="D57" s="182">
        <v>518121</v>
      </c>
      <c r="E57" s="181">
        <v>6</v>
      </c>
    </row>
    <row r="58" ht="14.25" spans="1:5">
      <c r="A58" s="181">
        <v>57</v>
      </c>
      <c r="B58" s="181" t="s">
        <v>2924</v>
      </c>
      <c r="C58" s="184" t="s">
        <v>2925</v>
      </c>
      <c r="D58" s="182">
        <v>518122</v>
      </c>
      <c r="E58" s="181">
        <v>5</v>
      </c>
    </row>
    <row r="59" ht="14.25" spans="1:5">
      <c r="A59" s="181">
        <v>58</v>
      </c>
      <c r="B59" s="181" t="s">
        <v>2926</v>
      </c>
      <c r="C59" s="184" t="s">
        <v>2927</v>
      </c>
      <c r="D59" s="182">
        <v>518122</v>
      </c>
      <c r="E59" s="181">
        <v>6</v>
      </c>
    </row>
    <row r="60" ht="14.25" spans="1:5">
      <c r="A60" s="181">
        <v>59</v>
      </c>
      <c r="B60" s="181" t="s">
        <v>2928</v>
      </c>
      <c r="C60" s="184" t="s">
        <v>2929</v>
      </c>
      <c r="D60" s="182">
        <v>518123</v>
      </c>
      <c r="E60" s="181">
        <v>5</v>
      </c>
    </row>
    <row r="61" ht="14.25" spans="1:5">
      <c r="A61" s="181">
        <v>60</v>
      </c>
      <c r="B61" s="181" t="s">
        <v>2930</v>
      </c>
      <c r="C61" s="184" t="s">
        <v>2931</v>
      </c>
      <c r="D61" s="182">
        <v>518123</v>
      </c>
      <c r="E61" s="181">
        <v>6</v>
      </c>
    </row>
    <row r="62" ht="14.25" spans="1:5">
      <c r="A62" s="181">
        <v>61</v>
      </c>
      <c r="B62" s="181" t="s">
        <v>2932</v>
      </c>
      <c r="C62" s="184" t="s">
        <v>2933</v>
      </c>
      <c r="D62" s="182">
        <v>518123</v>
      </c>
      <c r="E62" s="181">
        <v>13</v>
      </c>
    </row>
    <row r="63" ht="14.25" spans="1:5">
      <c r="A63" s="181">
        <v>62</v>
      </c>
      <c r="B63" s="181" t="s">
        <v>2934</v>
      </c>
      <c r="C63" s="184" t="s">
        <v>2935</v>
      </c>
      <c r="D63" s="182">
        <v>518124</v>
      </c>
      <c r="E63" s="181">
        <v>6</v>
      </c>
    </row>
    <row r="64" ht="14.25" spans="1:5">
      <c r="A64" s="181">
        <v>63</v>
      </c>
      <c r="B64" s="181" t="s">
        <v>2936</v>
      </c>
      <c r="C64" s="184" t="s">
        <v>2937</v>
      </c>
      <c r="D64" s="182">
        <v>518125</v>
      </c>
      <c r="E64" s="181">
        <v>6</v>
      </c>
    </row>
    <row r="65" ht="14.25" spans="1:5">
      <c r="A65" s="181">
        <v>64</v>
      </c>
      <c r="B65" s="181" t="s">
        <v>2938</v>
      </c>
      <c r="C65" s="184" t="s">
        <v>2939</v>
      </c>
      <c r="D65" s="182">
        <v>518126</v>
      </c>
      <c r="E65" s="181">
        <v>5</v>
      </c>
    </row>
    <row r="66" s="197" customFormat="1" ht="14.25" spans="1:5">
      <c r="A66" s="181">
        <v>65</v>
      </c>
      <c r="B66" s="181" t="s">
        <v>2940</v>
      </c>
      <c r="C66" s="184" t="s">
        <v>2941</v>
      </c>
      <c r="D66" s="182">
        <v>518127</v>
      </c>
      <c r="E66" s="181">
        <v>5</v>
      </c>
    </row>
    <row r="67" ht="14.25" spans="1:5">
      <c r="A67" s="181">
        <v>66</v>
      </c>
      <c r="B67" s="181" t="s">
        <v>2942</v>
      </c>
      <c r="C67" s="184" t="s">
        <v>2943</v>
      </c>
      <c r="D67" s="182">
        <v>518128</v>
      </c>
      <c r="E67" s="181">
        <v>5</v>
      </c>
    </row>
    <row r="68" ht="14.25" spans="1:5">
      <c r="A68" s="181">
        <v>67</v>
      </c>
      <c r="B68" s="181" t="s">
        <v>2944</v>
      </c>
      <c r="C68" s="184" t="s">
        <v>2945</v>
      </c>
      <c r="D68" s="182">
        <v>518129</v>
      </c>
      <c r="E68" s="181">
        <v>5</v>
      </c>
    </row>
    <row r="69" ht="14.25" spans="1:5">
      <c r="A69" s="181">
        <v>68</v>
      </c>
      <c r="B69" s="181" t="s">
        <v>2946</v>
      </c>
      <c r="C69" s="184" t="s">
        <v>2947</v>
      </c>
      <c r="D69" s="182">
        <v>518131</v>
      </c>
      <c r="E69" s="181">
        <v>3</v>
      </c>
    </row>
    <row r="70" ht="14.25" spans="1:5">
      <c r="A70" s="181">
        <v>69</v>
      </c>
      <c r="B70" s="181" t="s">
        <v>2948</v>
      </c>
      <c r="C70" s="184" t="s">
        <v>2949</v>
      </c>
      <c r="D70" s="182">
        <v>518131</v>
      </c>
      <c r="E70" s="181">
        <v>4</v>
      </c>
    </row>
    <row r="71" ht="14.25" spans="1:5">
      <c r="A71" s="181">
        <v>70</v>
      </c>
      <c r="B71" s="181" t="s">
        <v>2950</v>
      </c>
      <c r="C71" s="184" t="s">
        <v>2951</v>
      </c>
      <c r="D71" s="182">
        <v>518136</v>
      </c>
      <c r="E71" s="181">
        <v>5</v>
      </c>
    </row>
    <row r="72" ht="14.25" spans="1:5">
      <c r="A72" s="181">
        <v>71</v>
      </c>
      <c r="B72" s="181" t="s">
        <v>2952</v>
      </c>
      <c r="C72" s="184" t="s">
        <v>2953</v>
      </c>
      <c r="D72" s="182">
        <v>518136</v>
      </c>
      <c r="E72" s="181">
        <v>6</v>
      </c>
    </row>
    <row r="73" ht="14.25" spans="1:5">
      <c r="A73" s="181">
        <v>72</v>
      </c>
      <c r="B73" s="181" t="s">
        <v>2954</v>
      </c>
      <c r="C73" s="184" t="s">
        <v>2955</v>
      </c>
      <c r="D73" s="182">
        <v>518137</v>
      </c>
      <c r="E73" s="181">
        <v>5</v>
      </c>
    </row>
    <row r="74" ht="14.25" spans="1:5">
      <c r="A74" s="181">
        <v>73</v>
      </c>
      <c r="B74" s="181" t="s">
        <v>2956</v>
      </c>
      <c r="C74" s="184" t="s">
        <v>2957</v>
      </c>
      <c r="D74" s="182">
        <v>518137</v>
      </c>
      <c r="E74" s="181">
        <v>6</v>
      </c>
    </row>
    <row r="75" ht="14.25" spans="1:5">
      <c r="A75" s="181">
        <v>74</v>
      </c>
      <c r="B75" s="181" t="s">
        <v>2958</v>
      </c>
      <c r="C75" s="198" t="s">
        <v>2959</v>
      </c>
      <c r="D75" s="182">
        <v>518138</v>
      </c>
      <c r="E75" s="181">
        <v>6</v>
      </c>
    </row>
    <row r="76" ht="14.25" spans="1:5">
      <c r="A76" s="181">
        <v>75</v>
      </c>
      <c r="B76" s="181" t="s">
        <v>2960</v>
      </c>
      <c r="C76" s="198" t="s">
        <v>2961</v>
      </c>
      <c r="D76" s="182">
        <v>518139</v>
      </c>
      <c r="E76" s="181">
        <v>5</v>
      </c>
    </row>
    <row r="77" ht="14.25" spans="1:5">
      <c r="A77" s="181">
        <v>76</v>
      </c>
      <c r="B77" s="181" t="s">
        <v>2962</v>
      </c>
      <c r="C77" s="198" t="s">
        <v>2963</v>
      </c>
      <c r="D77" s="182">
        <v>518139</v>
      </c>
      <c r="E77" s="181">
        <v>6</v>
      </c>
    </row>
    <row r="78" ht="14.25" spans="1:5">
      <c r="A78" s="181">
        <v>77</v>
      </c>
      <c r="B78" s="181" t="s">
        <v>2964</v>
      </c>
      <c r="C78" s="184" t="s">
        <v>2965</v>
      </c>
      <c r="D78" s="182">
        <v>518140</v>
      </c>
      <c r="E78" s="181">
        <v>5</v>
      </c>
    </row>
    <row r="79" ht="14.25" spans="1:5">
      <c r="A79" s="181">
        <v>78</v>
      </c>
      <c r="B79" s="181" t="s">
        <v>2966</v>
      </c>
      <c r="C79" s="184" t="s">
        <v>2967</v>
      </c>
      <c r="D79" s="182">
        <v>518140</v>
      </c>
      <c r="E79" s="181">
        <v>6</v>
      </c>
    </row>
    <row r="80" ht="14.25" spans="1:5">
      <c r="A80" s="181">
        <v>79</v>
      </c>
      <c r="B80" s="181" t="s">
        <v>2968</v>
      </c>
      <c r="C80" s="198" t="s">
        <v>2969</v>
      </c>
      <c r="D80" s="182">
        <v>518141</v>
      </c>
      <c r="E80" s="181">
        <v>5</v>
      </c>
    </row>
    <row r="81" ht="14.25" spans="1:5">
      <c r="A81" s="181">
        <v>80</v>
      </c>
      <c r="B81" s="181" t="s">
        <v>2970</v>
      </c>
      <c r="C81" s="198" t="s">
        <v>2971</v>
      </c>
      <c r="D81" s="182">
        <v>518141</v>
      </c>
      <c r="E81" s="181">
        <v>6</v>
      </c>
    </row>
    <row r="82" ht="14.25" spans="1:5">
      <c r="A82" s="181">
        <v>81</v>
      </c>
      <c r="B82" s="181" t="s">
        <v>2972</v>
      </c>
      <c r="C82" s="198" t="s">
        <v>2973</v>
      </c>
      <c r="D82" s="182">
        <v>518142</v>
      </c>
      <c r="E82" s="181">
        <v>5</v>
      </c>
    </row>
    <row r="83" ht="14.25" spans="1:5">
      <c r="A83" s="181">
        <v>82</v>
      </c>
      <c r="B83" s="181" t="s">
        <v>2974</v>
      </c>
      <c r="C83" s="198" t="s">
        <v>2975</v>
      </c>
      <c r="D83" s="182">
        <v>518142</v>
      </c>
      <c r="E83" s="181">
        <v>6</v>
      </c>
    </row>
    <row r="84" ht="14.25" spans="1:5">
      <c r="A84" s="181">
        <v>83</v>
      </c>
      <c r="B84" s="181" t="s">
        <v>2976</v>
      </c>
      <c r="C84" s="198" t="s">
        <v>2977</v>
      </c>
      <c r="D84" s="182">
        <v>518148</v>
      </c>
      <c r="E84" s="182">
        <v>3</v>
      </c>
    </row>
    <row r="85" ht="14.25" spans="1:5">
      <c r="A85" s="181">
        <v>84</v>
      </c>
      <c r="B85" s="181" t="s">
        <v>2978</v>
      </c>
      <c r="C85" s="198" t="s">
        <v>2979</v>
      </c>
      <c r="D85" s="182">
        <v>518148</v>
      </c>
      <c r="E85" s="182">
        <v>4</v>
      </c>
    </row>
    <row r="86" ht="14.25" spans="1:5">
      <c r="A86" s="181">
        <v>85</v>
      </c>
      <c r="B86" s="181" t="s">
        <v>2980</v>
      </c>
      <c r="C86" s="184" t="s">
        <v>2981</v>
      </c>
      <c r="D86" s="199">
        <v>518151</v>
      </c>
      <c r="E86" s="199">
        <v>0</v>
      </c>
    </row>
    <row r="87" ht="14.25" spans="1:5">
      <c r="A87" s="181">
        <v>86</v>
      </c>
      <c r="B87" s="181" t="s">
        <v>2982</v>
      </c>
      <c r="C87" s="184" t="s">
        <v>2983</v>
      </c>
      <c r="D87" s="199">
        <v>518151</v>
      </c>
      <c r="E87" s="199">
        <v>1</v>
      </c>
    </row>
    <row r="88" spans="3:3">
      <c r="C88" s="200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7"/>
  <sheetViews>
    <sheetView zoomScale="70" zoomScaleNormal="70" workbookViewId="0">
      <pane ySplit="1" topLeftCell="A2" activePane="bottomLeft" state="frozen"/>
      <selection/>
      <selection pane="bottomLeft" activeCell="A1" sqref="A1"/>
    </sheetView>
  </sheetViews>
  <sheetFormatPr defaultColWidth="0" defaultRowHeight="13.5"/>
  <cols>
    <col min="1" max="1" width="4.125" style="185" customWidth="1"/>
    <col min="4" max="4" width="36.625" style="186" customWidth="1"/>
    <col min="5" max="5" width="36.625" style="186" hidden="1" customWidth="1"/>
    <col min="6" max="6" width="7.5" style="185" customWidth="1"/>
    <col min="7" max="7" width="5.125" style="185" customWidth="1"/>
    <col min="8" max="8" width="63.375" style="186" customWidth="1"/>
    <col min="9" max="9" width="22.625" style="186" hidden="1" customWidth="1"/>
    <col min="10" max="36" width="0" style="185" hidden="1" customWidth="1"/>
    <col min="37" max="16384" width="9" style="185" hidden="1"/>
  </cols>
  <sheetData>
    <row r="1" s="174" customFormat="1" ht="28.5" spans="1:36">
      <c r="A1" s="178" t="s">
        <v>125</v>
      </c>
      <c r="D1" s="179" t="s">
        <v>2984</v>
      </c>
      <c r="E1" s="180"/>
      <c r="F1" s="178" t="s">
        <v>128</v>
      </c>
      <c r="G1" s="178" t="s">
        <v>129</v>
      </c>
      <c r="H1" s="178" t="s">
        <v>482</v>
      </c>
      <c r="I1" s="178" t="s">
        <v>2985</v>
      </c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</row>
    <row r="2" ht="33.6" customHeight="1" spans="1:18">
      <c r="A2" s="187" t="s">
        <v>2986</v>
      </c>
      <c r="D2" s="188" t="s">
        <v>2987</v>
      </c>
      <c r="E2" s="188" t="s">
        <v>2988</v>
      </c>
      <c r="F2" s="189" t="s">
        <v>2989</v>
      </c>
      <c r="G2" s="189" t="s">
        <v>2990</v>
      </c>
      <c r="H2" s="190" t="s">
        <v>2991</v>
      </c>
      <c r="I2" s="192" t="s">
        <v>2992</v>
      </c>
      <c r="J2" s="185" t="str">
        <f t="shared" ref="J2:J27" si="0">"DCM_"&amp;F2&amp;"_"&amp;G2</f>
        <v>DCM_518001_5</v>
      </c>
      <c r="K2" s="185" t="str">
        <f>"Detail_"&amp;J2</f>
        <v>Detail_DCM_518001_5</v>
      </c>
      <c r="L2" s="195" t="str">
        <f t="shared" ref="L2:L27" si="1">(F2*100+G2)&amp;":"</f>
        <v>51800105:</v>
      </c>
      <c r="M2" s="185" t="s">
        <v>2993</v>
      </c>
      <c r="N2" s="185" t="s">
        <v>2994</v>
      </c>
      <c r="O2" s="165" t="s">
        <v>2995</v>
      </c>
      <c r="P2" s="165">
        <v>1</v>
      </c>
      <c r="Q2" s="165" t="s">
        <v>2996</v>
      </c>
      <c r="R2" s="165" t="str">
        <f>N2&amp;O2&amp;P2&amp;Q2</f>
        <v>51800105:Var_ui_ErrNo := 1;</v>
      </c>
    </row>
    <row r="3" ht="33.6" customHeight="1" spans="1:18">
      <c r="A3" s="187" t="s">
        <v>2997</v>
      </c>
      <c r="D3" s="188" t="s">
        <v>2998</v>
      </c>
      <c r="E3" s="188" t="s">
        <v>2999</v>
      </c>
      <c r="F3" s="189" t="s">
        <v>2989</v>
      </c>
      <c r="G3" s="189" t="s">
        <v>3000</v>
      </c>
      <c r="H3" s="190" t="s">
        <v>3001</v>
      </c>
      <c r="I3" s="192" t="s">
        <v>3002</v>
      </c>
      <c r="J3" s="185" t="str">
        <f t="shared" si="0"/>
        <v>DCM_518001_6</v>
      </c>
      <c r="K3" s="185" t="str">
        <f t="shared" ref="K3:K27" si="2">"Detail_"&amp;J3</f>
        <v>Detail_DCM_518001_6</v>
      </c>
      <c r="L3" s="195" t="str">
        <f t="shared" si="1"/>
        <v>51800106:</v>
      </c>
      <c r="M3" s="185" t="s">
        <v>3003</v>
      </c>
      <c r="N3" s="185" t="s">
        <v>3004</v>
      </c>
      <c r="O3" s="165" t="s">
        <v>2995</v>
      </c>
      <c r="P3" s="165">
        <v>2</v>
      </c>
      <c r="Q3" s="165" t="s">
        <v>2996</v>
      </c>
      <c r="R3" s="165" t="str">
        <f t="shared" ref="R3:R27" si="3">N3&amp;O3&amp;P3&amp;Q3</f>
        <v>51800106:Var_ui_ErrNo := 2;</v>
      </c>
    </row>
    <row r="4" ht="33.6" customHeight="1" spans="1:18">
      <c r="A4" s="187" t="s">
        <v>3005</v>
      </c>
      <c r="D4" s="188" t="s">
        <v>3006</v>
      </c>
      <c r="E4" s="188" t="s">
        <v>3007</v>
      </c>
      <c r="F4" s="189" t="s">
        <v>3008</v>
      </c>
      <c r="G4" s="189" t="s">
        <v>2990</v>
      </c>
      <c r="H4" s="190" t="s">
        <v>3009</v>
      </c>
      <c r="I4" s="192" t="s">
        <v>3010</v>
      </c>
      <c r="J4" s="185" t="str">
        <f t="shared" si="0"/>
        <v>DCM_518002_5</v>
      </c>
      <c r="K4" s="185" t="str">
        <f t="shared" si="2"/>
        <v>Detail_DCM_518002_5</v>
      </c>
      <c r="L4" s="195" t="str">
        <f t="shared" si="1"/>
        <v>51800205:</v>
      </c>
      <c r="M4" s="185" t="s">
        <v>3011</v>
      </c>
      <c r="N4" s="185" t="s">
        <v>3012</v>
      </c>
      <c r="O4" s="165" t="s">
        <v>2995</v>
      </c>
      <c r="P4" s="165">
        <v>3</v>
      </c>
      <c r="Q4" s="165" t="s">
        <v>2996</v>
      </c>
      <c r="R4" s="165" t="str">
        <f t="shared" si="3"/>
        <v>51800205:Var_ui_ErrNo := 3;</v>
      </c>
    </row>
    <row r="5" ht="33.6" customHeight="1" spans="1:18">
      <c r="A5" s="187" t="s">
        <v>3013</v>
      </c>
      <c r="D5" s="188" t="s">
        <v>3014</v>
      </c>
      <c r="E5" s="188" t="s">
        <v>3015</v>
      </c>
      <c r="F5" s="189" t="s">
        <v>3008</v>
      </c>
      <c r="G5" s="189" t="s">
        <v>3000</v>
      </c>
      <c r="H5" s="190" t="s">
        <v>3016</v>
      </c>
      <c r="I5" s="192" t="s">
        <v>3017</v>
      </c>
      <c r="J5" s="185" t="str">
        <f t="shared" si="0"/>
        <v>DCM_518002_6</v>
      </c>
      <c r="K5" s="185" t="str">
        <f t="shared" si="2"/>
        <v>Detail_DCM_518002_6</v>
      </c>
      <c r="L5" s="195" t="str">
        <f t="shared" si="1"/>
        <v>51800206:</v>
      </c>
      <c r="M5" s="185" t="s">
        <v>3018</v>
      </c>
      <c r="N5" s="185" t="s">
        <v>3019</v>
      </c>
      <c r="O5" s="165" t="s">
        <v>2995</v>
      </c>
      <c r="P5" s="165">
        <v>4</v>
      </c>
      <c r="Q5" s="165" t="s">
        <v>2996</v>
      </c>
      <c r="R5" s="165" t="str">
        <f t="shared" si="3"/>
        <v>51800206:Var_ui_ErrNo := 4;</v>
      </c>
    </row>
    <row r="6" ht="33.6" customHeight="1" spans="1:18">
      <c r="A6" s="187" t="s">
        <v>2990</v>
      </c>
      <c r="D6" s="188" t="s">
        <v>3020</v>
      </c>
      <c r="E6" s="188" t="s">
        <v>3021</v>
      </c>
      <c r="F6" s="189" t="s">
        <v>3022</v>
      </c>
      <c r="G6" s="189" t="s">
        <v>2990</v>
      </c>
      <c r="H6" s="190" t="s">
        <v>3023</v>
      </c>
      <c r="I6" s="192" t="s">
        <v>3024</v>
      </c>
      <c r="J6" s="185" t="str">
        <f t="shared" si="0"/>
        <v>DCM_518003_5</v>
      </c>
      <c r="K6" s="185" t="str">
        <f t="shared" si="2"/>
        <v>Detail_DCM_518003_5</v>
      </c>
      <c r="L6" s="195" t="str">
        <f t="shared" si="1"/>
        <v>51800305:</v>
      </c>
      <c r="M6" s="185" t="s">
        <v>3025</v>
      </c>
      <c r="N6" s="185" t="s">
        <v>3026</v>
      </c>
      <c r="O6" s="165" t="s">
        <v>2995</v>
      </c>
      <c r="P6" s="165">
        <v>5</v>
      </c>
      <c r="Q6" s="165" t="s">
        <v>2996</v>
      </c>
      <c r="R6" s="165" t="str">
        <f t="shared" si="3"/>
        <v>51800305:Var_ui_ErrNo := 5;</v>
      </c>
    </row>
    <row r="7" ht="33.6" customHeight="1" spans="1:18">
      <c r="A7" s="187" t="s">
        <v>3000</v>
      </c>
      <c r="D7" s="188" t="s">
        <v>3027</v>
      </c>
      <c r="E7" s="188" t="s">
        <v>3028</v>
      </c>
      <c r="F7" s="189" t="s">
        <v>3022</v>
      </c>
      <c r="G7" s="189" t="s">
        <v>3000</v>
      </c>
      <c r="H7" s="190" t="s">
        <v>3029</v>
      </c>
      <c r="I7" s="192" t="s">
        <v>3030</v>
      </c>
      <c r="J7" s="185" t="str">
        <f t="shared" si="0"/>
        <v>DCM_518003_6</v>
      </c>
      <c r="K7" s="185" t="str">
        <f t="shared" si="2"/>
        <v>Detail_DCM_518003_6</v>
      </c>
      <c r="L7" s="195" t="str">
        <f t="shared" si="1"/>
        <v>51800306:</v>
      </c>
      <c r="M7" s="185" t="s">
        <v>3031</v>
      </c>
      <c r="N7" s="185" t="s">
        <v>3032</v>
      </c>
      <c r="O7" s="165" t="s">
        <v>2995</v>
      </c>
      <c r="P7" s="165">
        <v>6</v>
      </c>
      <c r="Q7" s="165" t="s">
        <v>2996</v>
      </c>
      <c r="R7" s="165" t="str">
        <f t="shared" si="3"/>
        <v>51800306:Var_ui_ErrNo := 6;</v>
      </c>
    </row>
    <row r="8" ht="33.6" customHeight="1" spans="1:18">
      <c r="A8" s="187" t="s">
        <v>3033</v>
      </c>
      <c r="D8" s="188" t="s">
        <v>3034</v>
      </c>
      <c r="E8" s="188" t="s">
        <v>3035</v>
      </c>
      <c r="F8" s="189" t="s">
        <v>3036</v>
      </c>
      <c r="G8" s="189" t="s">
        <v>2990</v>
      </c>
      <c r="H8" s="191" t="s">
        <v>3037</v>
      </c>
      <c r="I8" s="191" t="s">
        <v>3038</v>
      </c>
      <c r="J8" s="185" t="str">
        <f t="shared" si="0"/>
        <v>DCM_518004_5</v>
      </c>
      <c r="K8" s="185" t="str">
        <f t="shared" si="2"/>
        <v>Detail_DCM_518004_5</v>
      </c>
      <c r="L8" s="195" t="str">
        <f t="shared" si="1"/>
        <v>51800405:</v>
      </c>
      <c r="M8" s="185" t="s">
        <v>3039</v>
      </c>
      <c r="N8" s="185" t="s">
        <v>3040</v>
      </c>
      <c r="O8" s="165" t="s">
        <v>2995</v>
      </c>
      <c r="P8" s="165">
        <v>7</v>
      </c>
      <c r="Q8" s="165" t="s">
        <v>2996</v>
      </c>
      <c r="R8" s="165" t="str">
        <f t="shared" si="3"/>
        <v>51800405:Var_ui_ErrNo := 7;</v>
      </c>
    </row>
    <row r="9" ht="33.6" customHeight="1" spans="1:18">
      <c r="A9" s="187" t="s">
        <v>3041</v>
      </c>
      <c r="D9" s="188" t="s">
        <v>3042</v>
      </c>
      <c r="E9" s="188" t="s">
        <v>3043</v>
      </c>
      <c r="F9" s="189" t="s">
        <v>3036</v>
      </c>
      <c r="G9" s="189" t="s">
        <v>3000</v>
      </c>
      <c r="H9" s="191" t="s">
        <v>3044</v>
      </c>
      <c r="I9" s="191" t="s">
        <v>3045</v>
      </c>
      <c r="J9" s="185" t="str">
        <f t="shared" si="0"/>
        <v>DCM_518004_6</v>
      </c>
      <c r="K9" s="185" t="str">
        <f t="shared" si="2"/>
        <v>Detail_DCM_518004_6</v>
      </c>
      <c r="L9" s="195" t="str">
        <f t="shared" si="1"/>
        <v>51800406:</v>
      </c>
      <c r="M9" s="185" t="s">
        <v>3046</v>
      </c>
      <c r="N9" s="185" t="s">
        <v>3047</v>
      </c>
      <c r="O9" s="165" t="s">
        <v>2995</v>
      </c>
      <c r="P9" s="165">
        <v>8</v>
      </c>
      <c r="Q9" s="165" t="s">
        <v>2996</v>
      </c>
      <c r="R9" s="165" t="str">
        <f t="shared" si="3"/>
        <v>51800406:Var_ui_ErrNo := 8;</v>
      </c>
    </row>
    <row r="10" ht="33.6" customHeight="1" spans="1:18">
      <c r="A10" s="187" t="s">
        <v>3048</v>
      </c>
      <c r="D10" s="188" t="s">
        <v>3049</v>
      </c>
      <c r="E10" s="188" t="s">
        <v>3050</v>
      </c>
      <c r="F10" s="189" t="s">
        <v>3051</v>
      </c>
      <c r="G10" s="189" t="s">
        <v>2990</v>
      </c>
      <c r="H10" s="191" t="s">
        <v>3052</v>
      </c>
      <c r="I10" s="191" t="s">
        <v>3053</v>
      </c>
      <c r="J10" s="185" t="str">
        <f t="shared" si="0"/>
        <v>DCM_518005_5</v>
      </c>
      <c r="K10" s="185" t="str">
        <f t="shared" si="2"/>
        <v>Detail_DCM_518005_5</v>
      </c>
      <c r="L10" s="195" t="str">
        <f t="shared" si="1"/>
        <v>51800505:</v>
      </c>
      <c r="M10" s="185" t="s">
        <v>3054</v>
      </c>
      <c r="N10" s="185" t="s">
        <v>3055</v>
      </c>
      <c r="O10" s="165" t="s">
        <v>2995</v>
      </c>
      <c r="P10" s="165">
        <v>9</v>
      </c>
      <c r="Q10" s="165" t="s">
        <v>2996</v>
      </c>
      <c r="R10" s="165" t="str">
        <f t="shared" si="3"/>
        <v>51800505:Var_ui_ErrNo := 9;</v>
      </c>
    </row>
    <row r="11" ht="33.6" customHeight="1" spans="1:18">
      <c r="A11" s="187" t="s">
        <v>3056</v>
      </c>
      <c r="D11" s="188" t="s">
        <v>3057</v>
      </c>
      <c r="E11" s="188" t="s">
        <v>3058</v>
      </c>
      <c r="F11" s="189" t="s">
        <v>3051</v>
      </c>
      <c r="G11" s="189" t="s">
        <v>3000</v>
      </c>
      <c r="H11" s="191" t="s">
        <v>3059</v>
      </c>
      <c r="I11" s="191" t="s">
        <v>3060</v>
      </c>
      <c r="J11" s="185" t="str">
        <f t="shared" si="0"/>
        <v>DCM_518005_6</v>
      </c>
      <c r="K11" s="185" t="str">
        <f t="shared" si="2"/>
        <v>Detail_DCM_518005_6</v>
      </c>
      <c r="L11" s="195" t="str">
        <f t="shared" si="1"/>
        <v>51800506:</v>
      </c>
      <c r="M11" s="185" t="s">
        <v>3061</v>
      </c>
      <c r="N11" s="185" t="s">
        <v>3062</v>
      </c>
      <c r="O11" s="165" t="s">
        <v>2995</v>
      </c>
      <c r="P11" s="165">
        <v>10</v>
      </c>
      <c r="Q11" s="165" t="s">
        <v>2996</v>
      </c>
      <c r="R11" s="165" t="str">
        <f t="shared" si="3"/>
        <v>51800506:Var_ui_ErrNo := 10;</v>
      </c>
    </row>
    <row r="12" ht="33.6" customHeight="1" spans="1:18">
      <c r="A12" s="187" t="s">
        <v>3063</v>
      </c>
      <c r="D12" s="188" t="s">
        <v>3064</v>
      </c>
      <c r="E12" s="188" t="s">
        <v>3065</v>
      </c>
      <c r="F12" s="189" t="s">
        <v>3066</v>
      </c>
      <c r="G12" s="189" t="s">
        <v>2990</v>
      </c>
      <c r="H12" s="192" t="s">
        <v>3067</v>
      </c>
      <c r="I12" s="191" t="s">
        <v>3068</v>
      </c>
      <c r="J12" s="185" t="str">
        <f t="shared" si="0"/>
        <v>DCM_518006_5</v>
      </c>
      <c r="K12" s="185" t="str">
        <f t="shared" si="2"/>
        <v>Detail_DCM_518006_5</v>
      </c>
      <c r="L12" s="195" t="str">
        <f t="shared" si="1"/>
        <v>51800605:</v>
      </c>
      <c r="M12" s="185" t="s">
        <v>3069</v>
      </c>
      <c r="N12" s="185" t="s">
        <v>3070</v>
      </c>
      <c r="O12" s="165" t="s">
        <v>2995</v>
      </c>
      <c r="P12" s="165">
        <v>11</v>
      </c>
      <c r="Q12" s="165" t="s">
        <v>2996</v>
      </c>
      <c r="R12" s="165" t="str">
        <f t="shared" si="3"/>
        <v>51800605:Var_ui_ErrNo := 11;</v>
      </c>
    </row>
    <row r="13" ht="33.6" customHeight="1" spans="1:18">
      <c r="A13" s="187" t="s">
        <v>3071</v>
      </c>
      <c r="D13" s="188" t="s">
        <v>3072</v>
      </c>
      <c r="E13" s="188" t="s">
        <v>3073</v>
      </c>
      <c r="F13" s="189" t="s">
        <v>3066</v>
      </c>
      <c r="G13" s="189" t="s">
        <v>3000</v>
      </c>
      <c r="H13" s="192" t="s">
        <v>3074</v>
      </c>
      <c r="I13" s="191" t="s">
        <v>3075</v>
      </c>
      <c r="J13" s="185" t="str">
        <f t="shared" si="0"/>
        <v>DCM_518006_6</v>
      </c>
      <c r="K13" s="185" t="str">
        <f t="shared" si="2"/>
        <v>Detail_DCM_518006_6</v>
      </c>
      <c r="L13" s="195" t="str">
        <f t="shared" si="1"/>
        <v>51800606:</v>
      </c>
      <c r="M13" s="185" t="s">
        <v>3076</v>
      </c>
      <c r="N13" s="185" t="s">
        <v>3077</v>
      </c>
      <c r="O13" s="165" t="s">
        <v>2995</v>
      </c>
      <c r="P13" s="165">
        <v>12</v>
      </c>
      <c r="Q13" s="165" t="s">
        <v>2996</v>
      </c>
      <c r="R13" s="165" t="str">
        <f t="shared" si="3"/>
        <v>51800606:Var_ui_ErrNo := 12;</v>
      </c>
    </row>
    <row r="14" ht="33.6" customHeight="1" spans="1:18">
      <c r="A14" s="187" t="s">
        <v>3078</v>
      </c>
      <c r="D14" s="188" t="s">
        <v>3079</v>
      </c>
      <c r="E14" s="188" t="s">
        <v>3080</v>
      </c>
      <c r="F14" s="189" t="s">
        <v>3081</v>
      </c>
      <c r="G14" s="189" t="s">
        <v>2990</v>
      </c>
      <c r="H14" s="192" t="s">
        <v>3082</v>
      </c>
      <c r="I14" s="192" t="s">
        <v>3083</v>
      </c>
      <c r="J14" s="185" t="str">
        <f t="shared" si="0"/>
        <v>DCM_518007_5</v>
      </c>
      <c r="K14" s="185" t="str">
        <f t="shared" si="2"/>
        <v>Detail_DCM_518007_5</v>
      </c>
      <c r="L14" s="195" t="str">
        <f t="shared" si="1"/>
        <v>51800705:</v>
      </c>
      <c r="M14" s="185" t="s">
        <v>3084</v>
      </c>
      <c r="N14" s="185" t="s">
        <v>3085</v>
      </c>
      <c r="O14" s="165" t="s">
        <v>2995</v>
      </c>
      <c r="P14" s="165">
        <v>13</v>
      </c>
      <c r="Q14" s="165" t="s">
        <v>2996</v>
      </c>
      <c r="R14" s="165" t="str">
        <f t="shared" si="3"/>
        <v>51800705:Var_ui_ErrNo := 13;</v>
      </c>
    </row>
    <row r="15" ht="33.6" customHeight="1" spans="1:18">
      <c r="A15" s="187" t="s">
        <v>3086</v>
      </c>
      <c r="D15" s="188" t="s">
        <v>3087</v>
      </c>
      <c r="E15" s="188" t="s">
        <v>3088</v>
      </c>
      <c r="F15" s="189" t="s">
        <v>3081</v>
      </c>
      <c r="G15" s="189" t="s">
        <v>3000</v>
      </c>
      <c r="H15" s="192" t="s">
        <v>3089</v>
      </c>
      <c r="I15" s="192" t="s">
        <v>3090</v>
      </c>
      <c r="J15" s="185" t="str">
        <f t="shared" si="0"/>
        <v>DCM_518007_6</v>
      </c>
      <c r="K15" s="185" t="str">
        <f t="shared" si="2"/>
        <v>Detail_DCM_518007_6</v>
      </c>
      <c r="L15" s="195" t="str">
        <f t="shared" si="1"/>
        <v>51800706:</v>
      </c>
      <c r="M15" s="185" t="s">
        <v>3091</v>
      </c>
      <c r="N15" s="185" t="s">
        <v>3092</v>
      </c>
      <c r="O15" s="165" t="s">
        <v>2995</v>
      </c>
      <c r="P15" s="165">
        <v>14</v>
      </c>
      <c r="Q15" s="165" t="s">
        <v>2996</v>
      </c>
      <c r="R15" s="165" t="str">
        <f t="shared" si="3"/>
        <v>51800706:Var_ui_ErrNo := 14;</v>
      </c>
    </row>
    <row r="16" ht="33.6" customHeight="1" spans="1:18">
      <c r="A16" s="187" t="s">
        <v>956</v>
      </c>
      <c r="D16" s="188" t="s">
        <v>3093</v>
      </c>
      <c r="E16" s="188" t="s">
        <v>3094</v>
      </c>
      <c r="F16" s="189" t="s">
        <v>3095</v>
      </c>
      <c r="G16" s="189" t="s">
        <v>2990</v>
      </c>
      <c r="H16" s="190" t="s">
        <v>3096</v>
      </c>
      <c r="I16" s="192" t="s">
        <v>3097</v>
      </c>
      <c r="J16" s="185" t="str">
        <f t="shared" si="0"/>
        <v>DCM_518008_5</v>
      </c>
      <c r="K16" s="185" t="str">
        <f t="shared" si="2"/>
        <v>Detail_DCM_518008_5</v>
      </c>
      <c r="L16" s="195" t="str">
        <f t="shared" si="1"/>
        <v>51800805:</v>
      </c>
      <c r="M16" s="185" t="s">
        <v>3098</v>
      </c>
      <c r="N16" s="185" t="s">
        <v>3099</v>
      </c>
      <c r="O16" s="165" t="s">
        <v>2995</v>
      </c>
      <c r="P16" s="165">
        <v>15</v>
      </c>
      <c r="Q16" s="165" t="s">
        <v>2996</v>
      </c>
      <c r="R16" s="165" t="str">
        <f t="shared" si="3"/>
        <v>51800805:Var_ui_ErrNo := 15;</v>
      </c>
    </row>
    <row r="17" ht="33.6" customHeight="1" spans="1:18">
      <c r="A17" s="187" t="s">
        <v>962</v>
      </c>
      <c r="D17" s="188" t="s">
        <v>3100</v>
      </c>
      <c r="E17" s="188" t="s">
        <v>3101</v>
      </c>
      <c r="F17" s="189" t="s">
        <v>3095</v>
      </c>
      <c r="G17" s="189" t="s">
        <v>3000</v>
      </c>
      <c r="H17" s="190" t="s">
        <v>3102</v>
      </c>
      <c r="I17" s="192" t="s">
        <v>3103</v>
      </c>
      <c r="J17" s="185" t="str">
        <f t="shared" si="0"/>
        <v>DCM_518008_6</v>
      </c>
      <c r="K17" s="185" t="str">
        <f t="shared" si="2"/>
        <v>Detail_DCM_518008_6</v>
      </c>
      <c r="L17" s="195" t="str">
        <f t="shared" si="1"/>
        <v>51800806:</v>
      </c>
      <c r="M17" s="185" t="s">
        <v>3104</v>
      </c>
      <c r="N17" s="185" t="s">
        <v>3105</v>
      </c>
      <c r="O17" s="165" t="s">
        <v>2995</v>
      </c>
      <c r="P17" s="165">
        <v>16</v>
      </c>
      <c r="Q17" s="165" t="s">
        <v>2996</v>
      </c>
      <c r="R17" s="165" t="str">
        <f t="shared" si="3"/>
        <v>51800806:Var_ui_ErrNo := 16;</v>
      </c>
    </row>
    <row r="18" ht="33.6" customHeight="1" spans="1:18">
      <c r="A18" s="187" t="s">
        <v>3106</v>
      </c>
      <c r="D18" s="188" t="s">
        <v>3107</v>
      </c>
      <c r="E18" s="188" t="s">
        <v>3108</v>
      </c>
      <c r="F18" s="189" t="s">
        <v>3109</v>
      </c>
      <c r="G18" s="189" t="s">
        <v>2990</v>
      </c>
      <c r="H18" s="191" t="s">
        <v>3110</v>
      </c>
      <c r="I18" s="192" t="s">
        <v>3111</v>
      </c>
      <c r="J18" s="185" t="str">
        <f t="shared" si="0"/>
        <v>DCM_518009_5</v>
      </c>
      <c r="K18" s="185" t="str">
        <f t="shared" si="2"/>
        <v>Detail_DCM_518009_5</v>
      </c>
      <c r="L18" s="195" t="str">
        <f t="shared" si="1"/>
        <v>51800905:</v>
      </c>
      <c r="M18" s="185" t="s">
        <v>3112</v>
      </c>
      <c r="N18" s="185" t="s">
        <v>3113</v>
      </c>
      <c r="O18" s="165" t="s">
        <v>2995</v>
      </c>
      <c r="P18" s="165">
        <v>17</v>
      </c>
      <c r="Q18" s="165" t="s">
        <v>2996</v>
      </c>
      <c r="R18" s="165" t="str">
        <f t="shared" si="3"/>
        <v>51800905:Var_ui_ErrNo := 17;</v>
      </c>
    </row>
    <row r="19" ht="33.6" customHeight="1" spans="1:18">
      <c r="A19" s="187" t="s">
        <v>3114</v>
      </c>
      <c r="D19" s="188" t="s">
        <v>3115</v>
      </c>
      <c r="E19" s="188" t="s">
        <v>3116</v>
      </c>
      <c r="F19" s="189" t="s">
        <v>3109</v>
      </c>
      <c r="G19" s="189" t="s">
        <v>3000</v>
      </c>
      <c r="H19" s="191" t="s">
        <v>3117</v>
      </c>
      <c r="I19" s="192" t="s">
        <v>3118</v>
      </c>
      <c r="J19" s="185" t="str">
        <f t="shared" si="0"/>
        <v>DCM_518009_6</v>
      </c>
      <c r="K19" s="185" t="str">
        <f t="shared" si="2"/>
        <v>Detail_DCM_518009_6</v>
      </c>
      <c r="L19" s="195" t="str">
        <f t="shared" si="1"/>
        <v>51800906:</v>
      </c>
      <c r="M19" s="185" t="s">
        <v>3119</v>
      </c>
      <c r="N19" s="185" t="s">
        <v>3120</v>
      </c>
      <c r="O19" s="165" t="s">
        <v>2995</v>
      </c>
      <c r="P19" s="165">
        <v>18</v>
      </c>
      <c r="Q19" s="165" t="s">
        <v>2996</v>
      </c>
      <c r="R19" s="165" t="str">
        <f t="shared" si="3"/>
        <v>51800906:Var_ui_ErrNo := 18;</v>
      </c>
    </row>
    <row r="20" ht="33.6" customHeight="1" spans="1:18">
      <c r="A20" s="187" t="s">
        <v>3121</v>
      </c>
      <c r="D20" s="188" t="s">
        <v>3122</v>
      </c>
      <c r="E20" s="188" t="s">
        <v>3123</v>
      </c>
      <c r="F20" s="189" t="s">
        <v>3124</v>
      </c>
      <c r="G20" s="189" t="s">
        <v>2990</v>
      </c>
      <c r="H20" s="191" t="s">
        <v>3125</v>
      </c>
      <c r="I20" s="191" t="s">
        <v>3126</v>
      </c>
      <c r="J20" s="185" t="str">
        <f t="shared" si="0"/>
        <v>DCM_518010_5</v>
      </c>
      <c r="K20" s="185" t="str">
        <f t="shared" si="2"/>
        <v>Detail_DCM_518010_5</v>
      </c>
      <c r="L20" s="195" t="str">
        <f t="shared" si="1"/>
        <v>51801005:</v>
      </c>
      <c r="M20" s="185" t="s">
        <v>3127</v>
      </c>
      <c r="N20" s="185" t="s">
        <v>3128</v>
      </c>
      <c r="O20" s="165" t="s">
        <v>2995</v>
      </c>
      <c r="P20" s="165">
        <v>19</v>
      </c>
      <c r="Q20" s="165" t="s">
        <v>2996</v>
      </c>
      <c r="R20" s="165" t="str">
        <f t="shared" si="3"/>
        <v>51801005:Var_ui_ErrNo := 19;</v>
      </c>
    </row>
    <row r="21" ht="33.6" customHeight="1" spans="1:18">
      <c r="A21" s="187" t="s">
        <v>3129</v>
      </c>
      <c r="D21" s="188" t="s">
        <v>3130</v>
      </c>
      <c r="E21" s="188" t="s">
        <v>3131</v>
      </c>
      <c r="F21" s="189" t="s">
        <v>3124</v>
      </c>
      <c r="G21" s="189" t="s">
        <v>3000</v>
      </c>
      <c r="H21" s="191" t="s">
        <v>3132</v>
      </c>
      <c r="I21" s="191" t="s">
        <v>3133</v>
      </c>
      <c r="J21" s="185" t="str">
        <f t="shared" si="0"/>
        <v>DCM_518010_6</v>
      </c>
      <c r="K21" s="185" t="str">
        <f t="shared" si="2"/>
        <v>Detail_DCM_518010_6</v>
      </c>
      <c r="L21" s="195" t="str">
        <f t="shared" si="1"/>
        <v>51801006:</v>
      </c>
      <c r="M21" s="185" t="s">
        <v>3134</v>
      </c>
      <c r="N21" s="185" t="s">
        <v>3135</v>
      </c>
      <c r="O21" s="165" t="s">
        <v>2995</v>
      </c>
      <c r="P21" s="165">
        <v>20</v>
      </c>
      <c r="Q21" s="165" t="s">
        <v>2996</v>
      </c>
      <c r="R21" s="165" t="str">
        <f t="shared" si="3"/>
        <v>51801006:Var_ui_ErrNo := 20;</v>
      </c>
    </row>
    <row r="22" ht="33.6" customHeight="1" spans="1:18">
      <c r="A22" s="187" t="s">
        <v>3136</v>
      </c>
      <c r="D22" s="188" t="s">
        <v>3137</v>
      </c>
      <c r="E22" s="188" t="s">
        <v>3138</v>
      </c>
      <c r="F22" s="189" t="s">
        <v>3139</v>
      </c>
      <c r="G22" s="189" t="s">
        <v>3000</v>
      </c>
      <c r="H22" s="191" t="s">
        <v>3140</v>
      </c>
      <c r="I22" s="191" t="s">
        <v>3141</v>
      </c>
      <c r="J22" s="185" t="str">
        <f t="shared" si="0"/>
        <v>DCM_518011_6</v>
      </c>
      <c r="K22" s="185" t="str">
        <f t="shared" si="2"/>
        <v>Detail_DCM_518011_6</v>
      </c>
      <c r="L22" s="195" t="str">
        <f t="shared" si="1"/>
        <v>51801106:</v>
      </c>
      <c r="M22" s="185" t="s">
        <v>3142</v>
      </c>
      <c r="N22" s="185" t="s">
        <v>3143</v>
      </c>
      <c r="O22" s="165" t="s">
        <v>2995</v>
      </c>
      <c r="P22" s="165">
        <v>21</v>
      </c>
      <c r="Q22" s="165" t="s">
        <v>2996</v>
      </c>
      <c r="R22" s="165" t="str">
        <f t="shared" si="3"/>
        <v>51801106:Var_ui_ErrNo := 21;</v>
      </c>
    </row>
    <row r="23" ht="33.6" customHeight="1" spans="1:18">
      <c r="A23" s="187" t="s">
        <v>3144</v>
      </c>
      <c r="D23" s="188" t="s">
        <v>3145</v>
      </c>
      <c r="E23" s="188" t="s">
        <v>3146</v>
      </c>
      <c r="F23" s="189" t="s">
        <v>3147</v>
      </c>
      <c r="G23" s="189" t="s">
        <v>3013</v>
      </c>
      <c r="H23" s="191" t="s">
        <v>3148</v>
      </c>
      <c r="I23" s="191" t="s">
        <v>3149</v>
      </c>
      <c r="J23" s="185" t="str">
        <f t="shared" si="0"/>
        <v>DCM_518012_4</v>
      </c>
      <c r="K23" s="185" t="str">
        <f t="shared" si="2"/>
        <v>Detail_DCM_518012_4</v>
      </c>
      <c r="L23" s="195" t="str">
        <f t="shared" si="1"/>
        <v>51801204:</v>
      </c>
      <c r="M23" s="185" t="s">
        <v>3150</v>
      </c>
      <c r="N23" s="185" t="s">
        <v>3151</v>
      </c>
      <c r="O23" s="165" t="s">
        <v>2995</v>
      </c>
      <c r="P23" s="165">
        <v>22</v>
      </c>
      <c r="Q23" s="165" t="s">
        <v>2996</v>
      </c>
      <c r="R23" s="165" t="str">
        <f t="shared" si="3"/>
        <v>51801204:Var_ui_ErrNo := 22;</v>
      </c>
    </row>
    <row r="24" ht="33.6" customHeight="1" spans="1:18">
      <c r="A24" s="187" t="s">
        <v>3152</v>
      </c>
      <c r="D24" s="188" t="s">
        <v>3153</v>
      </c>
      <c r="E24" s="188" t="s">
        <v>3154</v>
      </c>
      <c r="F24" s="189" t="s">
        <v>3155</v>
      </c>
      <c r="G24" s="189" t="s">
        <v>3013</v>
      </c>
      <c r="H24" s="191" t="s">
        <v>3156</v>
      </c>
      <c r="I24" s="191" t="s">
        <v>3157</v>
      </c>
      <c r="J24" s="185" t="str">
        <f t="shared" si="0"/>
        <v>DCM_518013_4</v>
      </c>
      <c r="K24" s="185" t="str">
        <f t="shared" si="2"/>
        <v>Detail_DCM_518013_4</v>
      </c>
      <c r="L24" s="195" t="str">
        <f t="shared" si="1"/>
        <v>51801304:</v>
      </c>
      <c r="M24" s="185" t="s">
        <v>3158</v>
      </c>
      <c r="N24" s="185" t="s">
        <v>3159</v>
      </c>
      <c r="O24" s="165" t="s">
        <v>2995</v>
      </c>
      <c r="P24" s="165">
        <v>23</v>
      </c>
      <c r="Q24" s="165" t="s">
        <v>2996</v>
      </c>
      <c r="R24" s="165" t="str">
        <f t="shared" si="3"/>
        <v>51801304:Var_ui_ErrNo := 23;</v>
      </c>
    </row>
    <row r="25" ht="33.6" customHeight="1" spans="1:18">
      <c r="A25" s="187" t="s">
        <v>3160</v>
      </c>
      <c r="D25" s="188" t="s">
        <v>3161</v>
      </c>
      <c r="E25" s="188" t="s">
        <v>3162</v>
      </c>
      <c r="F25" s="189" t="s">
        <v>3163</v>
      </c>
      <c r="G25" s="189" t="s">
        <v>3013</v>
      </c>
      <c r="H25" s="191" t="s">
        <v>3164</v>
      </c>
      <c r="I25" s="191" t="s">
        <v>3165</v>
      </c>
      <c r="J25" s="185" t="str">
        <f t="shared" si="0"/>
        <v>DCM_518014_4</v>
      </c>
      <c r="K25" s="185" t="str">
        <f t="shared" si="2"/>
        <v>Detail_DCM_518014_4</v>
      </c>
      <c r="L25" s="195" t="str">
        <f t="shared" si="1"/>
        <v>51801404:</v>
      </c>
      <c r="M25" s="185" t="s">
        <v>3166</v>
      </c>
      <c r="N25" s="185" t="s">
        <v>3167</v>
      </c>
      <c r="O25" s="165" t="s">
        <v>2995</v>
      </c>
      <c r="P25" s="165">
        <v>24</v>
      </c>
      <c r="Q25" s="165" t="s">
        <v>2996</v>
      </c>
      <c r="R25" s="165" t="str">
        <f t="shared" si="3"/>
        <v>51801404:Var_ui_ErrNo := 24;</v>
      </c>
    </row>
    <row r="26" ht="33.6" customHeight="1" spans="1:18">
      <c r="A26" s="187" t="s">
        <v>3168</v>
      </c>
      <c r="D26" s="188" t="s">
        <v>3169</v>
      </c>
      <c r="E26" s="188" t="s">
        <v>3170</v>
      </c>
      <c r="F26" s="193">
        <v>518017</v>
      </c>
      <c r="G26" s="193">
        <v>0</v>
      </c>
      <c r="H26" s="194" t="s">
        <v>3171</v>
      </c>
      <c r="I26" s="194" t="s">
        <v>3172</v>
      </c>
      <c r="J26" s="185" t="str">
        <f t="shared" si="0"/>
        <v>DCM_518017_0</v>
      </c>
      <c r="K26" s="185" t="str">
        <f t="shared" si="2"/>
        <v>Detail_DCM_518017_0</v>
      </c>
      <c r="L26" s="195" t="str">
        <f t="shared" si="1"/>
        <v>51801700:</v>
      </c>
      <c r="M26" s="185" t="s">
        <v>3173</v>
      </c>
      <c r="N26" s="185" t="s">
        <v>3174</v>
      </c>
      <c r="O26" s="165" t="s">
        <v>2995</v>
      </c>
      <c r="P26" s="165">
        <v>25</v>
      </c>
      <c r="Q26" s="165" t="s">
        <v>2996</v>
      </c>
      <c r="R26" s="165" t="str">
        <f t="shared" si="3"/>
        <v>51801700:Var_ui_ErrNo := 25;</v>
      </c>
    </row>
    <row r="27" ht="33.6" customHeight="1" spans="1:18">
      <c r="A27" s="187" t="s">
        <v>3175</v>
      </c>
      <c r="D27" s="188" t="s">
        <v>3176</v>
      </c>
      <c r="E27" s="188" t="s">
        <v>3177</v>
      </c>
      <c r="F27" s="193">
        <v>518017</v>
      </c>
      <c r="G27" s="193">
        <v>1</v>
      </c>
      <c r="H27" s="194" t="s">
        <v>3178</v>
      </c>
      <c r="I27" s="194" t="s">
        <v>3179</v>
      </c>
      <c r="J27" s="185" t="str">
        <f t="shared" si="0"/>
        <v>DCM_518017_1</v>
      </c>
      <c r="K27" s="185" t="str">
        <f t="shared" si="2"/>
        <v>Detail_DCM_518017_1</v>
      </c>
      <c r="L27" s="195" t="str">
        <f t="shared" si="1"/>
        <v>51801701:</v>
      </c>
      <c r="M27" s="185" t="s">
        <v>3180</v>
      </c>
      <c r="N27" s="185" t="s">
        <v>3181</v>
      </c>
      <c r="O27" s="165" t="s">
        <v>2995</v>
      </c>
      <c r="P27" s="165">
        <v>26</v>
      </c>
      <c r="Q27" s="165" t="s">
        <v>2996</v>
      </c>
      <c r="R27" s="165" t="str">
        <f t="shared" si="3"/>
        <v>51801701:Var_ui_ErrNo := 26;</v>
      </c>
    </row>
  </sheetData>
  <mergeCells count="1">
    <mergeCell ref="D1:E1"/>
  </mergeCells>
  <pageMargins left="0.7" right="0.7" top="0.75" bottom="0.75" header="0.3" footer="0.3"/>
  <pageSetup paperSize="9" orientation="portrait" horizontalDpi="1200" verticalDpi="12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4.625" style="175" customWidth="1"/>
    <col min="2" max="2" width="10.625" style="176" customWidth="1"/>
    <col min="3" max="3" width="5.125" style="176" customWidth="1"/>
    <col min="4" max="4" width="57.625" style="175" customWidth="1"/>
    <col min="5" max="5" width="28" style="177" customWidth="1"/>
    <col min="6" max="6" width="39.375" style="177" customWidth="1"/>
    <col min="7" max="7" width="57" style="177" customWidth="1"/>
    <col min="8" max="9" width="15.75" style="175" customWidth="1"/>
    <col min="10" max="10" width="20.875" style="175" customWidth="1"/>
    <col min="11" max="16384" width="9" style="175"/>
  </cols>
  <sheetData>
    <row r="1" s="174" customFormat="1" ht="28.5" spans="1:8">
      <c r="A1" s="178" t="s">
        <v>125</v>
      </c>
      <c r="B1" s="178" t="s">
        <v>128</v>
      </c>
      <c r="C1" s="178" t="s">
        <v>129</v>
      </c>
      <c r="D1" s="179" t="s">
        <v>3182</v>
      </c>
      <c r="E1" s="180"/>
      <c r="F1" s="178" t="s">
        <v>482</v>
      </c>
      <c r="G1" s="178" t="s">
        <v>2985</v>
      </c>
      <c r="H1" s="174" t="s">
        <v>3183</v>
      </c>
    </row>
    <row r="2" ht="25.9" customHeight="1" spans="1:10">
      <c r="A2" s="181" t="s">
        <v>2986</v>
      </c>
      <c r="B2" s="182">
        <v>520001</v>
      </c>
      <c r="C2" s="181">
        <v>9</v>
      </c>
      <c r="D2" s="181" t="s">
        <v>3184</v>
      </c>
      <c r="E2" s="183" t="s">
        <v>3185</v>
      </c>
      <c r="F2" s="184" t="s">
        <v>3186</v>
      </c>
      <c r="G2" s="184" t="s">
        <v>3187</v>
      </c>
      <c r="H2" s="175" t="str">
        <f>"TPMS_"&amp;B2&amp;"_"&amp;C2</f>
        <v>TPMS_520001_9</v>
      </c>
      <c r="I2" s="175">
        <v>1</v>
      </c>
      <c r="J2" s="175" t="str">
        <f>H2&amp;"Var_ui_ErrNo := "&amp;I2&amp;";"</f>
        <v>TPMS_520001_9Var_ui_ErrNo := 1;</v>
      </c>
    </row>
    <row r="3" ht="25.9" customHeight="1" spans="1:10">
      <c r="A3" s="181" t="s">
        <v>2997</v>
      </c>
      <c r="B3" s="182">
        <v>520002</v>
      </c>
      <c r="C3" s="182">
        <v>9</v>
      </c>
      <c r="D3" s="181" t="s">
        <v>3188</v>
      </c>
      <c r="E3" s="183" t="s">
        <v>3189</v>
      </c>
      <c r="F3" s="184" t="s">
        <v>3190</v>
      </c>
      <c r="G3" s="184" t="s">
        <v>3191</v>
      </c>
      <c r="H3" s="175" t="str">
        <f t="shared" ref="H3:H38" si="0">"TPMS_"&amp;B3&amp;"_"&amp;C3</f>
        <v>TPMS_520002_9</v>
      </c>
      <c r="I3" s="175">
        <v>2</v>
      </c>
      <c r="J3" s="175" t="str">
        <f t="shared" ref="J3:J38" si="1">H3&amp;"Var_ui_ErrNo := "&amp;I3&amp;";"</f>
        <v>TPMS_520002_9Var_ui_ErrNo := 2;</v>
      </c>
    </row>
    <row r="4" ht="25.9" customHeight="1" spans="1:10">
      <c r="A4" s="181" t="s">
        <v>3005</v>
      </c>
      <c r="B4" s="182">
        <v>520003</v>
      </c>
      <c r="C4" s="181">
        <v>9</v>
      </c>
      <c r="D4" s="181" t="s">
        <v>3192</v>
      </c>
      <c r="E4" s="183" t="s">
        <v>3193</v>
      </c>
      <c r="F4" s="184" t="s">
        <v>3194</v>
      </c>
      <c r="G4" s="184" t="s">
        <v>3195</v>
      </c>
      <c r="H4" s="175" t="str">
        <f t="shared" si="0"/>
        <v>TPMS_520003_9</v>
      </c>
      <c r="I4" s="175">
        <v>3</v>
      </c>
      <c r="J4" s="175" t="str">
        <f t="shared" si="1"/>
        <v>TPMS_520003_9Var_ui_ErrNo := 3;</v>
      </c>
    </row>
    <row r="5" ht="25.9" customHeight="1" spans="1:10">
      <c r="A5" s="181" t="s">
        <v>3013</v>
      </c>
      <c r="B5" s="182">
        <v>520004</v>
      </c>
      <c r="C5" s="181">
        <v>9</v>
      </c>
      <c r="D5" s="181" t="s">
        <v>3196</v>
      </c>
      <c r="E5" s="183" t="s">
        <v>3197</v>
      </c>
      <c r="F5" s="184" t="s">
        <v>3198</v>
      </c>
      <c r="G5" s="184" t="s">
        <v>3199</v>
      </c>
      <c r="H5" s="175" t="str">
        <f t="shared" si="0"/>
        <v>TPMS_520004_9</v>
      </c>
      <c r="I5" s="175">
        <v>4</v>
      </c>
      <c r="J5" s="175" t="str">
        <f t="shared" si="1"/>
        <v>TPMS_520004_9Var_ui_ErrNo := 4;</v>
      </c>
    </row>
    <row r="6" ht="25.9" customHeight="1" spans="1:10">
      <c r="A6" s="181" t="s">
        <v>2990</v>
      </c>
      <c r="B6" s="182">
        <v>520005</v>
      </c>
      <c r="C6" s="181">
        <v>9</v>
      </c>
      <c r="D6" s="181" t="s">
        <v>3200</v>
      </c>
      <c r="E6" s="183" t="s">
        <v>3201</v>
      </c>
      <c r="F6" s="184" t="s">
        <v>3202</v>
      </c>
      <c r="G6" s="184" t="s">
        <v>3203</v>
      </c>
      <c r="H6" s="175" t="str">
        <f t="shared" si="0"/>
        <v>TPMS_520005_9</v>
      </c>
      <c r="I6" s="175">
        <v>5</v>
      </c>
      <c r="J6" s="175" t="str">
        <f t="shared" si="1"/>
        <v>TPMS_520005_9Var_ui_ErrNo := 5;</v>
      </c>
    </row>
    <row r="7" ht="25.9" customHeight="1" spans="1:10">
      <c r="A7" s="181" t="s">
        <v>3000</v>
      </c>
      <c r="B7" s="182">
        <v>520006</v>
      </c>
      <c r="C7" s="182">
        <v>9</v>
      </c>
      <c r="D7" s="181" t="s">
        <v>3204</v>
      </c>
      <c r="E7" s="183" t="s">
        <v>3205</v>
      </c>
      <c r="F7" s="184" t="s">
        <v>3206</v>
      </c>
      <c r="G7" s="184" t="s">
        <v>3207</v>
      </c>
      <c r="H7" s="175" t="str">
        <f t="shared" si="0"/>
        <v>TPMS_520006_9</v>
      </c>
      <c r="I7" s="175">
        <v>6</v>
      </c>
      <c r="J7" s="175" t="str">
        <f t="shared" si="1"/>
        <v>TPMS_520006_9Var_ui_ErrNo := 6;</v>
      </c>
    </row>
    <row r="8" ht="25.9" customHeight="1" spans="1:10">
      <c r="A8" s="181" t="s">
        <v>3033</v>
      </c>
      <c r="B8" s="182">
        <v>520007</v>
      </c>
      <c r="C8" s="181">
        <v>9</v>
      </c>
      <c r="D8" s="181" t="s">
        <v>3208</v>
      </c>
      <c r="E8" s="183" t="s">
        <v>3209</v>
      </c>
      <c r="F8" s="184" t="s">
        <v>3210</v>
      </c>
      <c r="G8" s="184" t="s">
        <v>3211</v>
      </c>
      <c r="H8" s="175" t="str">
        <f t="shared" si="0"/>
        <v>TPMS_520007_9</v>
      </c>
      <c r="I8" s="175">
        <v>7</v>
      </c>
      <c r="J8" s="175" t="str">
        <f t="shared" si="1"/>
        <v>TPMS_520007_9Var_ui_ErrNo := 7;</v>
      </c>
    </row>
    <row r="9" ht="25.9" customHeight="1" spans="1:10">
      <c r="A9" s="181" t="s">
        <v>3041</v>
      </c>
      <c r="B9" s="182">
        <v>520008</v>
      </c>
      <c r="C9" s="181">
        <v>9</v>
      </c>
      <c r="D9" s="181" t="s">
        <v>3212</v>
      </c>
      <c r="E9" s="183" t="s">
        <v>3213</v>
      </c>
      <c r="F9" s="184" t="s">
        <v>3214</v>
      </c>
      <c r="G9" s="184" t="s">
        <v>3215</v>
      </c>
      <c r="H9" s="175" t="str">
        <f t="shared" si="0"/>
        <v>TPMS_520008_9</v>
      </c>
      <c r="I9" s="175">
        <v>8</v>
      </c>
      <c r="J9" s="175" t="str">
        <f t="shared" si="1"/>
        <v>TPMS_520008_9Var_ui_ErrNo := 8;</v>
      </c>
    </row>
    <row r="10" ht="25.9" customHeight="1" spans="1:10">
      <c r="A10" s="181" t="s">
        <v>3048</v>
      </c>
      <c r="B10" s="182">
        <v>520009</v>
      </c>
      <c r="C10" s="181">
        <v>9</v>
      </c>
      <c r="D10" s="181" t="s">
        <v>3216</v>
      </c>
      <c r="E10" s="183" t="s">
        <v>3217</v>
      </c>
      <c r="F10" s="184" t="s">
        <v>3218</v>
      </c>
      <c r="G10" s="184" t="s">
        <v>3219</v>
      </c>
      <c r="H10" s="175" t="str">
        <f t="shared" si="0"/>
        <v>TPMS_520009_9</v>
      </c>
      <c r="I10" s="175">
        <v>9</v>
      </c>
      <c r="J10" s="175" t="str">
        <f t="shared" si="1"/>
        <v>TPMS_520009_9Var_ui_ErrNo := 9;</v>
      </c>
    </row>
    <row r="11" ht="25.9" customHeight="1" spans="1:10">
      <c r="A11" s="181" t="s">
        <v>3056</v>
      </c>
      <c r="B11" s="182">
        <v>520010</v>
      </c>
      <c r="C11" s="182">
        <v>9</v>
      </c>
      <c r="D11" s="181" t="s">
        <v>3220</v>
      </c>
      <c r="E11" s="183" t="s">
        <v>3221</v>
      </c>
      <c r="F11" s="184" t="s">
        <v>3222</v>
      </c>
      <c r="G11" s="184" t="s">
        <v>3223</v>
      </c>
      <c r="H11" s="175" t="str">
        <f t="shared" si="0"/>
        <v>TPMS_520010_9</v>
      </c>
      <c r="I11" s="175">
        <v>10</v>
      </c>
      <c r="J11" s="175" t="str">
        <f t="shared" si="1"/>
        <v>TPMS_520010_9Var_ui_ErrNo := 10;</v>
      </c>
    </row>
    <row r="12" ht="25.9" customHeight="1" spans="1:10">
      <c r="A12" s="181" t="s">
        <v>3063</v>
      </c>
      <c r="B12" s="182">
        <v>520011</v>
      </c>
      <c r="C12" s="181">
        <v>9</v>
      </c>
      <c r="D12" s="181" t="s">
        <v>3224</v>
      </c>
      <c r="E12" s="183" t="s">
        <v>3225</v>
      </c>
      <c r="F12" s="184" t="s">
        <v>3226</v>
      </c>
      <c r="G12" s="184" t="s">
        <v>3227</v>
      </c>
      <c r="H12" s="175" t="str">
        <f t="shared" si="0"/>
        <v>TPMS_520011_9</v>
      </c>
      <c r="I12" s="175">
        <v>11</v>
      </c>
      <c r="J12" s="175" t="str">
        <f t="shared" si="1"/>
        <v>TPMS_520011_9Var_ui_ErrNo := 11;</v>
      </c>
    </row>
    <row r="13" ht="25.9" customHeight="1" spans="1:10">
      <c r="A13" s="181" t="s">
        <v>3071</v>
      </c>
      <c r="B13" s="182">
        <v>520012</v>
      </c>
      <c r="C13" s="181">
        <v>9</v>
      </c>
      <c r="D13" s="181" t="s">
        <v>3228</v>
      </c>
      <c r="E13" s="183" t="s">
        <v>3229</v>
      </c>
      <c r="F13" s="184" t="s">
        <v>3230</v>
      </c>
      <c r="G13" s="184" t="s">
        <v>3231</v>
      </c>
      <c r="H13" s="175" t="str">
        <f t="shared" si="0"/>
        <v>TPMS_520012_9</v>
      </c>
      <c r="I13" s="175">
        <v>12</v>
      </c>
      <c r="J13" s="175" t="str">
        <f t="shared" si="1"/>
        <v>TPMS_520012_9Var_ui_ErrNo := 12;</v>
      </c>
    </row>
    <row r="14" ht="25.9" customHeight="1" spans="1:10">
      <c r="A14" s="181" t="s">
        <v>3078</v>
      </c>
      <c r="B14" s="182">
        <v>520013</v>
      </c>
      <c r="C14" s="182">
        <v>9</v>
      </c>
      <c r="D14" s="181" t="s">
        <v>3232</v>
      </c>
      <c r="E14" s="183" t="s">
        <v>3233</v>
      </c>
      <c r="F14" s="184" t="s">
        <v>3234</v>
      </c>
      <c r="G14" s="184" t="s">
        <v>3235</v>
      </c>
      <c r="H14" s="175" t="str">
        <f t="shared" si="0"/>
        <v>TPMS_520013_9</v>
      </c>
      <c r="I14" s="175">
        <v>13</v>
      </c>
      <c r="J14" s="175" t="str">
        <f t="shared" si="1"/>
        <v>TPMS_520013_9Var_ui_ErrNo := 13;</v>
      </c>
    </row>
    <row r="15" ht="25.9" customHeight="1" spans="1:10">
      <c r="A15" s="181" t="s">
        <v>3086</v>
      </c>
      <c r="B15" s="182">
        <v>520014</v>
      </c>
      <c r="C15" s="181">
        <v>9</v>
      </c>
      <c r="D15" s="181" t="s">
        <v>3236</v>
      </c>
      <c r="E15" s="183" t="s">
        <v>3237</v>
      </c>
      <c r="F15" s="184" t="s">
        <v>3238</v>
      </c>
      <c r="G15" s="184" t="s">
        <v>3239</v>
      </c>
      <c r="H15" s="175" t="str">
        <f t="shared" si="0"/>
        <v>TPMS_520014_9</v>
      </c>
      <c r="I15" s="175">
        <v>14</v>
      </c>
      <c r="J15" s="175" t="str">
        <f t="shared" si="1"/>
        <v>TPMS_520014_9Var_ui_ErrNo := 14;</v>
      </c>
    </row>
    <row r="16" ht="25.9" customHeight="1" spans="1:10">
      <c r="A16" s="181" t="s">
        <v>956</v>
      </c>
      <c r="B16" s="182">
        <v>3509</v>
      </c>
      <c r="C16" s="181">
        <v>24</v>
      </c>
      <c r="D16" s="181" t="s">
        <v>3240</v>
      </c>
      <c r="E16" s="183" t="s">
        <v>3241</v>
      </c>
      <c r="F16" s="184" t="s">
        <v>3242</v>
      </c>
      <c r="G16" s="184" t="s">
        <v>3243</v>
      </c>
      <c r="H16" s="175" t="str">
        <f t="shared" si="0"/>
        <v>TPMS_3509_24</v>
      </c>
      <c r="I16" s="175">
        <v>15</v>
      </c>
      <c r="J16" s="175" t="str">
        <f t="shared" si="1"/>
        <v>TPMS_3509_24Var_ui_ErrNo := 15;</v>
      </c>
    </row>
    <row r="17" ht="25.9" customHeight="1" spans="1:10">
      <c r="A17" s="181" t="s">
        <v>962</v>
      </c>
      <c r="B17" s="182">
        <v>3510</v>
      </c>
      <c r="C17" s="181">
        <v>24</v>
      </c>
      <c r="D17" s="181" t="s">
        <v>3244</v>
      </c>
      <c r="E17" s="183" t="s">
        <v>3245</v>
      </c>
      <c r="F17" s="184" t="s">
        <v>3246</v>
      </c>
      <c r="G17" s="184" t="s">
        <v>3247</v>
      </c>
      <c r="H17" s="175" t="str">
        <f t="shared" si="0"/>
        <v>TPMS_3510_24</v>
      </c>
      <c r="I17" s="175">
        <v>16</v>
      </c>
      <c r="J17" s="175" t="str">
        <f t="shared" si="1"/>
        <v>TPMS_3510_24Var_ui_ErrNo := 16;</v>
      </c>
    </row>
    <row r="18" ht="25.9" customHeight="1" spans="1:10">
      <c r="A18" s="181" t="s">
        <v>3106</v>
      </c>
      <c r="B18" s="182">
        <v>3511</v>
      </c>
      <c r="C18" s="182">
        <v>24</v>
      </c>
      <c r="D18" s="181" t="s">
        <v>3248</v>
      </c>
      <c r="E18" s="183" t="s">
        <v>3249</v>
      </c>
      <c r="F18" s="184" t="s">
        <v>3250</v>
      </c>
      <c r="G18" s="184" t="s">
        <v>3251</v>
      </c>
      <c r="H18" s="175" t="str">
        <f t="shared" si="0"/>
        <v>TPMS_3511_24</v>
      </c>
      <c r="I18" s="175">
        <v>17</v>
      </c>
      <c r="J18" s="175" t="str">
        <f t="shared" si="1"/>
        <v>TPMS_3511_24Var_ui_ErrNo := 17;</v>
      </c>
    </row>
    <row r="19" ht="25.9" customHeight="1" spans="1:10">
      <c r="A19" s="181" t="s">
        <v>3114</v>
      </c>
      <c r="B19" s="182">
        <v>3512</v>
      </c>
      <c r="C19" s="181">
        <v>24</v>
      </c>
      <c r="D19" s="181" t="s">
        <v>3252</v>
      </c>
      <c r="E19" s="183" t="s">
        <v>3253</v>
      </c>
      <c r="F19" s="184" t="s">
        <v>3254</v>
      </c>
      <c r="G19" s="184" t="s">
        <v>3255</v>
      </c>
      <c r="H19" s="175" t="str">
        <f t="shared" si="0"/>
        <v>TPMS_3512_24</v>
      </c>
      <c r="I19" s="175">
        <v>18</v>
      </c>
      <c r="J19" s="175" t="str">
        <f t="shared" si="1"/>
        <v>TPMS_3512_24Var_ui_ErrNo := 18;</v>
      </c>
    </row>
    <row r="20" ht="25.9" customHeight="1" spans="1:10">
      <c r="A20" s="181" t="s">
        <v>3121</v>
      </c>
      <c r="B20" s="182">
        <v>3513</v>
      </c>
      <c r="C20" s="181">
        <v>24</v>
      </c>
      <c r="D20" s="181" t="s">
        <v>3256</v>
      </c>
      <c r="E20" s="183" t="s">
        <v>3257</v>
      </c>
      <c r="F20" s="184" t="s">
        <v>3258</v>
      </c>
      <c r="G20" s="184" t="s">
        <v>3259</v>
      </c>
      <c r="H20" s="175" t="str">
        <f t="shared" si="0"/>
        <v>TPMS_3513_24</v>
      </c>
      <c r="I20" s="175">
        <v>19</v>
      </c>
      <c r="J20" s="175" t="str">
        <f t="shared" si="1"/>
        <v>TPMS_3513_24Var_ui_ErrNo := 19;</v>
      </c>
    </row>
    <row r="21" ht="25.9" customHeight="1" spans="1:10">
      <c r="A21" s="181" t="s">
        <v>3129</v>
      </c>
      <c r="B21" s="182">
        <v>3514</v>
      </c>
      <c r="C21" s="181">
        <v>24</v>
      </c>
      <c r="D21" s="181" t="s">
        <v>3260</v>
      </c>
      <c r="E21" s="183" t="s">
        <v>3261</v>
      </c>
      <c r="F21" s="184" t="s">
        <v>3262</v>
      </c>
      <c r="G21" s="184" t="s">
        <v>3263</v>
      </c>
      <c r="H21" s="175" t="str">
        <f t="shared" si="0"/>
        <v>TPMS_3514_24</v>
      </c>
      <c r="I21" s="175">
        <v>20</v>
      </c>
      <c r="J21" s="175" t="str">
        <f t="shared" si="1"/>
        <v>TPMS_3514_24Var_ui_ErrNo := 20;</v>
      </c>
    </row>
    <row r="22" ht="25.9" customHeight="1" spans="1:10">
      <c r="A22" s="181" t="s">
        <v>3136</v>
      </c>
      <c r="B22" s="182">
        <v>5125</v>
      </c>
      <c r="C22" s="181">
        <v>24</v>
      </c>
      <c r="D22" s="181" t="s">
        <v>3264</v>
      </c>
      <c r="E22" s="183" t="s">
        <v>3265</v>
      </c>
      <c r="F22" s="184" t="s">
        <v>3266</v>
      </c>
      <c r="G22" s="184" t="s">
        <v>3267</v>
      </c>
      <c r="H22" s="175" t="str">
        <f t="shared" si="0"/>
        <v>TPMS_5125_24</v>
      </c>
      <c r="I22" s="175">
        <v>21</v>
      </c>
      <c r="J22" s="175" t="str">
        <f t="shared" si="1"/>
        <v>TPMS_5125_24Var_ui_ErrNo := 21;</v>
      </c>
    </row>
    <row r="23" ht="25.9" customHeight="1" spans="1:10">
      <c r="A23" s="181" t="s">
        <v>3144</v>
      </c>
      <c r="B23" s="182">
        <v>5126</v>
      </c>
      <c r="C23" s="181">
        <v>24</v>
      </c>
      <c r="D23" s="181" t="s">
        <v>3268</v>
      </c>
      <c r="E23" s="183" t="s">
        <v>3269</v>
      </c>
      <c r="F23" s="184" t="s">
        <v>3270</v>
      </c>
      <c r="G23" s="184" t="s">
        <v>3271</v>
      </c>
      <c r="H23" s="175" t="str">
        <f t="shared" si="0"/>
        <v>TPMS_5126_24</v>
      </c>
      <c r="I23" s="175">
        <v>22</v>
      </c>
      <c r="J23" s="175" t="str">
        <f t="shared" si="1"/>
        <v>TPMS_5126_24Var_ui_ErrNo := 22;</v>
      </c>
    </row>
    <row r="24" ht="25.9" customHeight="1" spans="1:10">
      <c r="A24" s="181" t="s">
        <v>3152</v>
      </c>
      <c r="B24" s="182">
        <v>5127</v>
      </c>
      <c r="C24" s="181">
        <v>24</v>
      </c>
      <c r="D24" s="181" t="s">
        <v>3272</v>
      </c>
      <c r="E24" s="183" t="s">
        <v>3273</v>
      </c>
      <c r="F24" s="184" t="s">
        <v>3274</v>
      </c>
      <c r="G24" s="184" t="s">
        <v>3275</v>
      </c>
      <c r="H24" s="175" t="str">
        <f t="shared" si="0"/>
        <v>TPMS_5127_24</v>
      </c>
      <c r="I24" s="175">
        <v>23</v>
      </c>
      <c r="J24" s="175" t="str">
        <f t="shared" si="1"/>
        <v>TPMS_5127_24Var_ui_ErrNo := 23;</v>
      </c>
    </row>
    <row r="25" ht="25.9" customHeight="1" spans="1:10">
      <c r="A25" s="181" t="s">
        <v>3160</v>
      </c>
      <c r="B25" s="182">
        <v>5128</v>
      </c>
      <c r="C25" s="181">
        <v>24</v>
      </c>
      <c r="D25" s="181" t="s">
        <v>3276</v>
      </c>
      <c r="E25" s="183" t="s">
        <v>3277</v>
      </c>
      <c r="F25" s="184" t="s">
        <v>3278</v>
      </c>
      <c r="G25" s="184" t="s">
        <v>3279</v>
      </c>
      <c r="H25" s="175" t="str">
        <f t="shared" si="0"/>
        <v>TPMS_5128_24</v>
      </c>
      <c r="I25" s="175">
        <v>24</v>
      </c>
      <c r="J25" s="175" t="str">
        <f t="shared" si="1"/>
        <v>TPMS_5128_24Var_ui_ErrNo := 24;</v>
      </c>
    </row>
    <row r="26" ht="25.9" customHeight="1" spans="1:10">
      <c r="A26" s="181" t="s">
        <v>3168</v>
      </c>
      <c r="B26" s="182">
        <v>5129</v>
      </c>
      <c r="C26" s="181">
        <v>24</v>
      </c>
      <c r="D26" s="181" t="s">
        <v>3280</v>
      </c>
      <c r="E26" s="183" t="s">
        <v>3281</v>
      </c>
      <c r="F26" s="184" t="s">
        <v>3282</v>
      </c>
      <c r="G26" s="184" t="s">
        <v>3283</v>
      </c>
      <c r="H26" s="175" t="str">
        <f t="shared" si="0"/>
        <v>TPMS_5129_24</v>
      </c>
      <c r="I26" s="175">
        <v>25</v>
      </c>
      <c r="J26" s="175" t="str">
        <f t="shared" si="1"/>
        <v>TPMS_5129_24Var_ui_ErrNo := 25;</v>
      </c>
    </row>
    <row r="27" ht="25.9" customHeight="1" spans="1:10">
      <c r="A27" s="181" t="s">
        <v>3175</v>
      </c>
      <c r="B27" s="182">
        <v>5130</v>
      </c>
      <c r="C27" s="181">
        <v>24</v>
      </c>
      <c r="D27" s="181" t="s">
        <v>3284</v>
      </c>
      <c r="E27" s="183" t="s">
        <v>3285</v>
      </c>
      <c r="F27" s="184" t="s">
        <v>3286</v>
      </c>
      <c r="G27" s="184" t="s">
        <v>3287</v>
      </c>
      <c r="H27" s="175" t="str">
        <f t="shared" si="0"/>
        <v>TPMS_5130_24</v>
      </c>
      <c r="I27" s="175">
        <v>26</v>
      </c>
      <c r="J27" s="175" t="str">
        <f t="shared" si="1"/>
        <v>TPMS_5130_24Var_ui_ErrNo := 26;</v>
      </c>
    </row>
    <row r="28" ht="25.9" customHeight="1" spans="1:10">
      <c r="A28" s="181" t="s">
        <v>3288</v>
      </c>
      <c r="B28" s="182">
        <v>5131</v>
      </c>
      <c r="C28" s="181">
        <v>24</v>
      </c>
      <c r="D28" s="181" t="s">
        <v>3289</v>
      </c>
      <c r="E28" s="183" t="s">
        <v>3290</v>
      </c>
      <c r="F28" s="184" t="s">
        <v>3291</v>
      </c>
      <c r="G28" s="184" t="s">
        <v>3292</v>
      </c>
      <c r="H28" s="175" t="str">
        <f t="shared" si="0"/>
        <v>TPMS_5131_24</v>
      </c>
      <c r="I28" s="175">
        <v>27</v>
      </c>
      <c r="J28" s="175" t="str">
        <f t="shared" si="1"/>
        <v>TPMS_5131_24Var_ui_ErrNo := 27;</v>
      </c>
    </row>
    <row r="29" ht="25.9" customHeight="1" spans="1:10">
      <c r="A29" s="181" t="s">
        <v>3293</v>
      </c>
      <c r="B29" s="182">
        <v>5132</v>
      </c>
      <c r="C29" s="181">
        <v>24</v>
      </c>
      <c r="D29" s="181" t="s">
        <v>3294</v>
      </c>
      <c r="E29" s="183" t="s">
        <v>3295</v>
      </c>
      <c r="F29" s="184" t="s">
        <v>3296</v>
      </c>
      <c r="G29" s="184" t="s">
        <v>3297</v>
      </c>
      <c r="H29" s="175" t="str">
        <f t="shared" si="0"/>
        <v>TPMS_5132_24</v>
      </c>
      <c r="I29" s="175">
        <v>28</v>
      </c>
      <c r="J29" s="175" t="str">
        <f t="shared" si="1"/>
        <v>TPMS_5132_24Var_ui_ErrNo := 28;</v>
      </c>
    </row>
    <row r="30" ht="25.9" customHeight="1" spans="1:10">
      <c r="A30" s="181" t="s">
        <v>3298</v>
      </c>
      <c r="B30" s="182">
        <v>5133</v>
      </c>
      <c r="C30" s="181">
        <v>24</v>
      </c>
      <c r="D30" s="181" t="s">
        <v>3299</v>
      </c>
      <c r="E30" s="183" t="s">
        <v>3300</v>
      </c>
      <c r="F30" s="184" t="s">
        <v>3301</v>
      </c>
      <c r="G30" s="184" t="s">
        <v>3302</v>
      </c>
      <c r="H30" s="175" t="str">
        <f t="shared" si="0"/>
        <v>TPMS_5133_24</v>
      </c>
      <c r="I30" s="175">
        <v>29</v>
      </c>
      <c r="J30" s="175" t="str">
        <f t="shared" si="1"/>
        <v>TPMS_5133_24Var_ui_ErrNo := 29;</v>
      </c>
    </row>
    <row r="31" ht="25.9" customHeight="1" spans="1:10">
      <c r="A31" s="181" t="s">
        <v>3303</v>
      </c>
      <c r="B31" s="182">
        <v>519001</v>
      </c>
      <c r="C31" s="181" t="s">
        <v>3048</v>
      </c>
      <c r="D31" s="181" t="s">
        <v>3304</v>
      </c>
      <c r="E31" s="183" t="s">
        <v>3305</v>
      </c>
      <c r="F31" s="184" t="s">
        <v>3306</v>
      </c>
      <c r="G31" s="184" t="s">
        <v>3307</v>
      </c>
      <c r="H31" s="175" t="str">
        <f t="shared" si="0"/>
        <v>TPMS_519001_9</v>
      </c>
      <c r="I31" s="175">
        <v>30</v>
      </c>
      <c r="J31" s="175" t="str">
        <f t="shared" si="1"/>
        <v>TPMS_519001_9Var_ui_ErrNo := 30;</v>
      </c>
    </row>
    <row r="32" ht="25.9" customHeight="1" spans="1:10">
      <c r="A32" s="181" t="s">
        <v>3308</v>
      </c>
      <c r="B32" s="182">
        <v>519002</v>
      </c>
      <c r="C32" s="181" t="s">
        <v>3056</v>
      </c>
      <c r="D32" s="181" t="s">
        <v>3304</v>
      </c>
      <c r="E32" s="183" t="s">
        <v>3309</v>
      </c>
      <c r="F32" s="184" t="s">
        <v>3310</v>
      </c>
      <c r="G32" s="184" t="s">
        <v>3311</v>
      </c>
      <c r="H32" s="175" t="str">
        <f t="shared" si="0"/>
        <v>TPMS_519002_10</v>
      </c>
      <c r="I32" s="175">
        <v>31</v>
      </c>
      <c r="J32" s="175" t="str">
        <f t="shared" si="1"/>
        <v>TPMS_519002_10Var_ui_ErrNo := 31;</v>
      </c>
    </row>
    <row r="33" ht="25.9" customHeight="1" spans="1:10">
      <c r="A33" s="181" t="s">
        <v>3312</v>
      </c>
      <c r="B33" s="182">
        <v>519003</v>
      </c>
      <c r="C33" s="181" t="s">
        <v>3063</v>
      </c>
      <c r="D33" s="181" t="s">
        <v>3304</v>
      </c>
      <c r="E33" s="183" t="s">
        <v>3313</v>
      </c>
      <c r="F33" s="184" t="s">
        <v>3314</v>
      </c>
      <c r="G33" s="184" t="s">
        <v>3315</v>
      </c>
      <c r="H33" s="175" t="str">
        <f t="shared" si="0"/>
        <v>TPMS_519003_11</v>
      </c>
      <c r="I33" s="175">
        <v>32</v>
      </c>
      <c r="J33" s="175" t="str">
        <f t="shared" si="1"/>
        <v>TPMS_519003_11Var_ui_ErrNo := 32;</v>
      </c>
    </row>
    <row r="34" ht="25.9" customHeight="1" spans="1:10">
      <c r="A34" s="181" t="s">
        <v>3316</v>
      </c>
      <c r="B34" s="182">
        <v>518005</v>
      </c>
      <c r="C34" s="181">
        <v>11</v>
      </c>
      <c r="D34" s="181" t="s">
        <v>3317</v>
      </c>
      <c r="E34" s="183" t="s">
        <v>3318</v>
      </c>
      <c r="F34" s="184" t="s">
        <v>3319</v>
      </c>
      <c r="G34" s="184" t="s">
        <v>3320</v>
      </c>
      <c r="H34" s="175" t="str">
        <f t="shared" si="0"/>
        <v>TPMS_518005_11</v>
      </c>
      <c r="I34" s="175">
        <v>33</v>
      </c>
      <c r="J34" s="175" t="str">
        <f t="shared" si="1"/>
        <v>TPMS_518005_11Var_ui_ErrNo := 33;</v>
      </c>
    </row>
    <row r="35" ht="25.9" customHeight="1" spans="1:10">
      <c r="A35" s="181" t="s">
        <v>3321</v>
      </c>
      <c r="B35" s="182">
        <v>168</v>
      </c>
      <c r="C35" s="181">
        <v>4</v>
      </c>
      <c r="D35" s="181" t="s">
        <v>3322</v>
      </c>
      <c r="E35" s="183" t="s">
        <v>3323</v>
      </c>
      <c r="F35" s="184" t="s">
        <v>3324</v>
      </c>
      <c r="G35" s="184" t="s">
        <v>3325</v>
      </c>
      <c r="H35" s="175" t="str">
        <f t="shared" si="0"/>
        <v>TPMS_168_4</v>
      </c>
      <c r="I35" s="175">
        <v>34</v>
      </c>
      <c r="J35" s="175" t="str">
        <f t="shared" si="1"/>
        <v>TPMS_168_4Var_ui_ErrNo := 34;</v>
      </c>
    </row>
    <row r="36" ht="25.9" customHeight="1" spans="1:10">
      <c r="A36" s="181" t="s">
        <v>3326</v>
      </c>
      <c r="B36" s="182">
        <v>168</v>
      </c>
      <c r="C36" s="181">
        <v>3</v>
      </c>
      <c r="D36" s="181" t="s">
        <v>3327</v>
      </c>
      <c r="E36" s="183" t="s">
        <v>3328</v>
      </c>
      <c r="F36" s="184" t="s">
        <v>3329</v>
      </c>
      <c r="G36" s="184" t="s">
        <v>3330</v>
      </c>
      <c r="H36" s="175" t="str">
        <f t="shared" si="0"/>
        <v>TPMS_168_3</v>
      </c>
      <c r="I36" s="175">
        <v>35</v>
      </c>
      <c r="J36" s="175" t="str">
        <f t="shared" si="1"/>
        <v>TPMS_168_3Var_ui_ErrNo := 35;</v>
      </c>
    </row>
    <row r="37" ht="25.9" customHeight="1" spans="1:10">
      <c r="A37" s="181" t="s">
        <v>3331</v>
      </c>
      <c r="B37" s="182">
        <v>518002</v>
      </c>
      <c r="C37" s="181">
        <v>9</v>
      </c>
      <c r="D37" s="181" t="s">
        <v>3332</v>
      </c>
      <c r="E37" s="183" t="s">
        <v>3333</v>
      </c>
      <c r="F37" s="184" t="s">
        <v>3334</v>
      </c>
      <c r="G37" s="184" t="s">
        <v>3335</v>
      </c>
      <c r="H37" s="175" t="str">
        <f t="shared" si="0"/>
        <v>TPMS_518002_9</v>
      </c>
      <c r="I37" s="175">
        <v>36</v>
      </c>
      <c r="J37" s="175" t="str">
        <f t="shared" si="1"/>
        <v>TPMS_518002_9Var_ui_ErrNo := 36;</v>
      </c>
    </row>
    <row r="38" ht="25.9" customHeight="1" spans="1:10">
      <c r="A38" s="181" t="s">
        <v>3336</v>
      </c>
      <c r="B38" s="182">
        <v>171</v>
      </c>
      <c r="C38" s="181">
        <v>9</v>
      </c>
      <c r="D38" s="181" t="s">
        <v>3337</v>
      </c>
      <c r="E38" s="183" t="s">
        <v>3338</v>
      </c>
      <c r="F38" s="184" t="s">
        <v>3339</v>
      </c>
      <c r="G38" s="184" t="s">
        <v>3340</v>
      </c>
      <c r="H38" s="175" t="str">
        <f t="shared" si="0"/>
        <v>TPMS_171_9</v>
      </c>
      <c r="I38" s="175">
        <v>37</v>
      </c>
      <c r="J38" s="175" t="str">
        <f t="shared" si="1"/>
        <v>TPMS_171_9Var_ui_ErrNo := 37;</v>
      </c>
    </row>
    <row r="44" spans="5:7">
      <c r="E44" s="175"/>
      <c r="F44" s="175"/>
      <c r="G44" s="175"/>
    </row>
  </sheetData>
  <mergeCells count="1">
    <mergeCell ref="D1:E1"/>
  </mergeCells>
  <pageMargins left="0.7" right="0.7" top="0.75" bottom="0.75" header="0.3" footer="0.3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workbookViewId="0">
      <selection activeCell="A1" sqref="A1:F1"/>
    </sheetView>
  </sheetViews>
  <sheetFormatPr defaultColWidth="8.875" defaultRowHeight="13.5"/>
  <cols>
    <col min="1" max="2" width="8.875" style="165"/>
    <col min="3" max="3" width="8.125" style="165" customWidth="1"/>
    <col min="4" max="4" width="23.25" style="165" customWidth="1"/>
    <col min="5" max="5" width="36.125" style="165" customWidth="1"/>
    <col min="6" max="6" width="34.5" style="165" customWidth="1"/>
    <col min="7" max="7" width="34.25" style="165" customWidth="1"/>
    <col min="8" max="8" width="21.125" style="165" customWidth="1"/>
    <col min="9" max="14" width="8.875" style="165"/>
    <col min="15" max="15" width="14.375" style="165" customWidth="1"/>
    <col min="16" max="16384" width="8.875" style="165"/>
  </cols>
  <sheetData>
    <row r="1" spans="1:6">
      <c r="A1" s="166" t="s">
        <v>3341</v>
      </c>
      <c r="B1" s="166"/>
      <c r="C1" s="166"/>
      <c r="D1" s="166"/>
      <c r="E1" s="166"/>
      <c r="F1" s="166"/>
    </row>
    <row r="2" ht="24.95" customHeight="1" spans="1:6">
      <c r="A2" s="167" t="s">
        <v>125</v>
      </c>
      <c r="B2" s="167" t="s">
        <v>128</v>
      </c>
      <c r="C2" s="167" t="s">
        <v>129</v>
      </c>
      <c r="D2" s="167" t="s">
        <v>127</v>
      </c>
      <c r="E2" s="167" t="s">
        <v>3342</v>
      </c>
      <c r="F2" s="167" t="s">
        <v>3343</v>
      </c>
    </row>
    <row r="3" ht="24.95" customHeight="1" spans="1:18">
      <c r="A3" s="168">
        <v>1</v>
      </c>
      <c r="B3" s="168" t="s">
        <v>3344</v>
      </c>
      <c r="C3" s="168" t="s">
        <v>3048</v>
      </c>
      <c r="D3" s="168" t="s">
        <v>3345</v>
      </c>
      <c r="E3" s="168" t="s">
        <v>3346</v>
      </c>
      <c r="F3" s="168" t="s">
        <v>3347</v>
      </c>
      <c r="G3" s="168" t="s">
        <v>3346</v>
      </c>
      <c r="H3" s="165">
        <v>42</v>
      </c>
      <c r="I3" s="165" t="str">
        <f>"HJYX_"&amp;B3&amp;"_"&amp;C3</f>
        <v>HJYX_66_9</v>
      </c>
      <c r="M3" s="165">
        <f>B3*100+C3</f>
        <v>6609</v>
      </c>
      <c r="N3" s="165" t="s">
        <v>3348</v>
      </c>
      <c r="O3" s="165" t="s">
        <v>3349</v>
      </c>
      <c r="P3" s="165">
        <v>1</v>
      </c>
      <c r="Q3" s="165" t="s">
        <v>2996</v>
      </c>
      <c r="R3" s="165" t="str">
        <f>N3&amp;$O$3&amp;P3&amp;$Q$3</f>
        <v>6609:Var_ui_ErrNo:=1;</v>
      </c>
    </row>
    <row r="4" ht="24.95" customHeight="1" spans="1:18">
      <c r="A4" s="170">
        <v>2</v>
      </c>
      <c r="B4" s="170" t="s">
        <v>3350</v>
      </c>
      <c r="C4" s="170" t="s">
        <v>3071</v>
      </c>
      <c r="D4" s="170" t="s">
        <v>3351</v>
      </c>
      <c r="E4" s="170" t="s">
        <v>3352</v>
      </c>
      <c r="F4" s="170" t="s">
        <v>3353</v>
      </c>
      <c r="G4" s="170" t="s">
        <v>3352</v>
      </c>
      <c r="H4" s="165">
        <v>42</v>
      </c>
      <c r="I4" s="165" t="str">
        <f t="shared" ref="I4:I10" si="0">"HJYX_"&amp;B4&amp;"_"&amp;C4</f>
        <v>HJYX_67_12</v>
      </c>
      <c r="M4" s="165">
        <f t="shared" ref="M4:M10" si="1">B4*100+C4</f>
        <v>6712</v>
      </c>
      <c r="N4" s="165" t="s">
        <v>3354</v>
      </c>
      <c r="P4" s="165">
        <v>2</v>
      </c>
      <c r="R4" s="165" t="str">
        <f t="shared" ref="R4:R10" si="2">N4&amp;$O$3&amp;P4&amp;$Q$3</f>
        <v>6712:Var_ui_ErrNo:=2;</v>
      </c>
    </row>
    <row r="5" ht="24.95" customHeight="1" spans="1:18">
      <c r="A5" s="171">
        <v>3</v>
      </c>
      <c r="B5" s="171" t="s">
        <v>3355</v>
      </c>
      <c r="C5" s="171" t="s">
        <v>3071</v>
      </c>
      <c r="D5" s="171" t="s">
        <v>3356</v>
      </c>
      <c r="E5" s="171" t="s">
        <v>3357</v>
      </c>
      <c r="F5" s="171" t="s">
        <v>3358</v>
      </c>
      <c r="G5" s="171" t="s">
        <v>3357</v>
      </c>
      <c r="H5" s="165">
        <v>44</v>
      </c>
      <c r="I5" s="165" t="str">
        <f t="shared" si="0"/>
        <v>HJYX_68_12</v>
      </c>
      <c r="M5" s="165">
        <f t="shared" si="1"/>
        <v>6812</v>
      </c>
      <c r="N5" s="165" t="s">
        <v>3359</v>
      </c>
      <c r="P5" s="165">
        <v>3</v>
      </c>
      <c r="R5" s="165" t="str">
        <f t="shared" si="2"/>
        <v>6812:Var_ui_ErrNo:=3;</v>
      </c>
    </row>
    <row r="6" ht="24.95" customHeight="1" spans="1:18">
      <c r="A6" s="168">
        <v>4</v>
      </c>
      <c r="B6" s="168" t="s">
        <v>3360</v>
      </c>
      <c r="C6" s="168" t="s">
        <v>3071</v>
      </c>
      <c r="D6" s="168" t="s">
        <v>3361</v>
      </c>
      <c r="E6" s="168" t="s">
        <v>3362</v>
      </c>
      <c r="F6" s="168" t="s">
        <v>3363</v>
      </c>
      <c r="G6" s="168" t="s">
        <v>3362</v>
      </c>
      <c r="H6" s="165">
        <v>45</v>
      </c>
      <c r="I6" s="165" t="str">
        <f t="shared" si="0"/>
        <v>HJYX_69_12</v>
      </c>
      <c r="M6" s="165">
        <f t="shared" si="1"/>
        <v>6912</v>
      </c>
      <c r="N6" s="165" t="s">
        <v>3364</v>
      </c>
      <c r="P6" s="165">
        <v>4</v>
      </c>
      <c r="R6" s="165" t="str">
        <f t="shared" si="2"/>
        <v>6912:Var_ui_ErrNo:=4;</v>
      </c>
    </row>
    <row r="7" ht="24.95" customHeight="1" spans="1:18">
      <c r="A7" s="168">
        <v>5</v>
      </c>
      <c r="B7" s="168" t="s">
        <v>3365</v>
      </c>
      <c r="C7" s="168" t="s">
        <v>3071</v>
      </c>
      <c r="D7" s="168" t="s">
        <v>3366</v>
      </c>
      <c r="E7" s="168" t="s">
        <v>3367</v>
      </c>
      <c r="F7" s="168" t="s">
        <v>3368</v>
      </c>
      <c r="G7" s="168" t="s">
        <v>3367</v>
      </c>
      <c r="H7" s="165">
        <v>46</v>
      </c>
      <c r="I7" s="165" t="str">
        <f t="shared" si="0"/>
        <v>HJYX_70_12</v>
      </c>
      <c r="M7" s="165">
        <f t="shared" si="1"/>
        <v>7012</v>
      </c>
      <c r="N7" s="165" t="s">
        <v>3369</v>
      </c>
      <c r="P7" s="165">
        <v>5</v>
      </c>
      <c r="R7" s="165" t="str">
        <f t="shared" si="2"/>
        <v>7012:Var_ui_ErrNo:=5;</v>
      </c>
    </row>
    <row r="8" ht="24.95" customHeight="1" spans="1:18">
      <c r="A8" s="168">
        <v>6</v>
      </c>
      <c r="B8" s="168" t="s">
        <v>3370</v>
      </c>
      <c r="C8" s="168" t="s">
        <v>3071</v>
      </c>
      <c r="D8" s="168" t="s">
        <v>3371</v>
      </c>
      <c r="E8" s="168" t="s">
        <v>3372</v>
      </c>
      <c r="F8" s="168" t="s">
        <v>3373</v>
      </c>
      <c r="G8" s="168" t="s">
        <v>3372</v>
      </c>
      <c r="I8" s="165" t="str">
        <f t="shared" si="0"/>
        <v>HJYX_71_12</v>
      </c>
      <c r="M8" s="165">
        <f t="shared" si="1"/>
        <v>7112</v>
      </c>
      <c r="N8" s="165" t="s">
        <v>3374</v>
      </c>
      <c r="P8" s="165">
        <v>6</v>
      </c>
      <c r="R8" s="165" t="str">
        <f t="shared" si="2"/>
        <v>7112:Var_ui_ErrNo:=6;</v>
      </c>
    </row>
    <row r="9" ht="24.95" customHeight="1" spans="1:18">
      <c r="A9" s="170">
        <v>7</v>
      </c>
      <c r="B9" s="170" t="s">
        <v>3375</v>
      </c>
      <c r="C9" s="170" t="s">
        <v>3071</v>
      </c>
      <c r="D9" s="170" t="s">
        <v>3376</v>
      </c>
      <c r="E9" s="172" t="s">
        <v>3377</v>
      </c>
      <c r="F9" s="170" t="s">
        <v>3378</v>
      </c>
      <c r="G9" s="172" t="s">
        <v>3377</v>
      </c>
      <c r="I9" s="165" t="str">
        <f t="shared" si="0"/>
        <v>HJYX_72_12</v>
      </c>
      <c r="M9" s="165">
        <f t="shared" si="1"/>
        <v>7212</v>
      </c>
      <c r="N9" s="165" t="s">
        <v>3379</v>
      </c>
      <c r="P9" s="165">
        <v>7</v>
      </c>
      <c r="R9" s="165" t="str">
        <f t="shared" si="2"/>
        <v>7212:Var_ui_ErrNo:=7;</v>
      </c>
    </row>
    <row r="10" ht="24.95" customHeight="1" spans="1:18">
      <c r="A10" s="171">
        <v>8</v>
      </c>
      <c r="B10" s="171" t="s">
        <v>3380</v>
      </c>
      <c r="C10" s="171" t="s">
        <v>3071</v>
      </c>
      <c r="D10" s="171" t="s">
        <v>3381</v>
      </c>
      <c r="E10" s="173" t="s">
        <v>3382</v>
      </c>
      <c r="F10" s="171" t="s">
        <v>3383</v>
      </c>
      <c r="G10" s="173" t="s">
        <v>3382</v>
      </c>
      <c r="I10" s="165" t="str">
        <f t="shared" si="0"/>
        <v>HJYX_73_12</v>
      </c>
      <c r="M10" s="165">
        <f t="shared" si="1"/>
        <v>7312</v>
      </c>
      <c r="N10" s="165" t="s">
        <v>3384</v>
      </c>
      <c r="P10" s="165">
        <v>8</v>
      </c>
      <c r="R10" s="165" t="str">
        <f t="shared" si="2"/>
        <v>7312:Var_ui_ErrNo:=8;</v>
      </c>
    </row>
    <row r="11" spans="11:13">
      <c r="K11" s="165">
        <v>6609</v>
      </c>
      <c r="L11" s="165" t="str">
        <f>K11&amp;","</f>
        <v>6609,</v>
      </c>
      <c r="M11" s="165" t="s">
        <v>3385</v>
      </c>
    </row>
    <row r="12" spans="11:21">
      <c r="K12" s="165">
        <v>6712</v>
      </c>
      <c r="L12" s="165" t="str">
        <f t="shared" ref="L12:L18" si="3">K12&amp;","</f>
        <v>6712,</v>
      </c>
      <c r="M12" s="165" t="s">
        <v>3386</v>
      </c>
      <c r="N12" s="165" t="s">
        <v>3385</v>
      </c>
      <c r="O12" s="165" t="s">
        <v>3386</v>
      </c>
      <c r="P12" s="165" t="s">
        <v>3387</v>
      </c>
      <c r="Q12" s="165" t="s">
        <v>3388</v>
      </c>
      <c r="R12" s="165" t="s">
        <v>3389</v>
      </c>
      <c r="S12" s="165" t="s">
        <v>3390</v>
      </c>
      <c r="T12" s="165" t="s">
        <v>3391</v>
      </c>
      <c r="U12" s="165" t="s">
        <v>3392</v>
      </c>
    </row>
    <row r="13" spans="11:13">
      <c r="K13" s="165">
        <v>6812</v>
      </c>
      <c r="L13" s="165" t="str">
        <f t="shared" si="3"/>
        <v>6812,</v>
      </c>
      <c r="M13" s="165" t="s">
        <v>3387</v>
      </c>
    </row>
    <row r="14" spans="11:13">
      <c r="K14" s="165">
        <v>6912</v>
      </c>
      <c r="L14" s="165" t="str">
        <f t="shared" si="3"/>
        <v>6912,</v>
      </c>
      <c r="M14" s="165" t="s">
        <v>3388</v>
      </c>
    </row>
    <row r="15" spans="11:13">
      <c r="K15" s="165">
        <v>7012</v>
      </c>
      <c r="L15" s="165" t="str">
        <f t="shared" si="3"/>
        <v>7012,</v>
      </c>
      <c r="M15" s="165" t="s">
        <v>3389</v>
      </c>
    </row>
    <row r="16" spans="11:13">
      <c r="K16" s="165">
        <v>7112</v>
      </c>
      <c r="L16" s="165" t="str">
        <f t="shared" si="3"/>
        <v>7112,</v>
      </c>
      <c r="M16" s="165" t="s">
        <v>3390</v>
      </c>
    </row>
    <row r="17" spans="11:13">
      <c r="K17" s="165">
        <v>7212</v>
      </c>
      <c r="L17" s="165" t="str">
        <f t="shared" si="3"/>
        <v>7212,</v>
      </c>
      <c r="M17" s="165" t="s">
        <v>3391</v>
      </c>
    </row>
    <row r="18" spans="11:13">
      <c r="K18" s="165">
        <v>7312</v>
      </c>
      <c r="L18" s="165" t="str">
        <f t="shared" si="3"/>
        <v>7312,</v>
      </c>
      <c r="M18" s="165" t="s">
        <v>3392</v>
      </c>
    </row>
  </sheetData>
  <mergeCells count="1">
    <mergeCell ref="A1:F1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workbookViewId="0">
      <selection activeCell="E23" sqref="E23"/>
    </sheetView>
  </sheetViews>
  <sheetFormatPr defaultColWidth="8.875" defaultRowHeight="13.5"/>
  <cols>
    <col min="1" max="1" width="6.75" style="165" customWidth="1"/>
    <col min="2" max="2" width="7.125" style="165" customWidth="1"/>
    <col min="3" max="3" width="7.875" style="165" customWidth="1"/>
    <col min="4" max="4" width="15.625" style="165" customWidth="1"/>
    <col min="5" max="5" width="43.375" style="165" customWidth="1"/>
    <col min="6" max="6" width="36.75" style="165" customWidth="1"/>
    <col min="7" max="16384" width="8.875" style="165"/>
  </cols>
  <sheetData>
    <row r="1" spans="1:6">
      <c r="A1" s="166" t="s">
        <v>3393</v>
      </c>
      <c r="B1" s="166"/>
      <c r="C1" s="166"/>
      <c r="D1" s="166"/>
      <c r="E1" s="166"/>
      <c r="F1" s="166"/>
    </row>
    <row r="2" ht="14.25" spans="1:6">
      <c r="A2" s="167" t="s">
        <v>125</v>
      </c>
      <c r="B2" s="167" t="s">
        <v>128</v>
      </c>
      <c r="C2" s="167" t="s">
        <v>129</v>
      </c>
      <c r="D2" s="167" t="s">
        <v>127</v>
      </c>
      <c r="E2" s="167" t="s">
        <v>3342</v>
      </c>
      <c r="F2" s="167" t="s">
        <v>3343</v>
      </c>
    </row>
    <row r="3" ht="14.25" spans="1:18">
      <c r="A3" s="168">
        <v>1</v>
      </c>
      <c r="B3" s="168">
        <v>91</v>
      </c>
      <c r="C3" s="168">
        <v>5</v>
      </c>
      <c r="D3" s="168" t="s">
        <v>3394</v>
      </c>
      <c r="E3" s="169" t="s">
        <v>3395</v>
      </c>
      <c r="F3" s="168" t="s">
        <v>3396</v>
      </c>
      <c r="G3" s="165" t="s">
        <v>3397</v>
      </c>
      <c r="I3" s="165" t="str">
        <f>"FDW_"&amp;B3&amp;"_"&amp;C3</f>
        <v>FDW_91_5</v>
      </c>
      <c r="M3" s="165">
        <f>B3*100+C3</f>
        <v>9105</v>
      </c>
      <c r="N3" s="165" t="s">
        <v>3398</v>
      </c>
      <c r="O3" s="165" t="s">
        <v>3349</v>
      </c>
      <c r="P3" s="165">
        <v>1</v>
      </c>
      <c r="Q3" s="165" t="s">
        <v>2996</v>
      </c>
      <c r="R3" s="165" t="str">
        <f>N3&amp;$O$3&amp;P3&amp;$Q$3</f>
        <v>9105:Var_ui_ErrNo:=1;</v>
      </c>
    </row>
    <row r="4" ht="26.25" spans="1:18">
      <c r="A4" s="170">
        <v>2</v>
      </c>
      <c r="B4" s="168">
        <v>92</v>
      </c>
      <c r="C4" s="168">
        <v>6</v>
      </c>
      <c r="D4" s="168" t="s">
        <v>3399</v>
      </c>
      <c r="E4" s="169" t="s">
        <v>3400</v>
      </c>
      <c r="F4" s="168" t="s">
        <v>3401</v>
      </c>
      <c r="G4" s="165" t="s">
        <v>3402</v>
      </c>
      <c r="I4" s="165" t="str">
        <f>"FDW_"&amp;B4&amp;"_"&amp;C4</f>
        <v>FDW_92_6</v>
      </c>
      <c r="M4" s="165">
        <f>B4*100+C4</f>
        <v>9206</v>
      </c>
      <c r="N4" s="165" t="s">
        <v>3403</v>
      </c>
      <c r="P4" s="165">
        <v>2</v>
      </c>
      <c r="R4" s="165" t="str">
        <f>N4&amp;$O$3&amp;P4&amp;$Q$3</f>
        <v>9206:Var_ui_ErrNo:=2;</v>
      </c>
    </row>
    <row r="5" ht="14.25" spans="1:18">
      <c r="A5" s="171">
        <v>3</v>
      </c>
      <c r="B5" s="168">
        <v>93</v>
      </c>
      <c r="C5" s="168">
        <v>5</v>
      </c>
      <c r="D5" s="168" t="s">
        <v>3404</v>
      </c>
      <c r="E5" s="169" t="s">
        <v>3405</v>
      </c>
      <c r="F5" s="168" t="s">
        <v>3406</v>
      </c>
      <c r="G5" s="165" t="s">
        <v>3407</v>
      </c>
      <c r="I5" s="165" t="str">
        <f>"FDW_"&amp;B5&amp;"_"&amp;C5</f>
        <v>FDW_93_5</v>
      </c>
      <c r="M5" s="165">
        <f>B5*100+C5</f>
        <v>9305</v>
      </c>
      <c r="N5" s="165" t="s">
        <v>3408</v>
      </c>
      <c r="P5" s="165">
        <v>3</v>
      </c>
      <c r="R5" s="165" t="str">
        <f>N5&amp;$O$3&amp;P5&amp;$Q$3</f>
        <v>9305:Var_ui_ErrNo:=3;</v>
      </c>
    </row>
    <row r="6" ht="14.25" spans="1:18">
      <c r="A6" s="168">
        <v>4</v>
      </c>
      <c r="B6" s="168">
        <v>94</v>
      </c>
      <c r="C6" s="168">
        <v>6</v>
      </c>
      <c r="D6" s="168" t="s">
        <v>3409</v>
      </c>
      <c r="E6" s="169" t="s">
        <v>3410</v>
      </c>
      <c r="F6" s="168" t="s">
        <v>3411</v>
      </c>
      <c r="I6" s="165" t="str">
        <f>"FDW_"&amp;B6&amp;"_"&amp;C6</f>
        <v>FDW_94_6</v>
      </c>
      <c r="M6" s="165">
        <f>B6*100+C6</f>
        <v>9406</v>
      </c>
      <c r="N6" s="165" t="s">
        <v>3412</v>
      </c>
      <c r="P6" s="165">
        <v>4</v>
      </c>
      <c r="R6" s="165" t="str">
        <f>N6&amp;$O$3&amp;P6&amp;$Q$3</f>
        <v>9406:Var_ui_ErrNo:=4;</v>
      </c>
    </row>
    <row r="9" spans="13:19">
      <c r="M9" s="165">
        <v>9105</v>
      </c>
      <c r="N9" s="165" t="str">
        <f>M9&amp;","</f>
        <v>9105,</v>
      </c>
      <c r="O9" s="165" t="s">
        <v>3413</v>
      </c>
      <c r="P9" s="165" t="s">
        <v>3413</v>
      </c>
      <c r="Q9" s="165" t="s">
        <v>3414</v>
      </c>
      <c r="R9" s="165" t="s">
        <v>3415</v>
      </c>
      <c r="S9" s="165" t="s">
        <v>3416</v>
      </c>
    </row>
    <row r="10" spans="13:15">
      <c r="M10" s="165">
        <v>9206</v>
      </c>
      <c r="N10" s="165" t="str">
        <f>M10&amp;","</f>
        <v>9206,</v>
      </c>
      <c r="O10" s="165" t="s">
        <v>3414</v>
      </c>
    </row>
    <row r="11" spans="13:15">
      <c r="M11" s="165">
        <v>9305</v>
      </c>
      <c r="N11" s="165" t="str">
        <f>M11&amp;","</f>
        <v>9305,</v>
      </c>
      <c r="O11" s="165" t="s">
        <v>3415</v>
      </c>
    </row>
    <row r="12" spans="13:15">
      <c r="M12" s="165">
        <v>9406</v>
      </c>
      <c r="N12" s="165" t="str">
        <f>M12&amp;","</f>
        <v>9406,</v>
      </c>
      <c r="O12" s="165" t="s">
        <v>3416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zoomScale="130" zoomScaleNormal="130" topLeftCell="A46" workbookViewId="0">
      <selection activeCell="F62" sqref="F62"/>
    </sheetView>
  </sheetViews>
  <sheetFormatPr defaultColWidth="8.875" defaultRowHeight="13.5"/>
  <cols>
    <col min="1" max="1" width="8.875" style="79"/>
    <col min="2" max="2" width="5.75" style="52" customWidth="1"/>
    <col min="3" max="4" width="9" style="52" customWidth="1"/>
    <col min="5" max="5" width="47" style="52" customWidth="1"/>
    <col min="6" max="6" width="9.875" style="52" customWidth="1"/>
    <col min="7" max="7" width="12.125" style="52" customWidth="1"/>
    <col min="8" max="8" width="47" style="52" customWidth="1"/>
    <col min="9" max="9" width="19.75" style="140" customWidth="1"/>
    <col min="10" max="10" width="16.5" style="79" customWidth="1"/>
    <col min="11" max="16384" width="8.875" style="79"/>
  </cols>
  <sheetData>
    <row r="1" ht="19.15" customHeight="1" spans="1:10">
      <c r="A1" s="85" t="s">
        <v>125</v>
      </c>
      <c r="B1" s="141" t="s">
        <v>125</v>
      </c>
      <c r="C1" s="141" t="s">
        <v>140</v>
      </c>
      <c r="D1" s="141" t="s">
        <v>141</v>
      </c>
      <c r="E1" s="142" t="s">
        <v>127</v>
      </c>
      <c r="F1" s="142" t="s">
        <v>142</v>
      </c>
      <c r="G1" s="142" t="s">
        <v>1074</v>
      </c>
      <c r="H1" s="142" t="s">
        <v>283</v>
      </c>
      <c r="I1" s="157" t="s">
        <v>3417</v>
      </c>
      <c r="J1" s="158"/>
    </row>
    <row r="2" spans="1:10">
      <c r="A2" s="112">
        <v>1</v>
      </c>
      <c r="B2" s="141">
        <v>1</v>
      </c>
      <c r="C2" s="143" t="s">
        <v>157</v>
      </c>
      <c r="D2" s="144" t="s">
        <v>71</v>
      </c>
      <c r="E2" s="142" t="s">
        <v>3418</v>
      </c>
      <c r="F2" s="23">
        <v>11181</v>
      </c>
      <c r="G2" s="23">
        <v>0</v>
      </c>
      <c r="H2" s="142" t="s">
        <v>3419</v>
      </c>
      <c r="I2" s="157"/>
      <c r="J2" s="158"/>
    </row>
    <row r="3" spans="1:10">
      <c r="A3" s="112">
        <v>2</v>
      </c>
      <c r="B3" s="141">
        <v>2</v>
      </c>
      <c r="C3" s="143" t="s">
        <v>157</v>
      </c>
      <c r="D3" s="144" t="s">
        <v>71</v>
      </c>
      <c r="E3" s="142" t="s">
        <v>3420</v>
      </c>
      <c r="F3" s="23">
        <v>522000</v>
      </c>
      <c r="G3" s="23">
        <v>0</v>
      </c>
      <c r="H3" s="142" t="s">
        <v>3421</v>
      </c>
      <c r="I3" s="157"/>
      <c r="J3" s="158"/>
    </row>
    <row r="4" spans="1:10">
      <c r="A4" s="112">
        <v>3</v>
      </c>
      <c r="B4" s="141">
        <v>3</v>
      </c>
      <c r="C4" s="143" t="s">
        <v>157</v>
      </c>
      <c r="D4" s="144" t="s">
        <v>71</v>
      </c>
      <c r="E4" s="142" t="s">
        <v>3422</v>
      </c>
      <c r="F4" s="23">
        <v>522000</v>
      </c>
      <c r="G4" s="23">
        <v>1</v>
      </c>
      <c r="H4" s="142" t="s">
        <v>3423</v>
      </c>
      <c r="I4" s="157"/>
      <c r="J4" s="158"/>
    </row>
    <row r="5" spans="1:10">
      <c r="A5" s="112">
        <v>4</v>
      </c>
      <c r="B5" s="141">
        <v>4</v>
      </c>
      <c r="C5" s="143" t="s">
        <v>157</v>
      </c>
      <c r="D5" s="144" t="s">
        <v>71</v>
      </c>
      <c r="E5" s="142" t="s">
        <v>3424</v>
      </c>
      <c r="F5" s="23">
        <v>522001</v>
      </c>
      <c r="G5" s="23">
        <v>0</v>
      </c>
      <c r="H5" s="142" t="s">
        <v>3425</v>
      </c>
      <c r="I5" s="157"/>
      <c r="J5" s="158"/>
    </row>
    <row r="6" spans="1:10">
      <c r="A6" s="112">
        <v>5</v>
      </c>
      <c r="B6" s="141">
        <v>5</v>
      </c>
      <c r="C6" s="143" t="s">
        <v>157</v>
      </c>
      <c r="D6" s="144" t="s">
        <v>71</v>
      </c>
      <c r="E6" s="142" t="s">
        <v>3426</v>
      </c>
      <c r="F6" s="23">
        <v>522001</v>
      </c>
      <c r="G6" s="23">
        <v>1</v>
      </c>
      <c r="H6" s="142" t="s">
        <v>3427</v>
      </c>
      <c r="I6" s="157"/>
      <c r="J6" s="158"/>
    </row>
    <row r="7" spans="1:10">
      <c r="A7" s="112">
        <v>6</v>
      </c>
      <c r="B7" s="141">
        <v>6</v>
      </c>
      <c r="C7" s="143" t="s">
        <v>157</v>
      </c>
      <c r="D7" s="144" t="s">
        <v>71</v>
      </c>
      <c r="E7" s="142" t="s">
        <v>3428</v>
      </c>
      <c r="F7" s="23">
        <v>522002</v>
      </c>
      <c r="G7" s="23">
        <v>0</v>
      </c>
      <c r="H7" s="142" t="s">
        <v>3429</v>
      </c>
      <c r="I7" s="157"/>
      <c r="J7" s="158"/>
    </row>
    <row r="8" spans="1:10">
      <c r="A8" s="112">
        <v>7</v>
      </c>
      <c r="B8" s="141">
        <v>7</v>
      </c>
      <c r="C8" s="143" t="s">
        <v>157</v>
      </c>
      <c r="D8" s="144" t="s">
        <v>71</v>
      </c>
      <c r="E8" s="142" t="s">
        <v>3430</v>
      </c>
      <c r="F8" s="23">
        <v>522002</v>
      </c>
      <c r="G8" s="23">
        <v>1</v>
      </c>
      <c r="H8" s="142" t="s">
        <v>3431</v>
      </c>
      <c r="I8" s="157"/>
      <c r="J8" s="158"/>
    </row>
    <row r="9" spans="1:10">
      <c r="A9" s="112">
        <v>8</v>
      </c>
      <c r="B9" s="141">
        <v>8</v>
      </c>
      <c r="C9" s="143" t="s">
        <v>157</v>
      </c>
      <c r="D9" s="144" t="s">
        <v>71</v>
      </c>
      <c r="E9" s="23" t="s">
        <v>3432</v>
      </c>
      <c r="F9" s="23">
        <v>11187</v>
      </c>
      <c r="G9" s="23">
        <v>0</v>
      </c>
      <c r="H9" s="142" t="s">
        <v>3433</v>
      </c>
      <c r="I9" s="157"/>
      <c r="J9" s="158"/>
    </row>
    <row r="10" spans="1:10">
      <c r="A10" s="112">
        <v>9</v>
      </c>
      <c r="B10" s="141">
        <v>9</v>
      </c>
      <c r="C10" s="143" t="s">
        <v>157</v>
      </c>
      <c r="D10" s="144" t="s">
        <v>71</v>
      </c>
      <c r="E10" s="23" t="s">
        <v>3419</v>
      </c>
      <c r="F10" s="23">
        <v>11188</v>
      </c>
      <c r="G10" s="23">
        <v>0</v>
      </c>
      <c r="H10" s="142" t="s">
        <v>3434</v>
      </c>
      <c r="I10" s="157"/>
      <c r="J10" s="158"/>
    </row>
    <row r="11" ht="27" spans="1:10">
      <c r="A11" s="112">
        <v>10</v>
      </c>
      <c r="B11" s="141">
        <v>10</v>
      </c>
      <c r="C11" s="143" t="s">
        <v>157</v>
      </c>
      <c r="D11" s="144" t="s">
        <v>71</v>
      </c>
      <c r="E11" s="23" t="s">
        <v>3435</v>
      </c>
      <c r="F11" s="23">
        <v>11172</v>
      </c>
      <c r="G11" s="23">
        <v>1</v>
      </c>
      <c r="H11" s="142" t="s">
        <v>3436</v>
      </c>
      <c r="I11" s="157" t="s">
        <v>3437</v>
      </c>
      <c r="J11" s="158" t="s">
        <v>3438</v>
      </c>
    </row>
    <row r="12" spans="1:10">
      <c r="A12" s="112">
        <v>11</v>
      </c>
      <c r="B12" s="141">
        <v>11</v>
      </c>
      <c r="C12" s="143" t="s">
        <v>157</v>
      </c>
      <c r="D12" s="144" t="s">
        <v>71</v>
      </c>
      <c r="E12" s="23" t="s">
        <v>3439</v>
      </c>
      <c r="F12" s="23">
        <v>522003</v>
      </c>
      <c r="G12" s="23">
        <v>0</v>
      </c>
      <c r="H12" s="142" t="s">
        <v>3440</v>
      </c>
      <c r="I12" s="157"/>
      <c r="J12" s="158"/>
    </row>
    <row r="13" spans="1:10">
      <c r="A13" s="112">
        <v>12</v>
      </c>
      <c r="B13" s="141">
        <v>12</v>
      </c>
      <c r="C13" s="143" t="s">
        <v>157</v>
      </c>
      <c r="D13" s="144" t="s">
        <v>71</v>
      </c>
      <c r="E13" s="23" t="s">
        <v>3441</v>
      </c>
      <c r="F13" s="23">
        <v>522004</v>
      </c>
      <c r="G13" s="23">
        <v>1</v>
      </c>
      <c r="H13" s="142" t="s">
        <v>3442</v>
      </c>
      <c r="I13" s="157"/>
      <c r="J13" s="158"/>
    </row>
    <row r="14" spans="1:10">
      <c r="A14" s="112">
        <v>13</v>
      </c>
      <c r="B14" s="141">
        <v>13</v>
      </c>
      <c r="C14" s="143" t="s">
        <v>157</v>
      </c>
      <c r="D14" s="144" t="s">
        <v>71</v>
      </c>
      <c r="E14" s="23" t="s">
        <v>3443</v>
      </c>
      <c r="F14" s="23">
        <v>522005</v>
      </c>
      <c r="G14" s="23">
        <v>0</v>
      </c>
      <c r="H14" s="142" t="s">
        <v>3444</v>
      </c>
      <c r="I14" s="157"/>
      <c r="J14" s="158"/>
    </row>
    <row r="15" spans="1:10">
      <c r="A15" s="112">
        <v>14</v>
      </c>
      <c r="B15" s="141">
        <v>14</v>
      </c>
      <c r="C15" s="143" t="s">
        <v>157</v>
      </c>
      <c r="D15" s="144" t="s">
        <v>71</v>
      </c>
      <c r="E15" s="23" t="s">
        <v>3445</v>
      </c>
      <c r="F15" s="23">
        <v>522006</v>
      </c>
      <c r="G15" s="23">
        <v>12</v>
      </c>
      <c r="H15" s="142" t="s">
        <v>3446</v>
      </c>
      <c r="I15" s="157"/>
      <c r="J15" s="158"/>
    </row>
    <row r="16" spans="1:10">
      <c r="A16" s="112">
        <v>15</v>
      </c>
      <c r="B16" s="141">
        <v>15</v>
      </c>
      <c r="C16" s="143" t="s">
        <v>157</v>
      </c>
      <c r="D16" s="144" t="s">
        <v>71</v>
      </c>
      <c r="E16" s="23" t="s">
        <v>3447</v>
      </c>
      <c r="F16" s="23">
        <v>522007</v>
      </c>
      <c r="G16" s="23">
        <v>12</v>
      </c>
      <c r="H16" s="142" t="s">
        <v>3448</v>
      </c>
      <c r="I16" s="157"/>
      <c r="J16" s="158"/>
    </row>
    <row r="17" spans="1:10">
      <c r="A17" s="112">
        <v>16</v>
      </c>
      <c r="B17" s="141">
        <v>16</v>
      </c>
      <c r="C17" s="143" t="s">
        <v>157</v>
      </c>
      <c r="D17" s="144" t="s">
        <v>939</v>
      </c>
      <c r="E17" s="142" t="s">
        <v>3449</v>
      </c>
      <c r="F17" s="142">
        <v>11181</v>
      </c>
      <c r="G17" s="142">
        <v>6</v>
      </c>
      <c r="H17" s="142" t="s">
        <v>3450</v>
      </c>
      <c r="I17" s="157"/>
      <c r="J17" s="158"/>
    </row>
    <row r="18" spans="1:10">
      <c r="A18" s="112">
        <v>17</v>
      </c>
      <c r="B18" s="141">
        <v>17</v>
      </c>
      <c r="C18" s="143" t="s">
        <v>157</v>
      </c>
      <c r="D18" s="144" t="s">
        <v>939</v>
      </c>
      <c r="E18" s="142" t="s">
        <v>3451</v>
      </c>
      <c r="F18" s="142">
        <v>522000</v>
      </c>
      <c r="G18" s="142">
        <v>16</v>
      </c>
      <c r="H18" s="142" t="s">
        <v>3452</v>
      </c>
      <c r="I18" s="157"/>
      <c r="J18" s="158"/>
    </row>
    <row r="19" spans="1:10">
      <c r="A19" s="112">
        <v>18</v>
      </c>
      <c r="B19" s="141">
        <v>18</v>
      </c>
      <c r="C19" s="143" t="s">
        <v>157</v>
      </c>
      <c r="D19" s="144" t="s">
        <v>939</v>
      </c>
      <c r="E19" s="142" t="s">
        <v>3453</v>
      </c>
      <c r="F19" s="142">
        <v>522000</v>
      </c>
      <c r="G19" s="142">
        <v>18</v>
      </c>
      <c r="H19" s="142" t="s">
        <v>3454</v>
      </c>
      <c r="I19" s="157"/>
      <c r="J19" s="158"/>
    </row>
    <row r="20" spans="1:10">
      <c r="A20" s="112">
        <v>19</v>
      </c>
      <c r="B20" s="141">
        <v>19</v>
      </c>
      <c r="C20" s="143" t="s">
        <v>157</v>
      </c>
      <c r="D20" s="144" t="s">
        <v>939</v>
      </c>
      <c r="E20" s="142" t="s">
        <v>3455</v>
      </c>
      <c r="F20" s="142">
        <v>522001</v>
      </c>
      <c r="G20" s="142">
        <v>16</v>
      </c>
      <c r="H20" s="142" t="s">
        <v>3456</v>
      </c>
      <c r="I20" s="157"/>
      <c r="J20" s="158"/>
    </row>
    <row r="21" spans="1:10">
      <c r="A21" s="112">
        <v>20</v>
      </c>
      <c r="B21" s="141">
        <v>20</v>
      </c>
      <c r="C21" s="143" t="s">
        <v>157</v>
      </c>
      <c r="D21" s="144" t="s">
        <v>939</v>
      </c>
      <c r="E21" s="142" t="s">
        <v>3457</v>
      </c>
      <c r="F21" s="142">
        <v>522001</v>
      </c>
      <c r="G21" s="142">
        <v>18</v>
      </c>
      <c r="H21" s="142" t="s">
        <v>3458</v>
      </c>
      <c r="I21" s="157"/>
      <c r="J21" s="158"/>
    </row>
    <row r="22" spans="1:10">
      <c r="A22" s="112">
        <v>21</v>
      </c>
      <c r="B22" s="141">
        <v>21</v>
      </c>
      <c r="C22" s="143" t="s">
        <v>157</v>
      </c>
      <c r="D22" s="144" t="s">
        <v>939</v>
      </c>
      <c r="E22" s="142" t="s">
        <v>3459</v>
      </c>
      <c r="F22" s="142">
        <v>522002</v>
      </c>
      <c r="G22" s="142">
        <v>16</v>
      </c>
      <c r="H22" s="142" t="s">
        <v>3460</v>
      </c>
      <c r="I22" s="157"/>
      <c r="J22" s="158"/>
    </row>
    <row r="23" spans="1:10">
      <c r="A23" s="112">
        <v>22</v>
      </c>
      <c r="B23" s="141">
        <v>22</v>
      </c>
      <c r="C23" s="143" t="s">
        <v>157</v>
      </c>
      <c r="D23" s="144" t="s">
        <v>939</v>
      </c>
      <c r="E23" s="142" t="s">
        <v>3461</v>
      </c>
      <c r="F23" s="142">
        <v>522002</v>
      </c>
      <c r="G23" s="142">
        <v>18</v>
      </c>
      <c r="H23" s="142" t="s">
        <v>3462</v>
      </c>
      <c r="I23" s="157"/>
      <c r="J23" s="158"/>
    </row>
    <row r="24" spans="1:10">
      <c r="A24" s="112">
        <v>23</v>
      </c>
      <c r="B24" s="141">
        <v>23</v>
      </c>
      <c r="C24" s="143" t="s">
        <v>157</v>
      </c>
      <c r="D24" s="144" t="s">
        <v>939</v>
      </c>
      <c r="E24" s="23" t="s">
        <v>3463</v>
      </c>
      <c r="F24" s="142">
        <v>11187</v>
      </c>
      <c r="G24" s="142">
        <v>16</v>
      </c>
      <c r="H24" s="23" t="s">
        <v>3464</v>
      </c>
      <c r="I24" s="157"/>
      <c r="J24" s="158"/>
    </row>
    <row r="25" spans="1:10">
      <c r="A25" s="112">
        <v>24</v>
      </c>
      <c r="B25" s="141">
        <v>24</v>
      </c>
      <c r="C25" s="143" t="s">
        <v>157</v>
      </c>
      <c r="D25" s="144" t="s">
        <v>939</v>
      </c>
      <c r="E25" s="23" t="s">
        <v>3465</v>
      </c>
      <c r="F25" s="142">
        <v>11188</v>
      </c>
      <c r="G25" s="142">
        <v>16</v>
      </c>
      <c r="H25" s="23" t="s">
        <v>3466</v>
      </c>
      <c r="I25" s="157"/>
      <c r="J25" s="158"/>
    </row>
    <row r="26" spans="1:10">
      <c r="A26" s="112">
        <v>25</v>
      </c>
      <c r="B26" s="141">
        <v>25</v>
      </c>
      <c r="C26" s="143" t="s">
        <v>157</v>
      </c>
      <c r="D26" s="144" t="s">
        <v>939</v>
      </c>
      <c r="E26" s="23" t="s">
        <v>3467</v>
      </c>
      <c r="F26" s="142">
        <v>11172</v>
      </c>
      <c r="G26" s="142">
        <v>18</v>
      </c>
      <c r="H26" s="23" t="s">
        <v>3468</v>
      </c>
      <c r="I26" s="157"/>
      <c r="J26" s="158"/>
    </row>
    <row r="27" spans="1:10">
      <c r="A27" s="112">
        <v>26</v>
      </c>
      <c r="B27" s="141">
        <v>26</v>
      </c>
      <c r="C27" s="143" t="s">
        <v>157</v>
      </c>
      <c r="D27" s="144" t="s">
        <v>939</v>
      </c>
      <c r="E27" s="23" t="s">
        <v>3469</v>
      </c>
      <c r="F27" s="142">
        <v>522003</v>
      </c>
      <c r="G27" s="142">
        <v>16</v>
      </c>
      <c r="H27" s="23" t="s">
        <v>3470</v>
      </c>
      <c r="I27" s="157"/>
      <c r="J27" s="158"/>
    </row>
    <row r="28" spans="1:10">
      <c r="A28" s="112">
        <v>27</v>
      </c>
      <c r="B28" s="141">
        <v>27</v>
      </c>
      <c r="C28" s="143" t="s">
        <v>157</v>
      </c>
      <c r="D28" s="144" t="s">
        <v>939</v>
      </c>
      <c r="E28" s="23" t="s">
        <v>3471</v>
      </c>
      <c r="F28" s="142">
        <v>522004</v>
      </c>
      <c r="G28" s="142">
        <v>18</v>
      </c>
      <c r="H28" s="23" t="s">
        <v>3472</v>
      </c>
      <c r="I28" s="157"/>
      <c r="J28" s="158"/>
    </row>
    <row r="29" spans="1:10">
      <c r="A29" s="112">
        <v>28</v>
      </c>
      <c r="B29" s="141">
        <v>28</v>
      </c>
      <c r="C29" s="143" t="s">
        <v>157</v>
      </c>
      <c r="D29" s="144" t="s">
        <v>939</v>
      </c>
      <c r="E29" s="23" t="s">
        <v>3473</v>
      </c>
      <c r="F29" s="142">
        <v>522005</v>
      </c>
      <c r="G29" s="142">
        <v>16</v>
      </c>
      <c r="H29" s="23" t="s">
        <v>3474</v>
      </c>
      <c r="I29" s="157"/>
      <c r="J29" s="158"/>
    </row>
    <row r="30" spans="1:10">
      <c r="A30" s="112">
        <v>29</v>
      </c>
      <c r="B30" s="141">
        <v>29</v>
      </c>
      <c r="C30" s="143" t="s">
        <v>157</v>
      </c>
      <c r="D30" s="144" t="s">
        <v>939</v>
      </c>
      <c r="E30" s="23" t="s">
        <v>3475</v>
      </c>
      <c r="F30" s="142">
        <v>522008</v>
      </c>
      <c r="G30" s="142">
        <v>19</v>
      </c>
      <c r="H30" s="23" t="s">
        <v>3476</v>
      </c>
      <c r="I30" s="157"/>
      <c r="J30" s="158"/>
    </row>
    <row r="31" spans="1:10">
      <c r="A31" s="112">
        <v>30</v>
      </c>
      <c r="B31" s="141">
        <v>30</v>
      </c>
      <c r="C31" s="143" t="s">
        <v>157</v>
      </c>
      <c r="D31" s="144" t="s">
        <v>939</v>
      </c>
      <c r="E31" s="23" t="s">
        <v>3477</v>
      </c>
      <c r="F31" s="142">
        <v>522009</v>
      </c>
      <c r="G31" s="142">
        <v>19</v>
      </c>
      <c r="H31" s="23" t="s">
        <v>3478</v>
      </c>
      <c r="I31" s="157"/>
      <c r="J31" s="158"/>
    </row>
    <row r="32" spans="1:10">
      <c r="A32" s="112">
        <v>31</v>
      </c>
      <c r="B32" s="141">
        <v>31</v>
      </c>
      <c r="C32" s="143" t="s">
        <v>157</v>
      </c>
      <c r="D32" s="144" t="s">
        <v>939</v>
      </c>
      <c r="E32" s="23" t="s">
        <v>3479</v>
      </c>
      <c r="F32" s="142">
        <v>522010</v>
      </c>
      <c r="G32" s="142">
        <v>19</v>
      </c>
      <c r="H32" s="23" t="s">
        <v>3480</v>
      </c>
      <c r="I32" s="157"/>
      <c r="J32" s="158"/>
    </row>
    <row r="33" spans="1:10">
      <c r="A33" s="112">
        <v>32</v>
      </c>
      <c r="B33" s="141">
        <v>32</v>
      </c>
      <c r="C33" s="143" t="s">
        <v>157</v>
      </c>
      <c r="D33" s="144" t="s">
        <v>939</v>
      </c>
      <c r="E33" s="23" t="s">
        <v>3481</v>
      </c>
      <c r="F33" s="142">
        <v>522011</v>
      </c>
      <c r="G33" s="142">
        <v>19</v>
      </c>
      <c r="H33" s="23" t="s">
        <v>3482</v>
      </c>
      <c r="I33" s="157"/>
      <c r="J33" s="158"/>
    </row>
    <row r="34" spans="1:10">
      <c r="A34" s="112">
        <v>33</v>
      </c>
      <c r="B34" s="141">
        <v>33</v>
      </c>
      <c r="C34" s="143" t="s">
        <v>157</v>
      </c>
      <c r="D34" s="144" t="s">
        <v>939</v>
      </c>
      <c r="E34" s="23" t="s">
        <v>3483</v>
      </c>
      <c r="F34" s="142">
        <v>522012</v>
      </c>
      <c r="G34" s="142">
        <v>19</v>
      </c>
      <c r="H34" s="23" t="s">
        <v>3484</v>
      </c>
      <c r="I34" s="157"/>
      <c r="J34" s="158"/>
    </row>
    <row r="35" spans="1:10">
      <c r="A35" s="112">
        <v>34</v>
      </c>
      <c r="B35" s="141">
        <v>34</v>
      </c>
      <c r="C35" s="143" t="s">
        <v>157</v>
      </c>
      <c r="D35" s="144" t="s">
        <v>939</v>
      </c>
      <c r="E35" s="23" t="s">
        <v>3485</v>
      </c>
      <c r="F35" s="142">
        <v>522004</v>
      </c>
      <c r="G35" s="142">
        <v>16</v>
      </c>
      <c r="H35" s="23" t="s">
        <v>3486</v>
      </c>
      <c r="I35" s="157"/>
      <c r="J35" s="158"/>
    </row>
    <row r="36" spans="1:10">
      <c r="A36" s="112">
        <v>35</v>
      </c>
      <c r="B36" s="141">
        <v>35</v>
      </c>
      <c r="C36" s="145" t="s">
        <v>146</v>
      </c>
      <c r="D36" s="144"/>
      <c r="E36" s="146" t="s">
        <v>3487</v>
      </c>
      <c r="F36" s="146">
        <v>11181</v>
      </c>
      <c r="G36" s="146">
        <v>15</v>
      </c>
      <c r="H36" s="146" t="s">
        <v>3488</v>
      </c>
      <c r="I36" s="159" t="s">
        <v>3489</v>
      </c>
      <c r="J36" s="158"/>
    </row>
    <row r="37" spans="1:10">
      <c r="A37" s="112">
        <v>36</v>
      </c>
      <c r="B37" s="141">
        <v>36</v>
      </c>
      <c r="C37" s="145" t="s">
        <v>146</v>
      </c>
      <c r="D37" s="144"/>
      <c r="E37" s="146" t="s">
        <v>3490</v>
      </c>
      <c r="F37" s="146">
        <v>522000</v>
      </c>
      <c r="G37" s="146">
        <v>15</v>
      </c>
      <c r="H37" s="146" t="s">
        <v>3491</v>
      </c>
      <c r="I37" s="160"/>
      <c r="J37" s="158"/>
    </row>
    <row r="38" spans="1:10">
      <c r="A38" s="112">
        <v>37</v>
      </c>
      <c r="B38" s="141">
        <v>37</v>
      </c>
      <c r="C38" s="145" t="s">
        <v>146</v>
      </c>
      <c r="D38" s="144"/>
      <c r="E38" s="146" t="s">
        <v>3492</v>
      </c>
      <c r="F38" s="146">
        <v>522000</v>
      </c>
      <c r="G38" s="146">
        <v>17</v>
      </c>
      <c r="H38" s="146" t="s">
        <v>3493</v>
      </c>
      <c r="I38" s="160"/>
      <c r="J38" s="158"/>
    </row>
    <row r="39" spans="1:10">
      <c r="A39" s="112">
        <v>38</v>
      </c>
      <c r="B39" s="141">
        <v>38</v>
      </c>
      <c r="C39" s="145" t="s">
        <v>146</v>
      </c>
      <c r="D39" s="144"/>
      <c r="E39" s="146" t="s">
        <v>3494</v>
      </c>
      <c r="F39" s="146">
        <v>522001</v>
      </c>
      <c r="G39" s="146">
        <v>15</v>
      </c>
      <c r="H39" s="146" t="s">
        <v>3495</v>
      </c>
      <c r="I39" s="160"/>
      <c r="J39" s="158"/>
    </row>
    <row r="40" spans="1:10">
      <c r="A40" s="112">
        <v>39</v>
      </c>
      <c r="B40" s="141">
        <v>39</v>
      </c>
      <c r="C40" s="145" t="s">
        <v>146</v>
      </c>
      <c r="D40" s="144"/>
      <c r="E40" s="146" t="s">
        <v>3496</v>
      </c>
      <c r="F40" s="146">
        <v>522001</v>
      </c>
      <c r="G40" s="146">
        <v>17</v>
      </c>
      <c r="H40" s="146" t="s">
        <v>3497</v>
      </c>
      <c r="I40" s="160"/>
      <c r="J40" s="158"/>
    </row>
    <row r="41" spans="1:10">
      <c r="A41" s="112">
        <v>40</v>
      </c>
      <c r="B41" s="141">
        <v>40</v>
      </c>
      <c r="C41" s="145" t="s">
        <v>146</v>
      </c>
      <c r="D41" s="144"/>
      <c r="E41" s="146" t="s">
        <v>3498</v>
      </c>
      <c r="F41" s="146">
        <v>522002</v>
      </c>
      <c r="G41" s="146">
        <v>15</v>
      </c>
      <c r="H41" s="146" t="s">
        <v>3499</v>
      </c>
      <c r="I41" s="160"/>
      <c r="J41" s="158"/>
    </row>
    <row r="42" spans="1:10">
      <c r="A42" s="112">
        <v>41</v>
      </c>
      <c r="B42" s="141">
        <v>41</v>
      </c>
      <c r="C42" s="145" t="s">
        <v>146</v>
      </c>
      <c r="D42" s="144"/>
      <c r="E42" s="146" t="s">
        <v>3500</v>
      </c>
      <c r="F42" s="146">
        <v>522002</v>
      </c>
      <c r="G42" s="146">
        <v>17</v>
      </c>
      <c r="H42" s="146" t="s">
        <v>3501</v>
      </c>
      <c r="I42" s="160"/>
      <c r="J42" s="158"/>
    </row>
    <row r="43" spans="1:10">
      <c r="A43" s="112">
        <v>42</v>
      </c>
      <c r="B43" s="141">
        <v>42</v>
      </c>
      <c r="C43" s="145" t="s">
        <v>146</v>
      </c>
      <c r="D43" s="144"/>
      <c r="E43" s="147" t="s">
        <v>3502</v>
      </c>
      <c r="F43" s="146">
        <v>11187</v>
      </c>
      <c r="G43" s="146">
        <v>15</v>
      </c>
      <c r="H43" s="147" t="s">
        <v>3503</v>
      </c>
      <c r="I43" s="160"/>
      <c r="J43" s="158"/>
    </row>
    <row r="44" spans="1:10">
      <c r="A44" s="112">
        <v>43</v>
      </c>
      <c r="B44" s="141">
        <v>43</v>
      </c>
      <c r="C44" s="145" t="s">
        <v>146</v>
      </c>
      <c r="D44" s="144"/>
      <c r="E44" s="147" t="s">
        <v>3504</v>
      </c>
      <c r="F44" s="146">
        <v>11188</v>
      </c>
      <c r="G44" s="146">
        <v>15</v>
      </c>
      <c r="H44" s="147" t="s">
        <v>3505</v>
      </c>
      <c r="I44" s="160"/>
      <c r="J44" s="158"/>
    </row>
    <row r="45" spans="1:10">
      <c r="A45" s="112">
        <v>44</v>
      </c>
      <c r="B45" s="141">
        <v>44</v>
      </c>
      <c r="C45" s="145" t="s">
        <v>146</v>
      </c>
      <c r="D45" s="144"/>
      <c r="E45" s="147" t="s">
        <v>3506</v>
      </c>
      <c r="F45" s="146">
        <v>11172</v>
      </c>
      <c r="G45" s="146">
        <v>17</v>
      </c>
      <c r="H45" s="147" t="s">
        <v>3507</v>
      </c>
      <c r="I45" s="160"/>
      <c r="J45" s="158"/>
    </row>
    <row r="46" spans="1:10">
      <c r="A46" s="112">
        <v>45</v>
      </c>
      <c r="B46" s="141">
        <v>45</v>
      </c>
      <c r="C46" s="145" t="s">
        <v>146</v>
      </c>
      <c r="D46" s="144"/>
      <c r="E46" s="147" t="s">
        <v>3508</v>
      </c>
      <c r="F46" s="146">
        <v>522003</v>
      </c>
      <c r="G46" s="146">
        <v>15</v>
      </c>
      <c r="H46" s="147" t="s">
        <v>3509</v>
      </c>
      <c r="I46" s="160"/>
      <c r="J46" s="158"/>
    </row>
    <row r="47" spans="1:10">
      <c r="A47" s="112">
        <v>46</v>
      </c>
      <c r="B47" s="141">
        <v>46</v>
      </c>
      <c r="C47" s="145" t="s">
        <v>146</v>
      </c>
      <c r="D47" s="144"/>
      <c r="E47" s="147" t="s">
        <v>3510</v>
      </c>
      <c r="F47" s="146">
        <v>522004</v>
      </c>
      <c r="G47" s="146">
        <v>17</v>
      </c>
      <c r="H47" s="147" t="s">
        <v>3511</v>
      </c>
      <c r="I47" s="160"/>
      <c r="J47" s="158"/>
    </row>
    <row r="48" spans="1:10">
      <c r="A48" s="112">
        <v>47</v>
      </c>
      <c r="B48" s="141">
        <v>47</v>
      </c>
      <c r="C48" s="145" t="s">
        <v>146</v>
      </c>
      <c r="D48" s="144"/>
      <c r="E48" s="147" t="s">
        <v>3512</v>
      </c>
      <c r="F48" s="146">
        <v>522005</v>
      </c>
      <c r="G48" s="146">
        <v>15</v>
      </c>
      <c r="H48" s="147" t="s">
        <v>3513</v>
      </c>
      <c r="I48" s="161"/>
      <c r="J48" s="158"/>
    </row>
    <row r="49" spans="1:10">
      <c r="A49" s="114">
        <v>48</v>
      </c>
      <c r="B49" s="141">
        <v>48</v>
      </c>
      <c r="C49" s="143" t="s">
        <v>157</v>
      </c>
      <c r="D49" s="144" t="s">
        <v>71</v>
      </c>
      <c r="E49" s="23" t="s">
        <v>3514</v>
      </c>
      <c r="F49" s="23">
        <v>522004</v>
      </c>
      <c r="G49" s="23">
        <v>0</v>
      </c>
      <c r="H49" s="23" t="str">
        <f>"FCU"&amp;":"&amp;E49&amp;"("&amp;F49&amp;","&amp;G49&amp;")"</f>
        <v>FCU:电堆电压高(522004,0)</v>
      </c>
      <c r="I49" s="157" t="s">
        <v>3515</v>
      </c>
      <c r="J49" s="158"/>
    </row>
    <row r="50" spans="1:10">
      <c r="A50" s="114">
        <v>49</v>
      </c>
      <c r="B50" s="141">
        <v>49</v>
      </c>
      <c r="C50" s="143" t="s">
        <v>157</v>
      </c>
      <c r="D50" s="144" t="s">
        <v>71</v>
      </c>
      <c r="E50" s="23" t="s">
        <v>3516</v>
      </c>
      <c r="F50" s="23">
        <v>522008</v>
      </c>
      <c r="G50" s="23">
        <v>12</v>
      </c>
      <c r="H50" s="23" t="str">
        <f t="shared" ref="H50:H58" si="0">"FCU"&amp;":"&amp;E50&amp;"("&amp;F50&amp;","&amp;G50&amp;")"</f>
        <v>FCU:空压机通讯故障(522008,12)</v>
      </c>
      <c r="I50" s="157" t="s">
        <v>3515</v>
      </c>
      <c r="J50" s="158"/>
    </row>
    <row r="51" spans="1:10">
      <c r="A51" s="114">
        <v>50</v>
      </c>
      <c r="B51" s="141">
        <v>50</v>
      </c>
      <c r="C51" s="143" t="s">
        <v>157</v>
      </c>
      <c r="D51" s="144" t="s">
        <v>71</v>
      </c>
      <c r="E51" s="23" t="s">
        <v>3517</v>
      </c>
      <c r="F51" s="23">
        <v>522010</v>
      </c>
      <c r="G51" s="23">
        <v>12</v>
      </c>
      <c r="H51" s="23" t="str">
        <f t="shared" si="0"/>
        <v>FCU:巡检1通讯故障(522010,12)</v>
      </c>
      <c r="I51" s="157" t="s">
        <v>3515</v>
      </c>
      <c r="J51" s="158"/>
    </row>
    <row r="52" spans="1:10">
      <c r="A52" s="114">
        <v>51</v>
      </c>
      <c r="B52" s="141">
        <v>51</v>
      </c>
      <c r="C52" s="143" t="s">
        <v>157</v>
      </c>
      <c r="D52" s="144" t="s">
        <v>939</v>
      </c>
      <c r="E52" s="23" t="s">
        <v>3518</v>
      </c>
      <c r="F52" s="23">
        <v>522013</v>
      </c>
      <c r="G52" s="23">
        <v>19</v>
      </c>
      <c r="H52" s="23" t="str">
        <f t="shared" si="0"/>
        <v>FCU:电堆散热器控制器通讯故障(522013,19)</v>
      </c>
      <c r="I52" s="157" t="s">
        <v>3515</v>
      </c>
      <c r="J52" s="158"/>
    </row>
    <row r="53" spans="1:10">
      <c r="A53" s="114">
        <v>52</v>
      </c>
      <c r="B53" s="141">
        <v>52</v>
      </c>
      <c r="C53" s="143" t="s">
        <v>157</v>
      </c>
      <c r="D53" s="144" t="s">
        <v>939</v>
      </c>
      <c r="E53" s="23" t="s">
        <v>3519</v>
      </c>
      <c r="F53" s="23">
        <v>522014</v>
      </c>
      <c r="G53" s="23">
        <v>16</v>
      </c>
      <c r="H53" s="23" t="str">
        <f t="shared" si="0"/>
        <v>FCU:空压机控制器过温警告(522014,16)</v>
      </c>
      <c r="I53" s="157" t="s">
        <v>3515</v>
      </c>
      <c r="J53" s="158"/>
    </row>
    <row r="54" spans="1:10">
      <c r="A54" s="114">
        <v>53</v>
      </c>
      <c r="B54" s="141">
        <v>53</v>
      </c>
      <c r="C54" s="143" t="s">
        <v>157</v>
      </c>
      <c r="D54" s="144" t="s">
        <v>71</v>
      </c>
      <c r="E54" s="23" t="s">
        <v>3520</v>
      </c>
      <c r="F54" s="23">
        <v>522014</v>
      </c>
      <c r="G54" s="23">
        <v>0</v>
      </c>
      <c r="H54" s="23" t="str">
        <f t="shared" si="0"/>
        <v>FCU:空压机控制器过温报警(522014,0)</v>
      </c>
      <c r="I54" s="157" t="s">
        <v>3515</v>
      </c>
      <c r="J54" s="158"/>
    </row>
    <row r="55" spans="1:10">
      <c r="A55" s="114">
        <v>54</v>
      </c>
      <c r="B55" s="141">
        <v>54</v>
      </c>
      <c r="C55" s="143" t="s">
        <v>157</v>
      </c>
      <c r="D55" s="144" t="s">
        <v>71</v>
      </c>
      <c r="E55" s="23" t="s">
        <v>3521</v>
      </c>
      <c r="F55" s="23">
        <v>522015</v>
      </c>
      <c r="G55" s="23">
        <v>16</v>
      </c>
      <c r="H55" s="23" t="str">
        <f t="shared" si="0"/>
        <v>FCU:空压机过温警告(522015,16)</v>
      </c>
      <c r="I55" s="157" t="s">
        <v>3515</v>
      </c>
      <c r="J55" s="158"/>
    </row>
    <row r="56" spans="1:10">
      <c r="A56" s="114">
        <v>55</v>
      </c>
      <c r="B56" s="141">
        <v>55</v>
      </c>
      <c r="C56" s="143" t="s">
        <v>157</v>
      </c>
      <c r="D56" s="144" t="s">
        <v>71</v>
      </c>
      <c r="E56" s="23" t="s">
        <v>3522</v>
      </c>
      <c r="F56" s="23">
        <v>522015</v>
      </c>
      <c r="G56" s="23">
        <v>0</v>
      </c>
      <c r="H56" s="23" t="str">
        <f t="shared" si="0"/>
        <v>FCU:空压机过温报警(522015,0)</v>
      </c>
      <c r="I56" s="157" t="s">
        <v>3515</v>
      </c>
      <c r="J56" s="158"/>
    </row>
    <row r="57" spans="1:10">
      <c r="A57" s="114">
        <v>56</v>
      </c>
      <c r="B57" s="141">
        <v>56</v>
      </c>
      <c r="C57" s="143" t="s">
        <v>157</v>
      </c>
      <c r="D57" s="144" t="s">
        <v>939</v>
      </c>
      <c r="E57" s="23" t="s">
        <v>3523</v>
      </c>
      <c r="F57" s="23">
        <v>522029</v>
      </c>
      <c r="G57" s="23">
        <v>19</v>
      </c>
      <c r="H57" s="23" t="str">
        <f t="shared" si="0"/>
        <v>FCU:燃料电池系统故障(522029,19)</v>
      </c>
      <c r="I57" s="157" t="s">
        <v>3515</v>
      </c>
      <c r="J57" s="158"/>
    </row>
    <row r="58" spans="1:10">
      <c r="A58" s="114">
        <v>57</v>
      </c>
      <c r="B58" s="141">
        <v>57</v>
      </c>
      <c r="C58" s="143" t="s">
        <v>157</v>
      </c>
      <c r="D58" s="144" t="s">
        <v>71</v>
      </c>
      <c r="E58" s="23" t="s">
        <v>3523</v>
      </c>
      <c r="F58" s="23">
        <v>522029</v>
      </c>
      <c r="G58" s="23">
        <v>12</v>
      </c>
      <c r="H58" s="23" t="str">
        <f t="shared" si="0"/>
        <v>FCU:燃料电池系统故障(522029,12)</v>
      </c>
      <c r="I58" s="157" t="s">
        <v>3515</v>
      </c>
      <c r="J58" s="158"/>
    </row>
    <row r="59" spans="1:10">
      <c r="A59" s="148">
        <v>58</v>
      </c>
      <c r="B59" s="141">
        <v>58</v>
      </c>
      <c r="C59" s="143" t="s">
        <v>157</v>
      </c>
      <c r="D59" s="144" t="s">
        <v>71</v>
      </c>
      <c r="E59" s="23" t="s">
        <v>3524</v>
      </c>
      <c r="F59" s="23">
        <v>522017</v>
      </c>
      <c r="G59" s="23">
        <v>1</v>
      </c>
      <c r="H59" s="23" t="s">
        <v>3525</v>
      </c>
      <c r="I59" s="157" t="s">
        <v>3526</v>
      </c>
      <c r="J59" s="158"/>
    </row>
    <row r="60" ht="48" spans="1:10">
      <c r="A60" s="148">
        <v>59</v>
      </c>
      <c r="B60" s="141">
        <v>59</v>
      </c>
      <c r="C60" s="143" t="s">
        <v>263</v>
      </c>
      <c r="D60" s="149" t="s">
        <v>3527</v>
      </c>
      <c r="E60" s="23" t="s">
        <v>3528</v>
      </c>
      <c r="F60" s="23">
        <v>522016</v>
      </c>
      <c r="G60" s="23">
        <v>18</v>
      </c>
      <c r="H60" s="23" t="s">
        <v>3529</v>
      </c>
      <c r="I60" s="157" t="s">
        <v>3526</v>
      </c>
      <c r="J60" s="158"/>
    </row>
    <row r="61" spans="1:10">
      <c r="A61" s="148">
        <v>60</v>
      </c>
      <c r="B61" s="141">
        <v>60</v>
      </c>
      <c r="C61" s="143" t="s">
        <v>157</v>
      </c>
      <c r="D61" s="144" t="s">
        <v>71</v>
      </c>
      <c r="E61" s="23" t="s">
        <v>3530</v>
      </c>
      <c r="F61" s="23">
        <v>522027</v>
      </c>
      <c r="G61" s="23">
        <v>12</v>
      </c>
      <c r="H61" s="150" t="s">
        <v>3531</v>
      </c>
      <c r="I61" s="157" t="s">
        <v>3526</v>
      </c>
      <c r="J61" s="158"/>
    </row>
    <row r="62" ht="40.5" spans="1:10">
      <c r="A62" s="151">
        <v>61</v>
      </c>
      <c r="B62" s="152">
        <v>61</v>
      </c>
      <c r="C62" s="143" t="s">
        <v>157</v>
      </c>
      <c r="D62" s="144" t="s">
        <v>71</v>
      </c>
      <c r="E62" s="153" t="s">
        <v>3532</v>
      </c>
      <c r="F62" s="153">
        <v>522028</v>
      </c>
      <c r="G62" s="153">
        <v>12</v>
      </c>
      <c r="H62" s="153" t="s">
        <v>3533</v>
      </c>
      <c r="I62" s="162" t="s">
        <v>3526</v>
      </c>
      <c r="J62" s="163" t="s">
        <v>3534</v>
      </c>
    </row>
    <row r="63" ht="16.5" spans="1:9">
      <c r="A63" s="151">
        <v>62</v>
      </c>
      <c r="B63" s="154">
        <v>62</v>
      </c>
      <c r="C63" s="143" t="s">
        <v>157</v>
      </c>
      <c r="D63" s="144" t="s">
        <v>939</v>
      </c>
      <c r="E63" s="155" t="s">
        <v>3523</v>
      </c>
      <c r="F63" s="156">
        <v>522029</v>
      </c>
      <c r="G63" s="156">
        <v>19</v>
      </c>
      <c r="H63" s="153" t="s">
        <v>3535</v>
      </c>
      <c r="I63" s="164" t="s">
        <v>3536</v>
      </c>
    </row>
    <row r="64" ht="16.5" spans="1:9">
      <c r="A64" s="151">
        <v>63</v>
      </c>
      <c r="B64" s="154">
        <v>63</v>
      </c>
      <c r="C64" s="143" t="s">
        <v>157</v>
      </c>
      <c r="D64" s="144" t="s">
        <v>71</v>
      </c>
      <c r="E64" s="155" t="s">
        <v>3523</v>
      </c>
      <c r="F64" s="156">
        <v>522029</v>
      </c>
      <c r="G64" s="156">
        <v>12</v>
      </c>
      <c r="H64" s="153" t="s">
        <v>3537</v>
      </c>
      <c r="I64" s="164" t="s">
        <v>3536</v>
      </c>
    </row>
    <row r="65" ht="16.5" spans="1:9">
      <c r="A65" s="151">
        <v>64</v>
      </c>
      <c r="B65" s="154">
        <v>64</v>
      </c>
      <c r="C65" s="143" t="s">
        <v>157</v>
      </c>
      <c r="D65" s="144" t="s">
        <v>939</v>
      </c>
      <c r="E65" s="155" t="s">
        <v>3538</v>
      </c>
      <c r="F65" s="156">
        <v>522030</v>
      </c>
      <c r="G65" s="156">
        <v>16</v>
      </c>
      <c r="H65" s="153" t="s">
        <v>3539</v>
      </c>
      <c r="I65" s="164" t="s">
        <v>3536</v>
      </c>
    </row>
    <row r="66" ht="16.5" spans="1:9">
      <c r="A66" s="151">
        <v>65</v>
      </c>
      <c r="B66" s="154">
        <v>65</v>
      </c>
      <c r="C66" s="143" t="s">
        <v>157</v>
      </c>
      <c r="D66" s="144" t="s">
        <v>71</v>
      </c>
      <c r="E66" s="155" t="s">
        <v>3538</v>
      </c>
      <c r="F66" s="156">
        <v>522030</v>
      </c>
      <c r="G66" s="156">
        <v>0</v>
      </c>
      <c r="H66" s="153" t="s">
        <v>3540</v>
      </c>
      <c r="I66" s="164" t="s">
        <v>3536</v>
      </c>
    </row>
    <row r="67" ht="16.5" spans="1:9">
      <c r="A67" s="151">
        <v>66</v>
      </c>
      <c r="B67" s="154">
        <v>66</v>
      </c>
      <c r="C67" s="143" t="s">
        <v>157</v>
      </c>
      <c r="D67" s="144" t="s">
        <v>939</v>
      </c>
      <c r="E67" s="155" t="s">
        <v>3541</v>
      </c>
      <c r="F67" s="156">
        <v>522030</v>
      </c>
      <c r="G67" s="156">
        <v>18</v>
      </c>
      <c r="H67" s="153" t="s">
        <v>3542</v>
      </c>
      <c r="I67" s="164" t="s">
        <v>3536</v>
      </c>
    </row>
    <row r="68" ht="16.5" spans="1:9">
      <c r="A68" s="151">
        <v>67</v>
      </c>
      <c r="B68" s="154">
        <v>67</v>
      </c>
      <c r="C68" s="143" t="s">
        <v>157</v>
      </c>
      <c r="D68" s="144" t="s">
        <v>71</v>
      </c>
      <c r="E68" s="155" t="s">
        <v>3541</v>
      </c>
      <c r="F68" s="156">
        <v>522030</v>
      </c>
      <c r="G68" s="156">
        <v>1</v>
      </c>
      <c r="H68" s="153" t="s">
        <v>3543</v>
      </c>
      <c r="I68" s="164" t="s">
        <v>3536</v>
      </c>
    </row>
    <row r="69" ht="16.5" spans="1:9">
      <c r="A69" s="151">
        <v>68</v>
      </c>
      <c r="B69" s="154">
        <v>68</v>
      </c>
      <c r="C69" s="143" t="s">
        <v>157</v>
      </c>
      <c r="D69" s="144" t="s">
        <v>939</v>
      </c>
      <c r="E69" s="155" t="s">
        <v>3544</v>
      </c>
      <c r="F69" s="156">
        <v>522031</v>
      </c>
      <c r="G69" s="156">
        <v>16</v>
      </c>
      <c r="H69" s="153" t="s">
        <v>3545</v>
      </c>
      <c r="I69" s="164" t="s">
        <v>3536</v>
      </c>
    </row>
    <row r="70" ht="16.5" spans="1:9">
      <c r="A70" s="151">
        <v>69</v>
      </c>
      <c r="B70" s="154">
        <v>69</v>
      </c>
      <c r="C70" s="143" t="s">
        <v>157</v>
      </c>
      <c r="D70" s="144" t="s">
        <v>71</v>
      </c>
      <c r="E70" s="155" t="s">
        <v>3544</v>
      </c>
      <c r="F70" s="156">
        <v>522031</v>
      </c>
      <c r="G70" s="156">
        <v>0</v>
      </c>
      <c r="H70" s="153" t="s">
        <v>3546</v>
      </c>
      <c r="I70" s="164" t="s">
        <v>3536</v>
      </c>
    </row>
    <row r="71" ht="16.5" spans="1:9">
      <c r="A71" s="151">
        <v>70</v>
      </c>
      <c r="B71" s="154">
        <v>70</v>
      </c>
      <c r="C71" s="143" t="s">
        <v>157</v>
      </c>
      <c r="D71" s="144" t="s">
        <v>939</v>
      </c>
      <c r="E71" s="155" t="s">
        <v>3547</v>
      </c>
      <c r="F71" s="156">
        <v>522032</v>
      </c>
      <c r="G71" s="156">
        <v>16</v>
      </c>
      <c r="H71" s="153" t="s">
        <v>3548</v>
      </c>
      <c r="I71" s="164" t="s">
        <v>3536</v>
      </c>
    </row>
    <row r="72" ht="16.5" spans="1:9">
      <c r="A72" s="151">
        <v>71</v>
      </c>
      <c r="B72" s="154">
        <v>71</v>
      </c>
      <c r="C72" s="143" t="s">
        <v>157</v>
      </c>
      <c r="D72" s="144" t="s">
        <v>71</v>
      </c>
      <c r="E72" s="155" t="s">
        <v>3547</v>
      </c>
      <c r="F72" s="156">
        <v>522032</v>
      </c>
      <c r="G72" s="156">
        <v>0</v>
      </c>
      <c r="H72" s="153" t="s">
        <v>3549</v>
      </c>
      <c r="I72" s="164" t="s">
        <v>3536</v>
      </c>
    </row>
    <row r="73" ht="16.5" spans="1:9">
      <c r="A73" s="151">
        <v>72</v>
      </c>
      <c r="B73" s="154">
        <v>72</v>
      </c>
      <c r="C73" s="143" t="s">
        <v>157</v>
      </c>
      <c r="D73" s="144" t="s">
        <v>939</v>
      </c>
      <c r="E73" s="155" t="s">
        <v>3550</v>
      </c>
      <c r="F73" s="156">
        <v>522032</v>
      </c>
      <c r="G73" s="156">
        <v>18</v>
      </c>
      <c r="H73" s="153" t="s">
        <v>3551</v>
      </c>
      <c r="I73" s="164" t="s">
        <v>3536</v>
      </c>
    </row>
    <row r="74" ht="16.5" spans="1:9">
      <c r="A74" s="151">
        <v>73</v>
      </c>
      <c r="B74" s="154">
        <v>73</v>
      </c>
      <c r="C74" s="143" t="s">
        <v>157</v>
      </c>
      <c r="D74" s="144" t="s">
        <v>71</v>
      </c>
      <c r="E74" s="155" t="s">
        <v>3550</v>
      </c>
      <c r="F74" s="156">
        <v>522032</v>
      </c>
      <c r="G74" s="156">
        <v>1</v>
      </c>
      <c r="H74" s="153" t="s">
        <v>3552</v>
      </c>
      <c r="I74" s="164" t="s">
        <v>3536</v>
      </c>
    </row>
    <row r="75" ht="16.5" spans="1:9">
      <c r="A75" s="151">
        <v>74</v>
      </c>
      <c r="B75" s="154">
        <v>74</v>
      </c>
      <c r="C75" s="143" t="s">
        <v>157</v>
      </c>
      <c r="D75" s="144" t="s">
        <v>939</v>
      </c>
      <c r="E75" s="155" t="s">
        <v>3553</v>
      </c>
      <c r="F75" s="156">
        <v>522033</v>
      </c>
      <c r="G75" s="156">
        <v>16</v>
      </c>
      <c r="H75" s="153" t="s">
        <v>3554</v>
      </c>
      <c r="I75" s="164" t="s">
        <v>3536</v>
      </c>
    </row>
    <row r="76" ht="16.5" spans="1:9">
      <c r="A76" s="151">
        <v>75</v>
      </c>
      <c r="B76" s="154">
        <v>75</v>
      </c>
      <c r="C76" s="143" t="s">
        <v>157</v>
      </c>
      <c r="D76" s="144" t="s">
        <v>71</v>
      </c>
      <c r="E76" s="155" t="s">
        <v>3553</v>
      </c>
      <c r="F76" s="156">
        <v>522033</v>
      </c>
      <c r="G76" s="156">
        <v>0</v>
      </c>
      <c r="H76" s="153" t="s">
        <v>3555</v>
      </c>
      <c r="I76" s="164" t="s">
        <v>3536</v>
      </c>
    </row>
    <row r="77" ht="16.5" spans="1:9">
      <c r="A77" s="151">
        <v>76</v>
      </c>
      <c r="B77" s="154">
        <v>76</v>
      </c>
      <c r="C77" s="143" t="s">
        <v>157</v>
      </c>
      <c r="D77" s="144" t="s">
        <v>939</v>
      </c>
      <c r="E77" s="155" t="s">
        <v>3556</v>
      </c>
      <c r="F77" s="156">
        <v>522034</v>
      </c>
      <c r="G77" s="156">
        <v>16</v>
      </c>
      <c r="H77" s="153" t="s">
        <v>3557</v>
      </c>
      <c r="I77" s="164" t="s">
        <v>3536</v>
      </c>
    </row>
    <row r="78" ht="16.5" spans="1:9">
      <c r="A78" s="151">
        <v>77</v>
      </c>
      <c r="B78" s="154">
        <v>77</v>
      </c>
      <c r="C78" s="143" t="s">
        <v>157</v>
      </c>
      <c r="D78" s="144" t="s">
        <v>71</v>
      </c>
      <c r="E78" s="155" t="s">
        <v>3556</v>
      </c>
      <c r="F78" s="156">
        <v>522034</v>
      </c>
      <c r="G78" s="156">
        <v>0</v>
      </c>
      <c r="H78" s="153" t="s">
        <v>3558</v>
      </c>
      <c r="I78" s="164" t="s">
        <v>3536</v>
      </c>
    </row>
    <row r="79" ht="16.5" spans="1:9">
      <c r="A79" s="151">
        <v>78</v>
      </c>
      <c r="B79" s="154">
        <v>78</v>
      </c>
      <c r="C79" s="143" t="s">
        <v>157</v>
      </c>
      <c r="D79" s="144" t="s">
        <v>939</v>
      </c>
      <c r="E79" s="155" t="s">
        <v>3559</v>
      </c>
      <c r="F79" s="156">
        <v>522035</v>
      </c>
      <c r="G79" s="156">
        <v>4</v>
      </c>
      <c r="H79" s="153" t="s">
        <v>3560</v>
      </c>
      <c r="I79" s="164" t="s">
        <v>3536</v>
      </c>
    </row>
    <row r="80" ht="16.5" spans="1:9">
      <c r="A80" s="151">
        <v>79</v>
      </c>
      <c r="B80" s="154">
        <v>79</v>
      </c>
      <c r="C80" s="143" t="s">
        <v>157</v>
      </c>
      <c r="D80" s="144" t="s">
        <v>939</v>
      </c>
      <c r="E80" s="155" t="s">
        <v>3561</v>
      </c>
      <c r="F80" s="156">
        <v>2853</v>
      </c>
      <c r="G80" s="156">
        <v>19</v>
      </c>
      <c r="H80" s="153" t="s">
        <v>3562</v>
      </c>
      <c r="I80" s="164" t="s">
        <v>3536</v>
      </c>
    </row>
    <row r="81" ht="16.5" spans="1:9">
      <c r="A81" s="151">
        <v>80</v>
      </c>
      <c r="B81" s="154">
        <v>80</v>
      </c>
      <c r="C81" s="143" t="s">
        <v>157</v>
      </c>
      <c r="D81" s="144" t="s">
        <v>71</v>
      </c>
      <c r="E81" s="155" t="s">
        <v>3561</v>
      </c>
      <c r="F81" s="156">
        <v>2853</v>
      </c>
      <c r="G81" s="156">
        <v>12</v>
      </c>
      <c r="H81" s="153" t="s">
        <v>3563</v>
      </c>
      <c r="I81" s="164" t="s">
        <v>3536</v>
      </c>
    </row>
  </sheetData>
  <autoFilter ref="A1:J81">
    <extLst/>
  </autoFilter>
  <mergeCells count="1">
    <mergeCell ref="I36:I48"/>
  </mergeCells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7"/>
  <sheetViews>
    <sheetView zoomScale="115" zoomScaleNormal="115" topLeftCell="A13" workbookViewId="0">
      <selection activeCell="D20" sqref="D20"/>
    </sheetView>
  </sheetViews>
  <sheetFormatPr defaultColWidth="9" defaultRowHeight="13.5"/>
  <cols>
    <col min="4" max="4" width="36.875" customWidth="1"/>
    <col min="5" max="6" width="9.5" customWidth="1"/>
    <col min="7" max="7" width="51.25" customWidth="1"/>
    <col min="8" max="8" width="28.125" customWidth="1"/>
    <col min="9" max="9" width="28.375" customWidth="1"/>
  </cols>
  <sheetData>
    <row r="2" spans="1:7">
      <c r="A2" s="58" t="s">
        <v>125</v>
      </c>
      <c r="B2" s="58" t="s">
        <v>140</v>
      </c>
      <c r="C2" s="58" t="s">
        <v>141</v>
      </c>
      <c r="D2" s="57" t="s">
        <v>127</v>
      </c>
      <c r="E2" s="57" t="s">
        <v>142</v>
      </c>
      <c r="F2" s="57" t="s">
        <v>143</v>
      </c>
      <c r="G2" s="81" t="s">
        <v>283</v>
      </c>
    </row>
    <row r="3" spans="1:8">
      <c r="A3" s="118">
        <v>1</v>
      </c>
      <c r="B3" s="119" t="s">
        <v>157</v>
      </c>
      <c r="C3" s="118" t="s">
        <v>71</v>
      </c>
      <c r="D3" s="120" t="s">
        <v>3564</v>
      </c>
      <c r="E3" s="121">
        <v>522040</v>
      </c>
      <c r="F3" s="121">
        <v>0</v>
      </c>
      <c r="G3" s="24" t="s">
        <v>3565</v>
      </c>
      <c r="H3" s="122"/>
    </row>
    <row r="4" spans="1:8">
      <c r="A4" s="118">
        <v>2</v>
      </c>
      <c r="B4" s="123" t="s">
        <v>146</v>
      </c>
      <c r="C4" s="118"/>
      <c r="D4" s="120" t="s">
        <v>3566</v>
      </c>
      <c r="E4" s="121">
        <v>522040</v>
      </c>
      <c r="F4" s="121">
        <v>16</v>
      </c>
      <c r="G4" s="24" t="s">
        <v>3567</v>
      </c>
      <c r="H4" s="122"/>
    </row>
    <row r="5" spans="1:8">
      <c r="A5" s="124">
        <v>3</v>
      </c>
      <c r="B5" s="125" t="s">
        <v>157</v>
      </c>
      <c r="C5" s="124"/>
      <c r="D5" s="126" t="s">
        <v>3568</v>
      </c>
      <c r="E5" s="127">
        <v>522041</v>
      </c>
      <c r="F5" s="127">
        <v>1</v>
      </c>
      <c r="G5" s="128" t="s">
        <v>3569</v>
      </c>
      <c r="H5" s="129" t="s">
        <v>698</v>
      </c>
    </row>
    <row r="6" ht="36" spans="1:8">
      <c r="A6" s="118">
        <v>4</v>
      </c>
      <c r="B6" s="119" t="s">
        <v>263</v>
      </c>
      <c r="C6" s="130" t="s">
        <v>3570</v>
      </c>
      <c r="D6" s="24" t="s">
        <v>3571</v>
      </c>
      <c r="E6" s="85">
        <v>522041</v>
      </c>
      <c r="F6" s="85">
        <v>18</v>
      </c>
      <c r="G6" s="24" t="s">
        <v>3572</v>
      </c>
      <c r="H6" s="122"/>
    </row>
    <row r="7" spans="1:8">
      <c r="A7" s="118">
        <v>5</v>
      </c>
      <c r="B7" s="123" t="s">
        <v>146</v>
      </c>
      <c r="C7" s="118"/>
      <c r="D7" s="120" t="s">
        <v>3573</v>
      </c>
      <c r="E7" s="121">
        <v>522042</v>
      </c>
      <c r="F7" s="121">
        <v>16</v>
      </c>
      <c r="G7" s="24" t="s">
        <v>3574</v>
      </c>
      <c r="H7" s="122"/>
    </row>
    <row r="8" spans="1:8">
      <c r="A8" s="118">
        <v>6</v>
      </c>
      <c r="B8" s="119" t="s">
        <v>157</v>
      </c>
      <c r="C8" s="118" t="s">
        <v>71</v>
      </c>
      <c r="D8" s="120" t="s">
        <v>3575</v>
      </c>
      <c r="E8" s="121">
        <v>522042</v>
      </c>
      <c r="F8" s="121">
        <v>0</v>
      </c>
      <c r="G8" s="24" t="s">
        <v>3576</v>
      </c>
      <c r="H8" s="122"/>
    </row>
    <row r="9" spans="1:8">
      <c r="A9" s="118">
        <v>7</v>
      </c>
      <c r="B9" s="123" t="s">
        <v>146</v>
      </c>
      <c r="C9" s="118"/>
      <c r="D9" s="120" t="s">
        <v>3577</v>
      </c>
      <c r="E9" s="121">
        <v>522043</v>
      </c>
      <c r="F9" s="121">
        <v>18</v>
      </c>
      <c r="G9" s="24" t="s">
        <v>3578</v>
      </c>
      <c r="H9" s="122"/>
    </row>
    <row r="10" spans="1:8">
      <c r="A10" s="118">
        <v>8</v>
      </c>
      <c r="B10" s="119" t="s">
        <v>157</v>
      </c>
      <c r="C10" s="118" t="s">
        <v>71</v>
      </c>
      <c r="D10" s="120" t="s">
        <v>3579</v>
      </c>
      <c r="E10" s="121">
        <v>522043</v>
      </c>
      <c r="F10" s="121">
        <v>1</v>
      </c>
      <c r="G10" s="24" t="s">
        <v>3580</v>
      </c>
      <c r="H10" s="122"/>
    </row>
    <row r="11" spans="1:8">
      <c r="A11" s="118">
        <v>9</v>
      </c>
      <c r="B11" s="119" t="s">
        <v>157</v>
      </c>
      <c r="C11" s="118" t="s">
        <v>71</v>
      </c>
      <c r="D11" s="120" t="s">
        <v>3581</v>
      </c>
      <c r="E11" s="121">
        <v>522044</v>
      </c>
      <c r="F11" s="121">
        <v>0</v>
      </c>
      <c r="G11" s="24" t="s">
        <v>3582</v>
      </c>
      <c r="H11" s="122"/>
    </row>
    <row r="12" spans="1:8">
      <c r="A12" s="118">
        <v>10</v>
      </c>
      <c r="B12" s="123" t="s">
        <v>146</v>
      </c>
      <c r="C12" s="118"/>
      <c r="D12" s="120" t="s">
        <v>3583</v>
      </c>
      <c r="E12" s="121">
        <v>522044</v>
      </c>
      <c r="F12" s="121">
        <v>16</v>
      </c>
      <c r="G12" s="24" t="s">
        <v>3584</v>
      </c>
      <c r="H12" s="122"/>
    </row>
    <row r="13" spans="1:8">
      <c r="A13" s="118">
        <v>11</v>
      </c>
      <c r="B13" s="119" t="s">
        <v>157</v>
      </c>
      <c r="C13" s="118" t="s">
        <v>939</v>
      </c>
      <c r="D13" s="120" t="s">
        <v>3585</v>
      </c>
      <c r="E13" s="121">
        <v>522045</v>
      </c>
      <c r="F13" s="121">
        <v>16</v>
      </c>
      <c r="G13" s="24" t="s">
        <v>3586</v>
      </c>
      <c r="H13" s="122"/>
    </row>
    <row r="14" spans="1:9">
      <c r="A14" s="131">
        <v>12</v>
      </c>
      <c r="B14" s="132" t="s">
        <v>157</v>
      </c>
      <c r="C14" s="131" t="s">
        <v>939</v>
      </c>
      <c r="D14" s="133" t="s">
        <v>3587</v>
      </c>
      <c r="E14" s="134">
        <v>522045</v>
      </c>
      <c r="F14" s="134">
        <v>15</v>
      </c>
      <c r="G14" s="135" t="s">
        <v>3588</v>
      </c>
      <c r="H14" t="s">
        <v>3589</v>
      </c>
      <c r="I14" t="s">
        <v>3590</v>
      </c>
    </row>
    <row r="15" spans="1:7">
      <c r="A15" s="118">
        <v>13</v>
      </c>
      <c r="B15" s="119" t="s">
        <v>157</v>
      </c>
      <c r="C15" s="118" t="s">
        <v>939</v>
      </c>
      <c r="D15" s="120" t="s">
        <v>3591</v>
      </c>
      <c r="E15" s="121">
        <v>522046</v>
      </c>
      <c r="F15" s="121">
        <v>11</v>
      </c>
      <c r="G15" s="24" t="str">
        <f t="shared" ref="G15:G36" si="0">"HMS"&amp;":"&amp;D15&amp;"("&amp;E15&amp;","&amp;F15&amp;")"</f>
        <v>HMS:氢泄露传感器1故障数据异常(522046,11)</v>
      </c>
    </row>
    <row r="16" spans="1:7">
      <c r="A16" s="118">
        <v>14</v>
      </c>
      <c r="B16" s="119" t="s">
        <v>157</v>
      </c>
      <c r="C16" s="118" t="s">
        <v>939</v>
      </c>
      <c r="D16" s="120" t="s">
        <v>3592</v>
      </c>
      <c r="E16" s="121">
        <v>522047</v>
      </c>
      <c r="F16" s="121">
        <v>11</v>
      </c>
      <c r="G16" s="24" t="str">
        <f t="shared" si="0"/>
        <v>HMS:氢泄露传感器2故障数据异常(522047,11)</v>
      </c>
    </row>
    <row r="17" spans="1:7">
      <c r="A17" s="118">
        <v>15</v>
      </c>
      <c r="B17" s="119" t="s">
        <v>157</v>
      </c>
      <c r="C17" s="118" t="s">
        <v>939</v>
      </c>
      <c r="D17" s="120" t="s">
        <v>3593</v>
      </c>
      <c r="E17" s="121">
        <v>522048</v>
      </c>
      <c r="F17" s="121">
        <v>11</v>
      </c>
      <c r="G17" s="24" t="str">
        <f t="shared" si="0"/>
        <v>HMS:氢泄露传感器3故障数据异常(522048,11)</v>
      </c>
    </row>
    <row r="18" spans="1:7">
      <c r="A18" s="118">
        <v>16</v>
      </c>
      <c r="B18" s="119" t="s">
        <v>157</v>
      </c>
      <c r="C18" s="118" t="s">
        <v>939</v>
      </c>
      <c r="D18" s="120" t="s">
        <v>3594</v>
      </c>
      <c r="E18" s="121">
        <v>522049</v>
      </c>
      <c r="F18" s="121">
        <v>11</v>
      </c>
      <c r="G18" s="24" t="str">
        <f t="shared" si="0"/>
        <v>HMS:氢泄露传感器4故障数据异常(522049,11)</v>
      </c>
    </row>
    <row r="19" spans="1:7">
      <c r="A19" s="118">
        <v>17</v>
      </c>
      <c r="B19" s="119" t="s">
        <v>157</v>
      </c>
      <c r="C19" s="118" t="s">
        <v>939</v>
      </c>
      <c r="D19" s="120" t="s">
        <v>3595</v>
      </c>
      <c r="E19" s="121">
        <v>522050</v>
      </c>
      <c r="F19" s="121">
        <v>11</v>
      </c>
      <c r="G19" s="24" t="str">
        <f t="shared" si="0"/>
        <v>HMS:氢泄露传感器5故障数据异常(522050,11)</v>
      </c>
    </row>
    <row r="20" spans="1:7">
      <c r="A20" s="118">
        <v>18</v>
      </c>
      <c r="B20" s="119" t="s">
        <v>157</v>
      </c>
      <c r="C20" s="118" t="s">
        <v>939</v>
      </c>
      <c r="D20" s="120" t="s">
        <v>3596</v>
      </c>
      <c r="E20" s="121">
        <v>2853</v>
      </c>
      <c r="F20" s="121">
        <v>19</v>
      </c>
      <c r="G20" s="24" t="str">
        <f t="shared" si="0"/>
        <v>HMS:通讯故障，收不到控制报文60s后关闭(2853,19)</v>
      </c>
    </row>
    <row r="21" spans="1:7">
      <c r="A21" s="118">
        <v>19</v>
      </c>
      <c r="B21" s="119" t="s">
        <v>157</v>
      </c>
      <c r="C21" s="118" t="s">
        <v>939</v>
      </c>
      <c r="D21" s="120" t="s">
        <v>3597</v>
      </c>
      <c r="E21" s="121">
        <v>522051</v>
      </c>
      <c r="F21" s="121">
        <v>11</v>
      </c>
      <c r="G21" s="24" t="str">
        <f t="shared" si="0"/>
        <v>HMS:温度传感器1故障 数据异常(522051,11)</v>
      </c>
    </row>
    <row r="22" spans="1:7">
      <c r="A22" s="118">
        <v>20</v>
      </c>
      <c r="B22" s="119" t="s">
        <v>157</v>
      </c>
      <c r="C22" s="118" t="s">
        <v>939</v>
      </c>
      <c r="D22" s="120" t="s">
        <v>3598</v>
      </c>
      <c r="E22" s="121">
        <v>522052</v>
      </c>
      <c r="F22" s="121">
        <v>11</v>
      </c>
      <c r="G22" s="24" t="str">
        <f t="shared" si="0"/>
        <v>HMS:温度传感器2故障 数据异常(522052,11)</v>
      </c>
    </row>
    <row r="23" spans="1:7">
      <c r="A23" s="118">
        <v>21</v>
      </c>
      <c r="B23" s="119" t="s">
        <v>157</v>
      </c>
      <c r="C23" s="118" t="s">
        <v>939</v>
      </c>
      <c r="D23" s="120" t="s">
        <v>3599</v>
      </c>
      <c r="E23" s="121">
        <v>522053</v>
      </c>
      <c r="F23" s="121">
        <v>11</v>
      </c>
      <c r="G23" s="24" t="str">
        <f t="shared" si="0"/>
        <v>HMS:温度传感器3故障 数据异常(522053,11)</v>
      </c>
    </row>
    <row r="24" spans="1:7">
      <c r="A24" s="118">
        <v>22</v>
      </c>
      <c r="B24" s="119" t="s">
        <v>157</v>
      </c>
      <c r="C24" s="118" t="s">
        <v>939</v>
      </c>
      <c r="D24" s="120" t="s">
        <v>3600</v>
      </c>
      <c r="E24" s="121">
        <v>522054</v>
      </c>
      <c r="F24" s="121">
        <v>11</v>
      </c>
      <c r="G24" s="24" t="str">
        <f t="shared" si="0"/>
        <v>HMS:温度传感器4故障 数据异常(522054,11)</v>
      </c>
    </row>
    <row r="25" spans="1:7">
      <c r="A25" s="118">
        <v>23</v>
      </c>
      <c r="B25" s="119" t="s">
        <v>157</v>
      </c>
      <c r="C25" s="118" t="s">
        <v>939</v>
      </c>
      <c r="D25" s="120" t="s">
        <v>3601</v>
      </c>
      <c r="E25" s="121">
        <v>522055</v>
      </c>
      <c r="F25" s="121">
        <v>11</v>
      </c>
      <c r="G25" s="24" t="str">
        <f t="shared" si="0"/>
        <v>HMS:温度传感器5故障 数据异常(522055,11)</v>
      </c>
    </row>
    <row r="26" spans="1:7">
      <c r="A26" s="118">
        <v>24</v>
      </c>
      <c r="B26" s="119" t="s">
        <v>157</v>
      </c>
      <c r="C26" s="118" t="s">
        <v>939</v>
      </c>
      <c r="D26" s="120" t="s">
        <v>3602</v>
      </c>
      <c r="E26" s="121">
        <v>522056</v>
      </c>
      <c r="F26" s="121">
        <v>11</v>
      </c>
      <c r="G26" s="24" t="str">
        <f t="shared" si="0"/>
        <v>HMS:温度传感器6故障 数据异常(522056,11)</v>
      </c>
    </row>
    <row r="27" spans="1:7">
      <c r="A27" s="118">
        <v>25</v>
      </c>
      <c r="B27" s="119" t="s">
        <v>157</v>
      </c>
      <c r="C27" s="118" t="s">
        <v>939</v>
      </c>
      <c r="D27" s="120" t="s">
        <v>3603</v>
      </c>
      <c r="E27" s="121">
        <v>522057</v>
      </c>
      <c r="F27" s="121">
        <v>11</v>
      </c>
      <c r="G27" s="24" t="str">
        <f t="shared" si="0"/>
        <v>HMS:温度传感器7故障 数据异常(522057,11)</v>
      </c>
    </row>
    <row r="28" spans="1:7">
      <c r="A28" s="118">
        <v>26</v>
      </c>
      <c r="B28" s="119" t="s">
        <v>157</v>
      </c>
      <c r="C28" s="118" t="s">
        <v>939</v>
      </c>
      <c r="D28" s="120" t="s">
        <v>3604</v>
      </c>
      <c r="E28" s="121">
        <v>522058</v>
      </c>
      <c r="F28" s="121">
        <v>11</v>
      </c>
      <c r="G28" s="24" t="str">
        <f t="shared" si="0"/>
        <v>HMS:温度传感器8故障 数据异常(522058,11)</v>
      </c>
    </row>
    <row r="29" spans="1:7">
      <c r="A29" s="118">
        <v>27</v>
      </c>
      <c r="B29" s="119" t="s">
        <v>157</v>
      </c>
      <c r="C29" s="118" t="s">
        <v>939</v>
      </c>
      <c r="D29" s="120" t="s">
        <v>3605</v>
      </c>
      <c r="E29" s="121">
        <v>522059</v>
      </c>
      <c r="F29" s="121">
        <v>11</v>
      </c>
      <c r="G29" s="24" t="str">
        <f t="shared" si="0"/>
        <v>HMS:压力传感器1故障数据异常(522059,11)</v>
      </c>
    </row>
    <row r="30" spans="1:7">
      <c r="A30" s="118">
        <v>28</v>
      </c>
      <c r="B30" s="119" t="s">
        <v>157</v>
      </c>
      <c r="C30" s="118" t="s">
        <v>939</v>
      </c>
      <c r="D30" s="120" t="s">
        <v>3606</v>
      </c>
      <c r="E30" s="121">
        <v>522060</v>
      </c>
      <c r="F30" s="121">
        <v>11</v>
      </c>
      <c r="G30" s="24" t="str">
        <f t="shared" si="0"/>
        <v>HMS:压力传感器2故障数据异常(522060,11)</v>
      </c>
    </row>
    <row r="31" spans="1:7">
      <c r="A31" s="118">
        <v>29</v>
      </c>
      <c r="B31" s="119" t="s">
        <v>157</v>
      </c>
      <c r="C31" s="118" t="s">
        <v>939</v>
      </c>
      <c r="D31" s="120" t="s">
        <v>3607</v>
      </c>
      <c r="E31" s="121">
        <v>522061</v>
      </c>
      <c r="F31" s="121">
        <v>11</v>
      </c>
      <c r="G31" s="24" t="str">
        <f t="shared" si="0"/>
        <v>HMS:压力传感器3故障数据异常(522061,11)</v>
      </c>
    </row>
    <row r="32" spans="1:8">
      <c r="A32" s="118">
        <v>30</v>
      </c>
      <c r="B32" s="119" t="s">
        <v>157</v>
      </c>
      <c r="C32" s="118" t="s">
        <v>71</v>
      </c>
      <c r="D32" s="136" t="s">
        <v>3608</v>
      </c>
      <c r="E32" s="121">
        <v>522044</v>
      </c>
      <c r="F32" s="121">
        <v>1</v>
      </c>
      <c r="G32" s="24" t="str">
        <f t="shared" si="0"/>
        <v>HMS:瓶温过低(522044,1)</v>
      </c>
      <c r="H32" t="s">
        <v>3515</v>
      </c>
    </row>
    <row r="33" spans="1:8">
      <c r="A33" s="118">
        <v>31</v>
      </c>
      <c r="B33" s="123" t="s">
        <v>146</v>
      </c>
      <c r="C33" s="118"/>
      <c r="D33" s="136" t="s">
        <v>3608</v>
      </c>
      <c r="E33" s="121">
        <v>522044</v>
      </c>
      <c r="F33" s="121">
        <v>18</v>
      </c>
      <c r="G33" s="24" t="str">
        <f t="shared" si="0"/>
        <v>HMS:瓶温过低(522044,18)</v>
      </c>
      <c r="H33" t="s">
        <v>3515</v>
      </c>
    </row>
    <row r="34" spans="1:8">
      <c r="A34" s="118">
        <v>32</v>
      </c>
      <c r="B34" s="137" t="s">
        <v>148</v>
      </c>
      <c r="C34" s="118" t="s">
        <v>71</v>
      </c>
      <c r="D34" s="120" t="s">
        <v>3609</v>
      </c>
      <c r="E34" s="121">
        <v>522045</v>
      </c>
      <c r="F34" s="121">
        <v>0</v>
      </c>
      <c r="G34" s="24" t="str">
        <f t="shared" si="0"/>
        <v>HMS:氢气泄露(522045,0)</v>
      </c>
      <c r="H34" t="s">
        <v>3515</v>
      </c>
    </row>
    <row r="35" spans="1:8">
      <c r="A35" s="118">
        <v>33</v>
      </c>
      <c r="B35" s="119" t="s">
        <v>157</v>
      </c>
      <c r="C35" s="118" t="s">
        <v>939</v>
      </c>
      <c r="D35" s="136" t="s">
        <v>3610</v>
      </c>
      <c r="E35" s="121">
        <v>522079</v>
      </c>
      <c r="F35" s="121">
        <v>19</v>
      </c>
      <c r="G35" s="24" t="str">
        <f t="shared" si="0"/>
        <v>HMS:车载供氢系统故障(522079,19)</v>
      </c>
      <c r="H35" t="s">
        <v>3515</v>
      </c>
    </row>
    <row r="36" spans="1:8">
      <c r="A36" s="118">
        <v>34</v>
      </c>
      <c r="B36" s="119" t="s">
        <v>157</v>
      </c>
      <c r="C36" s="118" t="s">
        <v>71</v>
      </c>
      <c r="D36" s="136" t="s">
        <v>3610</v>
      </c>
      <c r="E36" s="121">
        <v>522079</v>
      </c>
      <c r="F36" s="121">
        <v>12</v>
      </c>
      <c r="G36" s="24" t="str">
        <f t="shared" si="0"/>
        <v>HMS:车载供氢系统故障(522079,12)</v>
      </c>
      <c r="H36" t="s">
        <v>3515</v>
      </c>
    </row>
    <row r="37" spans="1:8">
      <c r="A37" s="58">
        <v>35</v>
      </c>
      <c r="B37" s="119" t="s">
        <v>157</v>
      </c>
      <c r="C37" s="58" t="s">
        <v>71</v>
      </c>
      <c r="D37" s="138" t="s">
        <v>3611</v>
      </c>
      <c r="E37" s="139">
        <v>2853</v>
      </c>
      <c r="F37" s="139">
        <v>12</v>
      </c>
      <c r="G37" s="49" t="str">
        <f t="shared" ref="G37" si="1">"HMS"&amp;":"&amp;D37&amp;"("&amp;E37&amp;","&amp;F37&amp;")"</f>
        <v>HMS:通讯故障(2853,12)</v>
      </c>
      <c r="H37" s="103" t="s">
        <v>353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zoomScale="130" zoomScaleNormal="130" workbookViewId="0">
      <selection activeCell="B1" sqref="B1"/>
    </sheetView>
  </sheetViews>
  <sheetFormatPr defaultColWidth="9" defaultRowHeight="13.5" outlineLevelCol="5"/>
  <cols>
    <col min="1" max="1" width="5.5" style="79" customWidth="1"/>
    <col min="2" max="2" width="19.375" customWidth="1"/>
    <col min="3" max="4" width="9.5" customWidth="1"/>
    <col min="5" max="5" width="33.625" customWidth="1"/>
    <col min="6" max="6" width="14.5" customWidth="1"/>
  </cols>
  <sheetData>
    <row r="1" spans="1:5">
      <c r="A1" s="112" t="s">
        <v>125</v>
      </c>
      <c r="B1" s="57" t="s">
        <v>127</v>
      </c>
      <c r="C1" s="57" t="s">
        <v>142</v>
      </c>
      <c r="D1" s="57" t="s">
        <v>143</v>
      </c>
      <c r="E1" s="81" t="s">
        <v>283</v>
      </c>
    </row>
    <row r="2" spans="1:5">
      <c r="A2" s="112">
        <v>1</v>
      </c>
      <c r="B2" s="113" t="s">
        <v>3538</v>
      </c>
      <c r="C2" s="57">
        <v>522030</v>
      </c>
      <c r="D2" s="57">
        <v>16</v>
      </c>
      <c r="E2" s="49" t="str">
        <f t="shared" ref="E2:E11" si="0">"FCU"&amp;":"&amp;B2&amp;"("&amp;C2&amp;","&amp;D2&amp;")"</f>
        <v>FCU:DCDC 电容端过压(522030,16)</v>
      </c>
    </row>
    <row r="3" spans="1:5">
      <c r="A3" s="112">
        <v>2</v>
      </c>
      <c r="B3" s="113" t="s">
        <v>3541</v>
      </c>
      <c r="C3" s="57">
        <v>522030</v>
      </c>
      <c r="D3" s="57">
        <v>18</v>
      </c>
      <c r="E3" s="49" t="str">
        <f t="shared" si="0"/>
        <v>FCU:DCDC 电容端欠压(522030,18)</v>
      </c>
    </row>
    <row r="4" spans="1:5">
      <c r="A4" s="112">
        <v>3</v>
      </c>
      <c r="B4" s="113" t="s">
        <v>3544</v>
      </c>
      <c r="C4" s="57">
        <v>522031</v>
      </c>
      <c r="D4" s="57">
        <v>16</v>
      </c>
      <c r="E4" s="49" t="str">
        <f t="shared" si="0"/>
        <v>FCU:DCDC 电容端过流(522031,16)</v>
      </c>
    </row>
    <row r="5" spans="1:5">
      <c r="A5" s="112">
        <v>4</v>
      </c>
      <c r="B5" s="113" t="s">
        <v>3547</v>
      </c>
      <c r="C5" s="57">
        <v>522032</v>
      </c>
      <c r="D5" s="57">
        <v>16</v>
      </c>
      <c r="E5" s="49" t="str">
        <f t="shared" si="0"/>
        <v>FCU:DCDC 电池端过压(522032,16)</v>
      </c>
    </row>
    <row r="6" spans="1:5">
      <c r="A6" s="112">
        <v>5</v>
      </c>
      <c r="B6" s="113" t="s">
        <v>3550</v>
      </c>
      <c r="C6" s="57">
        <v>522032</v>
      </c>
      <c r="D6" s="57">
        <v>18</v>
      </c>
      <c r="E6" s="49" t="str">
        <f t="shared" si="0"/>
        <v>FCU:DCDC 电池端欠压(522032,18)</v>
      </c>
    </row>
    <row r="7" spans="1:5">
      <c r="A7" s="112">
        <v>6</v>
      </c>
      <c r="B7" s="113" t="s">
        <v>3553</v>
      </c>
      <c r="C7" s="57">
        <v>522033</v>
      </c>
      <c r="D7" s="57">
        <v>16</v>
      </c>
      <c r="E7" s="49" t="str">
        <f t="shared" si="0"/>
        <v>FCU:DCDC 电池端过流(522033,16)</v>
      </c>
    </row>
    <row r="8" spans="1:5">
      <c r="A8" s="112">
        <v>7</v>
      </c>
      <c r="B8" s="113" t="s">
        <v>3612</v>
      </c>
      <c r="C8" s="57">
        <v>522034</v>
      </c>
      <c r="D8" s="57">
        <v>16</v>
      </c>
      <c r="E8" s="49" t="str">
        <f t="shared" si="0"/>
        <v>FCU:DCDC 过热(522034,16)</v>
      </c>
    </row>
    <row r="9" spans="1:5">
      <c r="A9" s="112">
        <v>8</v>
      </c>
      <c r="B9" s="113" t="s">
        <v>3613</v>
      </c>
      <c r="C9" s="57">
        <v>522035</v>
      </c>
      <c r="D9" s="57">
        <v>4</v>
      </c>
      <c r="E9" s="49" t="str">
        <f t="shared" si="0"/>
        <v>FCU:DCDC 短路保护(522035,4)</v>
      </c>
    </row>
    <row r="10" spans="1:5">
      <c r="A10" s="112">
        <v>9</v>
      </c>
      <c r="B10" s="113" t="s">
        <v>3614</v>
      </c>
      <c r="C10" s="57">
        <v>2853</v>
      </c>
      <c r="D10" s="57">
        <v>19</v>
      </c>
      <c r="E10" s="49" t="str">
        <f t="shared" si="0"/>
        <v>FCU:DCDC 通信丢失故障(2853,19)</v>
      </c>
    </row>
    <row r="11" spans="1:6">
      <c r="A11" s="114">
        <v>10</v>
      </c>
      <c r="B11" s="115" t="s">
        <v>3538</v>
      </c>
      <c r="C11" s="116">
        <v>522030</v>
      </c>
      <c r="D11" s="116">
        <v>0</v>
      </c>
      <c r="E11" s="117" t="str">
        <f t="shared" si="0"/>
        <v>FCU:DCDC 电容端过压(522030,0)</v>
      </c>
      <c r="F11" t="s">
        <v>3515</v>
      </c>
    </row>
    <row r="12" spans="1:6">
      <c r="A12" s="114">
        <v>11</v>
      </c>
      <c r="B12" s="115" t="s">
        <v>3541</v>
      </c>
      <c r="C12" s="116">
        <v>522030</v>
      </c>
      <c r="D12" s="116">
        <v>1</v>
      </c>
      <c r="E12" s="117" t="str">
        <f t="shared" ref="E12:E18" si="1">"FCU"&amp;":"&amp;B12&amp;"("&amp;C12&amp;","&amp;D12&amp;")"</f>
        <v>FCU:DCDC 电容端欠压(522030,1)</v>
      </c>
      <c r="F12" t="s">
        <v>3515</v>
      </c>
    </row>
    <row r="13" spans="1:6">
      <c r="A13" s="114">
        <v>12</v>
      </c>
      <c r="B13" s="115" t="s">
        <v>3544</v>
      </c>
      <c r="C13" s="116">
        <v>522031</v>
      </c>
      <c r="D13" s="116">
        <v>0</v>
      </c>
      <c r="E13" s="117" t="str">
        <f t="shared" si="1"/>
        <v>FCU:DCDC 电容端过流(522031,0)</v>
      </c>
      <c r="F13" t="s">
        <v>3515</v>
      </c>
    </row>
    <row r="14" spans="1:6">
      <c r="A14" s="114">
        <v>13</v>
      </c>
      <c r="B14" s="115" t="s">
        <v>3547</v>
      </c>
      <c r="C14" s="116">
        <v>522032</v>
      </c>
      <c r="D14" s="116">
        <v>0</v>
      </c>
      <c r="E14" s="117" t="str">
        <f t="shared" si="1"/>
        <v>FCU:DCDC 电池端过压(522032,0)</v>
      </c>
      <c r="F14" t="s">
        <v>3515</v>
      </c>
    </row>
    <row r="15" spans="1:6">
      <c r="A15" s="114">
        <v>14</v>
      </c>
      <c r="B15" s="115" t="s">
        <v>3550</v>
      </c>
      <c r="C15" s="116">
        <v>522032</v>
      </c>
      <c r="D15" s="116">
        <v>1</v>
      </c>
      <c r="E15" s="117" t="str">
        <f t="shared" si="1"/>
        <v>FCU:DCDC 电池端欠压(522032,1)</v>
      </c>
      <c r="F15" t="s">
        <v>3515</v>
      </c>
    </row>
    <row r="16" spans="1:6">
      <c r="A16" s="114">
        <v>15</v>
      </c>
      <c r="B16" s="115" t="s">
        <v>3553</v>
      </c>
      <c r="C16" s="116">
        <v>522033</v>
      </c>
      <c r="D16" s="116">
        <v>0</v>
      </c>
      <c r="E16" s="117" t="str">
        <f t="shared" si="1"/>
        <v>FCU:DCDC 电池端过流(522033,0)</v>
      </c>
      <c r="F16" t="s">
        <v>3515</v>
      </c>
    </row>
    <row r="17" spans="1:6">
      <c r="A17" s="114">
        <v>16</v>
      </c>
      <c r="B17" s="115" t="s">
        <v>3612</v>
      </c>
      <c r="C17" s="116">
        <v>522034</v>
      </c>
      <c r="D17" s="116">
        <v>0</v>
      </c>
      <c r="E17" s="117" t="str">
        <f t="shared" si="1"/>
        <v>FCU:DCDC 过热(522034,0)</v>
      </c>
      <c r="F17" t="s">
        <v>3515</v>
      </c>
    </row>
    <row r="18" spans="1:6">
      <c r="A18" s="114">
        <v>17</v>
      </c>
      <c r="B18" s="115" t="s">
        <v>3614</v>
      </c>
      <c r="C18" s="116">
        <v>2853</v>
      </c>
      <c r="D18" s="116">
        <v>12</v>
      </c>
      <c r="E18" s="117" t="str">
        <f t="shared" si="1"/>
        <v>FCU:DCDC 通信丢失故障(2853,12)</v>
      </c>
      <c r="F18" t="s">
        <v>3515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zoomScale="115" zoomScaleNormal="115" workbookViewId="0">
      <selection activeCell="E25" sqref="E25"/>
    </sheetView>
  </sheetViews>
  <sheetFormatPr defaultColWidth="9" defaultRowHeight="13.5"/>
  <cols>
    <col min="1" max="1" width="5.5" customWidth="1"/>
    <col min="2" max="3" width="8.5" customWidth="1"/>
    <col min="4" max="4" width="19.375" customWidth="1"/>
    <col min="5" max="5" width="9.25" customWidth="1"/>
    <col min="6" max="6" width="7.125" customWidth="1"/>
    <col min="7" max="7" width="9.5" customWidth="1"/>
    <col min="8" max="8" width="40.25" customWidth="1"/>
    <col min="9" max="9" width="13.125" customWidth="1"/>
  </cols>
  <sheetData>
    <row r="1" spans="1:8">
      <c r="A1" s="95" t="s">
        <v>3615</v>
      </c>
      <c r="B1" s="95"/>
      <c r="C1" s="95"/>
      <c r="D1" s="95"/>
      <c r="E1" s="95"/>
      <c r="F1" s="95"/>
      <c r="G1" s="95"/>
      <c r="H1" s="95"/>
    </row>
    <row r="2" ht="14.45" customHeight="1" spans="1:8">
      <c r="A2" s="96" t="s">
        <v>125</v>
      </c>
      <c r="B2" s="97" t="s">
        <v>140</v>
      </c>
      <c r="C2" s="97" t="s">
        <v>141</v>
      </c>
      <c r="D2" s="96" t="s">
        <v>127</v>
      </c>
      <c r="E2" s="96" t="s">
        <v>678</v>
      </c>
      <c r="F2" s="96" t="s">
        <v>129</v>
      </c>
      <c r="G2" s="96" t="s">
        <v>3616</v>
      </c>
      <c r="H2" s="96" t="s">
        <v>1388</v>
      </c>
    </row>
    <row r="3" spans="1:8">
      <c r="A3" s="96"/>
      <c r="B3" s="98"/>
      <c r="C3" s="98"/>
      <c r="D3" s="96"/>
      <c r="E3" s="96"/>
      <c r="F3" s="96" t="s">
        <v>3617</v>
      </c>
      <c r="G3" s="96"/>
      <c r="H3" s="96"/>
    </row>
    <row r="4" spans="1:8">
      <c r="A4" s="99">
        <v>1</v>
      </c>
      <c r="B4" s="100" t="s">
        <v>157</v>
      </c>
      <c r="C4" s="100" t="s">
        <v>158</v>
      </c>
      <c r="D4" s="101" t="s">
        <v>3618</v>
      </c>
      <c r="E4" s="102">
        <v>9691</v>
      </c>
      <c r="F4" s="102">
        <v>12</v>
      </c>
      <c r="G4" s="102" t="s">
        <v>158</v>
      </c>
      <c r="H4" s="103" t="s">
        <v>3619</v>
      </c>
    </row>
    <row r="5" spans="1:8">
      <c r="A5" s="99">
        <v>2</v>
      </c>
      <c r="B5" s="100" t="s">
        <v>157</v>
      </c>
      <c r="C5" s="100" t="s">
        <v>158</v>
      </c>
      <c r="D5" s="104" t="s">
        <v>3620</v>
      </c>
      <c r="E5" s="102">
        <v>12836</v>
      </c>
      <c r="F5" s="102">
        <v>12</v>
      </c>
      <c r="G5" s="102" t="s">
        <v>158</v>
      </c>
      <c r="H5" s="103" t="s">
        <v>3621</v>
      </c>
    </row>
    <row r="6" spans="1:8">
      <c r="A6" s="99">
        <v>3</v>
      </c>
      <c r="B6" s="100" t="s">
        <v>157</v>
      </c>
      <c r="C6" s="100" t="s">
        <v>158</v>
      </c>
      <c r="D6" s="104" t="s">
        <v>3622</v>
      </c>
      <c r="E6" s="102">
        <v>12837</v>
      </c>
      <c r="F6" s="102">
        <v>12</v>
      </c>
      <c r="G6" s="102" t="s">
        <v>158</v>
      </c>
      <c r="H6" s="103" t="s">
        <v>3623</v>
      </c>
    </row>
    <row r="7" spans="1:8">
      <c r="A7" s="99">
        <v>4</v>
      </c>
      <c r="B7" s="100" t="s">
        <v>157</v>
      </c>
      <c r="C7" s="100" t="s">
        <v>158</v>
      </c>
      <c r="D7" s="104" t="s">
        <v>3624</v>
      </c>
      <c r="E7" s="102">
        <v>12836</v>
      </c>
      <c r="F7" s="102">
        <v>5</v>
      </c>
      <c r="G7" s="102" t="s">
        <v>158</v>
      </c>
      <c r="H7" s="103" t="s">
        <v>3625</v>
      </c>
    </row>
    <row r="8" spans="1:8">
      <c r="A8" s="99">
        <v>5</v>
      </c>
      <c r="B8" s="100" t="s">
        <v>157</v>
      </c>
      <c r="C8" s="100" t="s">
        <v>158</v>
      </c>
      <c r="D8" s="104" t="s">
        <v>3626</v>
      </c>
      <c r="E8" s="102">
        <v>12837</v>
      </c>
      <c r="F8" s="102">
        <v>5</v>
      </c>
      <c r="G8" s="102" t="s">
        <v>158</v>
      </c>
      <c r="H8" s="103" t="s">
        <v>3627</v>
      </c>
    </row>
    <row r="9" spans="1:9">
      <c r="A9" s="105">
        <v>6</v>
      </c>
      <c r="B9" s="100" t="s">
        <v>157</v>
      </c>
      <c r="C9" s="100" t="s">
        <v>158</v>
      </c>
      <c r="D9" s="106" t="s">
        <v>3628</v>
      </c>
      <c r="E9" s="27">
        <v>639</v>
      </c>
      <c r="F9" s="27">
        <v>23</v>
      </c>
      <c r="G9" s="107" t="s">
        <v>158</v>
      </c>
      <c r="H9" s="28" t="s">
        <v>3629</v>
      </c>
      <c r="I9" t="s">
        <v>288</v>
      </c>
    </row>
    <row r="11" spans="1:8">
      <c r="A11" s="95" t="s">
        <v>3630</v>
      </c>
      <c r="B11" s="95"/>
      <c r="C11" s="95"/>
      <c r="D11" s="95"/>
      <c r="E11" s="95"/>
      <c r="F11" s="95"/>
      <c r="G11" s="95"/>
      <c r="H11" s="95"/>
    </row>
    <row r="12" spans="1:8">
      <c r="A12" s="96" t="s">
        <v>125</v>
      </c>
      <c r="B12" s="97" t="s">
        <v>140</v>
      </c>
      <c r="C12" s="97" t="s">
        <v>141</v>
      </c>
      <c r="D12" s="96" t="s">
        <v>127</v>
      </c>
      <c r="E12" s="96" t="s">
        <v>678</v>
      </c>
      <c r="F12" s="96" t="s">
        <v>129</v>
      </c>
      <c r="G12" s="96" t="s">
        <v>3616</v>
      </c>
      <c r="H12" s="96" t="s">
        <v>1388</v>
      </c>
    </row>
    <row r="13" spans="1:8">
      <c r="A13" s="96"/>
      <c r="B13" s="98"/>
      <c r="C13" s="98"/>
      <c r="D13" s="96"/>
      <c r="E13" s="96"/>
      <c r="F13" s="96" t="s">
        <v>3617</v>
      </c>
      <c r="G13" s="96"/>
      <c r="H13" s="96"/>
    </row>
    <row r="14" spans="1:9">
      <c r="A14" s="108">
        <v>1</v>
      </c>
      <c r="B14" s="100" t="s">
        <v>157</v>
      </c>
      <c r="C14" s="100" t="s">
        <v>158</v>
      </c>
      <c r="D14" s="109" t="s">
        <v>3618</v>
      </c>
      <c r="E14" s="107">
        <v>9691</v>
      </c>
      <c r="F14" s="107">
        <v>12</v>
      </c>
      <c r="G14" s="107" t="s">
        <v>158</v>
      </c>
      <c r="H14" s="110" t="s">
        <v>3619</v>
      </c>
      <c r="I14" t="s">
        <v>288</v>
      </c>
    </row>
    <row r="15" spans="1:9">
      <c r="A15" s="108">
        <v>2</v>
      </c>
      <c r="B15" s="100" t="s">
        <v>157</v>
      </c>
      <c r="C15" s="100" t="s">
        <v>158</v>
      </c>
      <c r="D15" s="111" t="s">
        <v>3620</v>
      </c>
      <c r="E15" s="107">
        <v>12836</v>
      </c>
      <c r="F15" s="107">
        <v>12</v>
      </c>
      <c r="G15" s="107" t="s">
        <v>158</v>
      </c>
      <c r="H15" s="110" t="s">
        <v>3621</v>
      </c>
      <c r="I15" t="s">
        <v>288</v>
      </c>
    </row>
    <row r="16" spans="1:9">
      <c r="A16" s="108">
        <v>3</v>
      </c>
      <c r="B16" s="100" t="s">
        <v>157</v>
      </c>
      <c r="C16" s="100" t="s">
        <v>158</v>
      </c>
      <c r="D16" s="111" t="s">
        <v>3622</v>
      </c>
      <c r="E16" s="107">
        <v>12837</v>
      </c>
      <c r="F16" s="107">
        <v>12</v>
      </c>
      <c r="G16" s="107" t="s">
        <v>158</v>
      </c>
      <c r="H16" s="110" t="s">
        <v>3623</v>
      </c>
      <c r="I16" t="s">
        <v>288</v>
      </c>
    </row>
    <row r="17" spans="1:9">
      <c r="A17" s="108">
        <v>4</v>
      </c>
      <c r="B17" s="100" t="s">
        <v>157</v>
      </c>
      <c r="C17" s="100" t="s">
        <v>158</v>
      </c>
      <c r="D17" s="111" t="s">
        <v>3624</v>
      </c>
      <c r="E17" s="107">
        <v>12836</v>
      </c>
      <c r="F17" s="107">
        <v>5</v>
      </c>
      <c r="G17" s="107" t="s">
        <v>158</v>
      </c>
      <c r="H17" s="110" t="s">
        <v>3625</v>
      </c>
      <c r="I17" t="s">
        <v>288</v>
      </c>
    </row>
    <row r="18" spans="1:9">
      <c r="A18" s="108">
        <v>5</v>
      </c>
      <c r="B18" s="100" t="s">
        <v>157</v>
      </c>
      <c r="C18" s="100" t="s">
        <v>158</v>
      </c>
      <c r="D18" s="111" t="s">
        <v>3626</v>
      </c>
      <c r="E18" s="107">
        <v>12837</v>
      </c>
      <c r="F18" s="107">
        <v>5</v>
      </c>
      <c r="G18" s="107" t="s">
        <v>158</v>
      </c>
      <c r="H18" s="110" t="s">
        <v>3627</v>
      </c>
      <c r="I18" t="s">
        <v>288</v>
      </c>
    </row>
    <row r="19" spans="1:9">
      <c r="A19" s="105">
        <v>6</v>
      </c>
      <c r="B19" s="100" t="s">
        <v>157</v>
      </c>
      <c r="C19" s="100" t="s">
        <v>158</v>
      </c>
      <c r="D19" s="106" t="s">
        <v>3628</v>
      </c>
      <c r="E19" s="27">
        <v>639</v>
      </c>
      <c r="F19" s="27">
        <v>23</v>
      </c>
      <c r="G19" s="107" t="s">
        <v>158</v>
      </c>
      <c r="H19" s="28" t="s">
        <v>3629</v>
      </c>
      <c r="I19" t="s">
        <v>288</v>
      </c>
    </row>
  </sheetData>
  <mergeCells count="16">
    <mergeCell ref="A1:H1"/>
    <mergeCell ref="A11:H11"/>
    <mergeCell ref="A2:A3"/>
    <mergeCell ref="A12:A13"/>
    <mergeCell ref="B2:B3"/>
    <mergeCell ref="B12:B13"/>
    <mergeCell ref="C2:C3"/>
    <mergeCell ref="C12:C13"/>
    <mergeCell ref="D2:D3"/>
    <mergeCell ref="D12:D13"/>
    <mergeCell ref="E2:E3"/>
    <mergeCell ref="E12:E13"/>
    <mergeCell ref="G2:G3"/>
    <mergeCell ref="G12:G13"/>
    <mergeCell ref="H2:H3"/>
    <mergeCell ref="H12:H13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"/>
  <sheetViews>
    <sheetView zoomScale="85" zoomScaleNormal="85" workbookViewId="0">
      <selection activeCell="B1" sqref="B1"/>
    </sheetView>
  </sheetViews>
  <sheetFormatPr defaultColWidth="9" defaultRowHeight="13.5" outlineLevelCol="1"/>
  <cols>
    <col min="1" max="1" width="5.25" customWidth="1"/>
    <col min="2" max="2" width="46.75" style="40" customWidth="1"/>
    <col min="3" max="4" width="9.5" customWidth="1"/>
    <col min="5" max="5" width="74.125" customWidth="1"/>
    <col min="6" max="6" width="11.5" customWidth="1"/>
    <col min="7" max="7" width="9.375" customWidth="1"/>
  </cols>
  <sheetData>
    <row r="1" ht="27" spans="2:2">
      <c r="B1" s="40" t="s">
        <v>3631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L16" sqref="L16"/>
    </sheetView>
  </sheetViews>
  <sheetFormatPr defaultColWidth="9" defaultRowHeight="13.5" outlineLevelCol="5"/>
  <cols>
    <col min="1" max="1" width="7.5" customWidth="1"/>
    <col min="5" max="5" width="13.375" customWidth="1"/>
    <col min="6" max="6" width="36.5" customWidth="1"/>
  </cols>
  <sheetData>
    <row r="1" spans="1:6">
      <c r="A1" s="88" t="s">
        <v>125</v>
      </c>
      <c r="B1" s="89" t="s">
        <v>3632</v>
      </c>
      <c r="C1" s="90" t="s">
        <v>128</v>
      </c>
      <c r="D1" s="90" t="s">
        <v>129</v>
      </c>
      <c r="E1" s="88" t="s">
        <v>3616</v>
      </c>
      <c r="F1" s="88" t="s">
        <v>1388</v>
      </c>
    </row>
    <row r="2" ht="24" spans="1:6">
      <c r="A2" s="91">
        <v>1</v>
      </c>
      <c r="B2" s="92" t="s">
        <v>3633</v>
      </c>
      <c r="C2" s="93">
        <v>521600</v>
      </c>
      <c r="D2" s="93">
        <v>0</v>
      </c>
      <c r="E2" s="93" t="s">
        <v>451</v>
      </c>
      <c r="F2" s="24" t="s">
        <v>3634</v>
      </c>
    </row>
    <row r="3" spans="1:6">
      <c r="A3" s="91">
        <v>2</v>
      </c>
      <c r="B3" s="92" t="s">
        <v>1327</v>
      </c>
      <c r="C3" s="93">
        <v>521600</v>
      </c>
      <c r="D3" s="93">
        <v>16</v>
      </c>
      <c r="E3" s="93" t="s">
        <v>475</v>
      </c>
      <c r="F3" s="24" t="s">
        <v>3635</v>
      </c>
    </row>
    <row r="4" spans="1:6">
      <c r="A4" s="91">
        <v>3</v>
      </c>
      <c r="B4" s="92" t="s">
        <v>3636</v>
      </c>
      <c r="C4" s="93">
        <v>521601</v>
      </c>
      <c r="D4" s="93">
        <v>0</v>
      </c>
      <c r="E4" s="93" t="s">
        <v>451</v>
      </c>
      <c r="F4" s="24" t="s">
        <v>3637</v>
      </c>
    </row>
    <row r="5" spans="1:6">
      <c r="A5" s="91">
        <v>4</v>
      </c>
      <c r="B5" s="92" t="s">
        <v>3638</v>
      </c>
      <c r="C5" s="93">
        <v>521602</v>
      </c>
      <c r="D5" s="93">
        <v>7</v>
      </c>
      <c r="E5" s="93" t="s">
        <v>475</v>
      </c>
      <c r="F5" s="24" t="s">
        <v>3639</v>
      </c>
    </row>
    <row r="6" spans="1:6">
      <c r="A6" s="91">
        <v>5</v>
      </c>
      <c r="B6" s="92" t="s">
        <v>3640</v>
      </c>
      <c r="C6" s="93">
        <v>521603</v>
      </c>
      <c r="D6" s="93">
        <v>0</v>
      </c>
      <c r="E6" s="93" t="s">
        <v>451</v>
      </c>
      <c r="F6" s="24" t="s">
        <v>3641</v>
      </c>
    </row>
    <row r="7" spans="1:6">
      <c r="A7" s="91">
        <v>6</v>
      </c>
      <c r="B7" s="92" t="s">
        <v>3642</v>
      </c>
      <c r="C7" s="93">
        <v>521604</v>
      </c>
      <c r="D7" s="93">
        <v>4</v>
      </c>
      <c r="E7" s="93" t="s">
        <v>451</v>
      </c>
      <c r="F7" s="24" t="s">
        <v>3643</v>
      </c>
    </row>
    <row r="8" spans="1:6">
      <c r="A8" s="91">
        <v>7</v>
      </c>
      <c r="B8" s="92" t="s">
        <v>1337</v>
      </c>
      <c r="C8" s="93">
        <v>521605</v>
      </c>
      <c r="D8" s="93">
        <v>3</v>
      </c>
      <c r="E8" s="93" t="s">
        <v>475</v>
      </c>
      <c r="F8" s="24" t="s">
        <v>3644</v>
      </c>
    </row>
    <row r="9" spans="1:6">
      <c r="A9" s="91">
        <v>8</v>
      </c>
      <c r="B9" s="92" t="s">
        <v>3645</v>
      </c>
      <c r="C9" s="93">
        <v>521606</v>
      </c>
      <c r="D9" s="93">
        <v>1</v>
      </c>
      <c r="E9" s="93" t="s">
        <v>451</v>
      </c>
      <c r="F9" s="24" t="s">
        <v>3646</v>
      </c>
    </row>
    <row r="10" spans="1:6">
      <c r="A10" s="91">
        <v>9</v>
      </c>
      <c r="B10" s="92" t="s">
        <v>1380</v>
      </c>
      <c r="C10" s="93">
        <v>521607</v>
      </c>
      <c r="D10" s="93">
        <v>12</v>
      </c>
      <c r="E10" s="93" t="s">
        <v>475</v>
      </c>
      <c r="F10" s="24" t="s">
        <v>3647</v>
      </c>
    </row>
    <row r="11" spans="1:6">
      <c r="A11" s="91">
        <v>10</v>
      </c>
      <c r="B11" s="94" t="s">
        <v>1343</v>
      </c>
      <c r="C11" s="93">
        <v>521608</v>
      </c>
      <c r="D11" s="93">
        <v>11</v>
      </c>
      <c r="E11" s="93" t="s">
        <v>451</v>
      </c>
      <c r="F11" s="24" t="s">
        <v>3648</v>
      </c>
    </row>
    <row r="12" spans="1:6">
      <c r="A12" s="91">
        <v>11</v>
      </c>
      <c r="B12" s="92" t="s">
        <v>3649</v>
      </c>
      <c r="C12" s="93">
        <v>521609</v>
      </c>
      <c r="D12" s="93">
        <v>1</v>
      </c>
      <c r="E12" s="93" t="s">
        <v>451</v>
      </c>
      <c r="F12" s="24" t="s">
        <v>3650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5" sqref="F5"/>
    </sheetView>
  </sheetViews>
  <sheetFormatPr defaultColWidth="9" defaultRowHeight="13.5" outlineLevelCol="5"/>
  <cols>
    <col min="1" max="1" width="6" customWidth="1"/>
    <col min="2" max="2" width="16" customWidth="1"/>
    <col min="3" max="3" width="10.25" style="79" customWidth="1"/>
    <col min="4" max="4" width="9.75" style="79" customWidth="1"/>
    <col min="5" max="5" width="17.5" customWidth="1"/>
    <col min="6" max="6" width="37" customWidth="1"/>
    <col min="7" max="7" width="8.875" customWidth="1"/>
  </cols>
  <sheetData>
    <row r="1" spans="1:6">
      <c r="A1" s="88" t="s">
        <v>125</v>
      </c>
      <c r="B1" s="89" t="s">
        <v>3632</v>
      </c>
      <c r="C1" s="90" t="s">
        <v>128</v>
      </c>
      <c r="D1" s="90" t="s">
        <v>129</v>
      </c>
      <c r="E1" s="88" t="s">
        <v>3616</v>
      </c>
      <c r="F1" s="88" t="s">
        <v>1388</v>
      </c>
    </row>
    <row r="2" spans="1:6">
      <c r="A2" s="91">
        <v>1</v>
      </c>
      <c r="B2" s="92" t="s">
        <v>3651</v>
      </c>
      <c r="C2" s="93">
        <v>521600</v>
      </c>
      <c r="D2" s="93">
        <v>0</v>
      </c>
      <c r="E2" s="93" t="s">
        <v>451</v>
      </c>
      <c r="F2" s="24" t="s">
        <v>3652</v>
      </c>
    </row>
    <row r="3" spans="1:6">
      <c r="A3" s="91">
        <v>2</v>
      </c>
      <c r="B3" s="92" t="s">
        <v>1327</v>
      </c>
      <c r="C3" s="93">
        <v>521600</v>
      </c>
      <c r="D3" s="93">
        <v>16</v>
      </c>
      <c r="E3" s="93" t="s">
        <v>475</v>
      </c>
      <c r="F3" s="24" t="s">
        <v>3653</v>
      </c>
    </row>
    <row r="4" spans="1:6">
      <c r="A4" s="91">
        <v>3</v>
      </c>
      <c r="B4" s="92" t="s">
        <v>3654</v>
      </c>
      <c r="C4" s="93">
        <v>521601</v>
      </c>
      <c r="D4" s="93">
        <v>0</v>
      </c>
      <c r="E4" s="93" t="s">
        <v>451</v>
      </c>
      <c r="F4" s="24" t="s">
        <v>3655</v>
      </c>
    </row>
    <row r="5" spans="1:6">
      <c r="A5" s="91">
        <v>4</v>
      </c>
      <c r="B5" s="92" t="s">
        <v>3656</v>
      </c>
      <c r="C5" s="93">
        <v>521602</v>
      </c>
      <c r="D5" s="93">
        <v>7</v>
      </c>
      <c r="E5" s="93" t="s">
        <v>475</v>
      </c>
      <c r="F5" s="24" t="s">
        <v>3657</v>
      </c>
    </row>
    <row r="6" spans="1:6">
      <c r="A6" s="91">
        <v>5</v>
      </c>
      <c r="B6" s="92" t="s">
        <v>3658</v>
      </c>
      <c r="C6" s="93">
        <v>521603</v>
      </c>
      <c r="D6" s="93">
        <v>0</v>
      </c>
      <c r="E6" s="93" t="s">
        <v>451</v>
      </c>
      <c r="F6" s="24" t="s">
        <v>3659</v>
      </c>
    </row>
    <row r="7" spans="1:6">
      <c r="A7" s="91">
        <v>6</v>
      </c>
      <c r="B7" s="92" t="s">
        <v>3660</v>
      </c>
      <c r="C7" s="93">
        <v>521604</v>
      </c>
      <c r="D7" s="93">
        <v>4</v>
      </c>
      <c r="E7" s="93" t="s">
        <v>451</v>
      </c>
      <c r="F7" s="24" t="s">
        <v>3661</v>
      </c>
    </row>
    <row r="8" spans="1:6">
      <c r="A8" s="91">
        <v>7</v>
      </c>
      <c r="B8" s="92" t="s">
        <v>1337</v>
      </c>
      <c r="C8" s="93">
        <v>521605</v>
      </c>
      <c r="D8" s="93">
        <v>3</v>
      </c>
      <c r="E8" s="93" t="s">
        <v>475</v>
      </c>
      <c r="F8" s="24" t="s">
        <v>3662</v>
      </c>
    </row>
    <row r="9" spans="1:6">
      <c r="A9" s="91">
        <v>8</v>
      </c>
      <c r="B9" s="92" t="s">
        <v>3663</v>
      </c>
      <c r="C9" s="93">
        <v>521606</v>
      </c>
      <c r="D9" s="93">
        <v>1</v>
      </c>
      <c r="E9" s="93" t="s">
        <v>451</v>
      </c>
      <c r="F9" s="24" t="s">
        <v>3664</v>
      </c>
    </row>
    <row r="10" spans="1:6">
      <c r="A10" s="91">
        <v>9</v>
      </c>
      <c r="B10" s="92" t="s">
        <v>3665</v>
      </c>
      <c r="C10" s="93">
        <v>521607</v>
      </c>
      <c r="D10" s="93">
        <v>12</v>
      </c>
      <c r="E10" s="93" t="s">
        <v>475</v>
      </c>
      <c r="F10" s="24" t="s">
        <v>3666</v>
      </c>
    </row>
    <row r="11" ht="15.6" customHeight="1" spans="1:6">
      <c r="A11" s="91">
        <v>10</v>
      </c>
      <c r="B11" s="94" t="s">
        <v>1343</v>
      </c>
      <c r="C11" s="93">
        <v>521608</v>
      </c>
      <c r="D11" s="93">
        <v>11</v>
      </c>
      <c r="E11" s="93" t="s">
        <v>451</v>
      </c>
      <c r="F11" s="24" t="s">
        <v>3667</v>
      </c>
    </row>
    <row r="12" spans="1:6">
      <c r="A12" s="91">
        <v>11</v>
      </c>
      <c r="B12" s="92" t="s">
        <v>3668</v>
      </c>
      <c r="C12" s="93">
        <v>521609</v>
      </c>
      <c r="D12" s="93">
        <v>1</v>
      </c>
      <c r="E12" s="93" t="s">
        <v>451</v>
      </c>
      <c r="F12" s="24" t="s">
        <v>3669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workbookViewId="0">
      <selection activeCell="A1" sqref="A1"/>
    </sheetView>
  </sheetViews>
  <sheetFormatPr defaultColWidth="9" defaultRowHeight="19.15" customHeight="1" outlineLevelCol="4"/>
  <cols>
    <col min="1" max="1" width="9" style="79"/>
    <col min="2" max="2" width="65.5" customWidth="1"/>
    <col min="3" max="4" width="9.5" customWidth="1"/>
    <col min="5" max="5" width="39.125" customWidth="1"/>
  </cols>
  <sheetData>
    <row r="1" ht="35.25" customHeight="1" spans="1:1">
      <c r="A1" s="80" t="s">
        <v>436</v>
      </c>
    </row>
    <row r="2" customHeight="1" spans="1:5">
      <c r="A2" s="58" t="s">
        <v>125</v>
      </c>
      <c r="B2" s="57" t="s">
        <v>127</v>
      </c>
      <c r="C2" s="57" t="s">
        <v>142</v>
      </c>
      <c r="D2" s="57" t="s">
        <v>143</v>
      </c>
      <c r="E2" s="81" t="s">
        <v>283</v>
      </c>
    </row>
    <row r="3" customHeight="1" spans="1:5">
      <c r="A3" s="82">
        <v>1</v>
      </c>
      <c r="B3" s="83" t="s">
        <v>3670</v>
      </c>
      <c r="C3" s="84">
        <v>1121</v>
      </c>
      <c r="D3" s="84">
        <v>8</v>
      </c>
      <c r="E3" s="83" t="s">
        <v>3671</v>
      </c>
    </row>
    <row r="4" customHeight="1" spans="1:5">
      <c r="A4" s="82">
        <v>2</v>
      </c>
      <c r="B4" s="83" t="s">
        <v>3672</v>
      </c>
      <c r="C4" s="84">
        <v>1121</v>
      </c>
      <c r="D4" s="84">
        <v>9</v>
      </c>
      <c r="E4" s="83" t="s">
        <v>3673</v>
      </c>
    </row>
    <row r="5" customHeight="1" spans="1:5">
      <c r="A5" s="82">
        <v>3</v>
      </c>
      <c r="B5" s="83" t="s">
        <v>3674</v>
      </c>
      <c r="C5" s="84">
        <v>1324</v>
      </c>
      <c r="D5" s="84">
        <v>9</v>
      </c>
      <c r="E5" s="83" t="s">
        <v>3675</v>
      </c>
    </row>
    <row r="6" customHeight="1" spans="1:5">
      <c r="A6" s="85">
        <v>4</v>
      </c>
      <c r="B6" s="86" t="s">
        <v>3676</v>
      </c>
      <c r="C6" s="87">
        <v>158</v>
      </c>
      <c r="D6" s="87">
        <v>10</v>
      </c>
      <c r="E6" s="86" t="s">
        <v>3677</v>
      </c>
    </row>
    <row r="7" customHeight="1" spans="1:5">
      <c r="A7" s="85">
        <v>5</v>
      </c>
      <c r="B7" s="86" t="s">
        <v>3678</v>
      </c>
      <c r="C7" s="87">
        <v>158</v>
      </c>
      <c r="D7" s="87">
        <v>3</v>
      </c>
      <c r="E7" s="86" t="s">
        <v>3679</v>
      </c>
    </row>
    <row r="8" customHeight="1" spans="1:5">
      <c r="A8" s="85">
        <v>6</v>
      </c>
      <c r="B8" s="86" t="s">
        <v>3680</v>
      </c>
      <c r="C8" s="87">
        <v>168</v>
      </c>
      <c r="D8" s="87">
        <v>0</v>
      </c>
      <c r="E8" s="86" t="s">
        <v>3681</v>
      </c>
    </row>
    <row r="9" customHeight="1" spans="1:5">
      <c r="A9" s="85">
        <v>7</v>
      </c>
      <c r="B9" s="86" t="s">
        <v>3682</v>
      </c>
      <c r="C9" s="87">
        <v>168</v>
      </c>
      <c r="D9" s="87">
        <v>1</v>
      </c>
      <c r="E9" s="86" t="s">
        <v>3683</v>
      </c>
    </row>
    <row r="10" customHeight="1" spans="1:5">
      <c r="A10" s="85">
        <v>8</v>
      </c>
      <c r="B10" s="86" t="s">
        <v>3684</v>
      </c>
      <c r="C10" s="87">
        <v>168</v>
      </c>
      <c r="D10" s="87">
        <v>12</v>
      </c>
      <c r="E10" s="86" t="s">
        <v>3685</v>
      </c>
    </row>
    <row r="11" customHeight="1" spans="1:5">
      <c r="A11" s="85">
        <v>9</v>
      </c>
      <c r="B11" s="86" t="s">
        <v>3686</v>
      </c>
      <c r="C11" s="87">
        <v>168</v>
      </c>
      <c r="D11" s="87">
        <v>5</v>
      </c>
      <c r="E11" s="86" t="s">
        <v>3687</v>
      </c>
    </row>
    <row r="12" customHeight="1" spans="1:5">
      <c r="A12" s="82">
        <v>10</v>
      </c>
      <c r="B12" s="83" t="s">
        <v>3688</v>
      </c>
      <c r="C12" s="84">
        <v>1814</v>
      </c>
      <c r="D12" s="84">
        <v>9</v>
      </c>
      <c r="E12" s="83" t="s">
        <v>3689</v>
      </c>
    </row>
    <row r="13" customHeight="1" spans="1:5">
      <c r="A13" s="82">
        <v>11</v>
      </c>
      <c r="B13" s="83" t="s">
        <v>3690</v>
      </c>
      <c r="C13" s="84">
        <v>3132</v>
      </c>
      <c r="D13" s="84">
        <v>12</v>
      </c>
      <c r="E13" s="83" t="s">
        <v>3691</v>
      </c>
    </row>
    <row r="14" customHeight="1" spans="1:5">
      <c r="A14" s="85">
        <v>12</v>
      </c>
      <c r="B14" s="86" t="s">
        <v>3692</v>
      </c>
      <c r="C14" s="87">
        <v>3132</v>
      </c>
      <c r="D14" s="87">
        <v>3</v>
      </c>
      <c r="E14" s="86" t="s">
        <v>3693</v>
      </c>
    </row>
    <row r="15" customHeight="1" spans="1:5">
      <c r="A15" s="85">
        <v>13</v>
      </c>
      <c r="B15" s="86" t="s">
        <v>3694</v>
      </c>
      <c r="C15" s="87">
        <v>3132</v>
      </c>
      <c r="D15" s="87">
        <v>4</v>
      </c>
      <c r="E15" s="86" t="s">
        <v>3695</v>
      </c>
    </row>
    <row r="16" customHeight="1" spans="1:5">
      <c r="A16" s="85">
        <v>14</v>
      </c>
      <c r="B16" s="86" t="s">
        <v>3696</v>
      </c>
      <c r="C16" s="87">
        <v>3132</v>
      </c>
      <c r="D16" s="87">
        <v>5</v>
      </c>
      <c r="E16" s="86" t="s">
        <v>3697</v>
      </c>
    </row>
    <row r="17" customHeight="1" spans="1:5">
      <c r="A17" s="85">
        <v>15</v>
      </c>
      <c r="B17" s="86" t="s">
        <v>3698</v>
      </c>
      <c r="C17" s="87">
        <v>3136</v>
      </c>
      <c r="D17" s="87">
        <v>0</v>
      </c>
      <c r="E17" s="86" t="s">
        <v>3699</v>
      </c>
    </row>
    <row r="18" customHeight="1" spans="1:5">
      <c r="A18" s="82">
        <v>16</v>
      </c>
      <c r="B18" s="83" t="s">
        <v>3700</v>
      </c>
      <c r="C18" s="84">
        <v>3136</v>
      </c>
      <c r="D18" s="84">
        <v>16</v>
      </c>
      <c r="E18" s="83" t="s">
        <v>3701</v>
      </c>
    </row>
    <row r="19" customHeight="1" spans="1:5">
      <c r="A19" s="82">
        <v>17</v>
      </c>
      <c r="B19" s="83" t="s">
        <v>3702</v>
      </c>
      <c r="C19" s="84">
        <v>46</v>
      </c>
      <c r="D19" s="84">
        <v>9</v>
      </c>
      <c r="E19" s="83" t="s">
        <v>3703</v>
      </c>
    </row>
    <row r="20" customHeight="1" spans="1:5">
      <c r="A20" s="82">
        <v>18</v>
      </c>
      <c r="B20" s="83" t="s">
        <v>3704</v>
      </c>
      <c r="C20" s="84">
        <v>513</v>
      </c>
      <c r="D20" s="84">
        <v>9</v>
      </c>
      <c r="E20" s="83" t="s">
        <v>3705</v>
      </c>
    </row>
    <row r="21" customHeight="1" spans="1:5">
      <c r="A21" s="82">
        <v>19</v>
      </c>
      <c r="B21" s="83" t="s">
        <v>3706</v>
      </c>
      <c r="C21" s="84">
        <v>516096</v>
      </c>
      <c r="D21" s="84">
        <v>2</v>
      </c>
      <c r="E21" s="83" t="s">
        <v>3707</v>
      </c>
    </row>
    <row r="22" customHeight="1" spans="1:5">
      <c r="A22" s="82">
        <v>20</v>
      </c>
      <c r="B22" s="83" t="s">
        <v>3708</v>
      </c>
      <c r="C22" s="84">
        <v>516096</v>
      </c>
      <c r="D22" s="84">
        <v>8</v>
      </c>
      <c r="E22" s="83" t="s">
        <v>3709</v>
      </c>
    </row>
    <row r="23" customHeight="1" spans="1:5">
      <c r="A23" s="82">
        <v>21</v>
      </c>
      <c r="B23" s="83" t="s">
        <v>3710</v>
      </c>
      <c r="C23" s="84">
        <v>516097</v>
      </c>
      <c r="D23" s="84">
        <v>12</v>
      </c>
      <c r="E23" s="83" t="s">
        <v>3711</v>
      </c>
    </row>
    <row r="24" customHeight="1" spans="1:5">
      <c r="A24" s="82">
        <v>22</v>
      </c>
      <c r="B24" s="83" t="s">
        <v>3712</v>
      </c>
      <c r="C24" s="84">
        <v>516097</v>
      </c>
      <c r="D24" s="84">
        <v>2</v>
      </c>
      <c r="E24" s="83" t="s">
        <v>3713</v>
      </c>
    </row>
    <row r="25" customHeight="1" spans="1:5">
      <c r="A25" s="82">
        <v>23</v>
      </c>
      <c r="B25" s="83" t="s">
        <v>3714</v>
      </c>
      <c r="C25" s="84">
        <v>516097</v>
      </c>
      <c r="D25" s="84">
        <v>8</v>
      </c>
      <c r="E25" s="83" t="s">
        <v>3715</v>
      </c>
    </row>
    <row r="26" customHeight="1" spans="1:5">
      <c r="A26" s="82">
        <v>24</v>
      </c>
      <c r="B26" s="83" t="s">
        <v>3716</v>
      </c>
      <c r="C26" s="84">
        <v>516097</v>
      </c>
      <c r="D26" s="84">
        <v>9</v>
      </c>
      <c r="E26" s="83" t="s">
        <v>3717</v>
      </c>
    </row>
    <row r="27" customHeight="1" spans="1:5">
      <c r="A27" s="82">
        <v>25</v>
      </c>
      <c r="B27" s="83" t="s">
        <v>3718</v>
      </c>
      <c r="C27" s="84">
        <v>516098</v>
      </c>
      <c r="D27" s="84">
        <v>12</v>
      </c>
      <c r="E27" s="83" t="s">
        <v>3719</v>
      </c>
    </row>
    <row r="28" customHeight="1" spans="1:5">
      <c r="A28" s="82">
        <v>26</v>
      </c>
      <c r="B28" s="83" t="s">
        <v>3720</v>
      </c>
      <c r="C28" s="84">
        <v>516098</v>
      </c>
      <c r="D28" s="84">
        <v>2</v>
      </c>
      <c r="E28" s="83" t="s">
        <v>3721</v>
      </c>
    </row>
    <row r="29" customHeight="1" spans="1:5">
      <c r="A29" s="82">
        <v>27</v>
      </c>
      <c r="B29" s="83" t="s">
        <v>3722</v>
      </c>
      <c r="C29" s="84">
        <v>516098</v>
      </c>
      <c r="D29" s="84">
        <v>8</v>
      </c>
      <c r="E29" s="83" t="s">
        <v>3723</v>
      </c>
    </row>
    <row r="30" customHeight="1" spans="1:5">
      <c r="A30" s="82">
        <v>28</v>
      </c>
      <c r="B30" s="83" t="s">
        <v>3724</v>
      </c>
      <c r="C30" s="84">
        <v>516098</v>
      </c>
      <c r="D30" s="84">
        <v>9</v>
      </c>
      <c r="E30" s="83" t="s">
        <v>3725</v>
      </c>
    </row>
    <row r="31" customHeight="1" spans="1:5">
      <c r="A31" s="82">
        <v>29</v>
      </c>
      <c r="B31" s="83" t="s">
        <v>3726</v>
      </c>
      <c r="C31" s="84">
        <v>516099</v>
      </c>
      <c r="D31" s="84">
        <v>12</v>
      </c>
      <c r="E31" s="83" t="s">
        <v>3727</v>
      </c>
    </row>
    <row r="32" customHeight="1" spans="1:5">
      <c r="A32" s="82">
        <v>30</v>
      </c>
      <c r="B32" s="83" t="s">
        <v>3728</v>
      </c>
      <c r="C32" s="84">
        <v>516099</v>
      </c>
      <c r="D32" s="84">
        <v>2</v>
      </c>
      <c r="E32" s="83" t="s">
        <v>3729</v>
      </c>
    </row>
    <row r="33" customHeight="1" spans="1:5">
      <c r="A33" s="82">
        <v>31</v>
      </c>
      <c r="B33" s="83" t="s">
        <v>3730</v>
      </c>
      <c r="C33" s="84">
        <v>516099</v>
      </c>
      <c r="D33" s="84">
        <v>8</v>
      </c>
      <c r="E33" s="83" t="s">
        <v>3731</v>
      </c>
    </row>
    <row r="34" customHeight="1" spans="1:5">
      <c r="A34" s="82">
        <v>32</v>
      </c>
      <c r="B34" s="83" t="s">
        <v>3732</v>
      </c>
      <c r="C34" s="84">
        <v>516099</v>
      </c>
      <c r="D34" s="84">
        <v>9</v>
      </c>
      <c r="E34" s="83" t="s">
        <v>3733</v>
      </c>
    </row>
    <row r="35" customHeight="1" spans="1:5">
      <c r="A35" s="82">
        <v>33</v>
      </c>
      <c r="B35" s="83" t="s">
        <v>3734</v>
      </c>
      <c r="C35" s="84">
        <v>523</v>
      </c>
      <c r="D35" s="84">
        <v>9</v>
      </c>
      <c r="E35" s="83" t="s">
        <v>3735</v>
      </c>
    </row>
    <row r="36" customHeight="1" spans="1:5">
      <c r="A36" s="82">
        <v>34</v>
      </c>
      <c r="B36" s="83" t="s">
        <v>3736</v>
      </c>
      <c r="C36" s="84">
        <v>5630</v>
      </c>
      <c r="D36" s="84">
        <v>10</v>
      </c>
      <c r="E36" s="83" t="s">
        <v>3737</v>
      </c>
    </row>
    <row r="37" customHeight="1" spans="1:5">
      <c r="A37" s="82">
        <v>35</v>
      </c>
      <c r="B37" s="83" t="s">
        <v>3738</v>
      </c>
      <c r="C37" s="84">
        <v>5630</v>
      </c>
      <c r="D37" s="84">
        <v>12</v>
      </c>
      <c r="E37" s="83" t="s">
        <v>3739</v>
      </c>
    </row>
    <row r="38" customHeight="1" spans="1:5">
      <c r="A38" s="82">
        <v>36</v>
      </c>
      <c r="B38" s="83" t="s">
        <v>3740</v>
      </c>
      <c r="C38" s="84">
        <v>5630</v>
      </c>
      <c r="D38" s="84">
        <v>2</v>
      </c>
      <c r="E38" s="83" t="s">
        <v>3741</v>
      </c>
    </row>
    <row r="39" customHeight="1" spans="1:5">
      <c r="A39" s="82">
        <v>37</v>
      </c>
      <c r="B39" s="83" t="s">
        <v>3742</v>
      </c>
      <c r="C39" s="84">
        <v>5630</v>
      </c>
      <c r="D39" s="84">
        <v>20</v>
      </c>
      <c r="E39" s="83" t="s">
        <v>3743</v>
      </c>
    </row>
    <row r="40" customHeight="1" spans="1:5">
      <c r="A40" s="82">
        <v>38</v>
      </c>
      <c r="B40" s="83" t="s">
        <v>3744</v>
      </c>
      <c r="C40" s="84">
        <v>5630</v>
      </c>
      <c r="D40" s="84">
        <v>8</v>
      </c>
      <c r="E40" s="83" t="s">
        <v>3745</v>
      </c>
    </row>
    <row r="41" customHeight="1" spans="1:5">
      <c r="A41" s="82">
        <v>39</v>
      </c>
      <c r="B41" s="83" t="s">
        <v>3746</v>
      </c>
      <c r="C41" s="84">
        <v>5360</v>
      </c>
      <c r="D41" s="84">
        <v>9</v>
      </c>
      <c r="E41" s="83" t="s">
        <v>3747</v>
      </c>
    </row>
    <row r="42" customHeight="1" spans="1:5">
      <c r="A42" s="85">
        <v>40</v>
      </c>
      <c r="B42" s="86" t="s">
        <v>3748</v>
      </c>
      <c r="C42" s="87">
        <v>617</v>
      </c>
      <c r="D42" s="87">
        <v>7</v>
      </c>
      <c r="E42" s="86" t="s">
        <v>3749</v>
      </c>
    </row>
    <row r="43" customHeight="1" spans="1:5">
      <c r="A43" s="85">
        <v>41</v>
      </c>
      <c r="B43" s="86" t="s">
        <v>3750</v>
      </c>
      <c r="C43" s="87">
        <v>618</v>
      </c>
      <c r="D43" s="87">
        <v>7</v>
      </c>
      <c r="E43" s="86" t="s">
        <v>3751</v>
      </c>
    </row>
    <row r="44" customHeight="1" spans="1:5">
      <c r="A44" s="82">
        <v>42</v>
      </c>
      <c r="B44" s="83" t="s">
        <v>3752</v>
      </c>
      <c r="C44" s="84">
        <v>619</v>
      </c>
      <c r="D44" s="84">
        <v>10</v>
      </c>
      <c r="E44" s="83" t="s">
        <v>3753</v>
      </c>
    </row>
    <row r="45" customHeight="1" spans="1:5">
      <c r="A45" s="85">
        <v>43</v>
      </c>
      <c r="B45" s="86" t="s">
        <v>3754</v>
      </c>
      <c r="C45" s="87">
        <v>619</v>
      </c>
      <c r="D45" s="87">
        <v>14</v>
      </c>
      <c r="E45" s="86" t="s">
        <v>3755</v>
      </c>
    </row>
    <row r="46" customHeight="1" spans="1:5">
      <c r="A46" s="85">
        <v>44</v>
      </c>
      <c r="B46" s="86" t="s">
        <v>3756</v>
      </c>
      <c r="C46" s="87">
        <v>619</v>
      </c>
      <c r="D46" s="87">
        <v>7</v>
      </c>
      <c r="E46" s="86" t="s">
        <v>3757</v>
      </c>
    </row>
    <row r="47" customHeight="1" spans="1:5">
      <c r="A47" s="82">
        <v>45</v>
      </c>
      <c r="B47" s="83" t="s">
        <v>3758</v>
      </c>
      <c r="C47" s="84">
        <v>625</v>
      </c>
      <c r="D47" s="84">
        <v>5</v>
      </c>
      <c r="E47" s="83" t="s">
        <v>3759</v>
      </c>
    </row>
    <row r="48" customHeight="1" spans="1:5">
      <c r="A48" s="85">
        <v>46</v>
      </c>
      <c r="B48" s="86" t="s">
        <v>3760</v>
      </c>
      <c r="C48" s="87">
        <v>629</v>
      </c>
      <c r="D48" s="87">
        <v>13</v>
      </c>
      <c r="E48" s="86" t="s">
        <v>3761</v>
      </c>
    </row>
    <row r="49" customHeight="1" spans="1:5">
      <c r="A49" s="82">
        <v>47</v>
      </c>
      <c r="B49" s="83" t="s">
        <v>3762</v>
      </c>
      <c r="C49" s="84">
        <v>629</v>
      </c>
      <c r="D49" s="84">
        <v>14</v>
      </c>
      <c r="E49" s="83" t="s">
        <v>3763</v>
      </c>
    </row>
    <row r="50" customHeight="1" spans="1:5">
      <c r="A50" s="85">
        <v>48</v>
      </c>
      <c r="B50" s="86" t="s">
        <v>3764</v>
      </c>
      <c r="C50" s="87">
        <v>629</v>
      </c>
      <c r="D50" s="87">
        <v>2</v>
      </c>
      <c r="E50" s="86" t="s">
        <v>3765</v>
      </c>
    </row>
    <row r="51" customHeight="1" spans="1:5">
      <c r="A51" s="85">
        <v>49</v>
      </c>
      <c r="B51" s="86" t="s">
        <v>3766</v>
      </c>
      <c r="C51" s="87">
        <v>629</v>
      </c>
      <c r="D51" s="87">
        <v>9</v>
      </c>
      <c r="E51" s="86" t="s">
        <v>3767</v>
      </c>
    </row>
    <row r="52" customHeight="1" spans="1:5">
      <c r="A52" s="85">
        <v>50</v>
      </c>
      <c r="B52" s="86" t="s">
        <v>3768</v>
      </c>
      <c r="C52" s="87">
        <v>630</v>
      </c>
      <c r="D52" s="87">
        <v>13</v>
      </c>
      <c r="E52" s="86" t="s">
        <v>3769</v>
      </c>
    </row>
    <row r="53" customHeight="1" spans="1:5">
      <c r="A53" s="85">
        <v>51</v>
      </c>
      <c r="B53" s="86" t="s">
        <v>3770</v>
      </c>
      <c r="C53" s="87">
        <v>630</v>
      </c>
      <c r="D53" s="87">
        <v>2</v>
      </c>
      <c r="E53" s="86" t="s">
        <v>3771</v>
      </c>
    </row>
    <row r="54" customHeight="1" spans="1:5">
      <c r="A54" s="82">
        <v>52</v>
      </c>
      <c r="B54" s="83" t="s">
        <v>3772</v>
      </c>
      <c r="C54" s="84">
        <v>639</v>
      </c>
      <c r="D54" s="84">
        <v>5</v>
      </c>
      <c r="E54" s="83" t="s">
        <v>3773</v>
      </c>
    </row>
    <row r="55" customHeight="1" spans="1:5">
      <c r="A55" s="82">
        <v>53</v>
      </c>
      <c r="B55" s="83" t="s">
        <v>3774</v>
      </c>
      <c r="C55" s="84">
        <v>708</v>
      </c>
      <c r="D55" s="84">
        <v>9</v>
      </c>
      <c r="E55" s="83" t="s">
        <v>3775</v>
      </c>
    </row>
    <row r="56" customHeight="1" spans="1:5">
      <c r="A56" s="82">
        <v>54</v>
      </c>
      <c r="B56" s="83" t="s">
        <v>3776</v>
      </c>
      <c r="C56" s="84">
        <v>887</v>
      </c>
      <c r="D56" s="84">
        <v>12</v>
      </c>
      <c r="E56" s="83" t="s">
        <v>3777</v>
      </c>
    </row>
    <row r="57" customHeight="1" spans="1:5">
      <c r="A57" s="82">
        <v>55</v>
      </c>
      <c r="B57" s="83" t="s">
        <v>3778</v>
      </c>
      <c r="C57" s="84">
        <v>887</v>
      </c>
      <c r="D57" s="84">
        <v>9</v>
      </c>
      <c r="E57" s="83" t="s">
        <v>3779</v>
      </c>
    </row>
  </sheetData>
  <hyperlinks>
    <hyperlink ref="A1" location="'控制器源地址&amp;跳转页面'!A1" display="返回目录"/>
  </hyperlinks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HT799"/>
  <sheetViews>
    <sheetView zoomScale="85" zoomScaleNormal="85" workbookViewId="0">
      <selection activeCell="A1" sqref="A1"/>
    </sheetView>
  </sheetViews>
  <sheetFormatPr defaultColWidth="8.875" defaultRowHeight="13.5"/>
  <cols>
    <col min="1" max="1" width="10.125" style="61" customWidth="1"/>
    <col min="2" max="2" width="7.375" style="62" customWidth="1"/>
    <col min="3" max="3" width="5.625" style="62" customWidth="1"/>
    <col min="4" max="4" width="53.375" style="63" customWidth="1"/>
    <col min="5" max="16384" width="8.875" style="63"/>
  </cols>
  <sheetData>
    <row r="1" ht="16.5" spans="1:4">
      <c r="A1" s="64" t="s">
        <v>3780</v>
      </c>
      <c r="B1" s="65"/>
      <c r="C1" s="65"/>
      <c r="D1" s="66"/>
    </row>
    <row r="2" ht="27.95" customHeight="1" spans="1:4">
      <c r="A2" s="67" t="s">
        <v>125</v>
      </c>
      <c r="B2" s="67" t="s">
        <v>128</v>
      </c>
      <c r="C2" s="67" t="s">
        <v>129</v>
      </c>
      <c r="D2" s="68" t="s">
        <v>1388</v>
      </c>
    </row>
    <row r="3" ht="16.5" spans="1:4">
      <c r="A3" s="69">
        <v>1</v>
      </c>
      <c r="B3" s="69">
        <v>158</v>
      </c>
      <c r="C3" s="69">
        <v>10</v>
      </c>
      <c r="D3" s="70" t="s">
        <v>3677</v>
      </c>
    </row>
    <row r="4" ht="16.5" spans="1:4">
      <c r="A4" s="69">
        <v>2</v>
      </c>
      <c r="B4" s="69">
        <v>158</v>
      </c>
      <c r="C4" s="69">
        <v>3</v>
      </c>
      <c r="D4" s="70" t="s">
        <v>3679</v>
      </c>
    </row>
    <row r="5" ht="16.5" spans="1:4">
      <c r="A5" s="69">
        <v>3</v>
      </c>
      <c r="B5" s="69">
        <v>168</v>
      </c>
      <c r="C5" s="69">
        <v>0</v>
      </c>
      <c r="D5" s="70" t="s">
        <v>3681</v>
      </c>
    </row>
    <row r="6" ht="16.5" spans="1:4">
      <c r="A6" s="69">
        <v>4</v>
      </c>
      <c r="B6" s="69">
        <v>168</v>
      </c>
      <c r="C6" s="69">
        <v>1</v>
      </c>
      <c r="D6" s="70" t="s">
        <v>3683</v>
      </c>
    </row>
    <row r="7" ht="16.5" spans="1:4">
      <c r="A7" s="69">
        <v>5</v>
      </c>
      <c r="B7" s="69">
        <v>168</v>
      </c>
      <c r="C7" s="69">
        <v>12</v>
      </c>
      <c r="D7" s="70" t="s">
        <v>3685</v>
      </c>
    </row>
    <row r="8" ht="16.5" spans="1:4">
      <c r="A8" s="69">
        <v>6</v>
      </c>
      <c r="B8" s="69">
        <v>168</v>
      </c>
      <c r="C8" s="69">
        <v>5</v>
      </c>
      <c r="D8" s="70" t="s">
        <v>3687</v>
      </c>
    </row>
    <row r="9" ht="16.5" spans="1:4">
      <c r="A9" s="69">
        <v>7</v>
      </c>
      <c r="B9" s="69">
        <v>3132</v>
      </c>
      <c r="C9" s="69">
        <v>3</v>
      </c>
      <c r="D9" s="70" t="s">
        <v>3693</v>
      </c>
    </row>
    <row r="10" ht="16.5" spans="1:4">
      <c r="A10" s="69">
        <v>8</v>
      </c>
      <c r="B10" s="69">
        <v>3132</v>
      </c>
      <c r="C10" s="69">
        <v>4</v>
      </c>
      <c r="D10" s="70" t="s">
        <v>3695</v>
      </c>
    </row>
    <row r="11" ht="16.5" spans="1:4">
      <c r="A11" s="69">
        <v>9</v>
      </c>
      <c r="B11" s="69">
        <v>3132</v>
      </c>
      <c r="C11" s="69">
        <v>5</v>
      </c>
      <c r="D11" s="70" t="s">
        <v>3697</v>
      </c>
    </row>
    <row r="12" ht="16.5" spans="1:4">
      <c r="A12" s="69">
        <v>10</v>
      </c>
      <c r="B12" s="69">
        <v>3136</v>
      </c>
      <c r="C12" s="69">
        <v>0</v>
      </c>
      <c r="D12" s="70" t="s">
        <v>3699</v>
      </c>
    </row>
    <row r="13" ht="16.5" spans="1:4">
      <c r="A13" s="69">
        <v>11</v>
      </c>
      <c r="B13" s="69">
        <v>617</v>
      </c>
      <c r="C13" s="69">
        <v>7</v>
      </c>
      <c r="D13" s="70" t="s">
        <v>3749</v>
      </c>
    </row>
    <row r="14" ht="16.5" spans="1:4">
      <c r="A14" s="69">
        <v>12</v>
      </c>
      <c r="B14" s="69">
        <v>618</v>
      </c>
      <c r="C14" s="69">
        <v>7</v>
      </c>
      <c r="D14" s="70" t="s">
        <v>3751</v>
      </c>
    </row>
    <row r="15" ht="16.5" spans="1:4">
      <c r="A15" s="69">
        <v>13</v>
      </c>
      <c r="B15" s="69">
        <v>619</v>
      </c>
      <c r="C15" s="69">
        <v>14</v>
      </c>
      <c r="D15" s="70" t="s">
        <v>3755</v>
      </c>
    </row>
    <row r="16" ht="16.5" spans="1:4">
      <c r="A16" s="69">
        <v>14</v>
      </c>
      <c r="B16" s="69">
        <v>619</v>
      </c>
      <c r="C16" s="69">
        <v>7</v>
      </c>
      <c r="D16" s="70" t="s">
        <v>3757</v>
      </c>
    </row>
    <row r="17" ht="16.5" spans="1:4">
      <c r="A17" s="69">
        <v>15</v>
      </c>
      <c r="B17" s="69">
        <v>629</v>
      </c>
      <c r="C17" s="69">
        <v>13</v>
      </c>
      <c r="D17" s="71" t="s">
        <v>3761</v>
      </c>
    </row>
    <row r="18" ht="16.5" spans="1:4">
      <c r="A18" s="69">
        <v>16</v>
      </c>
      <c r="B18" s="69">
        <v>629</v>
      </c>
      <c r="C18" s="69">
        <v>2</v>
      </c>
      <c r="D18" s="70" t="s">
        <v>3765</v>
      </c>
    </row>
    <row r="19" ht="16.5" spans="1:4">
      <c r="A19" s="69">
        <v>17</v>
      </c>
      <c r="B19" s="69">
        <v>629</v>
      </c>
      <c r="C19" s="69">
        <v>9</v>
      </c>
      <c r="D19" s="70" t="s">
        <v>3767</v>
      </c>
    </row>
    <row r="20" ht="16.5" spans="1:4">
      <c r="A20" s="69">
        <v>18</v>
      </c>
      <c r="B20" s="69">
        <v>630</v>
      </c>
      <c r="C20" s="69">
        <v>13</v>
      </c>
      <c r="D20" s="71" t="s">
        <v>3769</v>
      </c>
    </row>
    <row r="21" ht="16.5" spans="1:4">
      <c r="A21" s="69">
        <v>19</v>
      </c>
      <c r="B21" s="69">
        <v>630</v>
      </c>
      <c r="C21" s="69">
        <v>2</v>
      </c>
      <c r="D21" s="70" t="s">
        <v>3771</v>
      </c>
    </row>
    <row r="22" ht="16.5" spans="1:4">
      <c r="A22" s="69">
        <v>20</v>
      </c>
      <c r="B22" s="69">
        <v>193</v>
      </c>
      <c r="C22" s="69">
        <v>9</v>
      </c>
      <c r="D22" s="72" t="s">
        <v>3781</v>
      </c>
    </row>
    <row r="23" ht="16.5" spans="1:4">
      <c r="A23" s="69">
        <v>21</v>
      </c>
      <c r="B23" s="69">
        <v>4289</v>
      </c>
      <c r="C23" s="69">
        <v>5</v>
      </c>
      <c r="D23" s="72" t="s">
        <v>3782</v>
      </c>
    </row>
    <row r="24" ht="16.5" spans="1:4">
      <c r="A24" s="69">
        <v>22</v>
      </c>
      <c r="B24" s="69">
        <v>12370</v>
      </c>
      <c r="C24" s="69">
        <v>3</v>
      </c>
      <c r="D24" s="72" t="s">
        <v>3783</v>
      </c>
    </row>
    <row r="25" ht="16.5" spans="1:4">
      <c r="A25" s="69">
        <v>23</v>
      </c>
      <c r="B25" s="69">
        <v>12370</v>
      </c>
      <c r="C25" s="69">
        <v>5</v>
      </c>
      <c r="D25" s="72" t="s">
        <v>3784</v>
      </c>
    </row>
    <row r="26" ht="16.5" spans="1:4">
      <c r="A26" s="69">
        <v>24</v>
      </c>
      <c r="B26" s="69">
        <v>12370</v>
      </c>
      <c r="C26" s="69">
        <v>6</v>
      </c>
      <c r="D26" s="72" t="s">
        <v>3785</v>
      </c>
    </row>
    <row r="27" ht="16.5" spans="1:4">
      <c r="A27" s="69">
        <v>25</v>
      </c>
      <c r="B27" s="69">
        <v>13138</v>
      </c>
      <c r="C27" s="69">
        <v>3</v>
      </c>
      <c r="D27" s="72" t="s">
        <v>3786</v>
      </c>
    </row>
    <row r="28" ht="16.5" spans="1:4">
      <c r="A28" s="69">
        <v>26</v>
      </c>
      <c r="B28" s="69">
        <v>13138</v>
      </c>
      <c r="C28" s="69">
        <v>4</v>
      </c>
      <c r="D28" s="72" t="s">
        <v>3787</v>
      </c>
    </row>
    <row r="29" ht="16.5" spans="1:4">
      <c r="A29" s="69">
        <v>27</v>
      </c>
      <c r="B29" s="69">
        <v>13138</v>
      </c>
      <c r="C29" s="69">
        <v>5</v>
      </c>
      <c r="D29" s="72" t="s">
        <v>3788</v>
      </c>
    </row>
    <row r="30" ht="16.5" spans="1:4">
      <c r="A30" s="69">
        <v>28</v>
      </c>
      <c r="B30" s="69">
        <v>13394</v>
      </c>
      <c r="C30" s="69">
        <v>3</v>
      </c>
      <c r="D30" s="72" t="s">
        <v>3789</v>
      </c>
    </row>
    <row r="31" ht="16.5" spans="1:4">
      <c r="A31" s="69">
        <v>29</v>
      </c>
      <c r="B31" s="69">
        <v>13394</v>
      </c>
      <c r="C31" s="69">
        <v>5</v>
      </c>
      <c r="D31" s="72" t="s">
        <v>3790</v>
      </c>
    </row>
    <row r="32" ht="16.5" spans="1:4">
      <c r="A32" s="69">
        <v>30</v>
      </c>
      <c r="B32" s="69">
        <v>13394</v>
      </c>
      <c r="C32" s="69">
        <v>6</v>
      </c>
      <c r="D32" s="72" t="s">
        <v>3791</v>
      </c>
    </row>
    <row r="33" ht="16.5" spans="1:4">
      <c r="A33" s="69">
        <v>31</v>
      </c>
      <c r="B33" s="69">
        <v>13906</v>
      </c>
      <c r="C33" s="69">
        <v>3</v>
      </c>
      <c r="D33" s="72" t="s">
        <v>3792</v>
      </c>
    </row>
    <row r="34" ht="16.5" spans="1:4">
      <c r="A34" s="69">
        <v>32</v>
      </c>
      <c r="B34" s="69">
        <v>13906</v>
      </c>
      <c r="C34" s="69">
        <v>5</v>
      </c>
      <c r="D34" s="72" t="s">
        <v>3793</v>
      </c>
    </row>
    <row r="35" ht="16.5" spans="1:4">
      <c r="A35" s="69">
        <v>33</v>
      </c>
      <c r="B35" s="69">
        <v>13906</v>
      </c>
      <c r="C35" s="69">
        <v>6</v>
      </c>
      <c r="D35" s="72" t="s">
        <v>3794</v>
      </c>
    </row>
    <row r="36" ht="16.5" spans="1:4">
      <c r="A36" s="69">
        <v>34</v>
      </c>
      <c r="B36" s="69">
        <v>14162</v>
      </c>
      <c r="C36" s="69">
        <v>3</v>
      </c>
      <c r="D36" s="72" t="s">
        <v>3795</v>
      </c>
    </row>
    <row r="37" ht="16.5" spans="1:4">
      <c r="A37" s="69">
        <v>35</v>
      </c>
      <c r="B37" s="69">
        <v>14418</v>
      </c>
      <c r="C37" s="69">
        <v>11</v>
      </c>
      <c r="D37" s="72" t="s">
        <v>3796</v>
      </c>
    </row>
    <row r="38" ht="16.5" spans="1:4">
      <c r="A38" s="69">
        <v>36</v>
      </c>
      <c r="B38" s="69">
        <v>14674</v>
      </c>
      <c r="C38" s="69">
        <v>11</v>
      </c>
      <c r="D38" s="72" t="s">
        <v>3797</v>
      </c>
    </row>
    <row r="39" ht="16.5" spans="1:4">
      <c r="A39" s="69">
        <v>37</v>
      </c>
      <c r="B39" s="69">
        <v>14930</v>
      </c>
      <c r="C39" s="69">
        <v>11</v>
      </c>
      <c r="D39" s="72" t="s">
        <v>3798</v>
      </c>
    </row>
    <row r="40" ht="16.5" spans="1:4">
      <c r="A40" s="73"/>
      <c r="B40" s="65"/>
      <c r="C40" s="65"/>
      <c r="D40" s="66"/>
    </row>
    <row r="157" spans="2:3">
      <c r="B157" s="74"/>
      <c r="C157" s="75"/>
    </row>
    <row r="304" spans="2:3">
      <c r="B304" s="76"/>
      <c r="C304" s="76"/>
    </row>
    <row r="305" spans="2:3">
      <c r="B305" s="77"/>
      <c r="C305" s="76"/>
    </row>
    <row r="306" spans="2:3">
      <c r="B306" s="77"/>
      <c r="C306" s="76"/>
    </row>
    <row r="307" spans="2:3">
      <c r="B307" s="77"/>
      <c r="C307" s="76"/>
    </row>
    <row r="308" spans="2:3">
      <c r="B308" s="77"/>
      <c r="C308" s="76"/>
    </row>
    <row r="309" spans="2:3">
      <c r="B309" s="77"/>
      <c r="C309" s="76"/>
    </row>
    <row r="310" spans="2:3">
      <c r="B310" s="77"/>
      <c r="C310" s="76"/>
    </row>
    <row r="311" spans="2:3">
      <c r="B311" s="77"/>
      <c r="C311" s="76"/>
    </row>
    <row r="312" spans="2:3">
      <c r="B312" s="77"/>
      <c r="C312" s="76"/>
    </row>
    <row r="313" spans="2:3">
      <c r="B313" s="77"/>
      <c r="C313" s="76"/>
    </row>
    <row r="314" spans="2:3">
      <c r="B314" s="77"/>
      <c r="C314" s="76"/>
    </row>
    <row r="315" spans="2:3">
      <c r="B315" s="77"/>
      <c r="C315" s="76"/>
    </row>
    <row r="316" spans="2:3">
      <c r="B316" s="77"/>
      <c r="C316" s="76"/>
    </row>
    <row r="317" spans="2:3">
      <c r="B317" s="77"/>
      <c r="C317" s="76"/>
    </row>
    <row r="318" spans="2:3">
      <c r="B318" s="77"/>
      <c r="C318" s="76"/>
    </row>
    <row r="319" spans="2:3">
      <c r="B319" s="77"/>
      <c r="C319" s="76"/>
    </row>
    <row r="320" spans="2:3">
      <c r="B320" s="77"/>
      <c r="C320" s="76"/>
    </row>
    <row r="321" spans="2:3">
      <c r="B321" s="77"/>
      <c r="C321" s="76"/>
    </row>
    <row r="322" spans="2:3">
      <c r="B322" s="77"/>
      <c r="C322" s="76"/>
    </row>
    <row r="323" spans="2:3">
      <c r="B323" s="77"/>
      <c r="C323" s="76"/>
    </row>
    <row r="324" spans="2:3">
      <c r="B324" s="77"/>
      <c r="C324" s="76"/>
    </row>
    <row r="325" spans="2:3">
      <c r="B325" s="77"/>
      <c r="C325" s="76"/>
    </row>
    <row r="326" spans="2:3">
      <c r="B326" s="77"/>
      <c r="C326" s="76"/>
    </row>
    <row r="327" spans="2:3">
      <c r="B327" s="77"/>
      <c r="C327" s="76"/>
    </row>
    <row r="328" spans="2:3">
      <c r="B328" s="77"/>
      <c r="C328" s="76"/>
    </row>
    <row r="329" spans="2:3">
      <c r="B329" s="77"/>
      <c r="C329" s="76"/>
    </row>
    <row r="330" spans="2:3">
      <c r="B330" s="77"/>
      <c r="C330" s="76"/>
    </row>
    <row r="331" spans="2:3">
      <c r="B331" s="77"/>
      <c r="C331" s="76"/>
    </row>
    <row r="332" spans="2:3">
      <c r="B332" s="77"/>
      <c r="C332" s="76"/>
    </row>
    <row r="333" spans="2:3">
      <c r="B333" s="77"/>
      <c r="C333" s="76"/>
    </row>
    <row r="334" spans="2:3">
      <c r="B334" s="77"/>
      <c r="C334" s="76"/>
    </row>
    <row r="335" spans="2:3">
      <c r="B335" s="77"/>
      <c r="C335" s="76"/>
    </row>
    <row r="336" spans="2:3">
      <c r="B336" s="77"/>
      <c r="C336" s="76"/>
    </row>
    <row r="337" spans="2:3">
      <c r="B337" s="77"/>
      <c r="C337" s="76"/>
    </row>
    <row r="338" spans="2:3">
      <c r="B338" s="77"/>
      <c r="C338" s="76"/>
    </row>
    <row r="339" spans="2:3">
      <c r="B339" s="77"/>
      <c r="C339" s="76"/>
    </row>
    <row r="340" spans="2:3">
      <c r="B340" s="77"/>
      <c r="C340" s="76"/>
    </row>
    <row r="341" spans="2:3">
      <c r="B341" s="77"/>
      <c r="C341" s="76"/>
    </row>
    <row r="342" spans="2:3">
      <c r="B342" s="77"/>
      <c r="C342" s="76"/>
    </row>
    <row r="343" spans="2:3">
      <c r="B343" s="77"/>
      <c r="C343" s="76"/>
    </row>
    <row r="344" spans="2:3">
      <c r="B344" s="77"/>
      <c r="C344" s="76"/>
    </row>
    <row r="345" spans="2:3">
      <c r="B345" s="77"/>
      <c r="C345" s="76"/>
    </row>
    <row r="346" spans="2:3">
      <c r="B346" s="77"/>
      <c r="C346" s="76"/>
    </row>
    <row r="347" spans="2:3">
      <c r="B347" s="77"/>
      <c r="C347" s="76"/>
    </row>
    <row r="348" spans="2:3">
      <c r="B348" s="77"/>
      <c r="C348" s="76"/>
    </row>
    <row r="349" spans="2:3">
      <c r="B349" s="77"/>
      <c r="C349" s="76"/>
    </row>
    <row r="350" spans="2:3">
      <c r="B350" s="77"/>
      <c r="C350" s="76"/>
    </row>
    <row r="351" spans="2:3">
      <c r="B351" s="77"/>
      <c r="C351" s="76"/>
    </row>
    <row r="736" s="60" customFormat="1" spans="1:3">
      <c r="A736" s="61"/>
      <c r="B736" s="62"/>
      <c r="C736" s="62"/>
    </row>
    <row r="737" s="60" customFormat="1" spans="1:3">
      <c r="A737" s="61"/>
      <c r="B737" s="62"/>
      <c r="C737" s="62"/>
    </row>
    <row r="738" s="60" customFormat="1" spans="1:3">
      <c r="A738" s="61"/>
      <c r="B738" s="62"/>
      <c r="C738" s="62"/>
    </row>
    <row r="739" s="60" customFormat="1" spans="1:3">
      <c r="A739" s="61"/>
      <c r="B739" s="62"/>
      <c r="C739" s="62"/>
    </row>
    <row r="740" s="60" customFormat="1" spans="1:3">
      <c r="A740" s="61"/>
      <c r="B740" s="62"/>
      <c r="C740" s="62"/>
    </row>
    <row r="741" s="60" customFormat="1" spans="1:3">
      <c r="A741" s="61"/>
      <c r="B741" s="62"/>
      <c r="C741" s="62"/>
    </row>
    <row r="742" s="60" customFormat="1" spans="1:3">
      <c r="A742" s="61"/>
      <c r="B742" s="62"/>
      <c r="C742" s="62"/>
    </row>
    <row r="743" s="60" customFormat="1" spans="1:3">
      <c r="A743" s="61"/>
      <c r="B743" s="62"/>
      <c r="C743" s="62"/>
    </row>
    <row r="744" s="60" customFormat="1" spans="1:3">
      <c r="A744" s="61"/>
      <c r="B744" s="62"/>
      <c r="C744" s="62"/>
    </row>
    <row r="745" s="60" customFormat="1" spans="1:3">
      <c r="A745" s="61"/>
      <c r="B745" s="62"/>
      <c r="C745" s="62"/>
    </row>
    <row r="746" s="60" customFormat="1" spans="1:3">
      <c r="A746" s="61"/>
      <c r="B746" s="62"/>
      <c r="C746" s="62"/>
    </row>
    <row r="747" s="60" customFormat="1" spans="1:3">
      <c r="A747" s="61"/>
      <c r="B747" s="62"/>
      <c r="C747" s="62"/>
    </row>
    <row r="748" s="60" customFormat="1" spans="1:3">
      <c r="A748" s="61"/>
      <c r="B748" s="62"/>
      <c r="C748" s="62"/>
    </row>
    <row r="749" s="60" customFormat="1" spans="1:3">
      <c r="A749" s="61"/>
      <c r="B749" s="62"/>
      <c r="C749" s="62"/>
    </row>
    <row r="750" s="60" customFormat="1" spans="1:3">
      <c r="A750" s="61"/>
      <c r="B750" s="62"/>
      <c r="C750" s="62"/>
    </row>
    <row r="751" s="60" customFormat="1" spans="1:3">
      <c r="A751" s="61"/>
      <c r="B751" s="62"/>
      <c r="C751" s="62"/>
    </row>
    <row r="752" s="60" customFormat="1" spans="1:3">
      <c r="A752" s="61"/>
      <c r="B752" s="62"/>
      <c r="C752" s="62"/>
    </row>
    <row r="753" s="60" customFormat="1" spans="1:3">
      <c r="A753" s="61"/>
      <c r="B753" s="62"/>
      <c r="C753" s="62"/>
    </row>
    <row r="769" spans="4:228"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78"/>
      <c r="AZ769" s="78"/>
      <c r="BA769" s="78"/>
      <c r="BB769" s="78"/>
      <c r="BC769" s="78"/>
      <c r="BD769" s="78"/>
      <c r="BE769" s="78"/>
      <c r="BF769" s="78"/>
      <c r="BG769" s="78"/>
      <c r="BH769" s="78"/>
      <c r="BI769" s="78"/>
      <c r="BJ769" s="78"/>
      <c r="BK769" s="78"/>
      <c r="BL769" s="78"/>
      <c r="BM769" s="78"/>
      <c r="BN769" s="78"/>
      <c r="BO769" s="78"/>
      <c r="BP769" s="78"/>
      <c r="BQ769" s="78"/>
      <c r="BR769" s="78"/>
      <c r="BS769" s="78"/>
      <c r="BT769" s="78"/>
      <c r="BU769" s="78"/>
      <c r="BV769" s="78"/>
      <c r="BW769" s="78"/>
      <c r="BX769" s="78"/>
      <c r="BY769" s="78"/>
      <c r="BZ769" s="78"/>
      <c r="CA769" s="78"/>
      <c r="CB769" s="78"/>
      <c r="CC769" s="78"/>
      <c r="CD769" s="78"/>
      <c r="CE769" s="78"/>
      <c r="CF769" s="78"/>
      <c r="CG769" s="78"/>
      <c r="CH769" s="78"/>
      <c r="CI769" s="78"/>
      <c r="CJ769" s="78"/>
      <c r="CK769" s="78"/>
      <c r="CL769" s="78"/>
      <c r="CM769" s="78"/>
      <c r="CN769" s="78"/>
      <c r="CO769" s="78"/>
      <c r="CP769" s="78"/>
      <c r="CQ769" s="78"/>
      <c r="CR769" s="78"/>
      <c r="CS769" s="78"/>
      <c r="CT769" s="78"/>
      <c r="CU769" s="78"/>
      <c r="CV769" s="78"/>
      <c r="CW769" s="78"/>
      <c r="CX769" s="78"/>
      <c r="CY769" s="78"/>
      <c r="CZ769" s="78"/>
      <c r="DA769" s="78"/>
      <c r="DB769" s="78"/>
      <c r="DC769" s="78"/>
      <c r="DD769" s="78"/>
      <c r="DE769" s="78"/>
      <c r="DF769" s="78"/>
      <c r="DG769" s="78"/>
      <c r="DH769" s="78"/>
      <c r="DI769" s="78"/>
      <c r="DJ769" s="78"/>
      <c r="DK769" s="78"/>
      <c r="DL769" s="78"/>
      <c r="DM769" s="78"/>
      <c r="DN769" s="78"/>
      <c r="DO769" s="78"/>
      <c r="DP769" s="78"/>
      <c r="DQ769" s="78"/>
      <c r="DR769" s="78"/>
      <c r="DS769" s="78"/>
      <c r="DT769" s="78"/>
      <c r="DU769" s="78"/>
      <c r="DV769" s="78"/>
      <c r="DW769" s="78"/>
      <c r="DX769" s="78"/>
      <c r="DY769" s="78"/>
      <c r="DZ769" s="78"/>
      <c r="EA769" s="78"/>
      <c r="EB769" s="78"/>
      <c r="EC769" s="78"/>
      <c r="ED769" s="78"/>
      <c r="EE769" s="78"/>
      <c r="EF769" s="78"/>
      <c r="EG769" s="78"/>
      <c r="EH769" s="78"/>
      <c r="EI769" s="78"/>
      <c r="EJ769" s="78"/>
      <c r="EK769" s="78"/>
      <c r="EL769" s="78"/>
      <c r="EM769" s="78"/>
      <c r="EN769" s="78"/>
      <c r="EO769" s="78"/>
      <c r="EP769" s="78"/>
      <c r="EQ769" s="78"/>
      <c r="ER769" s="78"/>
      <c r="ES769" s="78"/>
      <c r="ET769" s="78"/>
      <c r="EU769" s="78"/>
      <c r="EV769" s="78"/>
      <c r="EW769" s="78"/>
      <c r="EX769" s="78"/>
      <c r="EY769" s="78"/>
      <c r="EZ769" s="78"/>
      <c r="FA769" s="78"/>
      <c r="FB769" s="78"/>
      <c r="FC769" s="78"/>
      <c r="FD769" s="78"/>
      <c r="FE769" s="78"/>
      <c r="FF769" s="78"/>
      <c r="FG769" s="78"/>
      <c r="FH769" s="78"/>
      <c r="FI769" s="78"/>
      <c r="FJ769" s="78"/>
      <c r="FK769" s="78"/>
      <c r="FL769" s="78"/>
      <c r="FM769" s="78"/>
      <c r="FN769" s="78"/>
      <c r="FO769" s="78"/>
      <c r="FP769" s="78"/>
      <c r="FQ769" s="78"/>
      <c r="FR769" s="78"/>
      <c r="FS769" s="78"/>
      <c r="FT769" s="78"/>
      <c r="FU769" s="78"/>
      <c r="FV769" s="78"/>
      <c r="FW769" s="78"/>
      <c r="FX769" s="78"/>
      <c r="FY769" s="78"/>
      <c r="FZ769" s="78"/>
      <c r="GA769" s="78"/>
      <c r="GB769" s="78"/>
      <c r="GC769" s="78"/>
      <c r="GD769" s="78"/>
      <c r="GE769" s="78"/>
      <c r="GF769" s="78"/>
      <c r="GG769" s="78"/>
      <c r="GH769" s="78"/>
      <c r="GI769" s="78"/>
      <c r="GJ769" s="78"/>
      <c r="GK769" s="78"/>
      <c r="GL769" s="78"/>
      <c r="GM769" s="78"/>
      <c r="GN769" s="78"/>
      <c r="GO769" s="78"/>
      <c r="GP769" s="78"/>
      <c r="GQ769" s="78"/>
      <c r="GR769" s="78"/>
      <c r="GS769" s="78"/>
      <c r="GT769" s="78"/>
      <c r="GU769" s="78"/>
      <c r="GV769" s="78"/>
      <c r="GW769" s="78"/>
      <c r="GX769" s="78"/>
      <c r="GY769" s="78"/>
      <c r="GZ769" s="78"/>
      <c r="HA769" s="78"/>
      <c r="HB769" s="78"/>
      <c r="HC769" s="78"/>
      <c r="HD769" s="78"/>
      <c r="HE769" s="78"/>
      <c r="HF769" s="78"/>
      <c r="HG769" s="78"/>
      <c r="HH769" s="78"/>
      <c r="HI769" s="78"/>
      <c r="HJ769" s="78"/>
      <c r="HK769" s="78"/>
      <c r="HL769" s="78"/>
      <c r="HM769" s="78"/>
      <c r="HN769" s="78"/>
      <c r="HO769" s="78"/>
      <c r="HP769" s="78"/>
      <c r="HQ769" s="78"/>
      <c r="HR769" s="78"/>
      <c r="HS769" s="78"/>
      <c r="HT769" s="78"/>
    </row>
    <row r="770" spans="4:228"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78"/>
      <c r="AZ770" s="78"/>
      <c r="BA770" s="78"/>
      <c r="BB770" s="78"/>
      <c r="BC770" s="78"/>
      <c r="BD770" s="78"/>
      <c r="BE770" s="78"/>
      <c r="BF770" s="78"/>
      <c r="BG770" s="78"/>
      <c r="BH770" s="78"/>
      <c r="BI770" s="78"/>
      <c r="BJ770" s="78"/>
      <c r="BK770" s="78"/>
      <c r="BL770" s="78"/>
      <c r="BM770" s="78"/>
      <c r="BN770" s="78"/>
      <c r="BO770" s="78"/>
      <c r="BP770" s="78"/>
      <c r="BQ770" s="78"/>
      <c r="BR770" s="78"/>
      <c r="BS770" s="78"/>
      <c r="BT770" s="78"/>
      <c r="BU770" s="78"/>
      <c r="BV770" s="78"/>
      <c r="BW770" s="78"/>
      <c r="BX770" s="78"/>
      <c r="BY770" s="78"/>
      <c r="BZ770" s="78"/>
      <c r="CA770" s="78"/>
      <c r="CB770" s="78"/>
      <c r="CC770" s="78"/>
      <c r="CD770" s="78"/>
      <c r="CE770" s="78"/>
      <c r="CF770" s="78"/>
      <c r="CG770" s="78"/>
      <c r="CH770" s="78"/>
      <c r="CI770" s="78"/>
      <c r="CJ770" s="78"/>
      <c r="CK770" s="78"/>
      <c r="CL770" s="78"/>
      <c r="CM770" s="78"/>
      <c r="CN770" s="78"/>
      <c r="CO770" s="78"/>
      <c r="CP770" s="78"/>
      <c r="CQ770" s="78"/>
      <c r="CR770" s="78"/>
      <c r="CS770" s="78"/>
      <c r="CT770" s="78"/>
      <c r="CU770" s="78"/>
      <c r="CV770" s="78"/>
      <c r="CW770" s="78"/>
      <c r="CX770" s="78"/>
      <c r="CY770" s="78"/>
      <c r="CZ770" s="78"/>
      <c r="DA770" s="78"/>
      <c r="DB770" s="78"/>
      <c r="DC770" s="78"/>
      <c r="DD770" s="78"/>
      <c r="DE770" s="78"/>
      <c r="DF770" s="78"/>
      <c r="DG770" s="78"/>
      <c r="DH770" s="78"/>
      <c r="DI770" s="78"/>
      <c r="DJ770" s="78"/>
      <c r="DK770" s="78"/>
      <c r="DL770" s="78"/>
      <c r="DM770" s="78"/>
      <c r="DN770" s="78"/>
      <c r="DO770" s="78"/>
      <c r="DP770" s="78"/>
      <c r="DQ770" s="78"/>
      <c r="DR770" s="78"/>
      <c r="DS770" s="78"/>
      <c r="DT770" s="78"/>
      <c r="DU770" s="78"/>
      <c r="DV770" s="78"/>
      <c r="DW770" s="78"/>
      <c r="DX770" s="78"/>
      <c r="DY770" s="78"/>
      <c r="DZ770" s="78"/>
      <c r="EA770" s="78"/>
      <c r="EB770" s="78"/>
      <c r="EC770" s="78"/>
      <c r="ED770" s="78"/>
      <c r="EE770" s="78"/>
      <c r="EF770" s="78"/>
      <c r="EG770" s="78"/>
      <c r="EH770" s="78"/>
      <c r="EI770" s="78"/>
      <c r="EJ770" s="78"/>
      <c r="EK770" s="78"/>
      <c r="EL770" s="78"/>
      <c r="EM770" s="78"/>
      <c r="EN770" s="78"/>
      <c r="EO770" s="78"/>
      <c r="EP770" s="78"/>
      <c r="EQ770" s="78"/>
      <c r="ER770" s="78"/>
      <c r="ES770" s="78"/>
      <c r="ET770" s="78"/>
      <c r="EU770" s="78"/>
      <c r="EV770" s="78"/>
      <c r="EW770" s="78"/>
      <c r="EX770" s="78"/>
      <c r="EY770" s="78"/>
      <c r="EZ770" s="78"/>
      <c r="FA770" s="78"/>
      <c r="FB770" s="78"/>
      <c r="FC770" s="78"/>
      <c r="FD770" s="78"/>
      <c r="FE770" s="78"/>
      <c r="FF770" s="78"/>
      <c r="FG770" s="78"/>
      <c r="FH770" s="78"/>
      <c r="FI770" s="78"/>
      <c r="FJ770" s="78"/>
      <c r="FK770" s="78"/>
      <c r="FL770" s="78"/>
      <c r="FM770" s="78"/>
      <c r="FN770" s="78"/>
      <c r="FO770" s="78"/>
      <c r="FP770" s="78"/>
      <c r="FQ770" s="78"/>
      <c r="FR770" s="78"/>
      <c r="FS770" s="78"/>
      <c r="FT770" s="78"/>
      <c r="FU770" s="78"/>
      <c r="FV770" s="78"/>
      <c r="FW770" s="78"/>
      <c r="FX770" s="78"/>
      <c r="FY770" s="78"/>
      <c r="FZ770" s="78"/>
      <c r="GA770" s="78"/>
      <c r="GB770" s="78"/>
      <c r="GC770" s="78"/>
      <c r="GD770" s="78"/>
      <c r="GE770" s="78"/>
      <c r="GF770" s="78"/>
      <c r="GG770" s="78"/>
      <c r="GH770" s="78"/>
      <c r="GI770" s="78"/>
      <c r="GJ770" s="78"/>
      <c r="GK770" s="78"/>
      <c r="GL770" s="78"/>
      <c r="GM770" s="78"/>
      <c r="GN770" s="78"/>
      <c r="GO770" s="78"/>
      <c r="GP770" s="78"/>
      <c r="GQ770" s="78"/>
      <c r="GR770" s="78"/>
      <c r="GS770" s="78"/>
      <c r="GT770" s="78"/>
      <c r="GU770" s="78"/>
      <c r="GV770" s="78"/>
      <c r="GW770" s="78"/>
      <c r="GX770" s="78"/>
      <c r="GY770" s="78"/>
      <c r="GZ770" s="78"/>
      <c r="HA770" s="78"/>
      <c r="HB770" s="78"/>
      <c r="HC770" s="78"/>
      <c r="HD770" s="78"/>
      <c r="HE770" s="78"/>
      <c r="HF770" s="78"/>
      <c r="HG770" s="78"/>
      <c r="HH770" s="78"/>
      <c r="HI770" s="78"/>
      <c r="HJ770" s="78"/>
      <c r="HK770" s="78"/>
      <c r="HL770" s="78"/>
      <c r="HM770" s="78"/>
      <c r="HN770" s="78"/>
      <c r="HO770" s="78"/>
      <c r="HP770" s="78"/>
      <c r="HQ770" s="78"/>
      <c r="HR770" s="78"/>
      <c r="HS770" s="78"/>
      <c r="HT770" s="78"/>
    </row>
    <row r="771" spans="4:228"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78"/>
      <c r="AZ771" s="78"/>
      <c r="BA771" s="78"/>
      <c r="BB771" s="78"/>
      <c r="BC771" s="78"/>
      <c r="BD771" s="78"/>
      <c r="BE771" s="78"/>
      <c r="BF771" s="78"/>
      <c r="BG771" s="78"/>
      <c r="BH771" s="78"/>
      <c r="BI771" s="78"/>
      <c r="BJ771" s="78"/>
      <c r="BK771" s="78"/>
      <c r="BL771" s="78"/>
      <c r="BM771" s="78"/>
      <c r="BN771" s="78"/>
      <c r="BO771" s="78"/>
      <c r="BP771" s="78"/>
      <c r="BQ771" s="78"/>
      <c r="BR771" s="78"/>
      <c r="BS771" s="78"/>
      <c r="BT771" s="78"/>
      <c r="BU771" s="78"/>
      <c r="BV771" s="78"/>
      <c r="BW771" s="78"/>
      <c r="BX771" s="78"/>
      <c r="BY771" s="78"/>
      <c r="BZ771" s="78"/>
      <c r="CA771" s="78"/>
      <c r="CB771" s="78"/>
      <c r="CC771" s="78"/>
      <c r="CD771" s="78"/>
      <c r="CE771" s="78"/>
      <c r="CF771" s="78"/>
      <c r="CG771" s="78"/>
      <c r="CH771" s="78"/>
      <c r="CI771" s="78"/>
      <c r="CJ771" s="78"/>
      <c r="CK771" s="78"/>
      <c r="CL771" s="78"/>
      <c r="CM771" s="78"/>
      <c r="CN771" s="78"/>
      <c r="CO771" s="78"/>
      <c r="CP771" s="78"/>
      <c r="CQ771" s="78"/>
      <c r="CR771" s="78"/>
      <c r="CS771" s="78"/>
      <c r="CT771" s="78"/>
      <c r="CU771" s="78"/>
      <c r="CV771" s="78"/>
      <c r="CW771" s="78"/>
      <c r="CX771" s="78"/>
      <c r="CY771" s="78"/>
      <c r="CZ771" s="78"/>
      <c r="DA771" s="78"/>
      <c r="DB771" s="78"/>
      <c r="DC771" s="78"/>
      <c r="DD771" s="78"/>
      <c r="DE771" s="78"/>
      <c r="DF771" s="78"/>
      <c r="DG771" s="78"/>
      <c r="DH771" s="78"/>
      <c r="DI771" s="78"/>
      <c r="DJ771" s="78"/>
      <c r="DK771" s="78"/>
      <c r="DL771" s="78"/>
      <c r="DM771" s="78"/>
      <c r="DN771" s="78"/>
      <c r="DO771" s="78"/>
      <c r="DP771" s="78"/>
      <c r="DQ771" s="78"/>
      <c r="DR771" s="78"/>
      <c r="DS771" s="78"/>
      <c r="DT771" s="78"/>
      <c r="DU771" s="78"/>
      <c r="DV771" s="78"/>
      <c r="DW771" s="78"/>
      <c r="DX771" s="78"/>
      <c r="DY771" s="78"/>
      <c r="DZ771" s="78"/>
      <c r="EA771" s="78"/>
      <c r="EB771" s="78"/>
      <c r="EC771" s="78"/>
      <c r="ED771" s="78"/>
      <c r="EE771" s="78"/>
      <c r="EF771" s="78"/>
      <c r="EG771" s="78"/>
      <c r="EH771" s="78"/>
      <c r="EI771" s="78"/>
      <c r="EJ771" s="78"/>
      <c r="EK771" s="78"/>
      <c r="EL771" s="78"/>
      <c r="EM771" s="78"/>
      <c r="EN771" s="78"/>
      <c r="EO771" s="78"/>
      <c r="EP771" s="78"/>
      <c r="EQ771" s="78"/>
      <c r="ER771" s="78"/>
      <c r="ES771" s="78"/>
      <c r="ET771" s="78"/>
      <c r="EU771" s="78"/>
      <c r="EV771" s="78"/>
      <c r="EW771" s="78"/>
      <c r="EX771" s="78"/>
      <c r="EY771" s="78"/>
      <c r="EZ771" s="78"/>
      <c r="FA771" s="78"/>
      <c r="FB771" s="78"/>
      <c r="FC771" s="78"/>
      <c r="FD771" s="78"/>
      <c r="FE771" s="78"/>
      <c r="FF771" s="78"/>
      <c r="FG771" s="78"/>
      <c r="FH771" s="78"/>
      <c r="FI771" s="78"/>
      <c r="FJ771" s="78"/>
      <c r="FK771" s="78"/>
      <c r="FL771" s="78"/>
      <c r="FM771" s="78"/>
      <c r="FN771" s="78"/>
      <c r="FO771" s="78"/>
      <c r="FP771" s="78"/>
      <c r="FQ771" s="78"/>
      <c r="FR771" s="78"/>
      <c r="FS771" s="78"/>
      <c r="FT771" s="78"/>
      <c r="FU771" s="78"/>
      <c r="FV771" s="78"/>
      <c r="FW771" s="78"/>
      <c r="FX771" s="78"/>
      <c r="FY771" s="78"/>
      <c r="FZ771" s="78"/>
      <c r="GA771" s="78"/>
      <c r="GB771" s="78"/>
      <c r="GC771" s="78"/>
      <c r="GD771" s="78"/>
      <c r="GE771" s="78"/>
      <c r="GF771" s="78"/>
      <c r="GG771" s="78"/>
      <c r="GH771" s="78"/>
      <c r="GI771" s="78"/>
      <c r="GJ771" s="78"/>
      <c r="GK771" s="78"/>
      <c r="GL771" s="78"/>
      <c r="GM771" s="78"/>
      <c r="GN771" s="78"/>
      <c r="GO771" s="78"/>
      <c r="GP771" s="78"/>
      <c r="GQ771" s="78"/>
      <c r="GR771" s="78"/>
      <c r="GS771" s="78"/>
      <c r="GT771" s="78"/>
      <c r="GU771" s="78"/>
      <c r="GV771" s="78"/>
      <c r="GW771" s="78"/>
      <c r="GX771" s="78"/>
      <c r="GY771" s="78"/>
      <c r="GZ771" s="78"/>
      <c r="HA771" s="78"/>
      <c r="HB771" s="78"/>
      <c r="HC771" s="78"/>
      <c r="HD771" s="78"/>
      <c r="HE771" s="78"/>
      <c r="HF771" s="78"/>
      <c r="HG771" s="78"/>
      <c r="HH771" s="78"/>
      <c r="HI771" s="78"/>
      <c r="HJ771" s="78"/>
      <c r="HK771" s="78"/>
      <c r="HL771" s="78"/>
      <c r="HM771" s="78"/>
      <c r="HN771" s="78"/>
      <c r="HO771" s="78"/>
      <c r="HP771" s="78"/>
      <c r="HQ771" s="78"/>
      <c r="HR771" s="78"/>
      <c r="HS771" s="78"/>
      <c r="HT771" s="78"/>
    </row>
    <row r="772" s="60" customFormat="1" spans="1:228">
      <c r="A772" s="61"/>
      <c r="B772" s="62"/>
      <c r="C772" s="62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78"/>
      <c r="AZ772" s="78"/>
      <c r="BA772" s="78"/>
      <c r="BB772" s="78"/>
      <c r="BC772" s="78"/>
      <c r="BD772" s="78"/>
      <c r="BE772" s="78"/>
      <c r="BF772" s="78"/>
      <c r="BG772" s="78"/>
      <c r="BH772" s="78"/>
      <c r="BI772" s="78"/>
      <c r="BJ772" s="78"/>
      <c r="BK772" s="78"/>
      <c r="BL772" s="78"/>
      <c r="BM772" s="78"/>
      <c r="BN772" s="78"/>
      <c r="BO772" s="78"/>
      <c r="BP772" s="78"/>
      <c r="BQ772" s="78"/>
      <c r="BR772" s="78"/>
      <c r="BS772" s="78"/>
      <c r="BT772" s="78"/>
      <c r="BU772" s="78"/>
      <c r="BV772" s="78"/>
      <c r="BW772" s="78"/>
      <c r="BX772" s="78"/>
      <c r="BY772" s="78"/>
      <c r="BZ772" s="78"/>
      <c r="CA772" s="78"/>
      <c r="CB772" s="78"/>
      <c r="CC772" s="78"/>
      <c r="CD772" s="78"/>
      <c r="CE772" s="78"/>
      <c r="CF772" s="78"/>
      <c r="CG772" s="78"/>
      <c r="CH772" s="78"/>
      <c r="CI772" s="78"/>
      <c r="CJ772" s="78"/>
      <c r="CK772" s="78"/>
      <c r="CL772" s="78"/>
      <c r="CM772" s="78"/>
      <c r="CN772" s="78"/>
      <c r="CO772" s="78"/>
      <c r="CP772" s="78"/>
      <c r="CQ772" s="78"/>
      <c r="CR772" s="78"/>
      <c r="CS772" s="78"/>
      <c r="CT772" s="78"/>
      <c r="CU772" s="78"/>
      <c r="CV772" s="78"/>
      <c r="CW772" s="78"/>
      <c r="CX772" s="78"/>
      <c r="CY772" s="78"/>
      <c r="CZ772" s="78"/>
      <c r="DA772" s="78"/>
      <c r="DB772" s="78"/>
      <c r="DC772" s="78"/>
      <c r="DD772" s="78"/>
      <c r="DE772" s="78"/>
      <c r="DF772" s="78"/>
      <c r="DG772" s="78"/>
      <c r="DH772" s="78"/>
      <c r="DI772" s="78"/>
      <c r="DJ772" s="78"/>
      <c r="DK772" s="78"/>
      <c r="DL772" s="78"/>
      <c r="DM772" s="78"/>
      <c r="DN772" s="78"/>
      <c r="DO772" s="78"/>
      <c r="DP772" s="78"/>
      <c r="DQ772" s="78"/>
      <c r="DR772" s="78"/>
      <c r="DS772" s="78"/>
      <c r="DT772" s="78"/>
      <c r="DU772" s="78"/>
      <c r="DV772" s="78"/>
      <c r="DW772" s="78"/>
      <c r="DX772" s="78"/>
      <c r="DY772" s="78"/>
      <c r="DZ772" s="78"/>
      <c r="EA772" s="78"/>
      <c r="EB772" s="78"/>
      <c r="EC772" s="78"/>
      <c r="ED772" s="78"/>
      <c r="EE772" s="78"/>
      <c r="EF772" s="78"/>
      <c r="EG772" s="78"/>
      <c r="EH772" s="78"/>
      <c r="EI772" s="78"/>
      <c r="EJ772" s="78"/>
      <c r="EK772" s="78"/>
      <c r="EL772" s="78"/>
      <c r="EM772" s="78"/>
      <c r="EN772" s="78"/>
      <c r="EO772" s="78"/>
      <c r="EP772" s="78"/>
      <c r="EQ772" s="78"/>
      <c r="ER772" s="78"/>
      <c r="ES772" s="78"/>
      <c r="ET772" s="78"/>
      <c r="EU772" s="78"/>
      <c r="EV772" s="78"/>
      <c r="EW772" s="78"/>
      <c r="EX772" s="78"/>
      <c r="EY772" s="78"/>
      <c r="EZ772" s="78"/>
      <c r="FA772" s="78"/>
      <c r="FB772" s="78"/>
      <c r="FC772" s="78"/>
      <c r="FD772" s="78"/>
      <c r="FE772" s="78"/>
      <c r="FF772" s="78"/>
      <c r="FG772" s="78"/>
      <c r="FH772" s="78"/>
      <c r="FI772" s="78"/>
      <c r="FJ772" s="78"/>
      <c r="FK772" s="78"/>
      <c r="FL772" s="78"/>
      <c r="FM772" s="78"/>
      <c r="FN772" s="78"/>
      <c r="FO772" s="78"/>
      <c r="FP772" s="78"/>
      <c r="FQ772" s="78"/>
      <c r="FR772" s="78"/>
      <c r="FS772" s="78"/>
      <c r="FT772" s="78"/>
      <c r="FU772" s="78"/>
      <c r="FV772" s="78"/>
      <c r="FW772" s="78"/>
      <c r="FX772" s="78"/>
      <c r="FY772" s="78"/>
      <c r="FZ772" s="78"/>
      <c r="GA772" s="78"/>
      <c r="GB772" s="78"/>
      <c r="GC772" s="78"/>
      <c r="GD772" s="78"/>
      <c r="GE772" s="78"/>
      <c r="GF772" s="78"/>
      <c r="GG772" s="78"/>
      <c r="GH772" s="78"/>
      <c r="GI772" s="78"/>
      <c r="GJ772" s="78"/>
      <c r="GK772" s="78"/>
      <c r="GL772" s="78"/>
      <c r="GM772" s="78"/>
      <c r="GN772" s="78"/>
      <c r="GO772" s="78"/>
      <c r="GP772" s="78"/>
      <c r="GQ772" s="78"/>
      <c r="GR772" s="78"/>
      <c r="GS772" s="78"/>
      <c r="GT772" s="78"/>
      <c r="GU772" s="78"/>
      <c r="GV772" s="78"/>
      <c r="GW772" s="78"/>
      <c r="GX772" s="78"/>
      <c r="GY772" s="78"/>
      <c r="GZ772" s="78"/>
      <c r="HA772" s="78"/>
      <c r="HB772" s="78"/>
      <c r="HC772" s="78"/>
      <c r="HD772" s="78"/>
      <c r="HE772" s="78"/>
      <c r="HF772" s="78"/>
      <c r="HG772" s="78"/>
      <c r="HH772" s="78"/>
      <c r="HI772" s="78"/>
      <c r="HJ772" s="78"/>
      <c r="HK772" s="78"/>
      <c r="HL772" s="78"/>
      <c r="HM772" s="78"/>
      <c r="HN772" s="78"/>
      <c r="HO772" s="78"/>
      <c r="HP772" s="78"/>
      <c r="HQ772" s="78"/>
      <c r="HR772" s="78"/>
      <c r="HS772" s="78"/>
      <c r="HT772" s="78"/>
    </row>
    <row r="773" s="60" customFormat="1" spans="1:228">
      <c r="A773" s="61"/>
      <c r="B773" s="62"/>
      <c r="C773" s="62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78"/>
      <c r="AZ773" s="78"/>
      <c r="BA773" s="78"/>
      <c r="BB773" s="78"/>
      <c r="BC773" s="78"/>
      <c r="BD773" s="78"/>
      <c r="BE773" s="78"/>
      <c r="BF773" s="78"/>
      <c r="BG773" s="78"/>
      <c r="BH773" s="78"/>
      <c r="BI773" s="78"/>
      <c r="BJ773" s="78"/>
      <c r="BK773" s="78"/>
      <c r="BL773" s="78"/>
      <c r="BM773" s="78"/>
      <c r="BN773" s="78"/>
      <c r="BO773" s="78"/>
      <c r="BP773" s="78"/>
      <c r="BQ773" s="78"/>
      <c r="BR773" s="78"/>
      <c r="BS773" s="78"/>
      <c r="BT773" s="78"/>
      <c r="BU773" s="78"/>
      <c r="BV773" s="78"/>
      <c r="BW773" s="78"/>
      <c r="BX773" s="78"/>
      <c r="BY773" s="78"/>
      <c r="BZ773" s="78"/>
      <c r="CA773" s="78"/>
      <c r="CB773" s="78"/>
      <c r="CC773" s="78"/>
      <c r="CD773" s="78"/>
      <c r="CE773" s="78"/>
      <c r="CF773" s="78"/>
      <c r="CG773" s="78"/>
      <c r="CH773" s="78"/>
      <c r="CI773" s="78"/>
      <c r="CJ773" s="78"/>
      <c r="CK773" s="78"/>
      <c r="CL773" s="78"/>
      <c r="CM773" s="78"/>
      <c r="CN773" s="78"/>
      <c r="CO773" s="78"/>
      <c r="CP773" s="78"/>
      <c r="CQ773" s="78"/>
      <c r="CR773" s="78"/>
      <c r="CS773" s="78"/>
      <c r="CT773" s="78"/>
      <c r="CU773" s="78"/>
      <c r="CV773" s="78"/>
      <c r="CW773" s="78"/>
      <c r="CX773" s="78"/>
      <c r="CY773" s="78"/>
      <c r="CZ773" s="78"/>
      <c r="DA773" s="78"/>
      <c r="DB773" s="78"/>
      <c r="DC773" s="78"/>
      <c r="DD773" s="78"/>
      <c r="DE773" s="78"/>
      <c r="DF773" s="78"/>
      <c r="DG773" s="78"/>
      <c r="DH773" s="78"/>
      <c r="DI773" s="78"/>
      <c r="DJ773" s="78"/>
      <c r="DK773" s="78"/>
      <c r="DL773" s="78"/>
      <c r="DM773" s="78"/>
      <c r="DN773" s="78"/>
      <c r="DO773" s="78"/>
      <c r="DP773" s="78"/>
      <c r="DQ773" s="78"/>
      <c r="DR773" s="78"/>
      <c r="DS773" s="78"/>
      <c r="DT773" s="78"/>
      <c r="DU773" s="78"/>
      <c r="DV773" s="78"/>
      <c r="DW773" s="78"/>
      <c r="DX773" s="78"/>
      <c r="DY773" s="78"/>
      <c r="DZ773" s="78"/>
      <c r="EA773" s="78"/>
      <c r="EB773" s="78"/>
      <c r="EC773" s="78"/>
      <c r="ED773" s="78"/>
      <c r="EE773" s="78"/>
      <c r="EF773" s="78"/>
      <c r="EG773" s="78"/>
      <c r="EH773" s="78"/>
      <c r="EI773" s="78"/>
      <c r="EJ773" s="78"/>
      <c r="EK773" s="78"/>
      <c r="EL773" s="78"/>
      <c r="EM773" s="78"/>
      <c r="EN773" s="78"/>
      <c r="EO773" s="78"/>
      <c r="EP773" s="78"/>
      <c r="EQ773" s="78"/>
      <c r="ER773" s="78"/>
      <c r="ES773" s="78"/>
      <c r="ET773" s="78"/>
      <c r="EU773" s="78"/>
      <c r="EV773" s="78"/>
      <c r="EW773" s="78"/>
      <c r="EX773" s="78"/>
      <c r="EY773" s="78"/>
      <c r="EZ773" s="78"/>
      <c r="FA773" s="78"/>
      <c r="FB773" s="78"/>
      <c r="FC773" s="78"/>
      <c r="FD773" s="78"/>
      <c r="FE773" s="78"/>
      <c r="FF773" s="78"/>
      <c r="FG773" s="78"/>
      <c r="FH773" s="78"/>
      <c r="FI773" s="78"/>
      <c r="FJ773" s="78"/>
      <c r="FK773" s="78"/>
      <c r="FL773" s="78"/>
      <c r="FM773" s="78"/>
      <c r="FN773" s="78"/>
      <c r="FO773" s="78"/>
      <c r="FP773" s="78"/>
      <c r="FQ773" s="78"/>
      <c r="FR773" s="78"/>
      <c r="FS773" s="78"/>
      <c r="FT773" s="78"/>
      <c r="FU773" s="78"/>
      <c r="FV773" s="78"/>
      <c r="FW773" s="78"/>
      <c r="FX773" s="78"/>
      <c r="FY773" s="78"/>
      <c r="FZ773" s="78"/>
      <c r="GA773" s="78"/>
      <c r="GB773" s="78"/>
      <c r="GC773" s="78"/>
      <c r="GD773" s="78"/>
      <c r="GE773" s="78"/>
      <c r="GF773" s="78"/>
      <c r="GG773" s="78"/>
      <c r="GH773" s="78"/>
      <c r="GI773" s="78"/>
      <c r="GJ773" s="78"/>
      <c r="GK773" s="78"/>
      <c r="GL773" s="78"/>
      <c r="GM773" s="78"/>
      <c r="GN773" s="78"/>
      <c r="GO773" s="78"/>
      <c r="GP773" s="78"/>
      <c r="GQ773" s="78"/>
      <c r="GR773" s="78"/>
      <c r="GS773" s="78"/>
      <c r="GT773" s="78"/>
      <c r="GU773" s="78"/>
      <c r="GV773" s="78"/>
      <c r="GW773" s="78"/>
      <c r="GX773" s="78"/>
      <c r="GY773" s="78"/>
      <c r="GZ773" s="78"/>
      <c r="HA773" s="78"/>
      <c r="HB773" s="78"/>
      <c r="HC773" s="78"/>
      <c r="HD773" s="78"/>
      <c r="HE773" s="78"/>
      <c r="HF773" s="78"/>
      <c r="HG773" s="78"/>
      <c r="HH773" s="78"/>
      <c r="HI773" s="78"/>
      <c r="HJ773" s="78"/>
      <c r="HK773" s="78"/>
      <c r="HL773" s="78"/>
      <c r="HM773" s="78"/>
      <c r="HN773" s="78"/>
      <c r="HO773" s="78"/>
      <c r="HP773" s="78"/>
      <c r="HQ773" s="78"/>
      <c r="HR773" s="78"/>
      <c r="HS773" s="78"/>
      <c r="HT773" s="78"/>
    </row>
    <row r="774" s="60" customFormat="1" spans="1:228">
      <c r="A774" s="61"/>
      <c r="B774" s="62"/>
      <c r="C774" s="62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78"/>
      <c r="AZ774" s="78"/>
      <c r="BA774" s="78"/>
      <c r="BB774" s="78"/>
      <c r="BC774" s="78"/>
      <c r="BD774" s="78"/>
      <c r="BE774" s="78"/>
      <c r="BF774" s="78"/>
      <c r="BG774" s="78"/>
      <c r="BH774" s="78"/>
      <c r="BI774" s="78"/>
      <c r="BJ774" s="78"/>
      <c r="BK774" s="78"/>
      <c r="BL774" s="78"/>
      <c r="BM774" s="78"/>
      <c r="BN774" s="78"/>
      <c r="BO774" s="78"/>
      <c r="BP774" s="78"/>
      <c r="BQ774" s="78"/>
      <c r="BR774" s="78"/>
      <c r="BS774" s="78"/>
      <c r="BT774" s="78"/>
      <c r="BU774" s="78"/>
      <c r="BV774" s="78"/>
      <c r="BW774" s="78"/>
      <c r="BX774" s="78"/>
      <c r="BY774" s="78"/>
      <c r="BZ774" s="78"/>
      <c r="CA774" s="78"/>
      <c r="CB774" s="78"/>
      <c r="CC774" s="78"/>
      <c r="CD774" s="78"/>
      <c r="CE774" s="78"/>
      <c r="CF774" s="78"/>
      <c r="CG774" s="78"/>
      <c r="CH774" s="78"/>
      <c r="CI774" s="78"/>
      <c r="CJ774" s="78"/>
      <c r="CK774" s="78"/>
      <c r="CL774" s="78"/>
      <c r="CM774" s="78"/>
      <c r="CN774" s="78"/>
      <c r="CO774" s="78"/>
      <c r="CP774" s="78"/>
      <c r="CQ774" s="78"/>
      <c r="CR774" s="78"/>
      <c r="CS774" s="78"/>
      <c r="CT774" s="78"/>
      <c r="CU774" s="78"/>
      <c r="CV774" s="78"/>
      <c r="CW774" s="78"/>
      <c r="CX774" s="78"/>
      <c r="CY774" s="78"/>
      <c r="CZ774" s="78"/>
      <c r="DA774" s="78"/>
      <c r="DB774" s="78"/>
      <c r="DC774" s="78"/>
      <c r="DD774" s="78"/>
      <c r="DE774" s="78"/>
      <c r="DF774" s="78"/>
      <c r="DG774" s="78"/>
      <c r="DH774" s="78"/>
      <c r="DI774" s="78"/>
      <c r="DJ774" s="78"/>
      <c r="DK774" s="78"/>
      <c r="DL774" s="78"/>
      <c r="DM774" s="78"/>
      <c r="DN774" s="78"/>
      <c r="DO774" s="78"/>
      <c r="DP774" s="78"/>
      <c r="DQ774" s="78"/>
      <c r="DR774" s="78"/>
      <c r="DS774" s="78"/>
      <c r="DT774" s="78"/>
      <c r="DU774" s="78"/>
      <c r="DV774" s="78"/>
      <c r="DW774" s="78"/>
      <c r="DX774" s="78"/>
      <c r="DY774" s="78"/>
      <c r="DZ774" s="78"/>
      <c r="EA774" s="78"/>
      <c r="EB774" s="78"/>
      <c r="EC774" s="78"/>
      <c r="ED774" s="78"/>
      <c r="EE774" s="78"/>
      <c r="EF774" s="78"/>
      <c r="EG774" s="78"/>
      <c r="EH774" s="78"/>
      <c r="EI774" s="78"/>
      <c r="EJ774" s="78"/>
      <c r="EK774" s="78"/>
      <c r="EL774" s="78"/>
      <c r="EM774" s="78"/>
      <c r="EN774" s="78"/>
      <c r="EO774" s="78"/>
      <c r="EP774" s="78"/>
      <c r="EQ774" s="78"/>
      <c r="ER774" s="78"/>
      <c r="ES774" s="78"/>
      <c r="ET774" s="78"/>
      <c r="EU774" s="78"/>
      <c r="EV774" s="78"/>
      <c r="EW774" s="78"/>
      <c r="EX774" s="78"/>
      <c r="EY774" s="78"/>
      <c r="EZ774" s="78"/>
      <c r="FA774" s="78"/>
      <c r="FB774" s="78"/>
      <c r="FC774" s="78"/>
      <c r="FD774" s="78"/>
      <c r="FE774" s="78"/>
      <c r="FF774" s="78"/>
      <c r="FG774" s="78"/>
      <c r="FH774" s="78"/>
      <c r="FI774" s="78"/>
      <c r="FJ774" s="78"/>
      <c r="FK774" s="78"/>
      <c r="FL774" s="78"/>
      <c r="FM774" s="78"/>
      <c r="FN774" s="78"/>
      <c r="FO774" s="78"/>
      <c r="FP774" s="78"/>
      <c r="FQ774" s="78"/>
      <c r="FR774" s="78"/>
      <c r="FS774" s="78"/>
      <c r="FT774" s="78"/>
      <c r="FU774" s="78"/>
      <c r="FV774" s="78"/>
      <c r="FW774" s="78"/>
      <c r="FX774" s="78"/>
      <c r="FY774" s="78"/>
      <c r="FZ774" s="78"/>
      <c r="GA774" s="78"/>
      <c r="GB774" s="78"/>
      <c r="GC774" s="78"/>
      <c r="GD774" s="78"/>
      <c r="GE774" s="78"/>
      <c r="GF774" s="78"/>
      <c r="GG774" s="78"/>
      <c r="GH774" s="78"/>
      <c r="GI774" s="78"/>
      <c r="GJ774" s="78"/>
      <c r="GK774" s="78"/>
      <c r="GL774" s="78"/>
      <c r="GM774" s="78"/>
      <c r="GN774" s="78"/>
      <c r="GO774" s="78"/>
      <c r="GP774" s="78"/>
      <c r="GQ774" s="78"/>
      <c r="GR774" s="78"/>
      <c r="GS774" s="78"/>
      <c r="GT774" s="78"/>
      <c r="GU774" s="78"/>
      <c r="GV774" s="78"/>
      <c r="GW774" s="78"/>
      <c r="GX774" s="78"/>
      <c r="GY774" s="78"/>
      <c r="GZ774" s="78"/>
      <c r="HA774" s="78"/>
      <c r="HB774" s="78"/>
      <c r="HC774" s="78"/>
      <c r="HD774" s="78"/>
      <c r="HE774" s="78"/>
      <c r="HF774" s="78"/>
      <c r="HG774" s="78"/>
      <c r="HH774" s="78"/>
      <c r="HI774" s="78"/>
      <c r="HJ774" s="78"/>
      <c r="HK774" s="78"/>
      <c r="HL774" s="78"/>
      <c r="HM774" s="78"/>
      <c r="HN774" s="78"/>
      <c r="HO774" s="78"/>
      <c r="HP774" s="78"/>
      <c r="HQ774" s="78"/>
      <c r="HR774" s="78"/>
      <c r="HS774" s="78"/>
      <c r="HT774" s="78"/>
    </row>
    <row r="775" s="60" customFormat="1" spans="1:228">
      <c r="A775" s="61"/>
      <c r="B775" s="62"/>
      <c r="C775" s="62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78"/>
      <c r="AZ775" s="78"/>
      <c r="BA775" s="78"/>
      <c r="BB775" s="78"/>
      <c r="BC775" s="78"/>
      <c r="BD775" s="78"/>
      <c r="BE775" s="78"/>
      <c r="BF775" s="78"/>
      <c r="BG775" s="78"/>
      <c r="BH775" s="78"/>
      <c r="BI775" s="78"/>
      <c r="BJ775" s="78"/>
      <c r="BK775" s="78"/>
      <c r="BL775" s="78"/>
      <c r="BM775" s="78"/>
      <c r="BN775" s="78"/>
      <c r="BO775" s="78"/>
      <c r="BP775" s="78"/>
      <c r="BQ775" s="78"/>
      <c r="BR775" s="78"/>
      <c r="BS775" s="78"/>
      <c r="BT775" s="78"/>
      <c r="BU775" s="78"/>
      <c r="BV775" s="78"/>
      <c r="BW775" s="78"/>
      <c r="BX775" s="78"/>
      <c r="BY775" s="78"/>
      <c r="BZ775" s="78"/>
      <c r="CA775" s="78"/>
      <c r="CB775" s="78"/>
      <c r="CC775" s="78"/>
      <c r="CD775" s="78"/>
      <c r="CE775" s="78"/>
      <c r="CF775" s="78"/>
      <c r="CG775" s="78"/>
      <c r="CH775" s="78"/>
      <c r="CI775" s="78"/>
      <c r="CJ775" s="78"/>
      <c r="CK775" s="78"/>
      <c r="CL775" s="78"/>
      <c r="CM775" s="78"/>
      <c r="CN775" s="78"/>
      <c r="CO775" s="78"/>
      <c r="CP775" s="78"/>
      <c r="CQ775" s="78"/>
      <c r="CR775" s="78"/>
      <c r="CS775" s="78"/>
      <c r="CT775" s="78"/>
      <c r="CU775" s="78"/>
      <c r="CV775" s="78"/>
      <c r="CW775" s="78"/>
      <c r="CX775" s="78"/>
      <c r="CY775" s="78"/>
      <c r="CZ775" s="78"/>
      <c r="DA775" s="78"/>
      <c r="DB775" s="78"/>
      <c r="DC775" s="78"/>
      <c r="DD775" s="78"/>
      <c r="DE775" s="78"/>
      <c r="DF775" s="78"/>
      <c r="DG775" s="78"/>
      <c r="DH775" s="78"/>
      <c r="DI775" s="78"/>
      <c r="DJ775" s="78"/>
      <c r="DK775" s="78"/>
      <c r="DL775" s="78"/>
      <c r="DM775" s="78"/>
      <c r="DN775" s="78"/>
      <c r="DO775" s="78"/>
      <c r="DP775" s="78"/>
      <c r="DQ775" s="78"/>
      <c r="DR775" s="78"/>
      <c r="DS775" s="78"/>
      <c r="DT775" s="78"/>
      <c r="DU775" s="78"/>
      <c r="DV775" s="78"/>
      <c r="DW775" s="78"/>
      <c r="DX775" s="78"/>
      <c r="DY775" s="78"/>
      <c r="DZ775" s="78"/>
      <c r="EA775" s="78"/>
      <c r="EB775" s="78"/>
      <c r="EC775" s="78"/>
      <c r="ED775" s="78"/>
      <c r="EE775" s="78"/>
      <c r="EF775" s="78"/>
      <c r="EG775" s="78"/>
      <c r="EH775" s="78"/>
      <c r="EI775" s="78"/>
      <c r="EJ775" s="78"/>
      <c r="EK775" s="78"/>
      <c r="EL775" s="78"/>
      <c r="EM775" s="78"/>
      <c r="EN775" s="78"/>
      <c r="EO775" s="78"/>
      <c r="EP775" s="78"/>
      <c r="EQ775" s="78"/>
      <c r="ER775" s="78"/>
      <c r="ES775" s="78"/>
      <c r="ET775" s="78"/>
      <c r="EU775" s="78"/>
      <c r="EV775" s="78"/>
      <c r="EW775" s="78"/>
      <c r="EX775" s="78"/>
      <c r="EY775" s="78"/>
      <c r="EZ775" s="78"/>
      <c r="FA775" s="78"/>
      <c r="FB775" s="78"/>
      <c r="FC775" s="78"/>
      <c r="FD775" s="78"/>
      <c r="FE775" s="78"/>
      <c r="FF775" s="78"/>
      <c r="FG775" s="78"/>
      <c r="FH775" s="78"/>
      <c r="FI775" s="78"/>
      <c r="FJ775" s="78"/>
      <c r="FK775" s="78"/>
      <c r="FL775" s="78"/>
      <c r="FM775" s="78"/>
      <c r="FN775" s="78"/>
      <c r="FO775" s="78"/>
      <c r="FP775" s="78"/>
      <c r="FQ775" s="78"/>
      <c r="FR775" s="78"/>
      <c r="FS775" s="78"/>
      <c r="FT775" s="78"/>
      <c r="FU775" s="78"/>
      <c r="FV775" s="78"/>
      <c r="FW775" s="78"/>
      <c r="FX775" s="78"/>
      <c r="FY775" s="78"/>
      <c r="FZ775" s="78"/>
      <c r="GA775" s="78"/>
      <c r="GB775" s="78"/>
      <c r="GC775" s="78"/>
      <c r="GD775" s="78"/>
      <c r="GE775" s="78"/>
      <c r="GF775" s="78"/>
      <c r="GG775" s="78"/>
      <c r="GH775" s="78"/>
      <c r="GI775" s="78"/>
      <c r="GJ775" s="78"/>
      <c r="GK775" s="78"/>
      <c r="GL775" s="78"/>
      <c r="GM775" s="78"/>
      <c r="GN775" s="78"/>
      <c r="GO775" s="78"/>
      <c r="GP775" s="78"/>
      <c r="GQ775" s="78"/>
      <c r="GR775" s="78"/>
      <c r="GS775" s="78"/>
      <c r="GT775" s="78"/>
      <c r="GU775" s="78"/>
      <c r="GV775" s="78"/>
      <c r="GW775" s="78"/>
      <c r="GX775" s="78"/>
      <c r="GY775" s="78"/>
      <c r="GZ775" s="78"/>
      <c r="HA775" s="78"/>
      <c r="HB775" s="78"/>
      <c r="HC775" s="78"/>
      <c r="HD775" s="78"/>
      <c r="HE775" s="78"/>
      <c r="HF775" s="78"/>
      <c r="HG775" s="78"/>
      <c r="HH775" s="78"/>
      <c r="HI775" s="78"/>
      <c r="HJ775" s="78"/>
      <c r="HK775" s="78"/>
      <c r="HL775" s="78"/>
      <c r="HM775" s="78"/>
      <c r="HN775" s="78"/>
      <c r="HO775" s="78"/>
      <c r="HP775" s="78"/>
      <c r="HQ775" s="78"/>
      <c r="HR775" s="78"/>
      <c r="HS775" s="78"/>
      <c r="HT775" s="78"/>
    </row>
    <row r="776" s="60" customFormat="1" spans="1:228">
      <c r="A776" s="61"/>
      <c r="B776" s="62"/>
      <c r="C776" s="62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78"/>
      <c r="AZ776" s="78"/>
      <c r="BA776" s="78"/>
      <c r="BB776" s="78"/>
      <c r="BC776" s="78"/>
      <c r="BD776" s="78"/>
      <c r="BE776" s="78"/>
      <c r="BF776" s="78"/>
      <c r="BG776" s="78"/>
      <c r="BH776" s="78"/>
      <c r="BI776" s="78"/>
      <c r="BJ776" s="78"/>
      <c r="BK776" s="78"/>
      <c r="BL776" s="78"/>
      <c r="BM776" s="78"/>
      <c r="BN776" s="78"/>
      <c r="BO776" s="78"/>
      <c r="BP776" s="78"/>
      <c r="BQ776" s="78"/>
      <c r="BR776" s="78"/>
      <c r="BS776" s="78"/>
      <c r="BT776" s="78"/>
      <c r="BU776" s="78"/>
      <c r="BV776" s="78"/>
      <c r="BW776" s="78"/>
      <c r="BX776" s="78"/>
      <c r="BY776" s="78"/>
      <c r="BZ776" s="78"/>
      <c r="CA776" s="78"/>
      <c r="CB776" s="78"/>
      <c r="CC776" s="78"/>
      <c r="CD776" s="78"/>
      <c r="CE776" s="78"/>
      <c r="CF776" s="78"/>
      <c r="CG776" s="78"/>
      <c r="CH776" s="78"/>
      <c r="CI776" s="78"/>
      <c r="CJ776" s="78"/>
      <c r="CK776" s="78"/>
      <c r="CL776" s="78"/>
      <c r="CM776" s="78"/>
      <c r="CN776" s="78"/>
      <c r="CO776" s="78"/>
      <c r="CP776" s="78"/>
      <c r="CQ776" s="78"/>
      <c r="CR776" s="78"/>
      <c r="CS776" s="78"/>
      <c r="CT776" s="78"/>
      <c r="CU776" s="78"/>
      <c r="CV776" s="78"/>
      <c r="CW776" s="78"/>
      <c r="CX776" s="78"/>
      <c r="CY776" s="78"/>
      <c r="CZ776" s="78"/>
      <c r="DA776" s="78"/>
      <c r="DB776" s="78"/>
      <c r="DC776" s="78"/>
      <c r="DD776" s="78"/>
      <c r="DE776" s="78"/>
      <c r="DF776" s="78"/>
      <c r="DG776" s="78"/>
      <c r="DH776" s="78"/>
      <c r="DI776" s="78"/>
      <c r="DJ776" s="78"/>
      <c r="DK776" s="78"/>
      <c r="DL776" s="78"/>
      <c r="DM776" s="78"/>
      <c r="DN776" s="78"/>
      <c r="DO776" s="78"/>
      <c r="DP776" s="78"/>
      <c r="DQ776" s="78"/>
      <c r="DR776" s="78"/>
      <c r="DS776" s="78"/>
      <c r="DT776" s="78"/>
      <c r="DU776" s="78"/>
      <c r="DV776" s="78"/>
      <c r="DW776" s="78"/>
      <c r="DX776" s="78"/>
      <c r="DY776" s="78"/>
      <c r="DZ776" s="78"/>
      <c r="EA776" s="78"/>
      <c r="EB776" s="78"/>
      <c r="EC776" s="78"/>
      <c r="ED776" s="78"/>
      <c r="EE776" s="78"/>
      <c r="EF776" s="78"/>
      <c r="EG776" s="78"/>
      <c r="EH776" s="78"/>
      <c r="EI776" s="78"/>
      <c r="EJ776" s="78"/>
      <c r="EK776" s="78"/>
      <c r="EL776" s="78"/>
      <c r="EM776" s="78"/>
      <c r="EN776" s="78"/>
      <c r="EO776" s="78"/>
      <c r="EP776" s="78"/>
      <c r="EQ776" s="78"/>
      <c r="ER776" s="78"/>
      <c r="ES776" s="78"/>
      <c r="ET776" s="78"/>
      <c r="EU776" s="78"/>
      <c r="EV776" s="78"/>
      <c r="EW776" s="78"/>
      <c r="EX776" s="78"/>
      <c r="EY776" s="78"/>
      <c r="EZ776" s="78"/>
      <c r="FA776" s="78"/>
      <c r="FB776" s="78"/>
      <c r="FC776" s="78"/>
      <c r="FD776" s="78"/>
      <c r="FE776" s="78"/>
      <c r="FF776" s="78"/>
      <c r="FG776" s="78"/>
      <c r="FH776" s="78"/>
      <c r="FI776" s="78"/>
      <c r="FJ776" s="78"/>
      <c r="FK776" s="78"/>
      <c r="FL776" s="78"/>
      <c r="FM776" s="78"/>
      <c r="FN776" s="78"/>
      <c r="FO776" s="78"/>
      <c r="FP776" s="78"/>
      <c r="FQ776" s="78"/>
      <c r="FR776" s="78"/>
      <c r="FS776" s="78"/>
      <c r="FT776" s="78"/>
      <c r="FU776" s="78"/>
      <c r="FV776" s="78"/>
      <c r="FW776" s="78"/>
      <c r="FX776" s="78"/>
      <c r="FY776" s="78"/>
      <c r="FZ776" s="78"/>
      <c r="GA776" s="78"/>
      <c r="GB776" s="78"/>
      <c r="GC776" s="78"/>
      <c r="GD776" s="78"/>
      <c r="GE776" s="78"/>
      <c r="GF776" s="78"/>
      <c r="GG776" s="78"/>
      <c r="GH776" s="78"/>
      <c r="GI776" s="78"/>
      <c r="GJ776" s="78"/>
      <c r="GK776" s="78"/>
      <c r="GL776" s="78"/>
      <c r="GM776" s="78"/>
      <c r="GN776" s="78"/>
      <c r="GO776" s="78"/>
      <c r="GP776" s="78"/>
      <c r="GQ776" s="78"/>
      <c r="GR776" s="78"/>
      <c r="GS776" s="78"/>
      <c r="GT776" s="78"/>
      <c r="GU776" s="78"/>
      <c r="GV776" s="78"/>
      <c r="GW776" s="78"/>
      <c r="GX776" s="78"/>
      <c r="GY776" s="78"/>
      <c r="GZ776" s="78"/>
      <c r="HA776" s="78"/>
      <c r="HB776" s="78"/>
      <c r="HC776" s="78"/>
      <c r="HD776" s="78"/>
      <c r="HE776" s="78"/>
      <c r="HF776" s="78"/>
      <c r="HG776" s="78"/>
      <c r="HH776" s="78"/>
      <c r="HI776" s="78"/>
      <c r="HJ776" s="78"/>
      <c r="HK776" s="78"/>
      <c r="HL776" s="78"/>
      <c r="HM776" s="78"/>
      <c r="HN776" s="78"/>
      <c r="HO776" s="78"/>
      <c r="HP776" s="78"/>
      <c r="HQ776" s="78"/>
      <c r="HR776" s="78"/>
      <c r="HS776" s="78"/>
      <c r="HT776" s="78"/>
    </row>
    <row r="777" s="60" customFormat="1" spans="1:228">
      <c r="A777" s="61"/>
      <c r="B777" s="62"/>
      <c r="C777" s="62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78"/>
      <c r="AZ777" s="78"/>
      <c r="BA777" s="78"/>
      <c r="BB777" s="78"/>
      <c r="BC777" s="78"/>
      <c r="BD777" s="78"/>
      <c r="BE777" s="78"/>
      <c r="BF777" s="78"/>
      <c r="BG777" s="78"/>
      <c r="BH777" s="78"/>
      <c r="BI777" s="78"/>
      <c r="BJ777" s="78"/>
      <c r="BK777" s="78"/>
      <c r="BL777" s="78"/>
      <c r="BM777" s="78"/>
      <c r="BN777" s="78"/>
      <c r="BO777" s="78"/>
      <c r="BP777" s="78"/>
      <c r="BQ777" s="78"/>
      <c r="BR777" s="78"/>
      <c r="BS777" s="78"/>
      <c r="BT777" s="78"/>
      <c r="BU777" s="78"/>
      <c r="BV777" s="78"/>
      <c r="BW777" s="78"/>
      <c r="BX777" s="78"/>
      <c r="BY777" s="78"/>
      <c r="BZ777" s="78"/>
      <c r="CA777" s="78"/>
      <c r="CB777" s="78"/>
      <c r="CC777" s="78"/>
      <c r="CD777" s="78"/>
      <c r="CE777" s="78"/>
      <c r="CF777" s="78"/>
      <c r="CG777" s="78"/>
      <c r="CH777" s="78"/>
      <c r="CI777" s="78"/>
      <c r="CJ777" s="78"/>
      <c r="CK777" s="78"/>
      <c r="CL777" s="78"/>
      <c r="CM777" s="78"/>
      <c r="CN777" s="78"/>
      <c r="CO777" s="78"/>
      <c r="CP777" s="78"/>
      <c r="CQ777" s="78"/>
      <c r="CR777" s="78"/>
      <c r="CS777" s="78"/>
      <c r="CT777" s="78"/>
      <c r="CU777" s="78"/>
      <c r="CV777" s="78"/>
      <c r="CW777" s="78"/>
      <c r="CX777" s="78"/>
      <c r="CY777" s="78"/>
      <c r="CZ777" s="78"/>
      <c r="DA777" s="78"/>
      <c r="DB777" s="78"/>
      <c r="DC777" s="78"/>
      <c r="DD777" s="78"/>
      <c r="DE777" s="78"/>
      <c r="DF777" s="78"/>
      <c r="DG777" s="78"/>
      <c r="DH777" s="78"/>
      <c r="DI777" s="78"/>
      <c r="DJ777" s="78"/>
      <c r="DK777" s="78"/>
      <c r="DL777" s="78"/>
      <c r="DM777" s="78"/>
      <c r="DN777" s="78"/>
      <c r="DO777" s="78"/>
      <c r="DP777" s="78"/>
      <c r="DQ777" s="78"/>
      <c r="DR777" s="78"/>
      <c r="DS777" s="78"/>
      <c r="DT777" s="78"/>
      <c r="DU777" s="78"/>
      <c r="DV777" s="78"/>
      <c r="DW777" s="78"/>
      <c r="DX777" s="78"/>
      <c r="DY777" s="78"/>
      <c r="DZ777" s="78"/>
      <c r="EA777" s="78"/>
      <c r="EB777" s="78"/>
      <c r="EC777" s="78"/>
      <c r="ED777" s="78"/>
      <c r="EE777" s="78"/>
      <c r="EF777" s="78"/>
      <c r="EG777" s="78"/>
      <c r="EH777" s="78"/>
      <c r="EI777" s="78"/>
      <c r="EJ777" s="78"/>
      <c r="EK777" s="78"/>
      <c r="EL777" s="78"/>
      <c r="EM777" s="78"/>
      <c r="EN777" s="78"/>
      <c r="EO777" s="78"/>
      <c r="EP777" s="78"/>
      <c r="EQ777" s="78"/>
      <c r="ER777" s="78"/>
      <c r="ES777" s="78"/>
      <c r="ET777" s="78"/>
      <c r="EU777" s="78"/>
      <c r="EV777" s="78"/>
      <c r="EW777" s="78"/>
      <c r="EX777" s="78"/>
      <c r="EY777" s="78"/>
      <c r="EZ777" s="78"/>
      <c r="FA777" s="78"/>
      <c r="FB777" s="78"/>
      <c r="FC777" s="78"/>
      <c r="FD777" s="78"/>
      <c r="FE777" s="78"/>
      <c r="FF777" s="78"/>
      <c r="FG777" s="78"/>
      <c r="FH777" s="78"/>
      <c r="FI777" s="78"/>
      <c r="FJ777" s="78"/>
      <c r="FK777" s="78"/>
      <c r="FL777" s="78"/>
      <c r="FM777" s="78"/>
      <c r="FN777" s="78"/>
      <c r="FO777" s="78"/>
      <c r="FP777" s="78"/>
      <c r="FQ777" s="78"/>
      <c r="FR777" s="78"/>
      <c r="FS777" s="78"/>
      <c r="FT777" s="78"/>
      <c r="FU777" s="78"/>
      <c r="FV777" s="78"/>
      <c r="FW777" s="78"/>
      <c r="FX777" s="78"/>
      <c r="FY777" s="78"/>
      <c r="FZ777" s="78"/>
      <c r="GA777" s="78"/>
      <c r="GB777" s="78"/>
      <c r="GC777" s="78"/>
      <c r="GD777" s="78"/>
      <c r="GE777" s="78"/>
      <c r="GF777" s="78"/>
      <c r="GG777" s="78"/>
      <c r="GH777" s="78"/>
      <c r="GI777" s="78"/>
      <c r="GJ777" s="78"/>
      <c r="GK777" s="78"/>
      <c r="GL777" s="78"/>
      <c r="GM777" s="78"/>
      <c r="GN777" s="78"/>
      <c r="GO777" s="78"/>
      <c r="GP777" s="78"/>
      <c r="GQ777" s="78"/>
      <c r="GR777" s="78"/>
      <c r="GS777" s="78"/>
      <c r="GT777" s="78"/>
      <c r="GU777" s="78"/>
      <c r="GV777" s="78"/>
      <c r="GW777" s="78"/>
      <c r="GX777" s="78"/>
      <c r="GY777" s="78"/>
      <c r="GZ777" s="78"/>
      <c r="HA777" s="78"/>
      <c r="HB777" s="78"/>
      <c r="HC777" s="78"/>
      <c r="HD777" s="78"/>
      <c r="HE777" s="78"/>
      <c r="HF777" s="78"/>
      <c r="HG777" s="78"/>
      <c r="HH777" s="78"/>
      <c r="HI777" s="78"/>
      <c r="HJ777" s="78"/>
      <c r="HK777" s="78"/>
      <c r="HL777" s="78"/>
      <c r="HM777" s="78"/>
      <c r="HN777" s="78"/>
      <c r="HO777" s="78"/>
      <c r="HP777" s="78"/>
      <c r="HQ777" s="78"/>
      <c r="HR777" s="78"/>
      <c r="HS777" s="78"/>
      <c r="HT777" s="78"/>
    </row>
    <row r="778" s="60" customFormat="1" spans="1:228">
      <c r="A778" s="61"/>
      <c r="B778" s="62"/>
      <c r="C778" s="62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78"/>
      <c r="AZ778" s="78"/>
      <c r="BA778" s="78"/>
      <c r="BB778" s="78"/>
      <c r="BC778" s="78"/>
      <c r="BD778" s="78"/>
      <c r="BE778" s="78"/>
      <c r="BF778" s="78"/>
      <c r="BG778" s="78"/>
      <c r="BH778" s="78"/>
      <c r="BI778" s="78"/>
      <c r="BJ778" s="78"/>
      <c r="BK778" s="78"/>
      <c r="BL778" s="78"/>
      <c r="BM778" s="78"/>
      <c r="BN778" s="78"/>
      <c r="BO778" s="78"/>
      <c r="BP778" s="78"/>
      <c r="BQ778" s="78"/>
      <c r="BR778" s="78"/>
      <c r="BS778" s="78"/>
      <c r="BT778" s="78"/>
      <c r="BU778" s="78"/>
      <c r="BV778" s="78"/>
      <c r="BW778" s="78"/>
      <c r="BX778" s="78"/>
      <c r="BY778" s="78"/>
      <c r="BZ778" s="78"/>
      <c r="CA778" s="78"/>
      <c r="CB778" s="78"/>
      <c r="CC778" s="78"/>
      <c r="CD778" s="78"/>
      <c r="CE778" s="78"/>
      <c r="CF778" s="78"/>
      <c r="CG778" s="78"/>
      <c r="CH778" s="78"/>
      <c r="CI778" s="78"/>
      <c r="CJ778" s="78"/>
      <c r="CK778" s="78"/>
      <c r="CL778" s="78"/>
      <c r="CM778" s="78"/>
      <c r="CN778" s="78"/>
      <c r="CO778" s="78"/>
      <c r="CP778" s="78"/>
      <c r="CQ778" s="78"/>
      <c r="CR778" s="78"/>
      <c r="CS778" s="78"/>
      <c r="CT778" s="78"/>
      <c r="CU778" s="78"/>
      <c r="CV778" s="78"/>
      <c r="CW778" s="78"/>
      <c r="CX778" s="78"/>
      <c r="CY778" s="78"/>
      <c r="CZ778" s="78"/>
      <c r="DA778" s="78"/>
      <c r="DB778" s="78"/>
      <c r="DC778" s="78"/>
      <c r="DD778" s="78"/>
      <c r="DE778" s="78"/>
      <c r="DF778" s="78"/>
      <c r="DG778" s="78"/>
      <c r="DH778" s="78"/>
      <c r="DI778" s="78"/>
      <c r="DJ778" s="78"/>
      <c r="DK778" s="78"/>
      <c r="DL778" s="78"/>
      <c r="DM778" s="78"/>
      <c r="DN778" s="78"/>
      <c r="DO778" s="78"/>
      <c r="DP778" s="78"/>
      <c r="DQ778" s="78"/>
      <c r="DR778" s="78"/>
      <c r="DS778" s="78"/>
      <c r="DT778" s="78"/>
      <c r="DU778" s="78"/>
      <c r="DV778" s="78"/>
      <c r="DW778" s="78"/>
      <c r="DX778" s="78"/>
      <c r="DY778" s="78"/>
      <c r="DZ778" s="78"/>
      <c r="EA778" s="78"/>
      <c r="EB778" s="78"/>
      <c r="EC778" s="78"/>
      <c r="ED778" s="78"/>
      <c r="EE778" s="78"/>
      <c r="EF778" s="78"/>
      <c r="EG778" s="78"/>
      <c r="EH778" s="78"/>
      <c r="EI778" s="78"/>
      <c r="EJ778" s="78"/>
      <c r="EK778" s="78"/>
      <c r="EL778" s="78"/>
      <c r="EM778" s="78"/>
      <c r="EN778" s="78"/>
      <c r="EO778" s="78"/>
      <c r="EP778" s="78"/>
      <c r="EQ778" s="78"/>
      <c r="ER778" s="78"/>
      <c r="ES778" s="78"/>
      <c r="ET778" s="78"/>
      <c r="EU778" s="78"/>
      <c r="EV778" s="78"/>
      <c r="EW778" s="78"/>
      <c r="EX778" s="78"/>
      <c r="EY778" s="78"/>
      <c r="EZ778" s="78"/>
      <c r="FA778" s="78"/>
      <c r="FB778" s="78"/>
      <c r="FC778" s="78"/>
      <c r="FD778" s="78"/>
      <c r="FE778" s="78"/>
      <c r="FF778" s="78"/>
      <c r="FG778" s="78"/>
      <c r="FH778" s="78"/>
      <c r="FI778" s="78"/>
      <c r="FJ778" s="78"/>
      <c r="FK778" s="78"/>
      <c r="FL778" s="78"/>
      <c r="FM778" s="78"/>
      <c r="FN778" s="78"/>
      <c r="FO778" s="78"/>
      <c r="FP778" s="78"/>
      <c r="FQ778" s="78"/>
      <c r="FR778" s="78"/>
      <c r="FS778" s="78"/>
      <c r="FT778" s="78"/>
      <c r="FU778" s="78"/>
      <c r="FV778" s="78"/>
      <c r="FW778" s="78"/>
      <c r="FX778" s="78"/>
      <c r="FY778" s="78"/>
      <c r="FZ778" s="78"/>
      <c r="GA778" s="78"/>
      <c r="GB778" s="78"/>
      <c r="GC778" s="78"/>
      <c r="GD778" s="78"/>
      <c r="GE778" s="78"/>
      <c r="GF778" s="78"/>
      <c r="GG778" s="78"/>
      <c r="GH778" s="78"/>
      <c r="GI778" s="78"/>
      <c r="GJ778" s="78"/>
      <c r="GK778" s="78"/>
      <c r="GL778" s="78"/>
      <c r="GM778" s="78"/>
      <c r="GN778" s="78"/>
      <c r="GO778" s="78"/>
      <c r="GP778" s="78"/>
      <c r="GQ778" s="78"/>
      <c r="GR778" s="78"/>
      <c r="GS778" s="78"/>
      <c r="GT778" s="78"/>
      <c r="GU778" s="78"/>
      <c r="GV778" s="78"/>
      <c r="GW778" s="78"/>
      <c r="GX778" s="78"/>
      <c r="GY778" s="78"/>
      <c r="GZ778" s="78"/>
      <c r="HA778" s="78"/>
      <c r="HB778" s="78"/>
      <c r="HC778" s="78"/>
      <c r="HD778" s="78"/>
      <c r="HE778" s="78"/>
      <c r="HF778" s="78"/>
      <c r="HG778" s="78"/>
      <c r="HH778" s="78"/>
      <c r="HI778" s="78"/>
      <c r="HJ778" s="78"/>
      <c r="HK778" s="78"/>
      <c r="HL778" s="78"/>
      <c r="HM778" s="78"/>
      <c r="HN778" s="78"/>
      <c r="HO778" s="78"/>
      <c r="HP778" s="78"/>
      <c r="HQ778" s="78"/>
      <c r="HR778" s="78"/>
      <c r="HS778" s="78"/>
      <c r="HT778" s="78"/>
    </row>
    <row r="779" s="60" customFormat="1" spans="1:228">
      <c r="A779" s="61"/>
      <c r="B779" s="62"/>
      <c r="C779" s="62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78"/>
      <c r="AZ779" s="78"/>
      <c r="BA779" s="78"/>
      <c r="BB779" s="78"/>
      <c r="BC779" s="78"/>
      <c r="BD779" s="78"/>
      <c r="BE779" s="78"/>
      <c r="BF779" s="78"/>
      <c r="BG779" s="78"/>
      <c r="BH779" s="78"/>
      <c r="BI779" s="78"/>
      <c r="BJ779" s="78"/>
      <c r="BK779" s="78"/>
      <c r="BL779" s="78"/>
      <c r="BM779" s="78"/>
      <c r="BN779" s="78"/>
      <c r="BO779" s="78"/>
      <c r="BP779" s="78"/>
      <c r="BQ779" s="78"/>
      <c r="BR779" s="78"/>
      <c r="BS779" s="78"/>
      <c r="BT779" s="78"/>
      <c r="BU779" s="78"/>
      <c r="BV779" s="78"/>
      <c r="BW779" s="78"/>
      <c r="BX779" s="78"/>
      <c r="BY779" s="78"/>
      <c r="BZ779" s="78"/>
      <c r="CA779" s="78"/>
      <c r="CB779" s="78"/>
      <c r="CC779" s="78"/>
      <c r="CD779" s="78"/>
      <c r="CE779" s="78"/>
      <c r="CF779" s="78"/>
      <c r="CG779" s="78"/>
      <c r="CH779" s="78"/>
      <c r="CI779" s="78"/>
      <c r="CJ779" s="78"/>
      <c r="CK779" s="78"/>
      <c r="CL779" s="78"/>
      <c r="CM779" s="78"/>
      <c r="CN779" s="78"/>
      <c r="CO779" s="78"/>
      <c r="CP779" s="78"/>
      <c r="CQ779" s="78"/>
      <c r="CR779" s="78"/>
      <c r="CS779" s="78"/>
      <c r="CT779" s="78"/>
      <c r="CU779" s="78"/>
      <c r="CV779" s="78"/>
      <c r="CW779" s="78"/>
      <c r="CX779" s="78"/>
      <c r="CY779" s="78"/>
      <c r="CZ779" s="78"/>
      <c r="DA779" s="78"/>
      <c r="DB779" s="78"/>
      <c r="DC779" s="78"/>
      <c r="DD779" s="78"/>
      <c r="DE779" s="78"/>
      <c r="DF779" s="78"/>
      <c r="DG779" s="78"/>
      <c r="DH779" s="78"/>
      <c r="DI779" s="78"/>
      <c r="DJ779" s="78"/>
      <c r="DK779" s="78"/>
      <c r="DL779" s="78"/>
      <c r="DM779" s="78"/>
      <c r="DN779" s="78"/>
      <c r="DO779" s="78"/>
      <c r="DP779" s="78"/>
      <c r="DQ779" s="78"/>
      <c r="DR779" s="78"/>
      <c r="DS779" s="78"/>
      <c r="DT779" s="78"/>
      <c r="DU779" s="78"/>
      <c r="DV779" s="78"/>
      <c r="DW779" s="78"/>
      <c r="DX779" s="78"/>
      <c r="DY779" s="78"/>
      <c r="DZ779" s="78"/>
      <c r="EA779" s="78"/>
      <c r="EB779" s="78"/>
      <c r="EC779" s="78"/>
      <c r="ED779" s="78"/>
      <c r="EE779" s="78"/>
      <c r="EF779" s="78"/>
      <c r="EG779" s="78"/>
      <c r="EH779" s="78"/>
      <c r="EI779" s="78"/>
      <c r="EJ779" s="78"/>
      <c r="EK779" s="78"/>
      <c r="EL779" s="78"/>
      <c r="EM779" s="78"/>
      <c r="EN779" s="78"/>
      <c r="EO779" s="78"/>
      <c r="EP779" s="78"/>
      <c r="EQ779" s="78"/>
      <c r="ER779" s="78"/>
      <c r="ES779" s="78"/>
      <c r="ET779" s="78"/>
      <c r="EU779" s="78"/>
      <c r="EV779" s="78"/>
      <c r="EW779" s="78"/>
      <c r="EX779" s="78"/>
      <c r="EY779" s="78"/>
      <c r="EZ779" s="78"/>
      <c r="FA779" s="78"/>
      <c r="FB779" s="78"/>
      <c r="FC779" s="78"/>
      <c r="FD779" s="78"/>
      <c r="FE779" s="78"/>
      <c r="FF779" s="78"/>
      <c r="FG779" s="78"/>
      <c r="FH779" s="78"/>
      <c r="FI779" s="78"/>
      <c r="FJ779" s="78"/>
      <c r="FK779" s="78"/>
      <c r="FL779" s="78"/>
      <c r="FM779" s="78"/>
      <c r="FN779" s="78"/>
      <c r="FO779" s="78"/>
      <c r="FP779" s="78"/>
      <c r="FQ779" s="78"/>
      <c r="FR779" s="78"/>
      <c r="FS779" s="78"/>
      <c r="FT779" s="78"/>
      <c r="FU779" s="78"/>
      <c r="FV779" s="78"/>
      <c r="FW779" s="78"/>
      <c r="FX779" s="78"/>
      <c r="FY779" s="78"/>
      <c r="FZ779" s="78"/>
      <c r="GA779" s="78"/>
      <c r="GB779" s="78"/>
      <c r="GC779" s="78"/>
      <c r="GD779" s="78"/>
      <c r="GE779" s="78"/>
      <c r="GF779" s="78"/>
      <c r="GG779" s="78"/>
      <c r="GH779" s="78"/>
      <c r="GI779" s="78"/>
      <c r="GJ779" s="78"/>
      <c r="GK779" s="78"/>
      <c r="GL779" s="78"/>
      <c r="GM779" s="78"/>
      <c r="GN779" s="78"/>
      <c r="GO779" s="78"/>
      <c r="GP779" s="78"/>
      <c r="GQ779" s="78"/>
      <c r="GR779" s="78"/>
      <c r="GS779" s="78"/>
      <c r="GT779" s="78"/>
      <c r="GU779" s="78"/>
      <c r="GV779" s="78"/>
      <c r="GW779" s="78"/>
      <c r="GX779" s="78"/>
      <c r="GY779" s="78"/>
      <c r="GZ779" s="78"/>
      <c r="HA779" s="78"/>
      <c r="HB779" s="78"/>
      <c r="HC779" s="78"/>
      <c r="HD779" s="78"/>
      <c r="HE779" s="78"/>
      <c r="HF779" s="78"/>
      <c r="HG779" s="78"/>
      <c r="HH779" s="78"/>
      <c r="HI779" s="78"/>
      <c r="HJ779" s="78"/>
      <c r="HK779" s="78"/>
      <c r="HL779" s="78"/>
      <c r="HM779" s="78"/>
      <c r="HN779" s="78"/>
      <c r="HO779" s="78"/>
      <c r="HP779" s="78"/>
      <c r="HQ779" s="78"/>
      <c r="HR779" s="78"/>
      <c r="HS779" s="78"/>
      <c r="HT779" s="78"/>
    </row>
    <row r="780" s="60" customFormat="1" spans="1:228">
      <c r="A780" s="61"/>
      <c r="B780" s="62"/>
      <c r="C780" s="62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78"/>
      <c r="AZ780" s="78"/>
      <c r="BA780" s="78"/>
      <c r="BB780" s="78"/>
      <c r="BC780" s="78"/>
      <c r="BD780" s="78"/>
      <c r="BE780" s="78"/>
      <c r="BF780" s="78"/>
      <c r="BG780" s="78"/>
      <c r="BH780" s="78"/>
      <c r="BI780" s="78"/>
      <c r="BJ780" s="78"/>
      <c r="BK780" s="78"/>
      <c r="BL780" s="78"/>
      <c r="BM780" s="78"/>
      <c r="BN780" s="78"/>
      <c r="BO780" s="78"/>
      <c r="BP780" s="78"/>
      <c r="BQ780" s="78"/>
      <c r="BR780" s="78"/>
      <c r="BS780" s="78"/>
      <c r="BT780" s="78"/>
      <c r="BU780" s="78"/>
      <c r="BV780" s="78"/>
      <c r="BW780" s="78"/>
      <c r="BX780" s="78"/>
      <c r="BY780" s="78"/>
      <c r="BZ780" s="78"/>
      <c r="CA780" s="78"/>
      <c r="CB780" s="78"/>
      <c r="CC780" s="78"/>
      <c r="CD780" s="78"/>
      <c r="CE780" s="78"/>
      <c r="CF780" s="78"/>
      <c r="CG780" s="78"/>
      <c r="CH780" s="78"/>
      <c r="CI780" s="78"/>
      <c r="CJ780" s="78"/>
      <c r="CK780" s="78"/>
      <c r="CL780" s="78"/>
      <c r="CM780" s="78"/>
      <c r="CN780" s="78"/>
      <c r="CO780" s="78"/>
      <c r="CP780" s="78"/>
      <c r="CQ780" s="78"/>
      <c r="CR780" s="78"/>
      <c r="CS780" s="78"/>
      <c r="CT780" s="78"/>
      <c r="CU780" s="78"/>
      <c r="CV780" s="78"/>
      <c r="CW780" s="78"/>
      <c r="CX780" s="78"/>
      <c r="CY780" s="78"/>
      <c r="CZ780" s="78"/>
      <c r="DA780" s="78"/>
      <c r="DB780" s="78"/>
      <c r="DC780" s="78"/>
      <c r="DD780" s="78"/>
      <c r="DE780" s="78"/>
      <c r="DF780" s="78"/>
      <c r="DG780" s="78"/>
      <c r="DH780" s="78"/>
      <c r="DI780" s="78"/>
      <c r="DJ780" s="78"/>
      <c r="DK780" s="78"/>
      <c r="DL780" s="78"/>
      <c r="DM780" s="78"/>
      <c r="DN780" s="78"/>
      <c r="DO780" s="78"/>
      <c r="DP780" s="78"/>
      <c r="DQ780" s="78"/>
      <c r="DR780" s="78"/>
      <c r="DS780" s="78"/>
      <c r="DT780" s="78"/>
      <c r="DU780" s="78"/>
      <c r="DV780" s="78"/>
      <c r="DW780" s="78"/>
      <c r="DX780" s="78"/>
      <c r="DY780" s="78"/>
      <c r="DZ780" s="78"/>
      <c r="EA780" s="78"/>
      <c r="EB780" s="78"/>
      <c r="EC780" s="78"/>
      <c r="ED780" s="78"/>
      <c r="EE780" s="78"/>
      <c r="EF780" s="78"/>
      <c r="EG780" s="78"/>
      <c r="EH780" s="78"/>
      <c r="EI780" s="78"/>
      <c r="EJ780" s="78"/>
      <c r="EK780" s="78"/>
      <c r="EL780" s="78"/>
      <c r="EM780" s="78"/>
      <c r="EN780" s="78"/>
      <c r="EO780" s="78"/>
      <c r="EP780" s="78"/>
      <c r="EQ780" s="78"/>
      <c r="ER780" s="78"/>
      <c r="ES780" s="78"/>
      <c r="ET780" s="78"/>
      <c r="EU780" s="78"/>
      <c r="EV780" s="78"/>
      <c r="EW780" s="78"/>
      <c r="EX780" s="78"/>
      <c r="EY780" s="78"/>
      <c r="EZ780" s="78"/>
      <c r="FA780" s="78"/>
      <c r="FB780" s="78"/>
      <c r="FC780" s="78"/>
      <c r="FD780" s="78"/>
      <c r="FE780" s="78"/>
      <c r="FF780" s="78"/>
      <c r="FG780" s="78"/>
      <c r="FH780" s="78"/>
      <c r="FI780" s="78"/>
      <c r="FJ780" s="78"/>
      <c r="FK780" s="78"/>
      <c r="FL780" s="78"/>
      <c r="FM780" s="78"/>
      <c r="FN780" s="78"/>
      <c r="FO780" s="78"/>
      <c r="FP780" s="78"/>
      <c r="FQ780" s="78"/>
      <c r="FR780" s="78"/>
      <c r="FS780" s="78"/>
      <c r="FT780" s="78"/>
      <c r="FU780" s="78"/>
      <c r="FV780" s="78"/>
      <c r="FW780" s="78"/>
      <c r="FX780" s="78"/>
      <c r="FY780" s="78"/>
      <c r="FZ780" s="78"/>
      <c r="GA780" s="78"/>
      <c r="GB780" s="78"/>
      <c r="GC780" s="78"/>
      <c r="GD780" s="78"/>
      <c r="GE780" s="78"/>
      <c r="GF780" s="78"/>
      <c r="GG780" s="78"/>
      <c r="GH780" s="78"/>
      <c r="GI780" s="78"/>
      <c r="GJ780" s="78"/>
      <c r="GK780" s="78"/>
      <c r="GL780" s="78"/>
      <c r="GM780" s="78"/>
      <c r="GN780" s="78"/>
      <c r="GO780" s="78"/>
      <c r="GP780" s="78"/>
      <c r="GQ780" s="78"/>
      <c r="GR780" s="78"/>
      <c r="GS780" s="78"/>
      <c r="GT780" s="78"/>
      <c r="GU780" s="78"/>
      <c r="GV780" s="78"/>
      <c r="GW780" s="78"/>
      <c r="GX780" s="78"/>
      <c r="GY780" s="78"/>
      <c r="GZ780" s="78"/>
      <c r="HA780" s="78"/>
      <c r="HB780" s="78"/>
      <c r="HC780" s="78"/>
      <c r="HD780" s="78"/>
      <c r="HE780" s="78"/>
      <c r="HF780" s="78"/>
      <c r="HG780" s="78"/>
      <c r="HH780" s="78"/>
      <c r="HI780" s="78"/>
      <c r="HJ780" s="78"/>
      <c r="HK780" s="78"/>
      <c r="HL780" s="78"/>
      <c r="HM780" s="78"/>
      <c r="HN780" s="78"/>
      <c r="HO780" s="78"/>
      <c r="HP780" s="78"/>
      <c r="HQ780" s="78"/>
      <c r="HR780" s="78"/>
      <c r="HS780" s="78"/>
      <c r="HT780" s="78"/>
    </row>
    <row r="781" s="60" customFormat="1" spans="1:228">
      <c r="A781" s="61"/>
      <c r="B781" s="62"/>
      <c r="C781" s="62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78"/>
      <c r="AZ781" s="78"/>
      <c r="BA781" s="78"/>
      <c r="BB781" s="78"/>
      <c r="BC781" s="78"/>
      <c r="BD781" s="78"/>
      <c r="BE781" s="78"/>
      <c r="BF781" s="78"/>
      <c r="BG781" s="78"/>
      <c r="BH781" s="78"/>
      <c r="BI781" s="78"/>
      <c r="BJ781" s="78"/>
      <c r="BK781" s="78"/>
      <c r="BL781" s="78"/>
      <c r="BM781" s="78"/>
      <c r="BN781" s="78"/>
      <c r="BO781" s="78"/>
      <c r="BP781" s="78"/>
      <c r="BQ781" s="78"/>
      <c r="BR781" s="78"/>
      <c r="BS781" s="78"/>
      <c r="BT781" s="78"/>
      <c r="BU781" s="78"/>
      <c r="BV781" s="78"/>
      <c r="BW781" s="78"/>
      <c r="BX781" s="78"/>
      <c r="BY781" s="78"/>
      <c r="BZ781" s="78"/>
      <c r="CA781" s="78"/>
      <c r="CB781" s="78"/>
      <c r="CC781" s="78"/>
      <c r="CD781" s="78"/>
      <c r="CE781" s="78"/>
      <c r="CF781" s="78"/>
      <c r="CG781" s="78"/>
      <c r="CH781" s="78"/>
      <c r="CI781" s="78"/>
      <c r="CJ781" s="78"/>
      <c r="CK781" s="78"/>
      <c r="CL781" s="78"/>
      <c r="CM781" s="78"/>
      <c r="CN781" s="78"/>
      <c r="CO781" s="78"/>
      <c r="CP781" s="78"/>
      <c r="CQ781" s="78"/>
      <c r="CR781" s="78"/>
      <c r="CS781" s="78"/>
      <c r="CT781" s="78"/>
      <c r="CU781" s="78"/>
      <c r="CV781" s="78"/>
      <c r="CW781" s="78"/>
      <c r="CX781" s="78"/>
      <c r="CY781" s="78"/>
      <c r="CZ781" s="78"/>
      <c r="DA781" s="78"/>
      <c r="DB781" s="78"/>
      <c r="DC781" s="78"/>
      <c r="DD781" s="78"/>
      <c r="DE781" s="78"/>
      <c r="DF781" s="78"/>
      <c r="DG781" s="78"/>
      <c r="DH781" s="78"/>
      <c r="DI781" s="78"/>
      <c r="DJ781" s="78"/>
      <c r="DK781" s="78"/>
      <c r="DL781" s="78"/>
      <c r="DM781" s="78"/>
      <c r="DN781" s="78"/>
      <c r="DO781" s="78"/>
      <c r="DP781" s="78"/>
      <c r="DQ781" s="78"/>
      <c r="DR781" s="78"/>
      <c r="DS781" s="78"/>
      <c r="DT781" s="78"/>
      <c r="DU781" s="78"/>
      <c r="DV781" s="78"/>
      <c r="DW781" s="78"/>
      <c r="DX781" s="78"/>
      <c r="DY781" s="78"/>
      <c r="DZ781" s="78"/>
      <c r="EA781" s="78"/>
      <c r="EB781" s="78"/>
      <c r="EC781" s="78"/>
      <c r="ED781" s="78"/>
      <c r="EE781" s="78"/>
      <c r="EF781" s="78"/>
      <c r="EG781" s="78"/>
      <c r="EH781" s="78"/>
      <c r="EI781" s="78"/>
      <c r="EJ781" s="78"/>
      <c r="EK781" s="78"/>
      <c r="EL781" s="78"/>
      <c r="EM781" s="78"/>
      <c r="EN781" s="78"/>
      <c r="EO781" s="78"/>
      <c r="EP781" s="78"/>
      <c r="EQ781" s="78"/>
      <c r="ER781" s="78"/>
      <c r="ES781" s="78"/>
      <c r="ET781" s="78"/>
      <c r="EU781" s="78"/>
      <c r="EV781" s="78"/>
      <c r="EW781" s="78"/>
      <c r="EX781" s="78"/>
      <c r="EY781" s="78"/>
      <c r="EZ781" s="78"/>
      <c r="FA781" s="78"/>
      <c r="FB781" s="78"/>
      <c r="FC781" s="78"/>
      <c r="FD781" s="78"/>
      <c r="FE781" s="78"/>
      <c r="FF781" s="78"/>
      <c r="FG781" s="78"/>
      <c r="FH781" s="78"/>
      <c r="FI781" s="78"/>
      <c r="FJ781" s="78"/>
      <c r="FK781" s="78"/>
      <c r="FL781" s="78"/>
      <c r="FM781" s="78"/>
      <c r="FN781" s="78"/>
      <c r="FO781" s="78"/>
      <c r="FP781" s="78"/>
      <c r="FQ781" s="78"/>
      <c r="FR781" s="78"/>
      <c r="FS781" s="78"/>
      <c r="FT781" s="78"/>
      <c r="FU781" s="78"/>
      <c r="FV781" s="78"/>
      <c r="FW781" s="78"/>
      <c r="FX781" s="78"/>
      <c r="FY781" s="78"/>
      <c r="FZ781" s="78"/>
      <c r="GA781" s="78"/>
      <c r="GB781" s="78"/>
      <c r="GC781" s="78"/>
      <c r="GD781" s="78"/>
      <c r="GE781" s="78"/>
      <c r="GF781" s="78"/>
      <c r="GG781" s="78"/>
      <c r="GH781" s="78"/>
      <c r="GI781" s="78"/>
      <c r="GJ781" s="78"/>
      <c r="GK781" s="78"/>
      <c r="GL781" s="78"/>
      <c r="GM781" s="78"/>
      <c r="GN781" s="78"/>
      <c r="GO781" s="78"/>
      <c r="GP781" s="78"/>
      <c r="GQ781" s="78"/>
      <c r="GR781" s="78"/>
      <c r="GS781" s="78"/>
      <c r="GT781" s="78"/>
      <c r="GU781" s="78"/>
      <c r="GV781" s="78"/>
      <c r="GW781" s="78"/>
      <c r="GX781" s="78"/>
      <c r="GY781" s="78"/>
      <c r="GZ781" s="78"/>
      <c r="HA781" s="78"/>
      <c r="HB781" s="78"/>
      <c r="HC781" s="78"/>
      <c r="HD781" s="78"/>
      <c r="HE781" s="78"/>
      <c r="HF781" s="78"/>
      <c r="HG781" s="78"/>
      <c r="HH781" s="78"/>
      <c r="HI781" s="78"/>
      <c r="HJ781" s="78"/>
      <c r="HK781" s="78"/>
      <c r="HL781" s="78"/>
      <c r="HM781" s="78"/>
      <c r="HN781" s="78"/>
      <c r="HO781" s="78"/>
      <c r="HP781" s="78"/>
      <c r="HQ781" s="78"/>
      <c r="HR781" s="78"/>
      <c r="HS781" s="78"/>
      <c r="HT781" s="78"/>
    </row>
    <row r="782" s="60" customFormat="1" spans="1:228">
      <c r="A782" s="61"/>
      <c r="B782" s="62"/>
      <c r="C782" s="62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78"/>
      <c r="AZ782" s="78"/>
      <c r="BA782" s="78"/>
      <c r="BB782" s="78"/>
      <c r="BC782" s="78"/>
      <c r="BD782" s="78"/>
      <c r="BE782" s="78"/>
      <c r="BF782" s="78"/>
      <c r="BG782" s="78"/>
      <c r="BH782" s="78"/>
      <c r="BI782" s="78"/>
      <c r="BJ782" s="78"/>
      <c r="BK782" s="78"/>
      <c r="BL782" s="78"/>
      <c r="BM782" s="78"/>
      <c r="BN782" s="78"/>
      <c r="BO782" s="78"/>
      <c r="BP782" s="78"/>
      <c r="BQ782" s="78"/>
      <c r="BR782" s="78"/>
      <c r="BS782" s="78"/>
      <c r="BT782" s="78"/>
      <c r="BU782" s="78"/>
      <c r="BV782" s="78"/>
      <c r="BW782" s="78"/>
      <c r="BX782" s="78"/>
      <c r="BY782" s="78"/>
      <c r="BZ782" s="78"/>
      <c r="CA782" s="78"/>
      <c r="CB782" s="78"/>
      <c r="CC782" s="78"/>
      <c r="CD782" s="78"/>
      <c r="CE782" s="78"/>
      <c r="CF782" s="78"/>
      <c r="CG782" s="78"/>
      <c r="CH782" s="78"/>
      <c r="CI782" s="78"/>
      <c r="CJ782" s="78"/>
      <c r="CK782" s="78"/>
      <c r="CL782" s="78"/>
      <c r="CM782" s="78"/>
      <c r="CN782" s="78"/>
      <c r="CO782" s="78"/>
      <c r="CP782" s="78"/>
      <c r="CQ782" s="78"/>
      <c r="CR782" s="78"/>
      <c r="CS782" s="78"/>
      <c r="CT782" s="78"/>
      <c r="CU782" s="78"/>
      <c r="CV782" s="78"/>
      <c r="CW782" s="78"/>
      <c r="CX782" s="78"/>
      <c r="CY782" s="78"/>
      <c r="CZ782" s="78"/>
      <c r="DA782" s="78"/>
      <c r="DB782" s="78"/>
      <c r="DC782" s="78"/>
      <c r="DD782" s="78"/>
      <c r="DE782" s="78"/>
      <c r="DF782" s="78"/>
      <c r="DG782" s="78"/>
      <c r="DH782" s="78"/>
      <c r="DI782" s="78"/>
      <c r="DJ782" s="78"/>
      <c r="DK782" s="78"/>
      <c r="DL782" s="78"/>
      <c r="DM782" s="78"/>
      <c r="DN782" s="78"/>
      <c r="DO782" s="78"/>
      <c r="DP782" s="78"/>
      <c r="DQ782" s="78"/>
      <c r="DR782" s="78"/>
      <c r="DS782" s="78"/>
      <c r="DT782" s="78"/>
      <c r="DU782" s="78"/>
      <c r="DV782" s="78"/>
      <c r="DW782" s="78"/>
      <c r="DX782" s="78"/>
      <c r="DY782" s="78"/>
      <c r="DZ782" s="78"/>
      <c r="EA782" s="78"/>
      <c r="EB782" s="78"/>
      <c r="EC782" s="78"/>
      <c r="ED782" s="78"/>
      <c r="EE782" s="78"/>
      <c r="EF782" s="78"/>
      <c r="EG782" s="78"/>
      <c r="EH782" s="78"/>
      <c r="EI782" s="78"/>
      <c r="EJ782" s="78"/>
      <c r="EK782" s="78"/>
      <c r="EL782" s="78"/>
      <c r="EM782" s="78"/>
      <c r="EN782" s="78"/>
      <c r="EO782" s="78"/>
      <c r="EP782" s="78"/>
      <c r="EQ782" s="78"/>
      <c r="ER782" s="78"/>
      <c r="ES782" s="78"/>
      <c r="ET782" s="78"/>
      <c r="EU782" s="78"/>
      <c r="EV782" s="78"/>
      <c r="EW782" s="78"/>
      <c r="EX782" s="78"/>
      <c r="EY782" s="78"/>
      <c r="EZ782" s="78"/>
      <c r="FA782" s="78"/>
      <c r="FB782" s="78"/>
      <c r="FC782" s="78"/>
      <c r="FD782" s="78"/>
      <c r="FE782" s="78"/>
      <c r="FF782" s="78"/>
      <c r="FG782" s="78"/>
      <c r="FH782" s="78"/>
      <c r="FI782" s="78"/>
      <c r="FJ782" s="78"/>
      <c r="FK782" s="78"/>
      <c r="FL782" s="78"/>
      <c r="FM782" s="78"/>
      <c r="FN782" s="78"/>
      <c r="FO782" s="78"/>
      <c r="FP782" s="78"/>
      <c r="FQ782" s="78"/>
      <c r="FR782" s="78"/>
      <c r="FS782" s="78"/>
      <c r="FT782" s="78"/>
      <c r="FU782" s="78"/>
      <c r="FV782" s="78"/>
      <c r="FW782" s="78"/>
      <c r="FX782" s="78"/>
      <c r="FY782" s="78"/>
      <c r="FZ782" s="78"/>
      <c r="GA782" s="78"/>
      <c r="GB782" s="78"/>
      <c r="GC782" s="78"/>
      <c r="GD782" s="78"/>
      <c r="GE782" s="78"/>
      <c r="GF782" s="78"/>
      <c r="GG782" s="78"/>
      <c r="GH782" s="78"/>
      <c r="GI782" s="78"/>
      <c r="GJ782" s="78"/>
      <c r="GK782" s="78"/>
      <c r="GL782" s="78"/>
      <c r="GM782" s="78"/>
      <c r="GN782" s="78"/>
      <c r="GO782" s="78"/>
      <c r="GP782" s="78"/>
      <c r="GQ782" s="78"/>
      <c r="GR782" s="78"/>
      <c r="GS782" s="78"/>
      <c r="GT782" s="78"/>
      <c r="GU782" s="78"/>
      <c r="GV782" s="78"/>
      <c r="GW782" s="78"/>
      <c r="GX782" s="78"/>
      <c r="GY782" s="78"/>
      <c r="GZ782" s="78"/>
      <c r="HA782" s="78"/>
      <c r="HB782" s="78"/>
      <c r="HC782" s="78"/>
      <c r="HD782" s="78"/>
      <c r="HE782" s="78"/>
      <c r="HF782" s="78"/>
      <c r="HG782" s="78"/>
      <c r="HH782" s="78"/>
      <c r="HI782" s="78"/>
      <c r="HJ782" s="78"/>
      <c r="HK782" s="78"/>
      <c r="HL782" s="78"/>
      <c r="HM782" s="78"/>
      <c r="HN782" s="78"/>
      <c r="HO782" s="78"/>
      <c r="HP782" s="78"/>
      <c r="HQ782" s="78"/>
      <c r="HR782" s="78"/>
      <c r="HS782" s="78"/>
      <c r="HT782" s="78"/>
    </row>
    <row r="783" s="60" customFormat="1" spans="1:228">
      <c r="A783" s="61"/>
      <c r="B783" s="62"/>
      <c r="C783" s="62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78"/>
      <c r="AZ783" s="78"/>
      <c r="BA783" s="78"/>
      <c r="BB783" s="78"/>
      <c r="BC783" s="78"/>
      <c r="BD783" s="78"/>
      <c r="BE783" s="78"/>
      <c r="BF783" s="78"/>
      <c r="BG783" s="78"/>
      <c r="BH783" s="78"/>
      <c r="BI783" s="78"/>
      <c r="BJ783" s="78"/>
      <c r="BK783" s="78"/>
      <c r="BL783" s="78"/>
      <c r="BM783" s="78"/>
      <c r="BN783" s="78"/>
      <c r="BO783" s="78"/>
      <c r="BP783" s="78"/>
      <c r="BQ783" s="78"/>
      <c r="BR783" s="78"/>
      <c r="BS783" s="78"/>
      <c r="BT783" s="78"/>
      <c r="BU783" s="78"/>
      <c r="BV783" s="78"/>
      <c r="BW783" s="78"/>
      <c r="BX783" s="78"/>
      <c r="BY783" s="78"/>
      <c r="BZ783" s="78"/>
      <c r="CA783" s="78"/>
      <c r="CB783" s="78"/>
      <c r="CC783" s="78"/>
      <c r="CD783" s="78"/>
      <c r="CE783" s="78"/>
      <c r="CF783" s="78"/>
      <c r="CG783" s="78"/>
      <c r="CH783" s="78"/>
      <c r="CI783" s="78"/>
      <c r="CJ783" s="78"/>
      <c r="CK783" s="78"/>
      <c r="CL783" s="78"/>
      <c r="CM783" s="78"/>
      <c r="CN783" s="78"/>
      <c r="CO783" s="78"/>
      <c r="CP783" s="78"/>
      <c r="CQ783" s="78"/>
      <c r="CR783" s="78"/>
      <c r="CS783" s="78"/>
      <c r="CT783" s="78"/>
      <c r="CU783" s="78"/>
      <c r="CV783" s="78"/>
      <c r="CW783" s="78"/>
      <c r="CX783" s="78"/>
      <c r="CY783" s="78"/>
      <c r="CZ783" s="78"/>
      <c r="DA783" s="78"/>
      <c r="DB783" s="78"/>
      <c r="DC783" s="78"/>
      <c r="DD783" s="78"/>
      <c r="DE783" s="78"/>
      <c r="DF783" s="78"/>
      <c r="DG783" s="78"/>
      <c r="DH783" s="78"/>
      <c r="DI783" s="78"/>
      <c r="DJ783" s="78"/>
      <c r="DK783" s="78"/>
      <c r="DL783" s="78"/>
      <c r="DM783" s="78"/>
      <c r="DN783" s="78"/>
      <c r="DO783" s="78"/>
      <c r="DP783" s="78"/>
      <c r="DQ783" s="78"/>
      <c r="DR783" s="78"/>
      <c r="DS783" s="78"/>
      <c r="DT783" s="78"/>
      <c r="DU783" s="78"/>
      <c r="DV783" s="78"/>
      <c r="DW783" s="78"/>
      <c r="DX783" s="78"/>
      <c r="DY783" s="78"/>
      <c r="DZ783" s="78"/>
      <c r="EA783" s="78"/>
      <c r="EB783" s="78"/>
      <c r="EC783" s="78"/>
      <c r="ED783" s="78"/>
      <c r="EE783" s="78"/>
      <c r="EF783" s="78"/>
      <c r="EG783" s="78"/>
      <c r="EH783" s="78"/>
      <c r="EI783" s="78"/>
      <c r="EJ783" s="78"/>
      <c r="EK783" s="78"/>
      <c r="EL783" s="78"/>
      <c r="EM783" s="78"/>
      <c r="EN783" s="78"/>
      <c r="EO783" s="78"/>
      <c r="EP783" s="78"/>
      <c r="EQ783" s="78"/>
      <c r="ER783" s="78"/>
      <c r="ES783" s="78"/>
      <c r="ET783" s="78"/>
      <c r="EU783" s="78"/>
      <c r="EV783" s="78"/>
      <c r="EW783" s="78"/>
      <c r="EX783" s="78"/>
      <c r="EY783" s="78"/>
      <c r="EZ783" s="78"/>
      <c r="FA783" s="78"/>
      <c r="FB783" s="78"/>
      <c r="FC783" s="78"/>
      <c r="FD783" s="78"/>
      <c r="FE783" s="78"/>
      <c r="FF783" s="78"/>
      <c r="FG783" s="78"/>
      <c r="FH783" s="78"/>
      <c r="FI783" s="78"/>
      <c r="FJ783" s="78"/>
      <c r="FK783" s="78"/>
      <c r="FL783" s="78"/>
      <c r="FM783" s="78"/>
      <c r="FN783" s="78"/>
      <c r="FO783" s="78"/>
      <c r="FP783" s="78"/>
      <c r="FQ783" s="78"/>
      <c r="FR783" s="78"/>
      <c r="FS783" s="78"/>
      <c r="FT783" s="78"/>
      <c r="FU783" s="78"/>
      <c r="FV783" s="78"/>
      <c r="FW783" s="78"/>
      <c r="FX783" s="78"/>
      <c r="FY783" s="78"/>
      <c r="FZ783" s="78"/>
      <c r="GA783" s="78"/>
      <c r="GB783" s="78"/>
      <c r="GC783" s="78"/>
      <c r="GD783" s="78"/>
      <c r="GE783" s="78"/>
      <c r="GF783" s="78"/>
      <c r="GG783" s="78"/>
      <c r="GH783" s="78"/>
      <c r="GI783" s="78"/>
      <c r="GJ783" s="78"/>
      <c r="GK783" s="78"/>
      <c r="GL783" s="78"/>
      <c r="GM783" s="78"/>
      <c r="GN783" s="78"/>
      <c r="GO783" s="78"/>
      <c r="GP783" s="78"/>
      <c r="GQ783" s="78"/>
      <c r="GR783" s="78"/>
      <c r="GS783" s="78"/>
      <c r="GT783" s="78"/>
      <c r="GU783" s="78"/>
      <c r="GV783" s="78"/>
      <c r="GW783" s="78"/>
      <c r="GX783" s="78"/>
      <c r="GY783" s="78"/>
      <c r="GZ783" s="78"/>
      <c r="HA783" s="78"/>
      <c r="HB783" s="78"/>
      <c r="HC783" s="78"/>
      <c r="HD783" s="78"/>
      <c r="HE783" s="78"/>
      <c r="HF783" s="78"/>
      <c r="HG783" s="78"/>
      <c r="HH783" s="78"/>
      <c r="HI783" s="78"/>
      <c r="HJ783" s="78"/>
      <c r="HK783" s="78"/>
      <c r="HL783" s="78"/>
      <c r="HM783" s="78"/>
      <c r="HN783" s="78"/>
      <c r="HO783" s="78"/>
      <c r="HP783" s="78"/>
      <c r="HQ783" s="78"/>
      <c r="HR783" s="78"/>
      <c r="HS783" s="78"/>
      <c r="HT783" s="78"/>
    </row>
    <row r="784" s="60" customFormat="1" spans="1:228">
      <c r="A784" s="61"/>
      <c r="B784" s="62"/>
      <c r="C784" s="62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78"/>
      <c r="AZ784" s="78"/>
      <c r="BA784" s="78"/>
      <c r="BB784" s="78"/>
      <c r="BC784" s="78"/>
      <c r="BD784" s="78"/>
      <c r="BE784" s="78"/>
      <c r="BF784" s="78"/>
      <c r="BG784" s="78"/>
      <c r="BH784" s="78"/>
      <c r="BI784" s="78"/>
      <c r="BJ784" s="78"/>
      <c r="BK784" s="78"/>
      <c r="BL784" s="78"/>
      <c r="BM784" s="78"/>
      <c r="BN784" s="78"/>
      <c r="BO784" s="78"/>
      <c r="BP784" s="78"/>
      <c r="BQ784" s="78"/>
      <c r="BR784" s="78"/>
      <c r="BS784" s="78"/>
      <c r="BT784" s="78"/>
      <c r="BU784" s="78"/>
      <c r="BV784" s="78"/>
      <c r="BW784" s="78"/>
      <c r="BX784" s="78"/>
      <c r="BY784" s="78"/>
      <c r="BZ784" s="78"/>
      <c r="CA784" s="78"/>
      <c r="CB784" s="78"/>
      <c r="CC784" s="78"/>
      <c r="CD784" s="78"/>
      <c r="CE784" s="78"/>
      <c r="CF784" s="78"/>
      <c r="CG784" s="78"/>
      <c r="CH784" s="78"/>
      <c r="CI784" s="78"/>
      <c r="CJ784" s="78"/>
      <c r="CK784" s="78"/>
      <c r="CL784" s="78"/>
      <c r="CM784" s="78"/>
      <c r="CN784" s="78"/>
      <c r="CO784" s="78"/>
      <c r="CP784" s="78"/>
      <c r="CQ784" s="78"/>
      <c r="CR784" s="78"/>
      <c r="CS784" s="78"/>
      <c r="CT784" s="78"/>
      <c r="CU784" s="78"/>
      <c r="CV784" s="78"/>
      <c r="CW784" s="78"/>
      <c r="CX784" s="78"/>
      <c r="CY784" s="78"/>
      <c r="CZ784" s="78"/>
      <c r="DA784" s="78"/>
      <c r="DB784" s="78"/>
      <c r="DC784" s="78"/>
      <c r="DD784" s="78"/>
      <c r="DE784" s="78"/>
      <c r="DF784" s="78"/>
      <c r="DG784" s="78"/>
      <c r="DH784" s="78"/>
      <c r="DI784" s="78"/>
      <c r="DJ784" s="78"/>
      <c r="DK784" s="78"/>
      <c r="DL784" s="78"/>
      <c r="DM784" s="78"/>
      <c r="DN784" s="78"/>
      <c r="DO784" s="78"/>
      <c r="DP784" s="78"/>
      <c r="DQ784" s="78"/>
      <c r="DR784" s="78"/>
      <c r="DS784" s="78"/>
      <c r="DT784" s="78"/>
      <c r="DU784" s="78"/>
      <c r="DV784" s="78"/>
      <c r="DW784" s="78"/>
      <c r="DX784" s="78"/>
      <c r="DY784" s="78"/>
      <c r="DZ784" s="78"/>
      <c r="EA784" s="78"/>
      <c r="EB784" s="78"/>
      <c r="EC784" s="78"/>
      <c r="ED784" s="78"/>
      <c r="EE784" s="78"/>
      <c r="EF784" s="78"/>
      <c r="EG784" s="78"/>
      <c r="EH784" s="78"/>
      <c r="EI784" s="78"/>
      <c r="EJ784" s="78"/>
      <c r="EK784" s="78"/>
      <c r="EL784" s="78"/>
      <c r="EM784" s="78"/>
      <c r="EN784" s="78"/>
      <c r="EO784" s="78"/>
      <c r="EP784" s="78"/>
      <c r="EQ784" s="78"/>
      <c r="ER784" s="78"/>
      <c r="ES784" s="78"/>
      <c r="ET784" s="78"/>
      <c r="EU784" s="78"/>
      <c r="EV784" s="78"/>
      <c r="EW784" s="78"/>
      <c r="EX784" s="78"/>
      <c r="EY784" s="78"/>
      <c r="EZ784" s="78"/>
      <c r="FA784" s="78"/>
      <c r="FB784" s="78"/>
      <c r="FC784" s="78"/>
      <c r="FD784" s="78"/>
      <c r="FE784" s="78"/>
      <c r="FF784" s="78"/>
      <c r="FG784" s="78"/>
      <c r="FH784" s="78"/>
      <c r="FI784" s="78"/>
      <c r="FJ784" s="78"/>
      <c r="FK784" s="78"/>
      <c r="FL784" s="78"/>
      <c r="FM784" s="78"/>
      <c r="FN784" s="78"/>
      <c r="FO784" s="78"/>
      <c r="FP784" s="78"/>
      <c r="FQ784" s="78"/>
      <c r="FR784" s="78"/>
      <c r="FS784" s="78"/>
      <c r="FT784" s="78"/>
      <c r="FU784" s="78"/>
      <c r="FV784" s="78"/>
      <c r="FW784" s="78"/>
      <c r="FX784" s="78"/>
      <c r="FY784" s="78"/>
      <c r="FZ784" s="78"/>
      <c r="GA784" s="78"/>
      <c r="GB784" s="78"/>
      <c r="GC784" s="78"/>
      <c r="GD784" s="78"/>
      <c r="GE784" s="78"/>
      <c r="GF784" s="78"/>
      <c r="GG784" s="78"/>
      <c r="GH784" s="78"/>
      <c r="GI784" s="78"/>
      <c r="GJ784" s="78"/>
      <c r="GK784" s="78"/>
      <c r="GL784" s="78"/>
      <c r="GM784" s="78"/>
      <c r="GN784" s="78"/>
      <c r="GO784" s="78"/>
      <c r="GP784" s="78"/>
      <c r="GQ784" s="78"/>
      <c r="GR784" s="78"/>
      <c r="GS784" s="78"/>
      <c r="GT784" s="78"/>
      <c r="GU784" s="78"/>
      <c r="GV784" s="78"/>
      <c r="GW784" s="78"/>
      <c r="GX784" s="78"/>
      <c r="GY784" s="78"/>
      <c r="GZ784" s="78"/>
      <c r="HA784" s="78"/>
      <c r="HB784" s="78"/>
      <c r="HC784" s="78"/>
      <c r="HD784" s="78"/>
      <c r="HE784" s="78"/>
      <c r="HF784" s="78"/>
      <c r="HG784" s="78"/>
      <c r="HH784" s="78"/>
      <c r="HI784" s="78"/>
      <c r="HJ784" s="78"/>
      <c r="HK784" s="78"/>
      <c r="HL784" s="78"/>
      <c r="HM784" s="78"/>
      <c r="HN784" s="78"/>
      <c r="HO784" s="78"/>
      <c r="HP784" s="78"/>
      <c r="HQ784" s="78"/>
      <c r="HR784" s="78"/>
      <c r="HS784" s="78"/>
      <c r="HT784" s="78"/>
    </row>
    <row r="785" s="60" customFormat="1" spans="1:228">
      <c r="A785" s="61"/>
      <c r="B785" s="62"/>
      <c r="C785" s="62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78"/>
      <c r="AZ785" s="78"/>
      <c r="BA785" s="78"/>
      <c r="BB785" s="78"/>
      <c r="BC785" s="78"/>
      <c r="BD785" s="78"/>
      <c r="BE785" s="78"/>
      <c r="BF785" s="78"/>
      <c r="BG785" s="78"/>
      <c r="BH785" s="78"/>
      <c r="BI785" s="78"/>
      <c r="BJ785" s="78"/>
      <c r="BK785" s="78"/>
      <c r="BL785" s="78"/>
      <c r="BM785" s="78"/>
      <c r="BN785" s="78"/>
      <c r="BO785" s="78"/>
      <c r="BP785" s="78"/>
      <c r="BQ785" s="78"/>
      <c r="BR785" s="78"/>
      <c r="BS785" s="78"/>
      <c r="BT785" s="78"/>
      <c r="BU785" s="78"/>
      <c r="BV785" s="78"/>
      <c r="BW785" s="78"/>
      <c r="BX785" s="78"/>
      <c r="BY785" s="78"/>
      <c r="BZ785" s="78"/>
      <c r="CA785" s="78"/>
      <c r="CB785" s="78"/>
      <c r="CC785" s="78"/>
      <c r="CD785" s="78"/>
      <c r="CE785" s="78"/>
      <c r="CF785" s="78"/>
      <c r="CG785" s="78"/>
      <c r="CH785" s="78"/>
      <c r="CI785" s="78"/>
      <c r="CJ785" s="78"/>
      <c r="CK785" s="78"/>
      <c r="CL785" s="78"/>
      <c r="CM785" s="78"/>
      <c r="CN785" s="78"/>
      <c r="CO785" s="78"/>
      <c r="CP785" s="78"/>
      <c r="CQ785" s="78"/>
      <c r="CR785" s="78"/>
      <c r="CS785" s="78"/>
      <c r="CT785" s="78"/>
      <c r="CU785" s="78"/>
      <c r="CV785" s="78"/>
      <c r="CW785" s="78"/>
      <c r="CX785" s="78"/>
      <c r="CY785" s="78"/>
      <c r="CZ785" s="78"/>
      <c r="DA785" s="78"/>
      <c r="DB785" s="78"/>
      <c r="DC785" s="78"/>
      <c r="DD785" s="78"/>
      <c r="DE785" s="78"/>
      <c r="DF785" s="78"/>
      <c r="DG785" s="78"/>
      <c r="DH785" s="78"/>
      <c r="DI785" s="78"/>
      <c r="DJ785" s="78"/>
      <c r="DK785" s="78"/>
      <c r="DL785" s="78"/>
      <c r="DM785" s="78"/>
      <c r="DN785" s="78"/>
      <c r="DO785" s="78"/>
      <c r="DP785" s="78"/>
      <c r="DQ785" s="78"/>
      <c r="DR785" s="78"/>
      <c r="DS785" s="78"/>
      <c r="DT785" s="78"/>
      <c r="DU785" s="78"/>
      <c r="DV785" s="78"/>
      <c r="DW785" s="78"/>
      <c r="DX785" s="78"/>
      <c r="DY785" s="78"/>
      <c r="DZ785" s="78"/>
      <c r="EA785" s="78"/>
      <c r="EB785" s="78"/>
      <c r="EC785" s="78"/>
      <c r="ED785" s="78"/>
      <c r="EE785" s="78"/>
      <c r="EF785" s="78"/>
      <c r="EG785" s="78"/>
      <c r="EH785" s="78"/>
      <c r="EI785" s="78"/>
      <c r="EJ785" s="78"/>
      <c r="EK785" s="78"/>
      <c r="EL785" s="78"/>
      <c r="EM785" s="78"/>
      <c r="EN785" s="78"/>
      <c r="EO785" s="78"/>
      <c r="EP785" s="78"/>
      <c r="EQ785" s="78"/>
      <c r="ER785" s="78"/>
      <c r="ES785" s="78"/>
      <c r="ET785" s="78"/>
      <c r="EU785" s="78"/>
      <c r="EV785" s="78"/>
      <c r="EW785" s="78"/>
      <c r="EX785" s="78"/>
      <c r="EY785" s="78"/>
      <c r="EZ785" s="78"/>
      <c r="FA785" s="78"/>
      <c r="FB785" s="78"/>
      <c r="FC785" s="78"/>
      <c r="FD785" s="78"/>
      <c r="FE785" s="78"/>
      <c r="FF785" s="78"/>
      <c r="FG785" s="78"/>
      <c r="FH785" s="78"/>
      <c r="FI785" s="78"/>
      <c r="FJ785" s="78"/>
      <c r="FK785" s="78"/>
      <c r="FL785" s="78"/>
      <c r="FM785" s="78"/>
      <c r="FN785" s="78"/>
      <c r="FO785" s="78"/>
      <c r="FP785" s="78"/>
      <c r="FQ785" s="78"/>
      <c r="FR785" s="78"/>
      <c r="FS785" s="78"/>
      <c r="FT785" s="78"/>
      <c r="FU785" s="78"/>
      <c r="FV785" s="78"/>
      <c r="FW785" s="78"/>
      <c r="FX785" s="78"/>
      <c r="FY785" s="78"/>
      <c r="FZ785" s="78"/>
      <c r="GA785" s="78"/>
      <c r="GB785" s="78"/>
      <c r="GC785" s="78"/>
      <c r="GD785" s="78"/>
      <c r="GE785" s="78"/>
      <c r="GF785" s="78"/>
      <c r="GG785" s="78"/>
      <c r="GH785" s="78"/>
      <c r="GI785" s="78"/>
      <c r="GJ785" s="78"/>
      <c r="GK785" s="78"/>
      <c r="GL785" s="78"/>
      <c r="GM785" s="78"/>
      <c r="GN785" s="78"/>
      <c r="GO785" s="78"/>
      <c r="GP785" s="78"/>
      <c r="GQ785" s="78"/>
      <c r="GR785" s="78"/>
      <c r="GS785" s="78"/>
      <c r="GT785" s="78"/>
      <c r="GU785" s="78"/>
      <c r="GV785" s="78"/>
      <c r="GW785" s="78"/>
      <c r="GX785" s="78"/>
      <c r="GY785" s="78"/>
      <c r="GZ785" s="78"/>
      <c r="HA785" s="78"/>
      <c r="HB785" s="78"/>
      <c r="HC785" s="78"/>
      <c r="HD785" s="78"/>
      <c r="HE785" s="78"/>
      <c r="HF785" s="78"/>
      <c r="HG785" s="78"/>
      <c r="HH785" s="78"/>
      <c r="HI785" s="78"/>
      <c r="HJ785" s="78"/>
      <c r="HK785" s="78"/>
      <c r="HL785" s="78"/>
      <c r="HM785" s="78"/>
      <c r="HN785" s="78"/>
      <c r="HO785" s="78"/>
      <c r="HP785" s="78"/>
      <c r="HQ785" s="78"/>
      <c r="HR785" s="78"/>
      <c r="HS785" s="78"/>
      <c r="HT785" s="78"/>
    </row>
    <row r="786" s="60" customFormat="1" spans="1:228">
      <c r="A786" s="61"/>
      <c r="B786" s="62"/>
      <c r="C786" s="62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78"/>
      <c r="AZ786" s="78"/>
      <c r="BA786" s="78"/>
      <c r="BB786" s="78"/>
      <c r="BC786" s="78"/>
      <c r="BD786" s="78"/>
      <c r="BE786" s="78"/>
      <c r="BF786" s="78"/>
      <c r="BG786" s="78"/>
      <c r="BH786" s="78"/>
      <c r="BI786" s="78"/>
      <c r="BJ786" s="78"/>
      <c r="BK786" s="78"/>
      <c r="BL786" s="78"/>
      <c r="BM786" s="78"/>
      <c r="BN786" s="78"/>
      <c r="BO786" s="78"/>
      <c r="BP786" s="78"/>
      <c r="BQ786" s="78"/>
      <c r="BR786" s="78"/>
      <c r="BS786" s="78"/>
      <c r="BT786" s="78"/>
      <c r="BU786" s="78"/>
      <c r="BV786" s="78"/>
      <c r="BW786" s="78"/>
      <c r="BX786" s="78"/>
      <c r="BY786" s="78"/>
      <c r="BZ786" s="78"/>
      <c r="CA786" s="78"/>
      <c r="CB786" s="78"/>
      <c r="CC786" s="78"/>
      <c r="CD786" s="78"/>
      <c r="CE786" s="78"/>
      <c r="CF786" s="78"/>
      <c r="CG786" s="78"/>
      <c r="CH786" s="78"/>
      <c r="CI786" s="78"/>
      <c r="CJ786" s="78"/>
      <c r="CK786" s="78"/>
      <c r="CL786" s="78"/>
      <c r="CM786" s="78"/>
      <c r="CN786" s="78"/>
      <c r="CO786" s="78"/>
      <c r="CP786" s="78"/>
      <c r="CQ786" s="78"/>
      <c r="CR786" s="78"/>
      <c r="CS786" s="78"/>
      <c r="CT786" s="78"/>
      <c r="CU786" s="78"/>
      <c r="CV786" s="78"/>
      <c r="CW786" s="78"/>
      <c r="CX786" s="78"/>
      <c r="CY786" s="78"/>
      <c r="CZ786" s="78"/>
      <c r="DA786" s="78"/>
      <c r="DB786" s="78"/>
      <c r="DC786" s="78"/>
      <c r="DD786" s="78"/>
      <c r="DE786" s="78"/>
      <c r="DF786" s="78"/>
      <c r="DG786" s="78"/>
      <c r="DH786" s="78"/>
      <c r="DI786" s="78"/>
      <c r="DJ786" s="78"/>
      <c r="DK786" s="78"/>
      <c r="DL786" s="78"/>
      <c r="DM786" s="78"/>
      <c r="DN786" s="78"/>
      <c r="DO786" s="78"/>
      <c r="DP786" s="78"/>
      <c r="DQ786" s="78"/>
      <c r="DR786" s="78"/>
      <c r="DS786" s="78"/>
      <c r="DT786" s="78"/>
      <c r="DU786" s="78"/>
      <c r="DV786" s="78"/>
      <c r="DW786" s="78"/>
      <c r="DX786" s="78"/>
      <c r="DY786" s="78"/>
      <c r="DZ786" s="78"/>
      <c r="EA786" s="78"/>
      <c r="EB786" s="78"/>
      <c r="EC786" s="78"/>
      <c r="ED786" s="78"/>
      <c r="EE786" s="78"/>
      <c r="EF786" s="78"/>
      <c r="EG786" s="78"/>
      <c r="EH786" s="78"/>
      <c r="EI786" s="78"/>
      <c r="EJ786" s="78"/>
      <c r="EK786" s="78"/>
      <c r="EL786" s="78"/>
      <c r="EM786" s="78"/>
      <c r="EN786" s="78"/>
      <c r="EO786" s="78"/>
      <c r="EP786" s="78"/>
      <c r="EQ786" s="78"/>
      <c r="ER786" s="78"/>
      <c r="ES786" s="78"/>
      <c r="ET786" s="78"/>
      <c r="EU786" s="78"/>
      <c r="EV786" s="78"/>
      <c r="EW786" s="78"/>
      <c r="EX786" s="78"/>
      <c r="EY786" s="78"/>
      <c r="EZ786" s="78"/>
      <c r="FA786" s="78"/>
      <c r="FB786" s="78"/>
      <c r="FC786" s="78"/>
      <c r="FD786" s="78"/>
      <c r="FE786" s="78"/>
      <c r="FF786" s="78"/>
      <c r="FG786" s="78"/>
      <c r="FH786" s="78"/>
      <c r="FI786" s="78"/>
      <c r="FJ786" s="78"/>
      <c r="FK786" s="78"/>
      <c r="FL786" s="78"/>
      <c r="FM786" s="78"/>
      <c r="FN786" s="78"/>
      <c r="FO786" s="78"/>
      <c r="FP786" s="78"/>
      <c r="FQ786" s="78"/>
      <c r="FR786" s="78"/>
      <c r="FS786" s="78"/>
      <c r="FT786" s="78"/>
      <c r="FU786" s="78"/>
      <c r="FV786" s="78"/>
      <c r="FW786" s="78"/>
      <c r="FX786" s="78"/>
      <c r="FY786" s="78"/>
      <c r="FZ786" s="78"/>
      <c r="GA786" s="78"/>
      <c r="GB786" s="78"/>
      <c r="GC786" s="78"/>
      <c r="GD786" s="78"/>
      <c r="GE786" s="78"/>
      <c r="GF786" s="78"/>
      <c r="GG786" s="78"/>
      <c r="GH786" s="78"/>
      <c r="GI786" s="78"/>
      <c r="GJ786" s="78"/>
      <c r="GK786" s="78"/>
      <c r="GL786" s="78"/>
      <c r="GM786" s="78"/>
      <c r="GN786" s="78"/>
      <c r="GO786" s="78"/>
      <c r="GP786" s="78"/>
      <c r="GQ786" s="78"/>
      <c r="GR786" s="78"/>
      <c r="GS786" s="78"/>
      <c r="GT786" s="78"/>
      <c r="GU786" s="78"/>
      <c r="GV786" s="78"/>
      <c r="GW786" s="78"/>
      <c r="GX786" s="78"/>
      <c r="GY786" s="78"/>
      <c r="GZ786" s="78"/>
      <c r="HA786" s="78"/>
      <c r="HB786" s="78"/>
      <c r="HC786" s="78"/>
      <c r="HD786" s="78"/>
      <c r="HE786" s="78"/>
      <c r="HF786" s="78"/>
      <c r="HG786" s="78"/>
      <c r="HH786" s="78"/>
      <c r="HI786" s="78"/>
      <c r="HJ786" s="78"/>
      <c r="HK786" s="78"/>
      <c r="HL786" s="78"/>
      <c r="HM786" s="78"/>
      <c r="HN786" s="78"/>
      <c r="HO786" s="78"/>
      <c r="HP786" s="78"/>
      <c r="HQ786" s="78"/>
      <c r="HR786" s="78"/>
      <c r="HS786" s="78"/>
      <c r="HT786" s="78"/>
    </row>
    <row r="787" s="60" customFormat="1" spans="1:228">
      <c r="A787" s="61"/>
      <c r="B787" s="62"/>
      <c r="C787" s="62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78"/>
      <c r="AZ787" s="78"/>
      <c r="BA787" s="78"/>
      <c r="BB787" s="78"/>
      <c r="BC787" s="78"/>
      <c r="BD787" s="78"/>
      <c r="BE787" s="78"/>
      <c r="BF787" s="78"/>
      <c r="BG787" s="78"/>
      <c r="BH787" s="78"/>
      <c r="BI787" s="78"/>
      <c r="BJ787" s="78"/>
      <c r="BK787" s="78"/>
      <c r="BL787" s="78"/>
      <c r="BM787" s="78"/>
      <c r="BN787" s="78"/>
      <c r="BO787" s="78"/>
      <c r="BP787" s="78"/>
      <c r="BQ787" s="78"/>
      <c r="BR787" s="78"/>
      <c r="BS787" s="78"/>
      <c r="BT787" s="78"/>
      <c r="BU787" s="78"/>
      <c r="BV787" s="78"/>
      <c r="BW787" s="78"/>
      <c r="BX787" s="78"/>
      <c r="BY787" s="78"/>
      <c r="BZ787" s="78"/>
      <c r="CA787" s="78"/>
      <c r="CB787" s="78"/>
      <c r="CC787" s="78"/>
      <c r="CD787" s="78"/>
      <c r="CE787" s="78"/>
      <c r="CF787" s="78"/>
      <c r="CG787" s="78"/>
      <c r="CH787" s="78"/>
      <c r="CI787" s="78"/>
      <c r="CJ787" s="78"/>
      <c r="CK787" s="78"/>
      <c r="CL787" s="78"/>
      <c r="CM787" s="78"/>
      <c r="CN787" s="78"/>
      <c r="CO787" s="78"/>
      <c r="CP787" s="78"/>
      <c r="CQ787" s="78"/>
      <c r="CR787" s="78"/>
      <c r="CS787" s="78"/>
      <c r="CT787" s="78"/>
      <c r="CU787" s="78"/>
      <c r="CV787" s="78"/>
      <c r="CW787" s="78"/>
      <c r="CX787" s="78"/>
      <c r="CY787" s="78"/>
      <c r="CZ787" s="78"/>
      <c r="DA787" s="78"/>
      <c r="DB787" s="78"/>
      <c r="DC787" s="78"/>
      <c r="DD787" s="78"/>
      <c r="DE787" s="78"/>
      <c r="DF787" s="78"/>
      <c r="DG787" s="78"/>
      <c r="DH787" s="78"/>
      <c r="DI787" s="78"/>
      <c r="DJ787" s="78"/>
      <c r="DK787" s="78"/>
      <c r="DL787" s="78"/>
      <c r="DM787" s="78"/>
      <c r="DN787" s="78"/>
      <c r="DO787" s="78"/>
      <c r="DP787" s="78"/>
      <c r="DQ787" s="78"/>
      <c r="DR787" s="78"/>
      <c r="DS787" s="78"/>
      <c r="DT787" s="78"/>
      <c r="DU787" s="78"/>
      <c r="DV787" s="78"/>
      <c r="DW787" s="78"/>
      <c r="DX787" s="78"/>
      <c r="DY787" s="78"/>
      <c r="DZ787" s="78"/>
      <c r="EA787" s="78"/>
      <c r="EB787" s="78"/>
      <c r="EC787" s="78"/>
      <c r="ED787" s="78"/>
      <c r="EE787" s="78"/>
      <c r="EF787" s="78"/>
      <c r="EG787" s="78"/>
      <c r="EH787" s="78"/>
      <c r="EI787" s="78"/>
      <c r="EJ787" s="78"/>
      <c r="EK787" s="78"/>
      <c r="EL787" s="78"/>
      <c r="EM787" s="78"/>
      <c r="EN787" s="78"/>
      <c r="EO787" s="78"/>
      <c r="EP787" s="78"/>
      <c r="EQ787" s="78"/>
      <c r="ER787" s="78"/>
      <c r="ES787" s="78"/>
      <c r="ET787" s="78"/>
      <c r="EU787" s="78"/>
      <c r="EV787" s="78"/>
      <c r="EW787" s="78"/>
      <c r="EX787" s="78"/>
      <c r="EY787" s="78"/>
      <c r="EZ787" s="78"/>
      <c r="FA787" s="78"/>
      <c r="FB787" s="78"/>
      <c r="FC787" s="78"/>
      <c r="FD787" s="78"/>
      <c r="FE787" s="78"/>
      <c r="FF787" s="78"/>
      <c r="FG787" s="78"/>
      <c r="FH787" s="78"/>
      <c r="FI787" s="78"/>
      <c r="FJ787" s="78"/>
      <c r="FK787" s="78"/>
      <c r="FL787" s="78"/>
      <c r="FM787" s="78"/>
      <c r="FN787" s="78"/>
      <c r="FO787" s="78"/>
      <c r="FP787" s="78"/>
      <c r="FQ787" s="78"/>
      <c r="FR787" s="78"/>
      <c r="FS787" s="78"/>
      <c r="FT787" s="78"/>
      <c r="FU787" s="78"/>
      <c r="FV787" s="78"/>
      <c r="FW787" s="78"/>
      <c r="FX787" s="78"/>
      <c r="FY787" s="78"/>
      <c r="FZ787" s="78"/>
      <c r="GA787" s="78"/>
      <c r="GB787" s="78"/>
      <c r="GC787" s="78"/>
      <c r="GD787" s="78"/>
      <c r="GE787" s="78"/>
      <c r="GF787" s="78"/>
      <c r="GG787" s="78"/>
      <c r="GH787" s="78"/>
      <c r="GI787" s="78"/>
      <c r="GJ787" s="78"/>
      <c r="GK787" s="78"/>
      <c r="GL787" s="78"/>
      <c r="GM787" s="78"/>
      <c r="GN787" s="78"/>
      <c r="GO787" s="78"/>
      <c r="GP787" s="78"/>
      <c r="GQ787" s="78"/>
      <c r="GR787" s="78"/>
      <c r="GS787" s="78"/>
      <c r="GT787" s="78"/>
      <c r="GU787" s="78"/>
      <c r="GV787" s="78"/>
      <c r="GW787" s="78"/>
      <c r="GX787" s="78"/>
      <c r="GY787" s="78"/>
      <c r="GZ787" s="78"/>
      <c r="HA787" s="78"/>
      <c r="HB787" s="78"/>
      <c r="HC787" s="78"/>
      <c r="HD787" s="78"/>
      <c r="HE787" s="78"/>
      <c r="HF787" s="78"/>
      <c r="HG787" s="78"/>
      <c r="HH787" s="78"/>
      <c r="HI787" s="78"/>
      <c r="HJ787" s="78"/>
      <c r="HK787" s="78"/>
      <c r="HL787" s="78"/>
      <c r="HM787" s="78"/>
      <c r="HN787" s="78"/>
      <c r="HO787" s="78"/>
      <c r="HP787" s="78"/>
      <c r="HQ787" s="78"/>
      <c r="HR787" s="78"/>
      <c r="HS787" s="78"/>
      <c r="HT787" s="78"/>
    </row>
    <row r="788" s="60" customFormat="1" spans="1:228">
      <c r="A788" s="61"/>
      <c r="B788" s="62"/>
      <c r="C788" s="62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78"/>
      <c r="AZ788" s="78"/>
      <c r="BA788" s="78"/>
      <c r="BB788" s="78"/>
      <c r="BC788" s="78"/>
      <c r="BD788" s="78"/>
      <c r="BE788" s="78"/>
      <c r="BF788" s="78"/>
      <c r="BG788" s="78"/>
      <c r="BH788" s="78"/>
      <c r="BI788" s="78"/>
      <c r="BJ788" s="78"/>
      <c r="BK788" s="78"/>
      <c r="BL788" s="78"/>
      <c r="BM788" s="78"/>
      <c r="BN788" s="78"/>
      <c r="BO788" s="78"/>
      <c r="BP788" s="78"/>
      <c r="BQ788" s="78"/>
      <c r="BR788" s="78"/>
      <c r="BS788" s="78"/>
      <c r="BT788" s="78"/>
      <c r="BU788" s="78"/>
      <c r="BV788" s="78"/>
      <c r="BW788" s="78"/>
      <c r="BX788" s="78"/>
      <c r="BY788" s="78"/>
      <c r="BZ788" s="78"/>
      <c r="CA788" s="78"/>
      <c r="CB788" s="78"/>
      <c r="CC788" s="78"/>
      <c r="CD788" s="78"/>
      <c r="CE788" s="78"/>
      <c r="CF788" s="78"/>
      <c r="CG788" s="78"/>
      <c r="CH788" s="78"/>
      <c r="CI788" s="78"/>
      <c r="CJ788" s="78"/>
      <c r="CK788" s="78"/>
      <c r="CL788" s="78"/>
      <c r="CM788" s="78"/>
      <c r="CN788" s="78"/>
      <c r="CO788" s="78"/>
      <c r="CP788" s="78"/>
      <c r="CQ788" s="78"/>
      <c r="CR788" s="78"/>
      <c r="CS788" s="78"/>
      <c r="CT788" s="78"/>
      <c r="CU788" s="78"/>
      <c r="CV788" s="78"/>
      <c r="CW788" s="78"/>
      <c r="CX788" s="78"/>
      <c r="CY788" s="78"/>
      <c r="CZ788" s="78"/>
      <c r="DA788" s="78"/>
      <c r="DB788" s="78"/>
      <c r="DC788" s="78"/>
      <c r="DD788" s="78"/>
      <c r="DE788" s="78"/>
      <c r="DF788" s="78"/>
      <c r="DG788" s="78"/>
      <c r="DH788" s="78"/>
      <c r="DI788" s="78"/>
      <c r="DJ788" s="78"/>
      <c r="DK788" s="78"/>
      <c r="DL788" s="78"/>
      <c r="DM788" s="78"/>
      <c r="DN788" s="78"/>
      <c r="DO788" s="78"/>
      <c r="DP788" s="78"/>
      <c r="DQ788" s="78"/>
      <c r="DR788" s="78"/>
      <c r="DS788" s="78"/>
      <c r="DT788" s="78"/>
      <c r="DU788" s="78"/>
      <c r="DV788" s="78"/>
      <c r="DW788" s="78"/>
      <c r="DX788" s="78"/>
      <c r="DY788" s="78"/>
      <c r="DZ788" s="78"/>
      <c r="EA788" s="78"/>
      <c r="EB788" s="78"/>
      <c r="EC788" s="78"/>
      <c r="ED788" s="78"/>
      <c r="EE788" s="78"/>
      <c r="EF788" s="78"/>
      <c r="EG788" s="78"/>
      <c r="EH788" s="78"/>
      <c r="EI788" s="78"/>
      <c r="EJ788" s="78"/>
      <c r="EK788" s="78"/>
      <c r="EL788" s="78"/>
      <c r="EM788" s="78"/>
      <c r="EN788" s="78"/>
      <c r="EO788" s="78"/>
      <c r="EP788" s="78"/>
      <c r="EQ788" s="78"/>
      <c r="ER788" s="78"/>
      <c r="ES788" s="78"/>
      <c r="ET788" s="78"/>
      <c r="EU788" s="78"/>
      <c r="EV788" s="78"/>
      <c r="EW788" s="78"/>
      <c r="EX788" s="78"/>
      <c r="EY788" s="78"/>
      <c r="EZ788" s="78"/>
      <c r="FA788" s="78"/>
      <c r="FB788" s="78"/>
      <c r="FC788" s="78"/>
      <c r="FD788" s="78"/>
      <c r="FE788" s="78"/>
      <c r="FF788" s="78"/>
      <c r="FG788" s="78"/>
      <c r="FH788" s="78"/>
      <c r="FI788" s="78"/>
      <c r="FJ788" s="78"/>
      <c r="FK788" s="78"/>
      <c r="FL788" s="78"/>
      <c r="FM788" s="78"/>
      <c r="FN788" s="78"/>
      <c r="FO788" s="78"/>
      <c r="FP788" s="78"/>
      <c r="FQ788" s="78"/>
      <c r="FR788" s="78"/>
      <c r="FS788" s="78"/>
      <c r="FT788" s="78"/>
      <c r="FU788" s="78"/>
      <c r="FV788" s="78"/>
      <c r="FW788" s="78"/>
      <c r="FX788" s="78"/>
      <c r="FY788" s="78"/>
      <c r="FZ788" s="78"/>
      <c r="GA788" s="78"/>
      <c r="GB788" s="78"/>
      <c r="GC788" s="78"/>
      <c r="GD788" s="78"/>
      <c r="GE788" s="78"/>
      <c r="GF788" s="78"/>
      <c r="GG788" s="78"/>
      <c r="GH788" s="78"/>
      <c r="GI788" s="78"/>
      <c r="GJ788" s="78"/>
      <c r="GK788" s="78"/>
      <c r="GL788" s="78"/>
      <c r="GM788" s="78"/>
      <c r="GN788" s="78"/>
      <c r="GO788" s="78"/>
      <c r="GP788" s="78"/>
      <c r="GQ788" s="78"/>
      <c r="GR788" s="78"/>
      <c r="GS788" s="78"/>
      <c r="GT788" s="78"/>
      <c r="GU788" s="78"/>
      <c r="GV788" s="78"/>
      <c r="GW788" s="78"/>
      <c r="GX788" s="78"/>
      <c r="GY788" s="78"/>
      <c r="GZ788" s="78"/>
      <c r="HA788" s="78"/>
      <c r="HB788" s="78"/>
      <c r="HC788" s="78"/>
      <c r="HD788" s="78"/>
      <c r="HE788" s="78"/>
      <c r="HF788" s="78"/>
      <c r="HG788" s="78"/>
      <c r="HH788" s="78"/>
      <c r="HI788" s="78"/>
      <c r="HJ788" s="78"/>
      <c r="HK788" s="78"/>
      <c r="HL788" s="78"/>
      <c r="HM788" s="78"/>
      <c r="HN788" s="78"/>
      <c r="HO788" s="78"/>
      <c r="HP788" s="78"/>
      <c r="HQ788" s="78"/>
      <c r="HR788" s="78"/>
      <c r="HS788" s="78"/>
      <c r="HT788" s="78"/>
    </row>
    <row r="789" s="60" customFormat="1" spans="1:228">
      <c r="A789" s="61"/>
      <c r="B789" s="62"/>
      <c r="C789" s="62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78"/>
      <c r="AZ789" s="78"/>
      <c r="BA789" s="78"/>
      <c r="BB789" s="78"/>
      <c r="BC789" s="78"/>
      <c r="BD789" s="78"/>
      <c r="BE789" s="78"/>
      <c r="BF789" s="78"/>
      <c r="BG789" s="78"/>
      <c r="BH789" s="78"/>
      <c r="BI789" s="78"/>
      <c r="BJ789" s="78"/>
      <c r="BK789" s="78"/>
      <c r="BL789" s="78"/>
      <c r="BM789" s="78"/>
      <c r="BN789" s="78"/>
      <c r="BO789" s="78"/>
      <c r="BP789" s="78"/>
      <c r="BQ789" s="78"/>
      <c r="BR789" s="78"/>
      <c r="BS789" s="78"/>
      <c r="BT789" s="78"/>
      <c r="BU789" s="78"/>
      <c r="BV789" s="78"/>
      <c r="BW789" s="78"/>
      <c r="BX789" s="78"/>
      <c r="BY789" s="78"/>
      <c r="BZ789" s="78"/>
      <c r="CA789" s="78"/>
      <c r="CB789" s="78"/>
      <c r="CC789" s="78"/>
      <c r="CD789" s="78"/>
      <c r="CE789" s="78"/>
      <c r="CF789" s="78"/>
      <c r="CG789" s="78"/>
      <c r="CH789" s="78"/>
      <c r="CI789" s="78"/>
      <c r="CJ789" s="78"/>
      <c r="CK789" s="78"/>
      <c r="CL789" s="78"/>
      <c r="CM789" s="78"/>
      <c r="CN789" s="78"/>
      <c r="CO789" s="78"/>
      <c r="CP789" s="78"/>
      <c r="CQ789" s="78"/>
      <c r="CR789" s="78"/>
      <c r="CS789" s="78"/>
      <c r="CT789" s="78"/>
      <c r="CU789" s="78"/>
      <c r="CV789" s="78"/>
      <c r="CW789" s="78"/>
      <c r="CX789" s="78"/>
      <c r="CY789" s="78"/>
      <c r="CZ789" s="78"/>
      <c r="DA789" s="78"/>
      <c r="DB789" s="78"/>
      <c r="DC789" s="78"/>
      <c r="DD789" s="78"/>
      <c r="DE789" s="78"/>
      <c r="DF789" s="78"/>
      <c r="DG789" s="78"/>
      <c r="DH789" s="78"/>
      <c r="DI789" s="78"/>
      <c r="DJ789" s="78"/>
      <c r="DK789" s="78"/>
      <c r="DL789" s="78"/>
      <c r="DM789" s="78"/>
      <c r="DN789" s="78"/>
      <c r="DO789" s="78"/>
      <c r="DP789" s="78"/>
      <c r="DQ789" s="78"/>
      <c r="DR789" s="78"/>
      <c r="DS789" s="78"/>
      <c r="DT789" s="78"/>
      <c r="DU789" s="78"/>
      <c r="DV789" s="78"/>
      <c r="DW789" s="78"/>
      <c r="DX789" s="78"/>
      <c r="DY789" s="78"/>
      <c r="DZ789" s="78"/>
      <c r="EA789" s="78"/>
      <c r="EB789" s="78"/>
      <c r="EC789" s="78"/>
      <c r="ED789" s="78"/>
      <c r="EE789" s="78"/>
      <c r="EF789" s="78"/>
      <c r="EG789" s="78"/>
      <c r="EH789" s="78"/>
      <c r="EI789" s="78"/>
      <c r="EJ789" s="78"/>
      <c r="EK789" s="78"/>
      <c r="EL789" s="78"/>
      <c r="EM789" s="78"/>
      <c r="EN789" s="78"/>
      <c r="EO789" s="78"/>
      <c r="EP789" s="78"/>
      <c r="EQ789" s="78"/>
      <c r="ER789" s="78"/>
      <c r="ES789" s="78"/>
      <c r="ET789" s="78"/>
      <c r="EU789" s="78"/>
      <c r="EV789" s="78"/>
      <c r="EW789" s="78"/>
      <c r="EX789" s="78"/>
      <c r="EY789" s="78"/>
      <c r="EZ789" s="78"/>
      <c r="FA789" s="78"/>
      <c r="FB789" s="78"/>
      <c r="FC789" s="78"/>
      <c r="FD789" s="78"/>
      <c r="FE789" s="78"/>
      <c r="FF789" s="78"/>
      <c r="FG789" s="78"/>
      <c r="FH789" s="78"/>
      <c r="FI789" s="78"/>
      <c r="FJ789" s="78"/>
      <c r="FK789" s="78"/>
      <c r="FL789" s="78"/>
      <c r="FM789" s="78"/>
      <c r="FN789" s="78"/>
      <c r="FO789" s="78"/>
      <c r="FP789" s="78"/>
      <c r="FQ789" s="78"/>
      <c r="FR789" s="78"/>
      <c r="FS789" s="78"/>
      <c r="FT789" s="78"/>
      <c r="FU789" s="78"/>
      <c r="FV789" s="78"/>
      <c r="FW789" s="78"/>
      <c r="FX789" s="78"/>
      <c r="FY789" s="78"/>
      <c r="FZ789" s="78"/>
      <c r="GA789" s="78"/>
      <c r="GB789" s="78"/>
      <c r="GC789" s="78"/>
      <c r="GD789" s="78"/>
      <c r="GE789" s="78"/>
      <c r="GF789" s="78"/>
      <c r="GG789" s="78"/>
      <c r="GH789" s="78"/>
      <c r="GI789" s="78"/>
      <c r="GJ789" s="78"/>
      <c r="GK789" s="78"/>
      <c r="GL789" s="78"/>
      <c r="GM789" s="78"/>
      <c r="GN789" s="78"/>
      <c r="GO789" s="78"/>
      <c r="GP789" s="78"/>
      <c r="GQ789" s="78"/>
      <c r="GR789" s="78"/>
      <c r="GS789" s="78"/>
      <c r="GT789" s="78"/>
      <c r="GU789" s="78"/>
      <c r="GV789" s="78"/>
      <c r="GW789" s="78"/>
      <c r="GX789" s="78"/>
      <c r="GY789" s="78"/>
      <c r="GZ789" s="78"/>
      <c r="HA789" s="78"/>
      <c r="HB789" s="78"/>
      <c r="HC789" s="78"/>
      <c r="HD789" s="78"/>
      <c r="HE789" s="78"/>
      <c r="HF789" s="78"/>
      <c r="HG789" s="78"/>
      <c r="HH789" s="78"/>
      <c r="HI789" s="78"/>
      <c r="HJ789" s="78"/>
      <c r="HK789" s="78"/>
      <c r="HL789" s="78"/>
      <c r="HM789" s="78"/>
      <c r="HN789" s="78"/>
      <c r="HO789" s="78"/>
      <c r="HP789" s="78"/>
      <c r="HQ789" s="78"/>
      <c r="HR789" s="78"/>
      <c r="HS789" s="78"/>
      <c r="HT789" s="78"/>
    </row>
    <row r="790" s="60" customFormat="1" spans="1:228">
      <c r="A790" s="78"/>
      <c r="B790" s="61"/>
      <c r="C790" s="61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78"/>
      <c r="AZ790" s="78"/>
      <c r="BA790" s="78"/>
      <c r="BB790" s="78"/>
      <c r="BC790" s="78"/>
      <c r="BD790" s="78"/>
      <c r="BE790" s="78"/>
      <c r="BF790" s="78"/>
      <c r="BG790" s="78"/>
      <c r="BH790" s="78"/>
      <c r="BI790" s="78"/>
      <c r="BJ790" s="78"/>
      <c r="BK790" s="78"/>
      <c r="BL790" s="78"/>
      <c r="BM790" s="78"/>
      <c r="BN790" s="78"/>
      <c r="BO790" s="78"/>
      <c r="BP790" s="78"/>
      <c r="BQ790" s="78"/>
      <c r="BR790" s="78"/>
      <c r="BS790" s="78"/>
      <c r="BT790" s="78"/>
      <c r="BU790" s="78"/>
      <c r="BV790" s="78"/>
      <c r="BW790" s="78"/>
      <c r="BX790" s="78"/>
      <c r="BY790" s="78"/>
      <c r="BZ790" s="78"/>
      <c r="CA790" s="78"/>
      <c r="CB790" s="78"/>
      <c r="CC790" s="78"/>
      <c r="CD790" s="78"/>
      <c r="CE790" s="78"/>
      <c r="CF790" s="78"/>
      <c r="CG790" s="78"/>
      <c r="CH790" s="78"/>
      <c r="CI790" s="78"/>
      <c r="CJ790" s="78"/>
      <c r="CK790" s="78"/>
      <c r="CL790" s="78"/>
      <c r="CM790" s="78"/>
      <c r="CN790" s="78"/>
      <c r="CO790" s="78"/>
      <c r="CP790" s="78"/>
      <c r="CQ790" s="78"/>
      <c r="CR790" s="78"/>
      <c r="CS790" s="78"/>
      <c r="CT790" s="78"/>
      <c r="CU790" s="78"/>
      <c r="CV790" s="78"/>
      <c r="CW790" s="78"/>
      <c r="CX790" s="78"/>
      <c r="CY790" s="78"/>
      <c r="CZ790" s="78"/>
      <c r="DA790" s="78"/>
      <c r="DB790" s="78"/>
      <c r="DC790" s="78"/>
      <c r="DD790" s="78"/>
      <c r="DE790" s="78"/>
      <c r="DF790" s="78"/>
      <c r="DG790" s="78"/>
      <c r="DH790" s="78"/>
      <c r="DI790" s="78"/>
      <c r="DJ790" s="78"/>
      <c r="DK790" s="78"/>
      <c r="DL790" s="78"/>
      <c r="DM790" s="78"/>
      <c r="DN790" s="78"/>
      <c r="DO790" s="78"/>
      <c r="DP790" s="78"/>
      <c r="DQ790" s="78"/>
      <c r="DR790" s="78"/>
      <c r="DS790" s="78"/>
      <c r="DT790" s="78"/>
      <c r="DU790" s="78"/>
      <c r="DV790" s="78"/>
      <c r="DW790" s="78"/>
      <c r="DX790" s="78"/>
      <c r="DY790" s="78"/>
      <c r="DZ790" s="78"/>
      <c r="EA790" s="78"/>
      <c r="EB790" s="78"/>
      <c r="EC790" s="78"/>
      <c r="ED790" s="78"/>
      <c r="EE790" s="78"/>
      <c r="EF790" s="78"/>
      <c r="EG790" s="78"/>
      <c r="EH790" s="78"/>
      <c r="EI790" s="78"/>
      <c r="EJ790" s="78"/>
      <c r="EK790" s="78"/>
      <c r="EL790" s="78"/>
      <c r="EM790" s="78"/>
      <c r="EN790" s="78"/>
      <c r="EO790" s="78"/>
      <c r="EP790" s="78"/>
      <c r="EQ790" s="78"/>
      <c r="ER790" s="78"/>
      <c r="ES790" s="78"/>
      <c r="ET790" s="78"/>
      <c r="EU790" s="78"/>
      <c r="EV790" s="78"/>
      <c r="EW790" s="78"/>
      <c r="EX790" s="78"/>
      <c r="EY790" s="78"/>
      <c r="EZ790" s="78"/>
      <c r="FA790" s="78"/>
      <c r="FB790" s="78"/>
      <c r="FC790" s="78"/>
      <c r="FD790" s="78"/>
      <c r="FE790" s="78"/>
      <c r="FF790" s="78"/>
      <c r="FG790" s="78"/>
      <c r="FH790" s="78"/>
      <c r="FI790" s="78"/>
      <c r="FJ790" s="78"/>
      <c r="FK790" s="78"/>
      <c r="FL790" s="78"/>
      <c r="FM790" s="78"/>
      <c r="FN790" s="78"/>
      <c r="FO790" s="78"/>
      <c r="FP790" s="78"/>
      <c r="FQ790" s="78"/>
      <c r="FR790" s="78"/>
      <c r="FS790" s="78"/>
      <c r="FT790" s="78"/>
      <c r="FU790" s="78"/>
      <c r="FV790" s="78"/>
      <c r="FW790" s="78"/>
      <c r="FX790" s="78"/>
      <c r="FY790" s="78"/>
      <c r="FZ790" s="78"/>
      <c r="GA790" s="78"/>
      <c r="GB790" s="78"/>
      <c r="GC790" s="78"/>
      <c r="GD790" s="78"/>
      <c r="GE790" s="78"/>
      <c r="GF790" s="78"/>
      <c r="GG790" s="78"/>
      <c r="GH790" s="78"/>
      <c r="GI790" s="78"/>
      <c r="GJ790" s="78"/>
      <c r="GK790" s="78"/>
      <c r="GL790" s="78"/>
      <c r="GM790" s="78"/>
      <c r="GN790" s="78"/>
      <c r="GO790" s="78"/>
      <c r="GP790" s="78"/>
      <c r="GQ790" s="78"/>
      <c r="GR790" s="78"/>
      <c r="GS790" s="78"/>
      <c r="GT790" s="78"/>
      <c r="GU790" s="78"/>
      <c r="GV790" s="78"/>
      <c r="GW790" s="78"/>
      <c r="GX790" s="78"/>
      <c r="GY790" s="78"/>
      <c r="GZ790" s="78"/>
      <c r="HA790" s="78"/>
      <c r="HB790" s="78"/>
      <c r="HC790" s="78"/>
      <c r="HD790" s="78"/>
      <c r="HE790" s="78"/>
      <c r="HF790" s="78"/>
      <c r="HG790" s="78"/>
      <c r="HH790" s="78"/>
      <c r="HI790" s="78"/>
      <c r="HJ790" s="78"/>
      <c r="HK790" s="78"/>
      <c r="HL790" s="78"/>
      <c r="HM790" s="78"/>
      <c r="HN790" s="78"/>
      <c r="HO790" s="78"/>
      <c r="HP790" s="78"/>
      <c r="HQ790" s="78"/>
      <c r="HR790" s="78"/>
      <c r="HS790" s="78"/>
      <c r="HT790" s="78"/>
    </row>
    <row r="791" spans="2:4">
      <c r="B791" s="61"/>
      <c r="C791" s="61"/>
      <c r="D791" s="78"/>
    </row>
    <row r="792" spans="2:4">
      <c r="B792" s="61"/>
      <c r="C792" s="61"/>
      <c r="D792" s="78"/>
    </row>
    <row r="793" spans="2:4">
      <c r="B793" s="61"/>
      <c r="C793" s="61"/>
      <c r="D793" s="78"/>
    </row>
    <row r="794" spans="2:4">
      <c r="B794" s="61"/>
      <c r="C794" s="61"/>
      <c r="D794" s="78"/>
    </row>
    <row r="795" spans="2:4">
      <c r="B795" s="61"/>
      <c r="C795" s="61"/>
      <c r="D795" s="78"/>
    </row>
    <row r="796" spans="2:4">
      <c r="B796" s="61"/>
      <c r="C796" s="61"/>
      <c r="D796" s="78"/>
    </row>
    <row r="797" spans="2:4">
      <c r="B797" s="61"/>
      <c r="C797" s="61"/>
      <c r="D797" s="78"/>
    </row>
    <row r="798" spans="2:4">
      <c r="B798" s="61"/>
      <c r="C798" s="61"/>
      <c r="D798" s="78"/>
    </row>
    <row r="799" spans="2:4">
      <c r="B799" s="61"/>
      <c r="C799" s="61"/>
      <c r="D799" s="78"/>
    </row>
  </sheetData>
  <hyperlinks>
    <hyperlink ref="A1" location="'控制器源地址&amp;跳转页面'!A1" display="返回"/>
  </hyperlinks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zoomScale="90" zoomScaleNormal="90" workbookViewId="0">
      <selection activeCell="F1" sqref="F1"/>
    </sheetView>
  </sheetViews>
  <sheetFormatPr defaultColWidth="8.875" defaultRowHeight="13.5" outlineLevelCol="5"/>
  <cols>
    <col min="1" max="2" width="8.25" style="54" customWidth="1"/>
    <col min="3" max="3" width="4.875" style="54" customWidth="1"/>
    <col min="4" max="4" width="43.5" style="55" customWidth="1"/>
    <col min="5" max="5" width="50.625" style="55" customWidth="1"/>
    <col min="6" max="16384" width="8.875" style="55"/>
  </cols>
  <sheetData>
    <row r="1" ht="18" customHeight="1" spans="1:6">
      <c r="A1" s="56" t="s">
        <v>125</v>
      </c>
      <c r="B1" s="56" t="s">
        <v>128</v>
      </c>
      <c r="C1" s="56" t="s">
        <v>129</v>
      </c>
      <c r="D1" s="57" t="s">
        <v>127</v>
      </c>
      <c r="E1" s="58" t="s">
        <v>283</v>
      </c>
      <c r="F1" s="32" t="s">
        <v>436</v>
      </c>
    </row>
    <row r="2" ht="18" customHeight="1" spans="1:5">
      <c r="A2" s="53">
        <v>1</v>
      </c>
      <c r="B2" s="53">
        <v>629</v>
      </c>
      <c r="C2" s="53">
        <v>11</v>
      </c>
      <c r="D2" s="59" t="s">
        <v>3799</v>
      </c>
      <c r="E2" s="59" t="s">
        <v>3800</v>
      </c>
    </row>
    <row r="3" ht="18" customHeight="1" spans="1:5">
      <c r="A3" s="53">
        <v>2</v>
      </c>
      <c r="B3" s="53">
        <v>629</v>
      </c>
      <c r="C3" s="53">
        <v>14</v>
      </c>
      <c r="D3" s="59" t="s">
        <v>3801</v>
      </c>
      <c r="E3" s="59" t="s">
        <v>3802</v>
      </c>
    </row>
    <row r="4" ht="18" customHeight="1" spans="1:5">
      <c r="A4" s="53">
        <v>3</v>
      </c>
      <c r="B4" s="53" t="s">
        <v>3803</v>
      </c>
      <c r="C4" s="53">
        <v>2</v>
      </c>
      <c r="D4" s="59" t="s">
        <v>3804</v>
      </c>
      <c r="E4" s="59" t="s">
        <v>3805</v>
      </c>
    </row>
    <row r="5" ht="18" customHeight="1" spans="1:5">
      <c r="A5" s="53">
        <v>4</v>
      </c>
      <c r="B5" s="53">
        <v>630</v>
      </c>
      <c r="C5" s="53">
        <v>14</v>
      </c>
      <c r="D5" s="59" t="s">
        <v>3806</v>
      </c>
      <c r="E5" s="59" t="s">
        <v>3807</v>
      </c>
    </row>
    <row r="6" ht="18" customHeight="1" spans="1:5">
      <c r="A6" s="53">
        <v>5</v>
      </c>
      <c r="B6" s="53">
        <v>1635</v>
      </c>
      <c r="C6" s="53">
        <v>12</v>
      </c>
      <c r="D6" s="59" t="s">
        <v>3808</v>
      </c>
      <c r="E6" s="59" t="s">
        <v>3809</v>
      </c>
    </row>
    <row r="7" ht="18" customHeight="1" spans="1:5">
      <c r="A7" s="53">
        <v>6</v>
      </c>
      <c r="B7" s="53">
        <v>1635</v>
      </c>
      <c r="C7" s="53">
        <v>2</v>
      </c>
      <c r="D7" s="59" t="s">
        <v>3810</v>
      </c>
      <c r="E7" s="59" t="s">
        <v>3811</v>
      </c>
    </row>
    <row r="8" ht="18" customHeight="1" spans="1:5">
      <c r="A8" s="53">
        <v>7</v>
      </c>
      <c r="B8" s="53">
        <v>630</v>
      </c>
      <c r="C8" s="53">
        <v>11</v>
      </c>
      <c r="D8" s="59" t="s">
        <v>3812</v>
      </c>
      <c r="E8" s="59" t="s">
        <v>3813</v>
      </c>
    </row>
    <row r="9" ht="18" customHeight="1" spans="1:5">
      <c r="A9" s="53">
        <v>8</v>
      </c>
      <c r="B9" s="53">
        <v>630</v>
      </c>
      <c r="C9" s="53">
        <v>13</v>
      </c>
      <c r="D9" s="59" t="s">
        <v>3814</v>
      </c>
      <c r="E9" s="59" t="s">
        <v>3815</v>
      </c>
    </row>
    <row r="10" ht="18" customHeight="1" spans="1:5">
      <c r="A10" s="53">
        <v>9</v>
      </c>
      <c r="B10" s="53">
        <v>629</v>
      </c>
      <c r="C10" s="53">
        <v>12</v>
      </c>
      <c r="D10" s="59" t="s">
        <v>3816</v>
      </c>
      <c r="E10" s="59" t="s">
        <v>3817</v>
      </c>
    </row>
    <row r="11" ht="18" customHeight="1" spans="1:5">
      <c r="A11" s="53">
        <v>10</v>
      </c>
      <c r="B11" s="53">
        <v>629</v>
      </c>
      <c r="C11" s="53">
        <v>10</v>
      </c>
      <c r="D11" s="59" t="s">
        <v>3818</v>
      </c>
      <c r="E11" s="59" t="s">
        <v>3819</v>
      </c>
    </row>
    <row r="12" ht="18" customHeight="1" spans="1:5">
      <c r="A12" s="53">
        <v>11</v>
      </c>
      <c r="B12" s="53">
        <v>234</v>
      </c>
      <c r="C12" s="53">
        <v>12</v>
      </c>
      <c r="D12" s="59" t="s">
        <v>3820</v>
      </c>
      <c r="E12" s="59" t="s">
        <v>3821</v>
      </c>
    </row>
    <row r="13" ht="18" customHeight="1" spans="1:5">
      <c r="A13" s="53">
        <v>12</v>
      </c>
      <c r="B13" s="53">
        <v>234</v>
      </c>
      <c r="C13" s="53">
        <v>1</v>
      </c>
      <c r="D13" s="59" t="s">
        <v>3822</v>
      </c>
      <c r="E13" s="59" t="s">
        <v>3823</v>
      </c>
    </row>
    <row r="14" ht="18" customHeight="1" spans="1:5">
      <c r="A14" s="53">
        <v>13</v>
      </c>
      <c r="B14" s="53">
        <v>234</v>
      </c>
      <c r="C14" s="53">
        <v>2</v>
      </c>
      <c r="D14" s="59" t="s">
        <v>3824</v>
      </c>
      <c r="E14" s="59" t="s">
        <v>3825</v>
      </c>
    </row>
    <row r="15" ht="18" customHeight="1" spans="1:5">
      <c r="A15" s="53">
        <v>14</v>
      </c>
      <c r="B15" s="53">
        <v>630</v>
      </c>
      <c r="C15" s="53">
        <v>12</v>
      </c>
      <c r="D15" s="59" t="s">
        <v>3826</v>
      </c>
      <c r="E15" s="59" t="s">
        <v>3827</v>
      </c>
    </row>
    <row r="16" ht="18" customHeight="1" spans="1:5">
      <c r="A16" s="53">
        <v>15</v>
      </c>
      <c r="B16" s="53">
        <v>630</v>
      </c>
      <c r="C16" s="53">
        <v>2</v>
      </c>
      <c r="D16" s="59" t="s">
        <v>3828</v>
      </c>
      <c r="E16" s="59" t="s">
        <v>3829</v>
      </c>
    </row>
    <row r="17" ht="18" customHeight="1" spans="1:5">
      <c r="A17" s="53">
        <v>16</v>
      </c>
      <c r="B17" s="53">
        <v>1827</v>
      </c>
      <c r="C17" s="53">
        <v>11</v>
      </c>
      <c r="D17" s="59" t="s">
        <v>3830</v>
      </c>
      <c r="E17" s="59" t="s">
        <v>3831</v>
      </c>
    </row>
    <row r="18" ht="18" customHeight="1" spans="1:5">
      <c r="A18" s="53">
        <v>17</v>
      </c>
      <c r="B18" s="53">
        <v>627</v>
      </c>
      <c r="C18" s="53">
        <v>3</v>
      </c>
      <c r="D18" s="59" t="s">
        <v>3832</v>
      </c>
      <c r="E18" s="59" t="s">
        <v>3833</v>
      </c>
    </row>
    <row r="19" ht="18" customHeight="1" spans="1:5">
      <c r="A19" s="53">
        <v>18</v>
      </c>
      <c r="B19" s="53">
        <v>627</v>
      </c>
      <c r="C19" s="53">
        <v>4</v>
      </c>
      <c r="D19" s="59" t="s">
        <v>3834</v>
      </c>
      <c r="E19" s="59" t="s">
        <v>3835</v>
      </c>
    </row>
    <row r="20" ht="18" customHeight="1" spans="1:5">
      <c r="A20" s="53">
        <v>19</v>
      </c>
      <c r="B20" s="53">
        <v>627</v>
      </c>
      <c r="C20" s="53">
        <v>5</v>
      </c>
      <c r="D20" s="59" t="s">
        <v>3836</v>
      </c>
      <c r="E20" s="59" t="s">
        <v>3837</v>
      </c>
    </row>
    <row r="21" ht="18" customHeight="1" spans="1:5">
      <c r="A21" s="53">
        <v>20</v>
      </c>
      <c r="B21" s="53">
        <v>3509</v>
      </c>
      <c r="C21" s="53">
        <v>13</v>
      </c>
      <c r="D21" s="59" t="s">
        <v>3838</v>
      </c>
      <c r="E21" s="59" t="s">
        <v>3839</v>
      </c>
    </row>
    <row r="22" ht="18" customHeight="1" spans="1:5">
      <c r="A22" s="53">
        <v>21</v>
      </c>
      <c r="B22" s="53">
        <v>3509</v>
      </c>
      <c r="C22" s="53">
        <v>4</v>
      </c>
      <c r="D22" s="59" t="s">
        <v>3840</v>
      </c>
      <c r="E22" s="59" t="s">
        <v>3841</v>
      </c>
    </row>
    <row r="23" ht="18" customHeight="1" spans="1:5">
      <c r="A23" s="53">
        <v>22</v>
      </c>
      <c r="B23" s="53">
        <v>3509</v>
      </c>
      <c r="C23" s="53">
        <v>3</v>
      </c>
      <c r="D23" s="59" t="s">
        <v>3842</v>
      </c>
      <c r="E23" s="59" t="s">
        <v>3843</v>
      </c>
    </row>
    <row r="24" ht="18" customHeight="1" spans="1:5">
      <c r="A24" s="53">
        <v>23</v>
      </c>
      <c r="B24" s="53">
        <v>639</v>
      </c>
      <c r="C24" s="53">
        <v>11</v>
      </c>
      <c r="D24" s="59" t="s">
        <v>3844</v>
      </c>
      <c r="E24" s="59" t="s">
        <v>3845</v>
      </c>
    </row>
    <row r="25" ht="18" customHeight="1" spans="1:5">
      <c r="A25" s="53">
        <v>24</v>
      </c>
      <c r="B25" s="53">
        <v>523860</v>
      </c>
      <c r="C25" s="53">
        <v>19</v>
      </c>
      <c r="D25" s="59" t="s">
        <v>3846</v>
      </c>
      <c r="E25" s="59" t="s">
        <v>3847</v>
      </c>
    </row>
    <row r="26" ht="18" customHeight="1" spans="1:5">
      <c r="A26" s="53">
        <v>25</v>
      </c>
      <c r="B26" s="53">
        <v>523861</v>
      </c>
      <c r="C26" s="53">
        <v>19</v>
      </c>
      <c r="D26" s="59" t="s">
        <v>3848</v>
      </c>
      <c r="E26" s="59" t="s">
        <v>3849</v>
      </c>
    </row>
    <row r="27" ht="18" customHeight="1" spans="1:5">
      <c r="A27" s="53">
        <v>26</v>
      </c>
      <c r="B27" s="53">
        <v>523862</v>
      </c>
      <c r="C27" s="53">
        <v>19</v>
      </c>
      <c r="D27" s="59" t="s">
        <v>3850</v>
      </c>
      <c r="E27" s="59" t="s">
        <v>3851</v>
      </c>
    </row>
    <row r="28" ht="18" customHeight="1" spans="1:5">
      <c r="A28" s="53">
        <v>27</v>
      </c>
      <c r="B28" s="53">
        <v>523863</v>
      </c>
      <c r="C28" s="53">
        <v>19</v>
      </c>
      <c r="D28" s="59" t="s">
        <v>3852</v>
      </c>
      <c r="E28" s="59" t="s">
        <v>3853</v>
      </c>
    </row>
    <row r="29" ht="18" customHeight="1" spans="1:5">
      <c r="A29" s="53">
        <v>28</v>
      </c>
      <c r="B29" s="53">
        <v>523864</v>
      </c>
      <c r="C29" s="53">
        <v>19</v>
      </c>
      <c r="D29" s="59" t="s">
        <v>3854</v>
      </c>
      <c r="E29" s="59" t="s">
        <v>3855</v>
      </c>
    </row>
    <row r="30" ht="18" customHeight="1" spans="1:5">
      <c r="A30" s="53">
        <v>29</v>
      </c>
      <c r="B30" s="53">
        <v>523865</v>
      </c>
      <c r="C30" s="53">
        <v>19</v>
      </c>
      <c r="D30" s="59" t="s">
        <v>3856</v>
      </c>
      <c r="E30" s="59" t="s">
        <v>3857</v>
      </c>
    </row>
    <row r="31" ht="18" customHeight="1" spans="1:5">
      <c r="A31" s="53">
        <v>30</v>
      </c>
      <c r="B31" s="53">
        <v>523866</v>
      </c>
      <c r="C31" s="53">
        <v>19</v>
      </c>
      <c r="D31" s="59" t="s">
        <v>3858</v>
      </c>
      <c r="E31" s="59" t="s">
        <v>3859</v>
      </c>
    </row>
    <row r="32" ht="18" customHeight="1" spans="1:5">
      <c r="A32" s="53">
        <v>31</v>
      </c>
      <c r="B32" s="53">
        <v>523867</v>
      </c>
      <c r="C32" s="53">
        <v>19</v>
      </c>
      <c r="D32" s="59" t="s">
        <v>3860</v>
      </c>
      <c r="E32" s="59" t="s">
        <v>3861</v>
      </c>
    </row>
    <row r="33" ht="18" customHeight="1" spans="1:5">
      <c r="A33" s="53">
        <v>32</v>
      </c>
      <c r="B33" s="53">
        <v>523868</v>
      </c>
      <c r="C33" s="53">
        <v>19</v>
      </c>
      <c r="D33" s="59" t="s">
        <v>3862</v>
      </c>
      <c r="E33" s="59" t="s">
        <v>3863</v>
      </c>
    </row>
    <row r="34" ht="18" customHeight="1" spans="1:5">
      <c r="A34" s="53">
        <v>33</v>
      </c>
      <c r="B34" s="53">
        <v>523869</v>
      </c>
      <c r="C34" s="53">
        <v>19</v>
      </c>
      <c r="D34" s="59" t="s">
        <v>3864</v>
      </c>
      <c r="E34" s="59" t="s">
        <v>3865</v>
      </c>
    </row>
    <row r="35" ht="18" customHeight="1" spans="1:5">
      <c r="A35" s="53">
        <v>34</v>
      </c>
      <c r="B35" s="53">
        <v>523870</v>
      </c>
      <c r="C35" s="53">
        <v>19</v>
      </c>
      <c r="D35" s="59" t="s">
        <v>3866</v>
      </c>
      <c r="E35" s="59" t="s">
        <v>3867</v>
      </c>
    </row>
    <row r="36" ht="18" customHeight="1" spans="1:5">
      <c r="A36" s="53">
        <v>35</v>
      </c>
      <c r="B36" s="53">
        <v>523871</v>
      </c>
      <c r="C36" s="53">
        <v>19</v>
      </c>
      <c r="D36" s="59" t="s">
        <v>3868</v>
      </c>
      <c r="E36" s="59" t="s">
        <v>3869</v>
      </c>
    </row>
    <row r="37" ht="18" customHeight="1" spans="1:5">
      <c r="A37" s="53">
        <v>36</v>
      </c>
      <c r="B37" s="53">
        <v>1066</v>
      </c>
      <c r="C37" s="53">
        <v>11</v>
      </c>
      <c r="D37" s="59" t="s">
        <v>3870</v>
      </c>
      <c r="E37" s="59" t="s">
        <v>3871</v>
      </c>
    </row>
    <row r="38" ht="18" customHeight="1" spans="1:5">
      <c r="A38" s="53">
        <v>37</v>
      </c>
      <c r="B38" s="53">
        <v>701</v>
      </c>
      <c r="C38" s="53">
        <v>4</v>
      </c>
      <c r="D38" s="59" t="s">
        <v>3872</v>
      </c>
      <c r="E38" s="59" t="s">
        <v>3873</v>
      </c>
    </row>
    <row r="39" ht="18" customHeight="1" spans="1:5">
      <c r="A39" s="53">
        <v>38</v>
      </c>
      <c r="B39" s="53">
        <v>701</v>
      </c>
      <c r="C39" s="53">
        <v>3</v>
      </c>
      <c r="D39" s="59" t="s">
        <v>3874</v>
      </c>
      <c r="E39" s="59" t="s">
        <v>3875</v>
      </c>
    </row>
    <row r="40" ht="18" customHeight="1" spans="1:5">
      <c r="A40" s="53">
        <v>39</v>
      </c>
      <c r="B40" s="53">
        <v>701</v>
      </c>
      <c r="C40" s="53">
        <v>5</v>
      </c>
      <c r="D40" s="59" t="s">
        <v>3876</v>
      </c>
      <c r="E40" s="59" t="s">
        <v>3877</v>
      </c>
    </row>
    <row r="41" ht="18" customHeight="1" spans="1:5">
      <c r="A41" s="53">
        <v>40</v>
      </c>
      <c r="B41" s="53">
        <v>701</v>
      </c>
      <c r="C41" s="53">
        <v>6</v>
      </c>
      <c r="D41" s="59" t="s">
        <v>3878</v>
      </c>
      <c r="E41" s="59" t="s">
        <v>3879</v>
      </c>
    </row>
    <row r="42" ht="18" customHeight="1" spans="1:5">
      <c r="A42" s="53">
        <v>41</v>
      </c>
      <c r="B42" s="53">
        <v>701</v>
      </c>
      <c r="C42" s="53">
        <v>1</v>
      </c>
      <c r="D42" s="59" t="s">
        <v>3880</v>
      </c>
      <c r="E42" s="59" t="s">
        <v>3881</v>
      </c>
    </row>
    <row r="43" ht="18" customHeight="1" spans="1:5">
      <c r="A43" s="53">
        <v>42</v>
      </c>
      <c r="B43" s="53">
        <v>702</v>
      </c>
      <c r="C43" s="53">
        <v>4</v>
      </c>
      <c r="D43" s="59" t="s">
        <v>3882</v>
      </c>
      <c r="E43" s="59" t="s">
        <v>3883</v>
      </c>
    </row>
    <row r="44" ht="18" customHeight="1" spans="1:5">
      <c r="A44" s="53">
        <v>43</v>
      </c>
      <c r="B44" s="53">
        <v>702</v>
      </c>
      <c r="C44" s="53">
        <v>3</v>
      </c>
      <c r="D44" s="59" t="s">
        <v>3884</v>
      </c>
      <c r="E44" s="59" t="s">
        <v>3885</v>
      </c>
    </row>
    <row r="45" ht="18" customHeight="1" spans="1:5">
      <c r="A45" s="53">
        <v>44</v>
      </c>
      <c r="B45" s="53">
        <v>702</v>
      </c>
      <c r="C45" s="53">
        <v>5</v>
      </c>
      <c r="D45" s="59" t="s">
        <v>3886</v>
      </c>
      <c r="E45" s="59" t="s">
        <v>3887</v>
      </c>
    </row>
    <row r="46" ht="18" customHeight="1" spans="1:5">
      <c r="A46" s="53">
        <v>45</v>
      </c>
      <c r="B46" s="53">
        <v>702</v>
      </c>
      <c r="C46" s="53">
        <v>6</v>
      </c>
      <c r="D46" s="59" t="s">
        <v>3888</v>
      </c>
      <c r="E46" s="59" t="s">
        <v>3889</v>
      </c>
    </row>
    <row r="47" ht="18" customHeight="1" spans="1:5">
      <c r="A47" s="53">
        <v>46</v>
      </c>
      <c r="B47" s="53">
        <v>702</v>
      </c>
      <c r="C47" s="53">
        <v>1</v>
      </c>
      <c r="D47" s="59" t="s">
        <v>3890</v>
      </c>
      <c r="E47" s="59" t="s">
        <v>3891</v>
      </c>
    </row>
    <row r="48" ht="18" customHeight="1" spans="1:5">
      <c r="A48" s="53">
        <v>47</v>
      </c>
      <c r="B48" s="53">
        <v>713</v>
      </c>
      <c r="C48" s="53">
        <v>4</v>
      </c>
      <c r="D48" s="59" t="s">
        <v>3892</v>
      </c>
      <c r="E48" s="59" t="s">
        <v>3893</v>
      </c>
    </row>
    <row r="49" ht="18" customHeight="1" spans="1:5">
      <c r="A49" s="53">
        <v>48</v>
      </c>
      <c r="B49" s="53">
        <v>713</v>
      </c>
      <c r="C49" s="53">
        <v>3</v>
      </c>
      <c r="D49" s="59" t="s">
        <v>3894</v>
      </c>
      <c r="E49" s="59" t="s">
        <v>3895</v>
      </c>
    </row>
    <row r="50" ht="18" customHeight="1" spans="1:5">
      <c r="A50" s="53">
        <v>49</v>
      </c>
      <c r="B50" s="53">
        <v>713</v>
      </c>
      <c r="C50" s="53">
        <v>5</v>
      </c>
      <c r="D50" s="59" t="s">
        <v>3896</v>
      </c>
      <c r="E50" s="59" t="s">
        <v>3897</v>
      </c>
    </row>
    <row r="51" ht="18" customHeight="1" spans="1:5">
      <c r="A51" s="53">
        <v>50</v>
      </c>
      <c r="B51" s="53">
        <v>713</v>
      </c>
      <c r="C51" s="53">
        <v>6</v>
      </c>
      <c r="D51" s="59" t="s">
        <v>3898</v>
      </c>
      <c r="E51" s="59" t="s">
        <v>3899</v>
      </c>
    </row>
    <row r="52" ht="18" customHeight="1" spans="1:5">
      <c r="A52" s="53">
        <v>51</v>
      </c>
      <c r="B52" s="53">
        <v>713</v>
      </c>
      <c r="C52" s="53">
        <v>1</v>
      </c>
      <c r="D52" s="59" t="s">
        <v>3900</v>
      </c>
      <c r="E52" s="59" t="s">
        <v>3901</v>
      </c>
    </row>
    <row r="53" ht="18" customHeight="1" spans="1:5">
      <c r="A53" s="53">
        <v>52</v>
      </c>
      <c r="B53" s="53">
        <v>3840</v>
      </c>
      <c r="C53" s="53">
        <v>11</v>
      </c>
      <c r="D53" s="59" t="s">
        <v>3902</v>
      </c>
      <c r="E53" s="59" t="s">
        <v>3903</v>
      </c>
    </row>
    <row r="54" ht="18" customHeight="1" spans="1:5">
      <c r="A54" s="53">
        <v>53</v>
      </c>
      <c r="B54" s="53">
        <v>3840</v>
      </c>
      <c r="C54" s="53">
        <v>13</v>
      </c>
      <c r="D54" s="59" t="s">
        <v>3904</v>
      </c>
      <c r="E54" s="59" t="s">
        <v>3905</v>
      </c>
    </row>
    <row r="55" ht="18" customHeight="1" spans="1:5">
      <c r="A55" s="53">
        <v>54</v>
      </c>
      <c r="B55" s="53">
        <v>3840</v>
      </c>
      <c r="C55" s="53">
        <v>12</v>
      </c>
      <c r="D55" s="59" t="s">
        <v>3906</v>
      </c>
      <c r="E55" s="59" t="s">
        <v>3907</v>
      </c>
    </row>
    <row r="56" ht="18" customHeight="1" spans="1:5">
      <c r="A56" s="53">
        <v>55</v>
      </c>
      <c r="B56" s="53">
        <v>3841</v>
      </c>
      <c r="C56" s="53">
        <v>11</v>
      </c>
      <c r="D56" s="59" t="s">
        <v>3908</v>
      </c>
      <c r="E56" s="59" t="s">
        <v>3909</v>
      </c>
    </row>
    <row r="57" ht="18" customHeight="1" spans="1:5">
      <c r="A57" s="53">
        <v>56</v>
      </c>
      <c r="B57" s="53">
        <v>3841</v>
      </c>
      <c r="C57" s="53">
        <v>13</v>
      </c>
      <c r="D57" s="59" t="s">
        <v>3910</v>
      </c>
      <c r="E57" s="59" t="s">
        <v>3911</v>
      </c>
    </row>
    <row r="58" ht="18" customHeight="1" spans="1:5">
      <c r="A58" s="53">
        <v>57</v>
      </c>
      <c r="B58" s="53">
        <v>3841</v>
      </c>
      <c r="C58" s="53">
        <v>12</v>
      </c>
      <c r="D58" s="59" t="s">
        <v>3912</v>
      </c>
      <c r="E58" s="59" t="s">
        <v>3913</v>
      </c>
    </row>
    <row r="59" ht="18" customHeight="1" spans="1:5">
      <c r="A59" s="53">
        <v>58</v>
      </c>
      <c r="B59" s="53">
        <v>523880</v>
      </c>
      <c r="C59" s="53">
        <v>2</v>
      </c>
      <c r="D59" s="59" t="s">
        <v>3914</v>
      </c>
      <c r="E59" s="59" t="s">
        <v>3915</v>
      </c>
    </row>
    <row r="60" ht="18" customHeight="1" spans="1:5">
      <c r="A60" s="53">
        <v>59</v>
      </c>
      <c r="B60" s="53">
        <v>3039</v>
      </c>
      <c r="C60" s="53">
        <v>31</v>
      </c>
      <c r="D60" s="59" t="s">
        <v>3916</v>
      </c>
      <c r="E60" s="59" t="s">
        <v>3917</v>
      </c>
    </row>
    <row r="61" ht="18" customHeight="1" spans="1:5">
      <c r="A61" s="53">
        <v>60</v>
      </c>
      <c r="B61" s="53">
        <v>1742</v>
      </c>
      <c r="C61" s="53">
        <v>31</v>
      </c>
      <c r="D61" s="59" t="s">
        <v>3916</v>
      </c>
      <c r="E61" s="59" t="s">
        <v>3918</v>
      </c>
    </row>
    <row r="62" ht="18" customHeight="1" spans="1:5">
      <c r="A62" s="53">
        <v>61</v>
      </c>
      <c r="B62" s="53">
        <v>1753</v>
      </c>
      <c r="C62" s="53">
        <v>31</v>
      </c>
      <c r="D62" s="59" t="s">
        <v>3916</v>
      </c>
      <c r="E62" s="59" t="s">
        <v>3919</v>
      </c>
    </row>
    <row r="63" ht="18" customHeight="1" spans="1:5">
      <c r="A63" s="53">
        <v>62</v>
      </c>
      <c r="B63" s="53">
        <v>1741</v>
      </c>
      <c r="C63" s="53">
        <v>15</v>
      </c>
      <c r="D63" s="59" t="s">
        <v>3916</v>
      </c>
      <c r="E63" s="59" t="s">
        <v>3920</v>
      </c>
    </row>
    <row r="64" ht="18" customHeight="1" spans="1:5">
      <c r="A64" s="53">
        <v>63</v>
      </c>
      <c r="B64" s="53">
        <v>521121</v>
      </c>
      <c r="C64" s="53">
        <v>15</v>
      </c>
      <c r="D64" s="59" t="s">
        <v>3921</v>
      </c>
      <c r="E64" s="59" t="s">
        <v>3922</v>
      </c>
    </row>
    <row r="65" ht="18" customHeight="1" spans="1:5">
      <c r="A65" s="53">
        <v>65</v>
      </c>
      <c r="B65" s="53">
        <v>521122</v>
      </c>
      <c r="C65" s="53">
        <v>15</v>
      </c>
      <c r="D65" s="59" t="s">
        <v>3923</v>
      </c>
      <c r="E65" s="59" t="s">
        <v>3924</v>
      </c>
    </row>
  </sheetData>
  <hyperlinks>
    <hyperlink ref="F1" location="'控制器源地址&amp;跳转页面'!A1" display="返回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workbookViewId="0">
      <selection activeCell="A1" sqref="A1:E1"/>
    </sheetView>
  </sheetViews>
  <sheetFormatPr defaultColWidth="9" defaultRowHeight="13.5" outlineLevelCol="4"/>
  <cols>
    <col min="1" max="1" width="8.875" style="52"/>
    <col min="2" max="2" width="31.5" style="52" customWidth="1"/>
    <col min="3" max="3" width="7.5" style="52" customWidth="1"/>
    <col min="4" max="4" width="4.875" style="52" customWidth="1"/>
    <col min="5" max="5" width="50.125" style="52" customWidth="1"/>
  </cols>
  <sheetData>
    <row r="1" spans="1:5">
      <c r="A1" s="30" t="s">
        <v>3925</v>
      </c>
      <c r="B1" s="30" t="s">
        <v>127</v>
      </c>
      <c r="C1" s="30" t="s">
        <v>128</v>
      </c>
      <c r="D1" s="31" t="s">
        <v>129</v>
      </c>
      <c r="E1" s="31" t="s">
        <v>3926</v>
      </c>
    </row>
    <row r="2" spans="1:5">
      <c r="A2" s="53">
        <v>1</v>
      </c>
      <c r="B2" s="53" t="s">
        <v>3927</v>
      </c>
      <c r="C2" s="53">
        <v>274430</v>
      </c>
      <c r="D2" s="53">
        <v>11</v>
      </c>
      <c r="E2" s="53" t="s">
        <v>3928</v>
      </c>
    </row>
    <row r="3" spans="1:5">
      <c r="A3" s="53">
        <v>2</v>
      </c>
      <c r="B3" s="53" t="s">
        <v>3929</v>
      </c>
      <c r="C3" s="53">
        <v>274430</v>
      </c>
      <c r="D3" s="53">
        <v>2</v>
      </c>
      <c r="E3" s="53" t="s">
        <v>3930</v>
      </c>
    </row>
    <row r="4" spans="1:5">
      <c r="A4" s="53">
        <v>3</v>
      </c>
      <c r="B4" s="53" t="s">
        <v>3931</v>
      </c>
      <c r="C4" s="53">
        <v>274222</v>
      </c>
      <c r="D4" s="53">
        <v>3</v>
      </c>
      <c r="E4" s="53" t="s">
        <v>3932</v>
      </c>
    </row>
    <row r="5" spans="1:5">
      <c r="A5" s="53">
        <v>4</v>
      </c>
      <c r="B5" s="53" t="s">
        <v>3933</v>
      </c>
      <c r="C5" s="53">
        <v>274210</v>
      </c>
      <c r="D5" s="53">
        <v>3</v>
      </c>
      <c r="E5" s="53" t="s">
        <v>3934</v>
      </c>
    </row>
    <row r="6" spans="1:5">
      <c r="A6" s="53">
        <v>5</v>
      </c>
      <c r="B6" s="53" t="s">
        <v>3935</v>
      </c>
      <c r="C6" s="53">
        <v>274210</v>
      </c>
      <c r="D6" s="53">
        <v>6</v>
      </c>
      <c r="E6" s="53" t="s">
        <v>3936</v>
      </c>
    </row>
    <row r="7" spans="1:5">
      <c r="A7" s="53">
        <v>6</v>
      </c>
      <c r="B7" s="53" t="s">
        <v>3937</v>
      </c>
      <c r="C7" s="53">
        <v>274223</v>
      </c>
      <c r="D7" s="53">
        <v>3</v>
      </c>
      <c r="E7" s="53" t="s">
        <v>3938</v>
      </c>
    </row>
    <row r="8" spans="1:5">
      <c r="A8" s="53">
        <v>7</v>
      </c>
      <c r="B8" s="53" t="s">
        <v>3939</v>
      </c>
      <c r="C8" s="53">
        <v>274224</v>
      </c>
      <c r="D8" s="53">
        <v>3</v>
      </c>
      <c r="E8" s="53" t="s">
        <v>3940</v>
      </c>
    </row>
    <row r="9" spans="1:5">
      <c r="A9" s="53">
        <v>8</v>
      </c>
      <c r="B9" s="53" t="s">
        <v>3941</v>
      </c>
      <c r="C9" s="53">
        <v>274192</v>
      </c>
      <c r="D9" s="53">
        <v>6</v>
      </c>
      <c r="E9" s="53" t="s">
        <v>3942</v>
      </c>
    </row>
    <row r="10" spans="1:5">
      <c r="A10" s="53">
        <v>9</v>
      </c>
      <c r="B10" s="53" t="s">
        <v>3943</v>
      </c>
      <c r="C10" s="53">
        <v>274192</v>
      </c>
      <c r="D10" s="53">
        <v>5</v>
      </c>
      <c r="E10" s="53" t="s">
        <v>3944</v>
      </c>
    </row>
    <row r="11" spans="1:5">
      <c r="A11" s="53">
        <v>10</v>
      </c>
      <c r="B11" s="53" t="s">
        <v>3945</v>
      </c>
      <c r="C11" s="53">
        <v>274192</v>
      </c>
      <c r="D11" s="53">
        <v>4</v>
      </c>
      <c r="E11" s="53" t="s">
        <v>3946</v>
      </c>
    </row>
    <row r="12" spans="1:5">
      <c r="A12" s="53">
        <v>11</v>
      </c>
      <c r="B12" s="53" t="s">
        <v>3947</v>
      </c>
      <c r="C12" s="53">
        <v>274195</v>
      </c>
      <c r="D12" s="53">
        <v>6</v>
      </c>
      <c r="E12" s="53" t="s">
        <v>3948</v>
      </c>
    </row>
    <row r="13" spans="1:5">
      <c r="A13" s="53">
        <v>12</v>
      </c>
      <c r="B13" s="53" t="s">
        <v>3949</v>
      </c>
      <c r="C13" s="53">
        <v>274195</v>
      </c>
      <c r="D13" s="53">
        <v>5</v>
      </c>
      <c r="E13" s="53" t="s">
        <v>3950</v>
      </c>
    </row>
    <row r="14" spans="1:5">
      <c r="A14" s="53">
        <v>13</v>
      </c>
      <c r="B14" s="53" t="s">
        <v>3951</v>
      </c>
      <c r="C14" s="53">
        <v>274195</v>
      </c>
      <c r="D14" s="53">
        <v>4</v>
      </c>
      <c r="E14" s="53" t="s">
        <v>3952</v>
      </c>
    </row>
    <row r="15" spans="1:5">
      <c r="A15" s="53">
        <v>14</v>
      </c>
      <c r="B15" s="53" t="s">
        <v>3953</v>
      </c>
      <c r="C15" s="53">
        <v>274194</v>
      </c>
      <c r="D15" s="53">
        <v>6</v>
      </c>
      <c r="E15" s="53" t="s">
        <v>3954</v>
      </c>
    </row>
    <row r="16" spans="1:5">
      <c r="A16" s="53">
        <v>15</v>
      </c>
      <c r="B16" s="53" t="s">
        <v>3955</v>
      </c>
      <c r="C16" s="53">
        <v>274194</v>
      </c>
      <c r="D16" s="53">
        <v>5</v>
      </c>
      <c r="E16" s="53" t="s">
        <v>3956</v>
      </c>
    </row>
    <row r="17" spans="1:5">
      <c r="A17" s="53">
        <v>16</v>
      </c>
      <c r="B17" s="53" t="s">
        <v>3957</v>
      </c>
      <c r="C17" s="53">
        <v>274194</v>
      </c>
      <c r="D17" s="53">
        <v>4</v>
      </c>
      <c r="E17" s="53" t="s">
        <v>3958</v>
      </c>
    </row>
    <row r="18" spans="1:5">
      <c r="A18" s="53">
        <v>17</v>
      </c>
      <c r="B18" s="53" t="s">
        <v>3959</v>
      </c>
      <c r="C18" s="53">
        <v>274198</v>
      </c>
      <c r="D18" s="53">
        <v>6</v>
      </c>
      <c r="E18" s="53" t="s">
        <v>3960</v>
      </c>
    </row>
    <row r="19" spans="1:5">
      <c r="A19" s="53">
        <v>18</v>
      </c>
      <c r="B19" s="53" t="s">
        <v>3961</v>
      </c>
      <c r="C19" s="53">
        <v>274198</v>
      </c>
      <c r="D19" s="53">
        <v>3</v>
      </c>
      <c r="E19" s="53" t="s">
        <v>3962</v>
      </c>
    </row>
    <row r="20" spans="1:5">
      <c r="A20" s="53">
        <v>19</v>
      </c>
      <c r="B20" s="53" t="s">
        <v>3963</v>
      </c>
      <c r="C20" s="53">
        <v>274198</v>
      </c>
      <c r="D20" s="53">
        <v>5</v>
      </c>
      <c r="E20" s="53" t="s">
        <v>3964</v>
      </c>
    </row>
    <row r="21" spans="1:5">
      <c r="A21" s="53">
        <v>20</v>
      </c>
      <c r="B21" s="53" t="s">
        <v>3965</v>
      </c>
      <c r="C21" s="53">
        <v>274201</v>
      </c>
      <c r="D21" s="53">
        <v>6</v>
      </c>
      <c r="E21" s="53" t="s">
        <v>3966</v>
      </c>
    </row>
    <row r="22" spans="1:5">
      <c r="A22" s="53">
        <v>21</v>
      </c>
      <c r="B22" s="53" t="s">
        <v>3967</v>
      </c>
      <c r="C22" s="53">
        <v>274201</v>
      </c>
      <c r="D22" s="53">
        <v>3</v>
      </c>
      <c r="E22" s="53" t="s">
        <v>3968</v>
      </c>
    </row>
    <row r="23" spans="1:5">
      <c r="A23" s="53">
        <v>22</v>
      </c>
      <c r="B23" s="53" t="s">
        <v>3969</v>
      </c>
      <c r="C23" s="53">
        <v>274201</v>
      </c>
      <c r="D23" s="53">
        <v>5</v>
      </c>
      <c r="E23" s="53" t="s">
        <v>3970</v>
      </c>
    </row>
    <row r="24" spans="1:5">
      <c r="A24" s="53">
        <v>23</v>
      </c>
      <c r="B24" s="53" t="s">
        <v>3971</v>
      </c>
      <c r="C24" s="53">
        <v>274200</v>
      </c>
      <c r="D24" s="53">
        <v>6</v>
      </c>
      <c r="E24" s="53" t="s">
        <v>3972</v>
      </c>
    </row>
    <row r="25" spans="1:5">
      <c r="A25" s="53">
        <v>24</v>
      </c>
      <c r="B25" s="53" t="s">
        <v>3973</v>
      </c>
      <c r="C25" s="53">
        <v>274200</v>
      </c>
      <c r="D25" s="53">
        <v>3</v>
      </c>
      <c r="E25" s="53" t="s">
        <v>3974</v>
      </c>
    </row>
    <row r="26" spans="1:5">
      <c r="A26" s="53">
        <v>25</v>
      </c>
      <c r="B26" s="53" t="s">
        <v>3975</v>
      </c>
      <c r="C26" s="53">
        <v>274200</v>
      </c>
      <c r="D26" s="53">
        <v>5</v>
      </c>
      <c r="E26" s="53" t="s">
        <v>3976</v>
      </c>
    </row>
    <row r="27" spans="1:5">
      <c r="A27" s="53">
        <v>26</v>
      </c>
      <c r="B27" s="53" t="s">
        <v>3977</v>
      </c>
      <c r="C27" s="53">
        <v>274203</v>
      </c>
      <c r="D27" s="53">
        <v>6</v>
      </c>
      <c r="E27" s="53" t="s">
        <v>3978</v>
      </c>
    </row>
    <row r="28" spans="1:5">
      <c r="A28" s="53">
        <v>27</v>
      </c>
      <c r="B28" s="53" t="s">
        <v>3979</v>
      </c>
      <c r="C28" s="53">
        <v>274203</v>
      </c>
      <c r="D28" s="53">
        <v>3</v>
      </c>
      <c r="E28" s="53" t="s">
        <v>3980</v>
      </c>
    </row>
    <row r="29" spans="1:5">
      <c r="A29" s="53">
        <v>28</v>
      </c>
      <c r="B29" s="53" t="s">
        <v>3981</v>
      </c>
      <c r="C29" s="53">
        <v>274203</v>
      </c>
      <c r="D29" s="53">
        <v>5</v>
      </c>
      <c r="E29" s="53" t="s">
        <v>3982</v>
      </c>
    </row>
    <row r="30" spans="1:5">
      <c r="A30" s="53">
        <v>29</v>
      </c>
      <c r="B30" s="53" t="s">
        <v>3983</v>
      </c>
      <c r="C30" s="53">
        <v>274202</v>
      </c>
      <c r="D30" s="53">
        <v>6</v>
      </c>
      <c r="E30" s="53" t="s">
        <v>3984</v>
      </c>
    </row>
    <row r="31" spans="1:5">
      <c r="A31" s="53">
        <v>30</v>
      </c>
      <c r="B31" s="53" t="s">
        <v>3985</v>
      </c>
      <c r="C31" s="53">
        <v>274202</v>
      </c>
      <c r="D31" s="53">
        <v>3</v>
      </c>
      <c r="E31" s="53" t="s">
        <v>3986</v>
      </c>
    </row>
    <row r="32" spans="1:5">
      <c r="A32" s="53">
        <v>31</v>
      </c>
      <c r="B32" s="53" t="s">
        <v>3987</v>
      </c>
      <c r="C32" s="53">
        <v>274202</v>
      </c>
      <c r="D32" s="53">
        <v>5</v>
      </c>
      <c r="E32" s="53" t="s">
        <v>3988</v>
      </c>
    </row>
    <row r="33" spans="1:5">
      <c r="A33" s="53">
        <v>32</v>
      </c>
      <c r="B33" s="53" t="s">
        <v>3989</v>
      </c>
      <c r="C33" s="53">
        <v>274204</v>
      </c>
      <c r="D33" s="53">
        <v>6</v>
      </c>
      <c r="E33" s="53" t="s">
        <v>3990</v>
      </c>
    </row>
    <row r="34" spans="1:5">
      <c r="A34" s="53">
        <v>33</v>
      </c>
      <c r="B34" s="53" t="s">
        <v>3991</v>
      </c>
      <c r="C34" s="53">
        <v>274204</v>
      </c>
      <c r="D34" s="53">
        <v>3</v>
      </c>
      <c r="E34" s="53" t="s">
        <v>3992</v>
      </c>
    </row>
    <row r="35" spans="1:5">
      <c r="A35" s="53">
        <v>34</v>
      </c>
      <c r="B35" s="53" t="s">
        <v>3993</v>
      </c>
      <c r="C35" s="53">
        <v>274204</v>
      </c>
      <c r="D35" s="53">
        <v>5</v>
      </c>
      <c r="E35" s="53" t="s">
        <v>3994</v>
      </c>
    </row>
    <row r="36" spans="1:5">
      <c r="A36" s="53">
        <v>35</v>
      </c>
      <c r="B36" s="53" t="s">
        <v>3995</v>
      </c>
      <c r="C36" s="53">
        <v>274177</v>
      </c>
      <c r="D36" s="53">
        <v>6</v>
      </c>
      <c r="E36" s="53" t="s">
        <v>3996</v>
      </c>
    </row>
    <row r="37" spans="1:5">
      <c r="A37" s="53">
        <v>36</v>
      </c>
      <c r="B37" s="53" t="s">
        <v>3997</v>
      </c>
      <c r="C37" s="53">
        <v>274177</v>
      </c>
      <c r="D37" s="53">
        <v>3</v>
      </c>
      <c r="E37" s="53" t="s">
        <v>3998</v>
      </c>
    </row>
    <row r="38" spans="1:5">
      <c r="A38" s="53">
        <v>37</v>
      </c>
      <c r="B38" s="53" t="s">
        <v>3999</v>
      </c>
      <c r="C38" s="53">
        <v>274177</v>
      </c>
      <c r="D38" s="53">
        <v>5</v>
      </c>
      <c r="E38" s="53" t="s">
        <v>4000</v>
      </c>
    </row>
    <row r="39" spans="1:5">
      <c r="A39" s="53">
        <v>38</v>
      </c>
      <c r="B39" s="53" t="s">
        <v>4001</v>
      </c>
      <c r="C39" s="53">
        <v>274180</v>
      </c>
      <c r="D39" s="53">
        <v>6</v>
      </c>
      <c r="E39" s="53" t="s">
        <v>4002</v>
      </c>
    </row>
    <row r="40" spans="1:5">
      <c r="A40" s="53">
        <v>39</v>
      </c>
      <c r="B40" s="53" t="s">
        <v>4003</v>
      </c>
      <c r="C40" s="53">
        <v>274180</v>
      </c>
      <c r="D40" s="53">
        <v>3</v>
      </c>
      <c r="E40" s="53" t="s">
        <v>4004</v>
      </c>
    </row>
    <row r="41" spans="1:5">
      <c r="A41" s="53">
        <v>40</v>
      </c>
      <c r="B41" s="53" t="s">
        <v>4005</v>
      </c>
      <c r="C41" s="53">
        <v>274180</v>
      </c>
      <c r="D41" s="53">
        <v>5</v>
      </c>
      <c r="E41" s="53" t="s">
        <v>4006</v>
      </c>
    </row>
    <row r="42" spans="1:5">
      <c r="A42" s="53">
        <v>41</v>
      </c>
      <c r="B42" s="53" t="s">
        <v>4007</v>
      </c>
      <c r="C42" s="53">
        <v>274183</v>
      </c>
      <c r="D42" s="53">
        <v>6</v>
      </c>
      <c r="E42" s="53" t="s">
        <v>4008</v>
      </c>
    </row>
    <row r="43" spans="1:5">
      <c r="A43" s="53">
        <v>42</v>
      </c>
      <c r="B43" s="53" t="s">
        <v>4009</v>
      </c>
      <c r="C43" s="53">
        <v>274183</v>
      </c>
      <c r="D43" s="53">
        <v>3</v>
      </c>
      <c r="E43" s="53" t="s">
        <v>4010</v>
      </c>
    </row>
    <row r="44" spans="1:5">
      <c r="A44" s="53">
        <v>43</v>
      </c>
      <c r="B44" s="53" t="s">
        <v>4011</v>
      </c>
      <c r="C44" s="53">
        <v>274183</v>
      </c>
      <c r="D44" s="53">
        <v>5</v>
      </c>
      <c r="E44" s="53" t="s">
        <v>4012</v>
      </c>
    </row>
    <row r="45" spans="1:5">
      <c r="A45" s="53">
        <v>44</v>
      </c>
      <c r="B45" s="53" t="s">
        <v>4013</v>
      </c>
      <c r="C45" s="53">
        <v>274179</v>
      </c>
      <c r="D45" s="53">
        <v>6</v>
      </c>
      <c r="E45" s="53" t="s">
        <v>4014</v>
      </c>
    </row>
    <row r="46" spans="1:5">
      <c r="A46" s="53">
        <v>45</v>
      </c>
      <c r="B46" s="53" t="s">
        <v>4015</v>
      </c>
      <c r="C46" s="53">
        <v>274179</v>
      </c>
      <c r="D46" s="53">
        <v>3</v>
      </c>
      <c r="E46" s="53" t="s">
        <v>4016</v>
      </c>
    </row>
    <row r="47" spans="1:5">
      <c r="A47" s="53">
        <v>46</v>
      </c>
      <c r="B47" s="53" t="s">
        <v>4017</v>
      </c>
      <c r="C47" s="53">
        <v>274179</v>
      </c>
      <c r="D47" s="53">
        <v>5</v>
      </c>
      <c r="E47" s="53" t="s">
        <v>4018</v>
      </c>
    </row>
    <row r="48" spans="1:5">
      <c r="A48" s="53">
        <v>47</v>
      </c>
      <c r="B48" s="53" t="s">
        <v>4019</v>
      </c>
      <c r="C48" s="53">
        <v>274182</v>
      </c>
      <c r="D48" s="53">
        <v>6</v>
      </c>
      <c r="E48" s="53" t="s">
        <v>4020</v>
      </c>
    </row>
    <row r="49" spans="1:5">
      <c r="A49" s="53">
        <v>48</v>
      </c>
      <c r="B49" s="53" t="s">
        <v>4021</v>
      </c>
      <c r="C49" s="53">
        <v>274182</v>
      </c>
      <c r="D49" s="53">
        <v>3</v>
      </c>
      <c r="E49" s="53" t="s">
        <v>4022</v>
      </c>
    </row>
    <row r="50" spans="1:5">
      <c r="A50" s="53">
        <v>49</v>
      </c>
      <c r="B50" s="53" t="s">
        <v>4023</v>
      </c>
      <c r="C50" s="53">
        <v>274182</v>
      </c>
      <c r="D50" s="53">
        <v>5</v>
      </c>
      <c r="E50" s="53" t="s">
        <v>4024</v>
      </c>
    </row>
    <row r="51" spans="1:5">
      <c r="A51" s="53">
        <v>50</v>
      </c>
      <c r="B51" s="53" t="s">
        <v>4025</v>
      </c>
      <c r="C51" s="53">
        <v>274181</v>
      </c>
      <c r="D51" s="53">
        <v>6</v>
      </c>
      <c r="E51" s="53" t="s">
        <v>4026</v>
      </c>
    </row>
    <row r="52" spans="1:5">
      <c r="A52" s="53">
        <v>51</v>
      </c>
      <c r="B52" s="53" t="s">
        <v>4027</v>
      </c>
      <c r="C52" s="53">
        <v>274181</v>
      </c>
      <c r="D52" s="53">
        <v>3</v>
      </c>
      <c r="E52" s="53" t="s">
        <v>4028</v>
      </c>
    </row>
    <row r="53" spans="1:5">
      <c r="A53" s="53">
        <v>52</v>
      </c>
      <c r="B53" s="53" t="s">
        <v>4029</v>
      </c>
      <c r="C53" s="53">
        <v>274181</v>
      </c>
      <c r="D53" s="53">
        <v>5</v>
      </c>
      <c r="E53" s="53" t="s">
        <v>4030</v>
      </c>
    </row>
    <row r="54" spans="1:5">
      <c r="A54" s="53">
        <v>53</v>
      </c>
      <c r="B54" s="53" t="s">
        <v>4031</v>
      </c>
      <c r="C54" s="53">
        <v>274219</v>
      </c>
      <c r="D54" s="53">
        <v>6</v>
      </c>
      <c r="E54" s="53" t="s">
        <v>4032</v>
      </c>
    </row>
    <row r="55" spans="1:5">
      <c r="A55" s="53">
        <v>54</v>
      </c>
      <c r="B55" s="53" t="s">
        <v>4033</v>
      </c>
      <c r="C55" s="53">
        <v>274219</v>
      </c>
      <c r="D55" s="53">
        <v>3</v>
      </c>
      <c r="E55" s="53" t="s">
        <v>4034</v>
      </c>
    </row>
    <row r="56" spans="1:5">
      <c r="A56" s="53">
        <v>55</v>
      </c>
      <c r="B56" s="53" t="s">
        <v>4035</v>
      </c>
      <c r="C56" s="53">
        <v>274219</v>
      </c>
      <c r="D56" s="53">
        <v>5</v>
      </c>
      <c r="E56" s="53" t="s">
        <v>4036</v>
      </c>
    </row>
    <row r="57" spans="1:5">
      <c r="A57" s="53">
        <v>56</v>
      </c>
      <c r="B57" s="53" t="s">
        <v>4037</v>
      </c>
      <c r="C57" s="53">
        <v>274186</v>
      </c>
      <c r="D57" s="53">
        <v>6</v>
      </c>
      <c r="E57" s="53" t="s">
        <v>4038</v>
      </c>
    </row>
    <row r="58" spans="1:5">
      <c r="A58" s="53">
        <v>57</v>
      </c>
      <c r="B58" s="53" t="s">
        <v>4039</v>
      </c>
      <c r="C58" s="53">
        <v>274186</v>
      </c>
      <c r="D58" s="53">
        <v>3</v>
      </c>
      <c r="E58" s="53" t="s">
        <v>4040</v>
      </c>
    </row>
    <row r="59" spans="1:5">
      <c r="A59" s="53">
        <v>58</v>
      </c>
      <c r="B59" s="53" t="s">
        <v>4041</v>
      </c>
      <c r="C59" s="53">
        <v>274186</v>
      </c>
      <c r="D59" s="53">
        <v>5</v>
      </c>
      <c r="E59" s="53" t="s">
        <v>4042</v>
      </c>
    </row>
    <row r="60" spans="1:5">
      <c r="A60" s="53">
        <v>59</v>
      </c>
      <c r="B60" s="53" t="s">
        <v>4043</v>
      </c>
      <c r="C60" s="53">
        <v>274237</v>
      </c>
      <c r="D60" s="53">
        <v>9</v>
      </c>
      <c r="E60" s="53" t="s">
        <v>4044</v>
      </c>
    </row>
    <row r="61" spans="1:5">
      <c r="A61" s="53">
        <v>60</v>
      </c>
      <c r="B61" s="53" t="s">
        <v>4045</v>
      </c>
      <c r="C61" s="53">
        <v>274244</v>
      </c>
      <c r="D61" s="53">
        <v>9</v>
      </c>
      <c r="E61" s="53" t="s">
        <v>4046</v>
      </c>
    </row>
    <row r="62" spans="1:5">
      <c r="A62" s="53">
        <v>61</v>
      </c>
      <c r="B62" s="53" t="s">
        <v>4047</v>
      </c>
      <c r="C62" s="53">
        <v>274251</v>
      </c>
      <c r="D62" s="53">
        <v>9</v>
      </c>
      <c r="E62" s="53" t="s">
        <v>4048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zoomScale="115" zoomScaleNormal="115" workbookViewId="0">
      <selection activeCell="G1" sqref="G1"/>
    </sheetView>
  </sheetViews>
  <sheetFormatPr defaultColWidth="9" defaultRowHeight="13.5" outlineLevelCol="7"/>
  <cols>
    <col min="2" max="2" width="30.75" customWidth="1"/>
    <col min="3" max="3" width="11.625" customWidth="1"/>
    <col min="6" max="6" width="49" customWidth="1"/>
    <col min="7" max="7" width="23.25" customWidth="1"/>
  </cols>
  <sheetData>
    <row r="1" ht="28.9" customHeight="1" spans="1:7">
      <c r="A1" s="30" t="s">
        <v>3925</v>
      </c>
      <c r="B1" s="30" t="s">
        <v>127</v>
      </c>
      <c r="C1" s="30" t="s">
        <v>140</v>
      </c>
      <c r="D1" s="30" t="s">
        <v>128</v>
      </c>
      <c r="E1" s="31" t="s">
        <v>129</v>
      </c>
      <c r="F1" s="31" t="s">
        <v>3926</v>
      </c>
      <c r="G1" s="32" t="s">
        <v>436</v>
      </c>
    </row>
    <row r="2" ht="16.9" customHeight="1" spans="1:7">
      <c r="A2" s="33">
        <v>1</v>
      </c>
      <c r="B2" s="34" t="s">
        <v>946</v>
      </c>
      <c r="C2" s="34"/>
      <c r="D2" s="35">
        <v>522241</v>
      </c>
      <c r="E2" s="35">
        <v>15</v>
      </c>
      <c r="F2" s="36" t="s">
        <v>4049</v>
      </c>
      <c r="G2" t="s">
        <v>4050</v>
      </c>
    </row>
    <row r="3" ht="29.25" customHeight="1" spans="1:8">
      <c r="A3" s="33">
        <v>2</v>
      </c>
      <c r="B3" s="34"/>
      <c r="C3" s="37" t="s">
        <v>157</v>
      </c>
      <c r="D3" s="38">
        <v>522241</v>
      </c>
      <c r="E3" s="38">
        <v>16</v>
      </c>
      <c r="F3" s="39" t="s">
        <v>4051</v>
      </c>
      <c r="G3" s="40" t="s">
        <v>4052</v>
      </c>
      <c r="H3" s="41" t="s">
        <v>698</v>
      </c>
    </row>
    <row r="4" ht="16.9" customHeight="1" spans="1:7">
      <c r="A4" s="33">
        <v>3</v>
      </c>
      <c r="B4" s="34"/>
      <c r="C4" s="34"/>
      <c r="D4" s="38">
        <v>522241</v>
      </c>
      <c r="E4" s="38">
        <v>0</v>
      </c>
      <c r="F4" s="39" t="s">
        <v>4053</v>
      </c>
      <c r="G4" t="s">
        <v>4050</v>
      </c>
    </row>
    <row r="5" ht="29.25" customHeight="1" spans="1:8">
      <c r="A5" s="33">
        <v>4</v>
      </c>
      <c r="B5" s="42" t="s">
        <v>4054</v>
      </c>
      <c r="C5" s="43" t="s">
        <v>148</v>
      </c>
      <c r="D5" s="38">
        <v>522242</v>
      </c>
      <c r="E5" s="38">
        <v>5</v>
      </c>
      <c r="F5" s="39" t="s">
        <v>4055</v>
      </c>
      <c r="G5" s="40" t="s">
        <v>4056</v>
      </c>
      <c r="H5" s="41" t="s">
        <v>698</v>
      </c>
    </row>
    <row r="6" ht="16.9" customHeight="1" spans="1:7">
      <c r="A6" s="33">
        <v>5</v>
      </c>
      <c r="B6" s="44" t="s">
        <v>950</v>
      </c>
      <c r="C6" s="43" t="s">
        <v>148</v>
      </c>
      <c r="D6" s="38">
        <v>522243</v>
      </c>
      <c r="E6" s="38">
        <v>5</v>
      </c>
      <c r="F6" s="39" t="s">
        <v>4057</v>
      </c>
      <c r="G6" s="41" t="s">
        <v>698</v>
      </c>
    </row>
    <row r="7" ht="16.9" customHeight="1" spans="1:6">
      <c r="A7" s="33">
        <v>6</v>
      </c>
      <c r="B7" s="44"/>
      <c r="C7" s="45" t="s">
        <v>146</v>
      </c>
      <c r="D7" s="46">
        <v>522243</v>
      </c>
      <c r="E7" s="46">
        <v>15</v>
      </c>
      <c r="F7" s="47" t="s">
        <v>4058</v>
      </c>
    </row>
    <row r="8" ht="16.9" customHeight="1" spans="1:6">
      <c r="A8" s="33">
        <v>7</v>
      </c>
      <c r="B8" s="44"/>
      <c r="C8" s="45" t="s">
        <v>146</v>
      </c>
      <c r="D8" s="48">
        <v>522243</v>
      </c>
      <c r="E8" s="48">
        <v>16</v>
      </c>
      <c r="F8" s="49" t="s">
        <v>4059</v>
      </c>
    </row>
    <row r="9" ht="16.9" customHeight="1" spans="1:6">
      <c r="A9" s="33">
        <v>8</v>
      </c>
      <c r="B9" s="44"/>
      <c r="C9" s="45" t="s">
        <v>146</v>
      </c>
      <c r="D9" s="48">
        <v>522243</v>
      </c>
      <c r="E9" s="48">
        <v>0</v>
      </c>
      <c r="F9" s="49" t="s">
        <v>4060</v>
      </c>
    </row>
    <row r="10" ht="16.9" customHeight="1" spans="1:7">
      <c r="A10" s="33">
        <v>9</v>
      </c>
      <c r="B10" s="44" t="s">
        <v>4061</v>
      </c>
      <c r="C10" s="44"/>
      <c r="D10" s="38">
        <v>522244</v>
      </c>
      <c r="E10" s="38">
        <v>2</v>
      </c>
      <c r="F10" s="39" t="s">
        <v>4062</v>
      </c>
      <c r="G10" t="s">
        <v>4050</v>
      </c>
    </row>
    <row r="11" ht="16.9" customHeight="1" spans="1:7">
      <c r="A11" s="33">
        <v>10</v>
      </c>
      <c r="B11" s="44"/>
      <c r="C11" s="44"/>
      <c r="D11" s="38">
        <v>522244</v>
      </c>
      <c r="E11" s="38">
        <v>5</v>
      </c>
      <c r="F11" s="39" t="s">
        <v>4063</v>
      </c>
      <c r="G11" t="s">
        <v>4050</v>
      </c>
    </row>
    <row r="12" ht="16.9" customHeight="1" spans="1:7">
      <c r="A12" s="33">
        <v>11</v>
      </c>
      <c r="B12" s="44"/>
      <c r="C12" s="44"/>
      <c r="D12" s="38">
        <v>522244</v>
      </c>
      <c r="E12" s="38">
        <v>6</v>
      </c>
      <c r="F12" s="39" t="s">
        <v>4064</v>
      </c>
      <c r="G12" t="s">
        <v>4050</v>
      </c>
    </row>
    <row r="13" ht="16.9" customHeight="1" spans="1:8">
      <c r="A13" s="33">
        <v>12</v>
      </c>
      <c r="B13" s="44" t="s">
        <v>4065</v>
      </c>
      <c r="C13" s="43" t="s">
        <v>148</v>
      </c>
      <c r="D13" s="50">
        <v>522245</v>
      </c>
      <c r="E13" s="50">
        <v>9</v>
      </c>
      <c r="F13" s="39" t="s">
        <v>4066</v>
      </c>
      <c r="G13" t="s">
        <v>4050</v>
      </c>
      <c r="H13" s="41" t="s">
        <v>698</v>
      </c>
    </row>
    <row r="14" ht="16.9" customHeight="1" spans="1:7">
      <c r="A14" s="33">
        <v>13</v>
      </c>
      <c r="B14" s="42" t="s">
        <v>974</v>
      </c>
      <c r="C14" s="42"/>
      <c r="D14" s="38">
        <v>522239</v>
      </c>
      <c r="E14" s="38">
        <v>12</v>
      </c>
      <c r="F14" s="39" t="s">
        <v>4067</v>
      </c>
      <c r="G14" t="s">
        <v>4050</v>
      </c>
    </row>
    <row r="15" ht="16.9" customHeight="1" spans="1:7">
      <c r="A15" s="33">
        <v>14</v>
      </c>
      <c r="B15" s="42" t="s">
        <v>4068</v>
      </c>
      <c r="C15" s="42"/>
      <c r="D15" s="38">
        <v>522238</v>
      </c>
      <c r="E15" s="38">
        <v>13</v>
      </c>
      <c r="F15" s="39" t="s">
        <v>4069</v>
      </c>
      <c r="G15" t="s">
        <v>4050</v>
      </c>
    </row>
    <row r="16" ht="16.9" customHeight="1" spans="1:7">
      <c r="A16" s="33">
        <v>15</v>
      </c>
      <c r="B16" s="42" t="s">
        <v>4070</v>
      </c>
      <c r="C16" s="42"/>
      <c r="D16" s="38">
        <v>522237</v>
      </c>
      <c r="E16" s="38">
        <v>12</v>
      </c>
      <c r="F16" s="39" t="s">
        <v>4071</v>
      </c>
      <c r="G16" t="s">
        <v>4050</v>
      </c>
    </row>
    <row r="17" ht="16.9" customHeight="1" spans="1:7">
      <c r="A17" s="33">
        <v>16</v>
      </c>
      <c r="B17" s="42" t="s">
        <v>4072</v>
      </c>
      <c r="C17" s="42"/>
      <c r="D17" s="38">
        <v>522235</v>
      </c>
      <c r="E17" s="38">
        <v>12</v>
      </c>
      <c r="F17" s="39" t="s">
        <v>4073</v>
      </c>
      <c r="G17" t="s">
        <v>4050</v>
      </c>
    </row>
    <row r="18" ht="16.9" customHeight="1" spans="1:7">
      <c r="A18" s="33">
        <v>17</v>
      </c>
      <c r="B18" s="42" t="s">
        <v>4074</v>
      </c>
      <c r="C18" s="42"/>
      <c r="D18" s="38">
        <v>522234</v>
      </c>
      <c r="E18" s="38">
        <v>7</v>
      </c>
      <c r="F18" s="39" t="s">
        <v>4075</v>
      </c>
      <c r="G18" t="s">
        <v>4050</v>
      </c>
    </row>
    <row r="19" ht="16.9" customHeight="1" spans="1:7">
      <c r="A19" s="33">
        <v>18</v>
      </c>
      <c r="B19" s="42" t="s">
        <v>4076</v>
      </c>
      <c r="C19" s="42"/>
      <c r="D19" s="38">
        <v>522233</v>
      </c>
      <c r="E19" s="38">
        <v>7</v>
      </c>
      <c r="F19" s="39" t="s">
        <v>4077</v>
      </c>
      <c r="G19" t="s">
        <v>4050</v>
      </c>
    </row>
    <row r="20" ht="16.9" customHeight="1" spans="1:7">
      <c r="A20" s="33">
        <v>19</v>
      </c>
      <c r="B20" s="34" t="s">
        <v>4078</v>
      </c>
      <c r="C20" s="51"/>
      <c r="D20" s="38">
        <v>522232</v>
      </c>
      <c r="E20" s="38">
        <v>23</v>
      </c>
      <c r="F20" s="39" t="s">
        <v>4079</v>
      </c>
      <c r="G20" t="s">
        <v>4050</v>
      </c>
    </row>
    <row r="21" spans="1:8">
      <c r="A21" s="33">
        <v>20</v>
      </c>
      <c r="B21" s="34" t="s">
        <v>941</v>
      </c>
      <c r="C21" s="37" t="s">
        <v>157</v>
      </c>
      <c r="D21" s="38">
        <v>522240</v>
      </c>
      <c r="E21" s="38">
        <v>5</v>
      </c>
      <c r="F21" s="39" t="s">
        <v>942</v>
      </c>
      <c r="G21" t="s">
        <v>4080</v>
      </c>
      <c r="H21" s="41" t="s">
        <v>698</v>
      </c>
    </row>
    <row r="22" spans="1:8">
      <c r="A22" s="33">
        <v>21</v>
      </c>
      <c r="B22" s="34" t="s">
        <v>944</v>
      </c>
      <c r="C22" s="37" t="s">
        <v>157</v>
      </c>
      <c r="D22" s="38">
        <v>522240</v>
      </c>
      <c r="E22" s="38">
        <v>12</v>
      </c>
      <c r="F22" s="39" t="s">
        <v>4081</v>
      </c>
      <c r="G22" t="s">
        <v>4080</v>
      </c>
      <c r="H22" s="41" t="s">
        <v>698</v>
      </c>
    </row>
    <row r="23" spans="1:8">
      <c r="A23" s="33">
        <v>22</v>
      </c>
      <c r="B23" s="34" t="s">
        <v>946</v>
      </c>
      <c r="C23" s="43" t="s">
        <v>148</v>
      </c>
      <c r="D23" s="38">
        <v>522244</v>
      </c>
      <c r="E23" s="38">
        <v>0</v>
      </c>
      <c r="F23" s="39" t="s">
        <v>952</v>
      </c>
      <c r="G23" t="s">
        <v>4080</v>
      </c>
      <c r="H23" s="41" t="s">
        <v>698</v>
      </c>
    </row>
    <row r="24" spans="1:8">
      <c r="A24" s="33">
        <v>23</v>
      </c>
      <c r="B24" s="34" t="s">
        <v>4082</v>
      </c>
      <c r="C24" s="37" t="s">
        <v>157</v>
      </c>
      <c r="D24" s="38">
        <v>522244</v>
      </c>
      <c r="E24" s="38">
        <v>5</v>
      </c>
      <c r="F24" s="39" t="s">
        <v>4083</v>
      </c>
      <c r="G24" t="s">
        <v>4080</v>
      </c>
      <c r="H24" s="41" t="s">
        <v>698</v>
      </c>
    </row>
  </sheetData>
  <mergeCells count="3">
    <mergeCell ref="B2:B4"/>
    <mergeCell ref="B6:B9"/>
    <mergeCell ref="B10:B12"/>
  </mergeCells>
  <hyperlinks>
    <hyperlink ref="G1" location="'控制器源地址&amp;跳转页面'!A1" display="返回目录"/>
  </hyperlinks>
  <pageMargins left="0.7" right="0.7" top="0.75" bottom="0.75" header="0.3" footer="0.3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115" zoomScaleNormal="115" workbookViewId="0">
      <selection activeCell="A2" sqref="A2:G9"/>
    </sheetView>
  </sheetViews>
  <sheetFormatPr defaultColWidth="9" defaultRowHeight="13.5" outlineLevelCol="7"/>
  <cols>
    <col min="6" max="6" width="41.75" customWidth="1"/>
    <col min="7" max="7" width="14.125" customWidth="1"/>
    <col min="8" max="8" width="16.5" customWidth="1"/>
  </cols>
  <sheetData>
    <row r="1" ht="19.9" customHeight="1" spans="1:8">
      <c r="A1" s="20" t="s">
        <v>4084</v>
      </c>
      <c r="B1" s="20"/>
      <c r="C1" s="20"/>
      <c r="D1" s="20"/>
      <c r="E1" s="20"/>
      <c r="F1" s="20"/>
      <c r="G1" s="20"/>
      <c r="H1" s="1" t="s">
        <v>436</v>
      </c>
    </row>
    <row r="2" ht="24" customHeight="1" spans="1:7">
      <c r="A2" s="21" t="s">
        <v>125</v>
      </c>
      <c r="B2" s="21" t="s">
        <v>140</v>
      </c>
      <c r="C2" s="21" t="s">
        <v>141</v>
      </c>
      <c r="D2" s="21" t="s">
        <v>128</v>
      </c>
      <c r="E2" s="22" t="s">
        <v>129</v>
      </c>
      <c r="F2" s="23" t="s">
        <v>283</v>
      </c>
      <c r="G2" s="24"/>
    </row>
    <row r="3" ht="16.5" spans="1:7">
      <c r="A3" s="21">
        <v>1</v>
      </c>
      <c r="B3" s="25" t="s">
        <v>157</v>
      </c>
      <c r="C3" s="26" t="s">
        <v>158</v>
      </c>
      <c r="D3" s="27">
        <v>9691</v>
      </c>
      <c r="E3" s="27">
        <v>12</v>
      </c>
      <c r="F3" s="28" t="s">
        <v>4085</v>
      </c>
      <c r="G3" s="24" t="s">
        <v>288</v>
      </c>
    </row>
    <row r="4" ht="16.5" spans="1:7">
      <c r="A4" s="21">
        <v>2</v>
      </c>
      <c r="B4" s="25" t="s">
        <v>157</v>
      </c>
      <c r="C4" s="26" t="s">
        <v>158</v>
      </c>
      <c r="D4" s="27">
        <v>12836</v>
      </c>
      <c r="E4" s="27">
        <v>12</v>
      </c>
      <c r="F4" s="28" t="s">
        <v>4086</v>
      </c>
      <c r="G4" s="24" t="s">
        <v>288</v>
      </c>
    </row>
    <row r="5" ht="16.5" spans="1:7">
      <c r="A5" s="21">
        <v>3</v>
      </c>
      <c r="B5" s="25" t="s">
        <v>157</v>
      </c>
      <c r="C5" s="26" t="s">
        <v>158</v>
      </c>
      <c r="D5" s="27">
        <v>12837</v>
      </c>
      <c r="E5" s="27">
        <v>12</v>
      </c>
      <c r="F5" s="28" t="s">
        <v>4087</v>
      </c>
      <c r="G5" s="24" t="s">
        <v>288</v>
      </c>
    </row>
    <row r="6" ht="16.5" spans="1:7">
      <c r="A6" s="21">
        <v>4</v>
      </c>
      <c r="B6" s="25" t="s">
        <v>157</v>
      </c>
      <c r="C6" s="26" t="s">
        <v>158</v>
      </c>
      <c r="D6" s="27">
        <v>12836</v>
      </c>
      <c r="E6" s="27">
        <v>5</v>
      </c>
      <c r="F6" s="28" t="s">
        <v>4088</v>
      </c>
      <c r="G6" s="24" t="s">
        <v>288</v>
      </c>
    </row>
    <row r="7" ht="16.5" spans="1:7">
      <c r="A7" s="21">
        <v>5</v>
      </c>
      <c r="B7" s="25" t="s">
        <v>157</v>
      </c>
      <c r="C7" s="26" t="s">
        <v>158</v>
      </c>
      <c r="D7" s="27">
        <v>12837</v>
      </c>
      <c r="E7" s="27">
        <v>5</v>
      </c>
      <c r="F7" s="28" t="s">
        <v>4089</v>
      </c>
      <c r="G7" s="24" t="s">
        <v>288</v>
      </c>
    </row>
    <row r="8" ht="16.5" spans="1:7">
      <c r="A8" s="21">
        <v>6</v>
      </c>
      <c r="B8" s="25" t="s">
        <v>157</v>
      </c>
      <c r="C8" s="26" t="s">
        <v>158</v>
      </c>
      <c r="D8" s="27">
        <v>639</v>
      </c>
      <c r="E8" s="27">
        <v>23</v>
      </c>
      <c r="F8" s="28" t="s">
        <v>4090</v>
      </c>
      <c r="G8" s="24" t="s">
        <v>288</v>
      </c>
    </row>
    <row r="9" ht="48" spans="1:7">
      <c r="A9" s="21">
        <v>7</v>
      </c>
      <c r="B9" s="25" t="s">
        <v>263</v>
      </c>
      <c r="C9" s="29" t="s">
        <v>4091</v>
      </c>
      <c r="D9" s="27">
        <v>2430</v>
      </c>
      <c r="E9" s="27">
        <v>12</v>
      </c>
      <c r="F9" s="28" t="s">
        <v>4092</v>
      </c>
      <c r="G9" s="24" t="s">
        <v>288</v>
      </c>
    </row>
  </sheetData>
  <mergeCells count="1">
    <mergeCell ref="A1:G1"/>
  </mergeCells>
  <hyperlinks>
    <hyperlink ref="H1" location="'控制器源地址&amp;跳转页面'!A1" display="返回目录"/>
  </hyperlink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E3" sqref="E3"/>
    </sheetView>
  </sheetViews>
  <sheetFormatPr defaultColWidth="9" defaultRowHeight="13.5" outlineLevelCol="6"/>
  <cols>
    <col min="1" max="1" width="9.375" customWidth="1"/>
    <col min="5" max="5" width="42.375" customWidth="1"/>
    <col min="6" max="6" width="31.75" customWidth="1"/>
    <col min="7" max="7" width="20" customWidth="1"/>
  </cols>
  <sheetData>
    <row r="1" spans="1:1">
      <c r="A1" s="1" t="s">
        <v>436</v>
      </c>
    </row>
    <row r="2" spans="1:7">
      <c r="A2" s="2" t="s">
        <v>125</v>
      </c>
      <c r="B2" s="2" t="s">
        <v>140</v>
      </c>
      <c r="C2" s="2" t="s">
        <v>128</v>
      </c>
      <c r="D2" s="2" t="s">
        <v>129</v>
      </c>
      <c r="E2" s="3" t="s">
        <v>127</v>
      </c>
      <c r="F2" s="4" t="s">
        <v>283</v>
      </c>
      <c r="G2" s="5" t="s">
        <v>679</v>
      </c>
    </row>
    <row r="3" spans="1:7">
      <c r="A3" s="2">
        <v>1</v>
      </c>
      <c r="B3" s="6" t="s">
        <v>4093</v>
      </c>
      <c r="C3" s="7">
        <v>520192</v>
      </c>
      <c r="D3" s="7">
        <v>12</v>
      </c>
      <c r="E3" s="8" t="s">
        <v>4094</v>
      </c>
      <c r="F3" s="9" t="str">
        <f>"EHPS：("&amp;C3&amp;","&amp;D3&amp;"）"</f>
        <v>EHPS：(520192,12）</v>
      </c>
      <c r="G3" s="10" t="s">
        <v>4095</v>
      </c>
    </row>
    <row r="4" spans="1:7">
      <c r="A4" s="2">
        <v>2</v>
      </c>
      <c r="B4" s="6" t="s">
        <v>4093</v>
      </c>
      <c r="C4" s="7">
        <v>520234</v>
      </c>
      <c r="D4" s="7">
        <v>31</v>
      </c>
      <c r="E4" s="8" t="s">
        <v>4096</v>
      </c>
      <c r="F4" s="9" t="str">
        <f>"EHPS：("&amp;C4&amp;","&amp;D4&amp;"）"</f>
        <v>EHPS：(520234,31）</v>
      </c>
      <c r="G4" s="11"/>
    </row>
    <row r="5" spans="1:7">
      <c r="A5" s="12">
        <v>3</v>
      </c>
      <c r="B5" s="13" t="s">
        <v>4097</v>
      </c>
      <c r="C5" s="14">
        <v>520235</v>
      </c>
      <c r="D5" s="14">
        <v>31</v>
      </c>
      <c r="E5" s="15" t="s">
        <v>4098</v>
      </c>
      <c r="F5" s="15" t="s">
        <v>4099</v>
      </c>
      <c r="G5" s="11"/>
    </row>
    <row r="6" spans="1:7">
      <c r="A6" s="2">
        <v>4</v>
      </c>
      <c r="B6" s="6" t="s">
        <v>4093</v>
      </c>
      <c r="C6" s="7">
        <v>520196</v>
      </c>
      <c r="D6" s="7">
        <v>31</v>
      </c>
      <c r="E6" s="8" t="s">
        <v>4100</v>
      </c>
      <c r="F6" s="9" t="str">
        <f>"EHPS：("&amp;C6&amp;","&amp;D6&amp;"）"</f>
        <v>EHPS：(520196,31）</v>
      </c>
      <c r="G6" s="11"/>
    </row>
    <row r="7" spans="1:7">
      <c r="A7" s="2">
        <v>5</v>
      </c>
      <c r="B7" s="6" t="s">
        <v>4093</v>
      </c>
      <c r="C7" s="7">
        <v>520202</v>
      </c>
      <c r="D7" s="7">
        <v>31</v>
      </c>
      <c r="E7" s="8" t="s">
        <v>4101</v>
      </c>
      <c r="F7" s="9" t="str">
        <f t="shared" ref="F7:F8" si="0">"EHPS：("&amp;C7&amp;","&amp;D7&amp;"）"</f>
        <v>EHPS：(520202,31）</v>
      </c>
      <c r="G7" s="11"/>
    </row>
    <row r="8" spans="1:7">
      <c r="A8" s="2">
        <v>6</v>
      </c>
      <c r="B8" s="6" t="s">
        <v>4093</v>
      </c>
      <c r="C8" s="7">
        <v>520236</v>
      </c>
      <c r="D8" s="7">
        <v>2</v>
      </c>
      <c r="E8" s="8" t="s">
        <v>4102</v>
      </c>
      <c r="F8" s="9" t="str">
        <f t="shared" si="0"/>
        <v>EHPS：(520236,2）</v>
      </c>
      <c r="G8" s="11"/>
    </row>
    <row r="9" spans="1:7">
      <c r="A9" s="12">
        <v>7</v>
      </c>
      <c r="B9" s="13" t="s">
        <v>4097</v>
      </c>
      <c r="C9" s="14">
        <v>520237</v>
      </c>
      <c r="D9" s="14">
        <v>2</v>
      </c>
      <c r="E9" s="15" t="s">
        <v>4103</v>
      </c>
      <c r="F9" s="15" t="s">
        <v>4099</v>
      </c>
      <c r="G9" s="11"/>
    </row>
    <row r="10" spans="1:7">
      <c r="A10" s="2">
        <v>8</v>
      </c>
      <c r="B10" s="6" t="s">
        <v>4093</v>
      </c>
      <c r="C10" s="7">
        <v>520238</v>
      </c>
      <c r="D10" s="7">
        <v>31</v>
      </c>
      <c r="E10" s="8" t="s">
        <v>4104</v>
      </c>
      <c r="F10" s="9" t="str">
        <f>"EHPS：("&amp;C10&amp;","&amp;D10&amp;"）"</f>
        <v>EHPS：(520238,31）</v>
      </c>
      <c r="G10" s="11"/>
    </row>
    <row r="11" spans="1:7">
      <c r="A11" s="2">
        <v>9</v>
      </c>
      <c r="B11" s="6" t="s">
        <v>4093</v>
      </c>
      <c r="C11" s="7">
        <v>520208</v>
      </c>
      <c r="D11" s="7">
        <v>13</v>
      </c>
      <c r="E11" s="8" t="s">
        <v>4105</v>
      </c>
      <c r="F11" s="9" t="s">
        <v>4106</v>
      </c>
      <c r="G11" s="11"/>
    </row>
    <row r="12" spans="1:7">
      <c r="A12" s="12">
        <v>10</v>
      </c>
      <c r="B12" s="13" t="s">
        <v>4107</v>
      </c>
      <c r="C12" s="14">
        <v>520239</v>
      </c>
      <c r="D12" s="14">
        <v>2</v>
      </c>
      <c r="E12" s="15" t="s">
        <v>4108</v>
      </c>
      <c r="F12" s="15" t="s">
        <v>4099</v>
      </c>
      <c r="G12" s="11"/>
    </row>
    <row r="13" spans="1:7">
      <c r="A13" s="2">
        <v>11</v>
      </c>
      <c r="B13" s="6" t="s">
        <v>4093</v>
      </c>
      <c r="C13" s="7">
        <v>520210</v>
      </c>
      <c r="D13" s="7">
        <v>31</v>
      </c>
      <c r="E13" s="8" t="s">
        <v>4109</v>
      </c>
      <c r="F13" s="9" t="str">
        <f>"EHPS：("&amp;C13&amp;","&amp;D13&amp;"）"</f>
        <v>EHPS：(520210,31）</v>
      </c>
      <c r="G13" s="11"/>
    </row>
    <row r="14" spans="1:7">
      <c r="A14" s="2">
        <v>12</v>
      </c>
      <c r="B14" s="6" t="s">
        <v>4093</v>
      </c>
      <c r="C14" s="7">
        <v>168</v>
      </c>
      <c r="D14" s="7">
        <v>0</v>
      </c>
      <c r="E14" s="8" t="s">
        <v>4110</v>
      </c>
      <c r="F14" s="9" t="str">
        <f t="shared" ref="F14:F15" si="1">"EHPS：("&amp;C14&amp;","&amp;D14&amp;"）"</f>
        <v>EHPS：(168,0）</v>
      </c>
      <c r="G14" s="11"/>
    </row>
    <row r="15" spans="1:7">
      <c r="A15" s="2">
        <v>13</v>
      </c>
      <c r="B15" s="6" t="s">
        <v>4093</v>
      </c>
      <c r="C15" s="7">
        <v>168</v>
      </c>
      <c r="D15" s="7">
        <v>1</v>
      </c>
      <c r="E15" s="8" t="s">
        <v>4111</v>
      </c>
      <c r="F15" s="9" t="str">
        <f t="shared" si="1"/>
        <v>EHPS：(168,1）</v>
      </c>
      <c r="G15" s="11"/>
    </row>
    <row r="16" spans="1:7">
      <c r="A16" s="12">
        <v>14</v>
      </c>
      <c r="B16" s="13" t="s">
        <v>4097</v>
      </c>
      <c r="C16" s="14">
        <v>168</v>
      </c>
      <c r="D16" s="14">
        <v>15</v>
      </c>
      <c r="E16" s="15" t="s">
        <v>4112</v>
      </c>
      <c r="F16" s="15" t="s">
        <v>4099</v>
      </c>
      <c r="G16" s="11"/>
    </row>
    <row r="17" spans="1:7">
      <c r="A17" s="12">
        <v>15</v>
      </c>
      <c r="B17" s="13" t="s">
        <v>4097</v>
      </c>
      <c r="C17" s="14">
        <v>168</v>
      </c>
      <c r="D17" s="14">
        <v>17</v>
      </c>
      <c r="E17" s="15" t="s">
        <v>4113</v>
      </c>
      <c r="F17" s="15" t="s">
        <v>4099</v>
      </c>
      <c r="G17" s="11"/>
    </row>
    <row r="18" spans="1:7">
      <c r="A18" s="2">
        <v>16</v>
      </c>
      <c r="B18" s="6" t="s">
        <v>4093</v>
      </c>
      <c r="C18" s="7">
        <v>520240</v>
      </c>
      <c r="D18" s="7">
        <v>2</v>
      </c>
      <c r="E18" s="8" t="s">
        <v>4114</v>
      </c>
      <c r="F18" s="9" t="str">
        <f>"EHPS：("&amp;C18&amp;","&amp;D18&amp;"）"</f>
        <v>EHPS：(520240,2）</v>
      </c>
      <c r="G18" s="11"/>
    </row>
    <row r="19" spans="1:7">
      <c r="A19" s="2">
        <v>17</v>
      </c>
      <c r="B19" s="6" t="s">
        <v>4093</v>
      </c>
      <c r="C19" s="7">
        <v>520241</v>
      </c>
      <c r="D19" s="7">
        <v>12</v>
      </c>
      <c r="E19" s="8" t="s">
        <v>4115</v>
      </c>
      <c r="F19" s="9" t="str">
        <f>"EHPS：("&amp;C19&amp;","&amp;D19&amp;"）"</f>
        <v>EHPS：(520241,12）</v>
      </c>
      <c r="G19" s="11"/>
    </row>
    <row r="20" spans="1:7">
      <c r="A20" s="12">
        <v>18</v>
      </c>
      <c r="B20" s="13" t="s">
        <v>4107</v>
      </c>
      <c r="C20" s="14">
        <v>1624</v>
      </c>
      <c r="D20" s="14">
        <v>9</v>
      </c>
      <c r="E20" s="15" t="s">
        <v>4116</v>
      </c>
      <c r="F20" s="15" t="s">
        <v>4099</v>
      </c>
      <c r="G20" s="11"/>
    </row>
    <row r="21" spans="1:7">
      <c r="A21" s="12">
        <v>19</v>
      </c>
      <c r="B21" s="13" t="s">
        <v>4107</v>
      </c>
      <c r="C21" s="14">
        <v>1624</v>
      </c>
      <c r="D21" s="14">
        <v>19</v>
      </c>
      <c r="E21" s="15" t="s">
        <v>4117</v>
      </c>
      <c r="F21" s="15" t="s">
        <v>4099</v>
      </c>
      <c r="G21" s="11"/>
    </row>
    <row r="22" spans="1:7">
      <c r="A22" s="12">
        <v>20</v>
      </c>
      <c r="B22" s="13" t="s">
        <v>4107</v>
      </c>
      <c r="C22" s="14">
        <v>190</v>
      </c>
      <c r="D22" s="14">
        <v>9</v>
      </c>
      <c r="E22" s="15" t="s">
        <v>4118</v>
      </c>
      <c r="F22" s="15" t="s">
        <v>4099</v>
      </c>
      <c r="G22" s="11"/>
    </row>
    <row r="23" spans="1:7">
      <c r="A23" s="12">
        <v>21</v>
      </c>
      <c r="B23" s="13" t="s">
        <v>4107</v>
      </c>
      <c r="C23" s="14">
        <v>190</v>
      </c>
      <c r="D23" s="14">
        <v>19</v>
      </c>
      <c r="E23" s="15" t="s">
        <v>4119</v>
      </c>
      <c r="F23" s="15" t="s">
        <v>4099</v>
      </c>
      <c r="G23" s="11"/>
    </row>
    <row r="24" spans="1:7">
      <c r="A24" s="12">
        <v>22</v>
      </c>
      <c r="B24" s="13" t="s">
        <v>4107</v>
      </c>
      <c r="C24" s="14">
        <v>917</v>
      </c>
      <c r="D24" s="14">
        <v>9</v>
      </c>
      <c r="E24" s="15" t="s">
        <v>4120</v>
      </c>
      <c r="F24" s="15" t="s">
        <v>4099</v>
      </c>
      <c r="G24" s="11"/>
    </row>
    <row r="25" spans="1:7">
      <c r="A25" s="12">
        <v>23</v>
      </c>
      <c r="B25" s="13" t="s">
        <v>4107</v>
      </c>
      <c r="C25" s="14">
        <v>917</v>
      </c>
      <c r="D25" s="14">
        <v>19</v>
      </c>
      <c r="E25" s="15" t="s">
        <v>4121</v>
      </c>
      <c r="F25" s="15" t="s">
        <v>4099</v>
      </c>
      <c r="G25" s="11"/>
    </row>
    <row r="26" spans="1:7">
      <c r="A26" s="2">
        <v>24</v>
      </c>
      <c r="B26" s="16" t="s">
        <v>4093</v>
      </c>
      <c r="C26" s="17">
        <v>5585</v>
      </c>
      <c r="D26" s="17">
        <v>9</v>
      </c>
      <c r="E26" s="18" t="s">
        <v>4122</v>
      </c>
      <c r="F26" s="9" t="str">
        <f>"EHPS：("&amp;C26&amp;","&amp;D26&amp;"）"</f>
        <v>EHPS：(5585,9）</v>
      </c>
      <c r="G26" s="11"/>
    </row>
    <row r="27" spans="1:7">
      <c r="A27" s="2">
        <v>25</v>
      </c>
      <c r="B27" s="16" t="s">
        <v>4093</v>
      </c>
      <c r="C27" s="17">
        <v>5585</v>
      </c>
      <c r="D27" s="17">
        <v>19</v>
      </c>
      <c r="E27" s="18" t="s">
        <v>4123</v>
      </c>
      <c r="F27" s="9" t="str">
        <f t="shared" ref="F27:F28" si="2">"EHPS：("&amp;C27&amp;","&amp;D27&amp;"）"</f>
        <v>EHPS：(5585,19）</v>
      </c>
      <c r="G27" s="11"/>
    </row>
    <row r="28" spans="1:7">
      <c r="A28" s="2">
        <v>26</v>
      </c>
      <c r="B28" s="16" t="s">
        <v>4093</v>
      </c>
      <c r="C28" s="17">
        <v>454656</v>
      </c>
      <c r="D28" s="17">
        <v>30</v>
      </c>
      <c r="E28" s="18" t="s">
        <v>4124</v>
      </c>
      <c r="F28" s="9" t="str">
        <f t="shared" si="2"/>
        <v>EHPS：(454656,30）</v>
      </c>
      <c r="G28" s="19"/>
    </row>
  </sheetData>
  <mergeCells count="1">
    <mergeCell ref="G3:G28"/>
  </mergeCells>
  <hyperlinks>
    <hyperlink ref="A1" location="'控制器源地址&amp;跳转页面'!A1" display="返回目录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版本记录</vt:lpstr>
      <vt:lpstr>控制器源地址&amp;跳转页面</vt:lpstr>
      <vt:lpstr>屏蔽故障码列表</vt:lpstr>
      <vt:lpstr>HCU故障代码31PCAN</vt:lpstr>
      <vt:lpstr>电池冷却系统(TMS)82-PCAN</vt:lpstr>
      <vt:lpstr>低压转向(LSCU)4D-BCAN</vt:lpstr>
      <vt:lpstr>高压转向故障代码表(HSCU)2E BCAN</vt:lpstr>
      <vt:lpstr>IC</vt:lpstr>
      <vt:lpstr>SCU 05 PCAN</vt:lpstr>
      <vt:lpstr>再生制动故障代码表(ABS焦作博瑞克BPCAN</vt:lpstr>
      <vt:lpstr>电池管理系统（BMS）故障代码表F4 PCAN</vt:lpstr>
      <vt:lpstr>电机故障代码表EF_PCAN</vt:lpstr>
      <vt:lpstr>空压机故障代码表30 BCAN</vt:lpstr>
      <vt:lpstr>自动变速箱故障代码表03 PCAN</vt:lpstr>
      <vt:lpstr>DCDC故障代码表（1A）BCAN</vt:lpstr>
      <vt:lpstr>高压配电盒故障代码表1E BCAN</vt:lpstr>
      <vt:lpstr>ABS KNORR故障码 ）0B PCAN</vt:lpstr>
      <vt:lpstr>新EBS(KNORR) 0B PCAN</vt:lpstr>
      <vt:lpstr>BCM（32） BCAN</vt:lpstr>
      <vt:lpstr>DCM （EC）BCAN</vt:lpstr>
      <vt:lpstr>TPMS(SENSATA)33  BCAN</vt:lpstr>
      <vt:lpstr>环景影像41BCAN</vt:lpstr>
      <vt:lpstr>疲劳驾驶E7 BCAN</vt:lpstr>
      <vt:lpstr>FCU故障码（F5）PCAN</vt:lpstr>
      <vt:lpstr>氢系统故障（F6）PCAN</vt:lpstr>
      <vt:lpstr>燃电DCDC（F5）</vt:lpstr>
      <vt:lpstr>冷却系统故障ATS(A7和A8)-pcan</vt:lpstr>
      <vt:lpstr>电机2故障代码表F0-PCAN</vt:lpstr>
      <vt:lpstr>外挂DCDC（84）PCAN</vt:lpstr>
      <vt:lpstr>外挂DCDC2（85）PCAN</vt:lpstr>
      <vt:lpstr>Knorr EPB（50）PCAN</vt:lpstr>
      <vt:lpstr>科密瑞立(KB)EPB (50) PCAN</vt:lpstr>
      <vt:lpstr>Knorr  ECAS（2F）BCAN</vt:lpstr>
      <vt:lpstr>瑞立ECAS（2F）</vt:lpstr>
      <vt:lpstr>换电系统（0xDB）</vt:lpstr>
      <vt:lpstr>燃料电池冷却系统(FTS)8F-PCAN</vt:lpstr>
      <vt:lpstr>电液转向机（13）PCAN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Ye 顾晔(DFCV技术中心客车开发部车型室)</dc:creator>
  <cp:lastModifiedBy>Seaman</cp:lastModifiedBy>
  <dcterms:created xsi:type="dcterms:W3CDTF">2018-01-16T06:21:00Z</dcterms:created>
  <dcterms:modified xsi:type="dcterms:W3CDTF">2024-05-21T09:23:33Z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B9325CB6351E40B3B66ED45CAD0FDF08_12</vt:lpwstr>
  </property>
  <property fmtid="{D5CDD505-2E9C-101B-9397-08002B2CF9AE}" pid="3" name="KSOProductBuildVer">
    <vt:lpwstr>2052-12.1.0.16412</vt:lpwstr>
  </property>
</Properties>
</file>