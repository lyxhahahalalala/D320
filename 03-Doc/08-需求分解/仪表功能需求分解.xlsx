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140"/>
  </bookViews>
  <sheets>
    <sheet name="标定参数默认值" sheetId="8" r:id="rId1"/>
    <sheet name="文字提醒" sheetId="7" r:id="rId2"/>
    <sheet name="小图标符号片" sheetId="9" r:id="rId3"/>
    <sheet name="大图标" sheetId="10" r:id="rId4"/>
    <sheet name="蜂鸣器" sheetId="14" r:id="rId5"/>
    <sheet name="外发报文" sheetId="13" r:id="rId6"/>
    <sheet name="主界面" sheetId="11" r:id="rId7"/>
    <sheet name="子界面" sheetId="12" r:id="rId8"/>
  </sheets>
  <externalReferences>
    <externalReference r:id="rId9"/>
    <externalReference r:id="rId10"/>
  </externalReferences>
  <definedNames>
    <definedName name="_xlnm._FilterDatabase" localSheetId="2" hidden="1">小图标符号片!$A$1:$I$81</definedName>
    <definedName name="_xlnm._FilterDatabase" localSheetId="1" hidden="1">文字提醒!$A$1:$I$41</definedName>
    <definedName name="__123Graph_A" hidden="1">[1]MOTO!#REF!</definedName>
    <definedName name="__123Graph_X" hidden="1">[1]MOTO!#REF!</definedName>
    <definedName name="_Fill" hidden="1">[1]MOTO!#REF!</definedName>
    <definedName name="_Key1" hidden="1">#REF!</definedName>
    <definedName name="_Order1" hidden="1">255</definedName>
    <definedName name="_Order2" hidden="1">255</definedName>
    <definedName name="_Regression_Int" hidden="1">1</definedName>
    <definedName name="a" hidden="1">[2]MOTO!#REF!</definedName>
    <definedName name="kinji" hidden="1">[2]MOTO!#REF!</definedName>
    <definedName name="muroi" hidden="1">[2]MOTO!#REF!</definedName>
    <definedName name="sss" hidden="1">[2]MOTO!#REF!</definedName>
  </definedName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8" name="ID_583FA33C5CC74AA896BFD00000F21A49" descr="说明: 屏幕剪辑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1000" y="508000"/>
          <a:ext cx="467995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545DED49D92D4E4CB1F6D417FD0055D7" descr="说明: 屏幕剪辑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1000" y="965200"/>
          <a:ext cx="535305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4E23E753E80D4718B260068FC1FBB2B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1000" y="2336800"/>
          <a:ext cx="499110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72223D117037496C8CBD5FD5E457201D" descr="说明: 屏幕剪辑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81000" y="2794000"/>
          <a:ext cx="527050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A4A7AD6983D64DADB17F6DFE849A1C80" descr="说明: 屏幕剪辑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81000" y="3251200"/>
          <a:ext cx="431800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FE932DD522034857B92BFAB625F133C0" descr="说明: 屏幕剪辑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1000" y="3708400"/>
          <a:ext cx="447040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16F418BE7EAA4F06B037B4A6799455C4" descr="说明: 屏幕剪辑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81000" y="4165600"/>
          <a:ext cx="360045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D3F5C6C958C24FDCB9FF5BE95003E91E" descr="说明: 屏幕剪辑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81000" y="4622800"/>
          <a:ext cx="370205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A1893C6BA5244C64967196C55BC7317B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81000" y="5080000"/>
          <a:ext cx="298450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1159B64BED2842C9982193643B6ACB92" descr="说明: 屏幕剪辑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81000" y="5537200"/>
          <a:ext cx="479425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603E0F61549D4CB3A32D9A8BB13A920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81000" y="5994400"/>
          <a:ext cx="437515" cy="363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7CA0C625BEE64F928B7859036D4A3857" descr="说明: 屏幕剪辑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81000" y="6451600"/>
          <a:ext cx="270510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868D59E76FBD4AEAB624A9EBDEB727A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81000" y="7277100"/>
          <a:ext cx="457200" cy="3663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" name="ID_287C460B1ADD43E99564C15B5256C19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81000" y="7734300"/>
          <a:ext cx="425450" cy="3975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" name="ID_CF026060B0584117B3E5E5D0005C4D12"/>
        <xdr:cNvPicPr>
          <a:picLocks noChangeAspect="1" noChangeArrowheads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0" y="8509000"/>
          <a:ext cx="375285" cy="36004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8" name="ID_9A587CD4E1D04B2F9940B7BBD523598C" descr="说明: 屏幕剪辑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81000" y="8966200"/>
          <a:ext cx="466090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" name="ID_427979664EEF46E4942715BA3D88E003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81000" y="9423400"/>
          <a:ext cx="575945" cy="2324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" name="ID_7EEE4433003C4B8080ADDA5B84BEFB3D"/>
        <xdr:cNvPicPr/>
      </xdr:nvPicPr>
      <xdr:blipFill>
        <a:blip r:embed="rId18"/>
        <a:stretch>
          <a:fillRect/>
        </a:stretch>
      </xdr:blipFill>
      <xdr:spPr>
        <a:xfrm>
          <a:off x="381000" y="9880600"/>
          <a:ext cx="431165" cy="3625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3F780180AB424542858E362978C420BA"/>
        <xdr:cNvPicPr/>
      </xdr:nvPicPr>
      <xdr:blipFill>
        <a:blip r:embed="rId19"/>
        <a:stretch>
          <a:fillRect/>
        </a:stretch>
      </xdr:blipFill>
      <xdr:spPr>
        <a:xfrm>
          <a:off x="381000" y="10337800"/>
          <a:ext cx="491490" cy="4051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" name="ID_1592923889EF469BB81F69E4D78F6FB6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81000" y="11760200"/>
          <a:ext cx="575945" cy="29146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" name="ID_B12DD611D7E648E3BA285A2DA721A06C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81000" y="16078200"/>
          <a:ext cx="512445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A873F764474942FBB30F143C41321E2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81000" y="15163800"/>
          <a:ext cx="539750" cy="3962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4601BFE86BEB480E855F005F25F13FE8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81000" y="15621000"/>
          <a:ext cx="512445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7279540E395445FC9884E0997928CC99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81000" y="14236700"/>
          <a:ext cx="539750" cy="457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" name="ID_483AEFBA37DB4141913E0F5373ABF31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381000" y="13779500"/>
          <a:ext cx="488315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F46E9E6370974C219D81501E45B6986A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381000" y="16611600"/>
          <a:ext cx="539750" cy="48196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" name="ID_995B58942CC1474C8F6FB2895633A455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381000" y="17322800"/>
          <a:ext cx="539750" cy="325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8AEC5C1FA3A441FBAE9595A3D11D9C02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381000" y="17780000"/>
          <a:ext cx="413385" cy="4133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" name="ID_446916C4B80F432693A672ACE2440827" descr="C:\Users\ADMINI~1\AppData\Local\Temp\1583677233(1).png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381000" y="18770600"/>
          <a:ext cx="371475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" name="ID_C630F8B9ADF847EE8EE984C97F454B93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381000" y="19227800"/>
          <a:ext cx="493395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" name="ID_9A0375412B8347DDA37EE00DED916209"/>
        <xdr:cNvPicPr>
          <a:picLocks noChangeAspect="1" noChangeArrowheads="1"/>
        </xdr:cNvPicPr>
      </xdr:nvPicPr>
      <xdr:blipFill>
        <a:blip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0" y="19685000"/>
          <a:ext cx="443230" cy="36004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5" name="ID_208C124A842747FD9373365B63C379D7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381000" y="20637500"/>
          <a:ext cx="381000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" name="ID_7D4D8FEDD6A84621A23080FEC1105C39" descr="说明: 屏幕剪辑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381000" y="24282400"/>
          <a:ext cx="384175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12D21C6F218343658DA7324E5A0F516D"/>
        <xdr:cNvPicPr/>
      </xdr:nvPicPr>
      <xdr:blipFill>
        <a:blip r:embed="rId33"/>
        <a:stretch>
          <a:fillRect/>
        </a:stretch>
      </xdr:blipFill>
      <xdr:spPr>
        <a:xfrm>
          <a:off x="381000" y="22263100"/>
          <a:ext cx="511810" cy="4679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" name="ID_03F474DCAFED4993AF9899D89F55CB8E" descr="说明: 屏幕剪辑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381000" y="21805900"/>
          <a:ext cx="534670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" name="ID_05367555C2AB487C9DE0D6BBD177AC76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381000" y="21094700"/>
          <a:ext cx="431800" cy="360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C2A5CE27313B47E09768905710483E70"/>
        <xdr:cNvPicPr>
          <a:picLocks noRot="1" noChangeAspect="1"/>
        </xdr:cNvPicPr>
      </xdr:nvPicPr>
      <xdr:blipFill>
        <a:blip r:embed="rId36"/>
        <a:stretch>
          <a:fillRect/>
        </a:stretch>
      </xdr:blipFill>
      <xdr:spPr>
        <a:xfrm>
          <a:off x="381000" y="25069800"/>
          <a:ext cx="344170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EC9B9025F1204E63AF2F7F2B4087AFD3"/>
        <xdr:cNvPicPr>
          <a:picLocks noRot="1" noChangeAspect="1"/>
        </xdr:cNvPicPr>
      </xdr:nvPicPr>
      <xdr:blipFill>
        <a:blip r:embed="rId37"/>
        <a:stretch>
          <a:fillRect/>
        </a:stretch>
      </xdr:blipFill>
      <xdr:spPr>
        <a:xfrm>
          <a:off x="381000" y="25527000"/>
          <a:ext cx="479425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DBB2F64D05184BC99147F6D1E10DA4B5" descr="说明: 屏幕剪辑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381000" y="29184600"/>
          <a:ext cx="449580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722D3B3450E342D1A268114814AAFF80" descr="说明: 屏幕剪辑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381000" y="28727400"/>
          <a:ext cx="480060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B06C4049859940FEA0DEF5E33269C8E1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381000" y="28270200"/>
          <a:ext cx="531495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EF13172415484082B7B74573B1E94735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381000" y="26898600"/>
          <a:ext cx="391795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E13420A19E9C4A57B8C03FAE35FB87EF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381000" y="26441400"/>
          <a:ext cx="393065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F2D52D48BBAD4F87ADA9207AAB0F3DB1"/>
        <xdr:cNvPicPr>
          <a:picLocks noRot="1" noChangeAspect="1"/>
        </xdr:cNvPicPr>
      </xdr:nvPicPr>
      <xdr:blipFill>
        <a:blip r:embed="rId43"/>
        <a:stretch>
          <a:fillRect/>
        </a:stretch>
      </xdr:blipFill>
      <xdr:spPr>
        <a:xfrm>
          <a:off x="381000" y="25984200"/>
          <a:ext cx="323850" cy="361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" name="ID_367AA00AF0DB42EFB6B2133465E02A72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381000" y="27355800"/>
          <a:ext cx="431165" cy="361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A657AD6841B74128B2FCAB38F749AB58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381000" y="27813000"/>
          <a:ext cx="431165" cy="361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0CAA5ED595ED44B3A5731579DAB85033" descr="说明: 屏幕剪辑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381000" y="30111700"/>
          <a:ext cx="448310" cy="363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8CC06D9C36B24C689A2C84DC1B3451DE" descr="说明: 屏幕剪辑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381000" y="30988000"/>
          <a:ext cx="386715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15DA59341D7C4360B473794038FC7189" descr="说明: 屏幕剪辑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381000" y="31864300"/>
          <a:ext cx="386715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193DF2097ED949329B1A90841BB428A3" descr="说明: 屏幕剪辑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381000" y="32740600"/>
          <a:ext cx="485140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" name="ID_4E8D99BD5834484391DC98EC9718024E" descr="说明: 屏幕剪辑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381000" y="33197800"/>
          <a:ext cx="357505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" name="ID_931438589AEA4AB0B89EFC8D4A79C74A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381000" y="33655000"/>
          <a:ext cx="371475" cy="4095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<sst xmlns="http://schemas.openxmlformats.org/spreadsheetml/2006/main" count="618" uniqueCount="364">
  <si>
    <t>序号</t>
  </si>
  <si>
    <t>参数</t>
  </si>
  <si>
    <t>DID</t>
  </si>
  <si>
    <t>字节数</t>
  </si>
  <si>
    <t>默认标定值</t>
  </si>
  <si>
    <t>标定含义</t>
  </si>
  <si>
    <t>功能</t>
  </si>
  <si>
    <t>备注</t>
  </si>
  <si>
    <t>1</t>
  </si>
  <si>
    <t>里程表传感器每转脉冲数</t>
  </si>
  <si>
    <t>0x0140</t>
  </si>
  <si>
    <t>2</t>
  </si>
  <si>
    <t>里程表表头系数</t>
  </si>
  <si>
    <t>0x0141</t>
  </si>
  <si>
    <t>3</t>
  </si>
  <si>
    <t>变速箱里程表速比分子</t>
  </si>
  <si>
    <t>0x0142</t>
  </si>
  <si>
    <t>4</t>
  </si>
  <si>
    <t>变速箱里程表速比分母</t>
  </si>
  <si>
    <t>0x0143</t>
  </si>
  <si>
    <t>5</t>
  </si>
  <si>
    <t>语言</t>
  </si>
  <si>
    <t>0x0144</t>
  </si>
  <si>
    <t>6</t>
  </si>
  <si>
    <t>后处理方案</t>
  </si>
  <si>
    <t>0x0145</t>
  </si>
  <si>
    <t>7</t>
  </si>
  <si>
    <t>发动机类型</t>
  </si>
  <si>
    <t>0x0146</t>
  </si>
  <si>
    <t>8</t>
  </si>
  <si>
    <t>发动机经济转速区</t>
  </si>
  <si>
    <t>0x0147</t>
  </si>
  <si>
    <t>9</t>
  </si>
  <si>
    <t>发动机报警转速区</t>
  </si>
  <si>
    <t>0x0148</t>
  </si>
  <si>
    <t>10</t>
  </si>
  <si>
    <t>变速箱类型</t>
  </si>
  <si>
    <t>0x0149</t>
  </si>
  <si>
    <t>11</t>
  </si>
  <si>
    <t>ABS 或 EBS 及厂家</t>
  </si>
  <si>
    <t>0x014A</t>
  </si>
  <si>
    <t>12</t>
  </si>
  <si>
    <t>TPMS 系统有无</t>
  </si>
  <si>
    <t>0x014B</t>
  </si>
  <si>
    <t>13</t>
  </si>
  <si>
    <t>ECAS 类型</t>
  </si>
  <si>
    <t>0x014C</t>
  </si>
  <si>
    <t>14</t>
  </si>
  <si>
    <t>缓速器类型</t>
  </si>
  <si>
    <t>0x014D</t>
  </si>
  <si>
    <t>15</t>
  </si>
  <si>
    <t>盘式制动器磨损报警</t>
  </si>
  <si>
    <t>0x014E</t>
  </si>
  <si>
    <t>16</t>
  </si>
  <si>
    <t>ESC 及厂家</t>
  </si>
  <si>
    <t>0x014F</t>
  </si>
  <si>
    <t>17</t>
  </si>
  <si>
    <t>LDWS 车道偏离预警系统</t>
  </si>
  <si>
    <t>0x0150</t>
  </si>
  <si>
    <t>18</t>
  </si>
  <si>
    <t>乘客侧安全带未系报警功能有无</t>
  </si>
  <si>
    <t>0x0151</t>
  </si>
  <si>
    <t>19</t>
  </si>
  <si>
    <t>气压传感器数量</t>
  </si>
  <si>
    <t>0x0152</t>
  </si>
  <si>
    <t>20</t>
  </si>
  <si>
    <t>车辆类别</t>
  </si>
  <si>
    <t>0x0153</t>
  </si>
  <si>
    <t>21</t>
  </si>
  <si>
    <t>AEBS 自动紧急制动系统</t>
  </si>
  <si>
    <t>0x0154</t>
  </si>
  <si>
    <t>22</t>
  </si>
  <si>
    <t>排放及升级技术</t>
  </si>
  <si>
    <t>0x0155</t>
  </si>
  <si>
    <t>23</t>
  </si>
  <si>
    <t>空调调节类型</t>
  </si>
  <si>
    <t>0x0156</t>
  </si>
  <si>
    <t>24</t>
  </si>
  <si>
    <t>整车 VECU 匹配</t>
  </si>
  <si>
    <t>0x0157</t>
  </si>
  <si>
    <t>25</t>
  </si>
  <si>
    <t>整车保养里程</t>
  </si>
  <si>
    <t>0x015A</t>
  </si>
  <si>
    <t>26</t>
  </si>
  <si>
    <t>整车保养周期</t>
  </si>
  <si>
    <t>0x015B</t>
  </si>
  <si>
    <t>27</t>
  </si>
  <si>
    <t>变速箱型号及速比</t>
  </si>
  <si>
    <t>0x015C</t>
  </si>
  <si>
    <t>28</t>
  </si>
  <si>
    <t>驱动型式及位置</t>
  </si>
  <si>
    <t>0x015D</t>
  </si>
  <si>
    <t>29</t>
  </si>
  <si>
    <t>超速报警值</t>
  </si>
  <si>
    <t>0x015E</t>
  </si>
  <si>
    <t>30</t>
  </si>
  <si>
    <t>气压报警值定义义（D310&amp;D530、D320、D760 大改型仪表）</t>
  </si>
  <si>
    <t>0x015F</t>
  </si>
  <si>
    <t>31</t>
  </si>
  <si>
    <t>BSD 配置（D760 大改型仪表）</t>
  </si>
  <si>
    <t>0x0160</t>
  </si>
  <si>
    <t>32</t>
  </si>
  <si>
    <t>疲劳驾驶报警系统配置（D760 大改型仪表）</t>
  </si>
  <si>
    <t>0x0161</t>
  </si>
  <si>
    <t>33</t>
  </si>
  <si>
    <t>PEPS 配置（D760 大改型仪表）</t>
  </si>
  <si>
    <t>0x0162</t>
  </si>
  <si>
    <t>34</t>
  </si>
  <si>
    <t>动力电池冷却方式（仅用于纯电动仪表）</t>
  </si>
  <si>
    <t>0x0164</t>
  </si>
  <si>
    <t>35</t>
  </si>
  <si>
    <t>TBOX 配置</t>
  </si>
  <si>
    <t>0x0191</t>
  </si>
  <si>
    <t>36</t>
  </si>
  <si>
    <t>水位传感器配置</t>
  </si>
  <si>
    <t>0x0112</t>
  </si>
  <si>
    <t>39</t>
  </si>
  <si>
    <t>限速功能</t>
  </si>
  <si>
    <t>0x0192</t>
  </si>
  <si>
    <t>37</t>
  </si>
  <si>
    <t>应急转向配置</t>
  </si>
  <si>
    <t>0x0193</t>
  </si>
  <si>
    <t>38</t>
  </si>
  <si>
    <t>行驶记录仪</t>
  </si>
  <si>
    <t>0x0194</t>
  </si>
  <si>
    <t>运行方式</t>
  </si>
  <si>
    <t>中文描述</t>
  </si>
  <si>
    <t>英文描述</t>
  </si>
  <si>
    <t>显示颜色</t>
  </si>
  <si>
    <t>前置条件</t>
  </si>
  <si>
    <t>标定限定</t>
  </si>
  <si>
    <t>显示条件</t>
  </si>
  <si>
    <t>3s滚动一次，循环显示
显示在LCD中部左对齐</t>
  </si>
  <si>
    <t xml:space="preserve">气压过低                        </t>
  </si>
  <si>
    <t>Air pressure too low</t>
  </si>
  <si>
    <t>黄色</t>
  </si>
  <si>
    <t>ON档上电</t>
  </si>
  <si>
    <t>前桥气压或后桥气压低于535kpa</t>
  </si>
  <si>
    <t xml:space="preserve">气压过高                        </t>
  </si>
  <si>
    <t>Air pressure too high</t>
  </si>
  <si>
    <t>前桥气压或后桥气压高于1200kpa</t>
  </si>
  <si>
    <t xml:space="preserve">手刹未解除                      </t>
  </si>
  <si>
    <t>Please release handbrake</t>
  </si>
  <si>
    <t>车速大于 5km/h，手刹未解除，直到车速低于3Km/h或驻车制动开关为高电平或总线信号为0X18FEF131，byte1.bit3-4 == 00</t>
  </si>
  <si>
    <t xml:space="preserve">疲劳驾驶警告                    </t>
  </si>
  <si>
    <t>Fatigue Driving Warning</t>
  </si>
  <si>
    <t>仪表 BCAN 收到报警信号，即0x18FF14E7-&gt;byte3.bit1-2 != 0，且0x18FF14E7-&gt;byte1.bit1-2 == 1</t>
  </si>
  <si>
    <t xml:space="preserve">电机冷却液过温报警              </t>
  </si>
  <si>
    <t>Motor coolant overheated warning</t>
  </si>
  <si>
    <t>电机冷却温度大于等于65℃，即0x0C3DD7A7_t-&gt;byte5 &gt;= 105</t>
  </si>
  <si>
    <t xml:space="preserve">您已超速,请减速慢行!            </t>
  </si>
  <si>
    <t>Overspeed,please slow down!</t>
  </si>
  <si>
    <t>计算车速大于EOL标定值（超速报警值标定项DID = 0x15E）</t>
  </si>
  <si>
    <t xml:space="preserve">空气弹簧处于充放气状态          </t>
  </si>
  <si>
    <t>Air spring is being inflated or deflated</t>
  </si>
  <si>
    <t>ECAS 标定为机械式空气悬架</t>
  </si>
  <si>
    <t>A23接高电平或者接收到总线有效信号18FF2732-&gt;byte7.bit1-2 == 1</t>
  </si>
  <si>
    <t xml:space="preserve">空气悬架偏离正常高度            </t>
  </si>
  <si>
    <t>ECAS deviated from normal height</t>
  </si>
  <si>
    <t>ECAS 标定为电子式空气悬架（匹配WABCO ECAS、Knorr ELC、瑞立ECAS）</t>
  </si>
  <si>
    <t>车速大于30km/h，且0CFE5A2F_t-&gt;byte1不为0x10、且不为0x20、且不为0x30</t>
  </si>
  <si>
    <t xml:space="preserve">ECAS高度传感器异常              </t>
  </si>
  <si>
    <t>ECAS height sensor abnormal</t>
  </si>
  <si>
    <t>ECAS 标定为电子式空气悬架（匹配WABCO ECAS、Knorr ELC、）</t>
  </si>
  <si>
    <t>收到ECAS失效指示熄灭总线信号18FECA2F-&gt;byte1.bit3-4 == 0x01，或18FECA2F-&gt;byte1.bit5-6 == 0x01</t>
  </si>
  <si>
    <t>ECAS 标定为电子式空气悬架（匹配W瑞立ECAS）</t>
  </si>
  <si>
    <t>收到ECAS失效指示熄灭总线信号18FECA2F-&gt;byte1.bit5-6 == 0x01</t>
  </si>
  <si>
    <t xml:space="preserve">快速漏气报警                    </t>
  </si>
  <si>
    <t>Tire quick leak warning</t>
  </si>
  <si>
    <t>TPMS系统有无标定大于0</t>
  </si>
  <si>
    <t>收到漏气总线信号0x18FFE633-&gt;byte4.bit7-8 == 1</t>
  </si>
  <si>
    <t xml:space="preserve">胎压过低报警                    </t>
  </si>
  <si>
    <t>Tire low pressure warning</t>
  </si>
  <si>
    <t>收到胎压状态总线信号0x18FFE633-&gt;byte6.bit3-6 等于 5或6</t>
  </si>
  <si>
    <t xml:space="preserve">胎压过高报警                    </t>
  </si>
  <si>
    <t>Tire high pressure warning</t>
  </si>
  <si>
    <t>收到胎压状态总线信号0x18FFE633-&gt;byte6.bit3-6 等于 2或3</t>
  </si>
  <si>
    <t xml:space="preserve">胎温过高报警                    </t>
  </si>
  <si>
    <t>Excessive tire temp warning</t>
  </si>
  <si>
    <t>收到胎温状态总线信号0x18FFE633-&gt;byte7.bit1-2 等于 1</t>
  </si>
  <si>
    <t xml:space="preserve">TPMS故障报警                    </t>
  </si>
  <si>
    <t>TPMS error warning</t>
  </si>
  <si>
    <t>仪表收到TPMS发出的DM1黄色报警灯CAN总线信号，或0x18FFE633</t>
  </si>
  <si>
    <t xml:space="preserve">高压未上电                      </t>
  </si>
  <si>
    <t>High voltage is not powered</t>
  </si>
  <si>
    <t>收到整车状态总线信号18FFF531-&gt;byte7.bit1-4 == 0</t>
  </si>
  <si>
    <t xml:space="preserve">高压已上电，车辆可正常运行      </t>
  </si>
  <si>
    <t>High voltage powered on</t>
  </si>
  <si>
    <t>绿色</t>
  </si>
  <si>
    <t>收到整车状态总线信号18FFF531-&gt;byte7.bit1-4 == 1</t>
  </si>
  <si>
    <t xml:space="preserve">能量回收                       </t>
  </si>
  <si>
    <t>Energy recovery</t>
  </si>
  <si>
    <t>收到整车状态总线信号18FFF531-&gt;byte7.bit1-4 == 3，且车速大于10km/h</t>
  </si>
  <si>
    <t xml:space="preserve">车辆处于可行驶模式,下车注意安全 </t>
  </si>
  <si>
    <t>Driving mode, Caution！</t>
  </si>
  <si>
    <t xml:space="preserve">收到整车状态总线信号18FFF531-&gt;byte7.bit1-4 == 1，
且车门打开（18FF2232-&gt;byte5.bit3-4或18FF2232-&gt;byte5.bit5-6等于1）
且非空档 </t>
  </si>
  <si>
    <t xml:space="preserve">SOC低，请注意                   </t>
  </si>
  <si>
    <t>SOC is low</t>
  </si>
  <si>
    <t>收到DM1故障SPN=521309,FMI=17</t>
  </si>
  <si>
    <t xml:space="preserve">SOC低，请充电                   </t>
  </si>
  <si>
    <t>SOC is low, please charge</t>
  </si>
  <si>
    <t>收到DM1故障SPN=521309,FMI=18</t>
  </si>
  <si>
    <t xml:space="preserve">SOC过低，请立即充电             </t>
  </si>
  <si>
    <t>SOC is too low, please charge now</t>
  </si>
  <si>
    <t>收到DM1故障SPN=521309,FMI=1</t>
  </si>
  <si>
    <t xml:space="preserve">电池管理系统故障                </t>
  </si>
  <si>
    <t>Battery management system failure</t>
  </si>
  <si>
    <t>收到除SOC低相关的DM1故障外的其他DM1故障</t>
  </si>
  <si>
    <t xml:space="preserve">加氢盖已打开                    </t>
  </si>
  <si>
    <t>H2 cap is open</t>
  </si>
  <si>
    <t>红色</t>
  </si>
  <si>
    <t>发动机类型 标定为45，即氢燃料电池车</t>
  </si>
  <si>
    <t>收到 HMU 总线信号0x18FFA1F6-&gt;byte1.bit7-8 == 1</t>
  </si>
  <si>
    <t xml:space="preserve">氢气剩余量低,请加氢             </t>
  </si>
  <si>
    <t>H2 surplus is low, Please add H2</t>
  </si>
  <si>
    <t>氢气剩余量低于 10%，0x18FFA1F6-&gt;byte2</t>
  </si>
  <si>
    <t xml:space="preserve">临时停车制动启动                </t>
  </si>
  <si>
    <t>Temporary parking brake activated</t>
  </si>
  <si>
    <t>收到EPB临停激活有效信号,18FF3C50-&gt;byte3.bit1-2 == 1</t>
  </si>
  <si>
    <t xml:space="preserve">请踩住脚刹释放驻车              </t>
  </si>
  <si>
    <t>Depress the footbrake to release</t>
  </si>
  <si>
    <t>收到EPB的提醒信号有效,,18FF3C50-&gt;byte2.bit1-4 == 1</t>
  </si>
  <si>
    <t xml:space="preserve">气压低，驻车暂时无法解除        </t>
  </si>
  <si>
    <t>Low air pressure!Parking brake locked</t>
  </si>
  <si>
    <t>收到EPB的提醒信号有效,,18FF3C50-&gt;byte2.bit1-4 == 3</t>
  </si>
  <si>
    <t>按优先级显示，优先级自上而下，由高到低
显示在LCD中部右对齐</t>
  </si>
  <si>
    <t>动力电池严重过温,请速安全撤离!</t>
  </si>
  <si>
    <t>Power battery overtemp. Evacuate immediately!</t>
  </si>
  <si>
    <t>收到DM1故障SPN=521335,FMI=3</t>
  </si>
  <si>
    <t>低压电池电压低!</t>
  </si>
  <si>
    <t>Auxiliary battery voltage is low</t>
  </si>
  <si>
    <t>低压蓄电池电压21V持续3s，显示5s</t>
  </si>
  <si>
    <t>吹扫进行中</t>
  </si>
  <si>
    <t>Purge in progress</t>
  </si>
  <si>
    <t>收到FCU 吹扫标志位总线信号，18FFA6F5-&gt;byte7.bit1-2 == 1</t>
  </si>
  <si>
    <t>符号</t>
  </si>
  <si>
    <t>属性</t>
  </si>
  <si>
    <t>LED</t>
  </si>
  <si>
    <t>主车左转向灯指示</t>
  </si>
  <si>
    <t>常电接通</t>
  </si>
  <si>
    <t>收到主车左转向灯点亮信号 18FF2732-&gt;byte1.bit1-2 == 1，按一定频率闪烁</t>
  </si>
  <si>
    <t>主车右转向灯指示</t>
  </si>
  <si>
    <t>收到主车右转向灯点亮信号 18FF2732-&gt;byte1.bit3-4 == 1，按一定频率闪烁</t>
  </si>
  <si>
    <t>挂车左转向灯指示</t>
  </si>
  <si>
    <t>收到挂车左转向灯点亮信号 18FF2732-&gt;byte1.bit5-6 == 1，按一定频率闪烁</t>
  </si>
  <si>
    <t>挂车右转向灯指示</t>
  </si>
  <si>
    <t>收到挂车右转向灯点亮信号 18FF2732-&gt;byte1.bit7-8 == 1，按一定频率闪烁</t>
  </si>
  <si>
    <t>位置灯指示</t>
  </si>
  <si>
    <t>收到位置灯点亮信号 18FF2732-&gt;byte3.bit1-2 == 1</t>
  </si>
  <si>
    <t>远光灯指示</t>
  </si>
  <si>
    <t>蓝色</t>
  </si>
  <si>
    <t>收到远光灯点亮 CAN 总线信号 18FF2732-&gt;byte3.bit3-4 == 1</t>
  </si>
  <si>
    <t>近光灯指示</t>
  </si>
  <si>
    <t>收到近光灯点亮 CAN 总线信号 18FF2732-&gt;byte3.bit5-6 == 1</t>
  </si>
  <si>
    <t>前雾灯指示</t>
  </si>
  <si>
    <t>收到前雾灯点亮 CAN 总线信号 18FF2732-&gt;byte2.bit1-2 == 1</t>
  </si>
  <si>
    <t>后雾灯指示</t>
  </si>
  <si>
    <t>收到后雾灯点亮 CAN 总线信号 18FF2732-&gt;byte2.bit3-4 == 1</t>
  </si>
  <si>
    <t>灯丝检测指示</t>
  </si>
  <si>
    <t>收到 BCMI 灯丝检测指示灯点亮 CAN 总线信号 18FF2732-&gt;byte2.bit7-8 == 1</t>
  </si>
  <si>
    <t>门开指示</t>
  </si>
  <si>
    <t>仪表收到门开报警指示灯点亮总线信号 18FF2732-&gt;byte5.bit3-4 == 1 或 byte5.bit5-6 == 1</t>
  </si>
  <si>
    <t>驾驶室锁止不到位指示</t>
  </si>
  <si>
    <t>收到驾驶室锁止不到位开关A8 低电平信号</t>
  </si>
  <si>
    <t>水位低指示</t>
  </si>
  <si>
    <t>仪表接收冷却液液位传感器信号B17，滤波时间30s，即当传感器电阻低于140KΩ超过30s时，点亮水位过低报警灯</t>
  </si>
  <si>
    <t>安全带未系指示</t>
  </si>
  <si>
    <t>（乘客侧安全带未系报警功能有无配置）</t>
  </si>
  <si>
    <t>收到司机侧安全带未系开关A9低电平信号
（或收到乘客侧安全带未系开关C26低电平信号及乘客侧气压开关B4传感器信号0~150Ω）</t>
  </si>
  <si>
    <t>驻车手刹指示</t>
  </si>
  <si>
    <t>收到驻车制动低电平信号
或收到驻车制动点亮总线信号（ID：0X18FEF131，BYTE1.BIT3-4  00：未制动 01：制动）</t>
  </si>
  <si>
    <t>巡航指示</t>
  </si>
  <si>
    <t>收到巡航指示灯闪烁信号 18FFF531-&gt;byte3.bit6 =1（闪烁）
收到行车巡航工作信号 18FFF531-&gt;byte3.bit1-2 =1（常亮）
收到PTO巡航工作信号 18FFF531-&gt;byte3.bit3-4 =1（常亮）</t>
  </si>
  <si>
    <t>水温高报警灯指示</t>
  </si>
  <si>
    <t>仪表根据收到的水温总线信号，计算冷却液温度，冷却液温度≥60℃时点亮，小于58℃解除（冷却液温度ID=0x0C3DD7A7 byte5  偏移量:-40℃）</t>
  </si>
  <si>
    <t>超速报警指示</t>
  </si>
  <si>
    <t>车速超过标定报警车速持续3s，触发车速超速报警</t>
  </si>
  <si>
    <t>LCD</t>
  </si>
  <si>
    <t>READY指示灯</t>
  </si>
  <si>
    <t>Ready灯状态报文有效时点亮（ID=0x18FFF531  byte3 bit5 == 1）</t>
  </si>
  <si>
    <t>绝缘报警指示</t>
  </si>
  <si>
    <t>电池管理系统故障报文有效（单个故障ID=0x18FECAF4 一个以上故障ID：18ECFFF4,18EBFFF4）
绝缘故障 SPN=7F454 FMI=1   或  SPN=7F454 FMI=18</t>
  </si>
  <si>
    <t>整车故障指示</t>
  </si>
  <si>
    <t>1、电池管理系统红色报警灯亮报文有效 （单个故障 ID=0x18FECAF4 一个以上故障 ID：18ECFFF4,18EBFFF4）
2、电机控制系统红色报警灯亮报文有效 （单个故障 ID=0x18FECAEF 一个以上故障 ID：18ECFFEF,18EBFFEF）
3、空压机系统红色报警灯亮报文有效 （单个故障 ID=0x18FECA30 一个以上故障 ID：18ECFF30,18EBFF30）
4、DCDC 系统红色报警灯亮报文有效 （单个故障 ID=0x18FECA1A 一个以上故障 ID：18ECFF1A,18EBFF1A）
5、高压转向系统红色报警灯亮报文有效 （单个故障 ID=0x18FECA2E 一个以上故障 ID：18ECFF2E,18EBFF2E） 
以上任意条件成立时，系统故障指示灯点亮</t>
  </si>
  <si>
    <t>停机报警</t>
  </si>
  <si>
    <t>1、电池管理系统红色报警灯亮报文有效    （单个故障ID=0x18FECAF4 一个以上故障ID：18ECFFF4,18EBFFF4）
2、电机控制系统红色报警灯亮报文有效(单个故障ID=0x18FECAEF一个以上故障ID：18ECFFEF,18EBFFEF）
3、空压机系统红色报警灯亮报文有效（单个故障ID=0x18FECA30 一个以上故障ID：18ECFF30,18EBFF30）
4、DCDC系统红色报警灯亮报文有效（单个故障ID=0x18FECA1A 一个以上故障ID：18ECFF1A,18EBFF1A）        
5、自动变速箱系统红色报警灯亮报文有效（单个故障ID=0x18FECA03一个以上故障ID：18ECFF03,18EBFF03）
6、高压转向系统红色报警灯亮报文有效（单个故障ID=0x18FECA2E一个以上故障ID：18ECFF2E,18EBFF2E）
7、高压配电盒红色报警灯亮报文有效（单个故障ID=0x18FECA1E一个以上故障ID：18ECFF1E,18EBFF1E）
8、低压转向系统红色报警灯亮报文有效（单个故障ID=0x18FECA4D一个以上故障ID：18ECFF24D,18EBFF4D）
以上任意条件成立时点亮</t>
  </si>
  <si>
    <t>动力电池切断指示</t>
  </si>
  <si>
    <t>电机电压低于200且车速大于5km/h（控制器直流母线电压ID=0x0CFF11EF byte3 bit3~4  增益0.1V）</t>
  </si>
  <si>
    <t>动力电池故障指示</t>
  </si>
  <si>
    <t>1、电池管理系统红色报警灯亮报文有效 （单个故障 ID=0x18FECAF4 一个以上故障 ID：18ECFFF4,18EBFFF4）
2、电池管理系统黄色报警灯亮报文有效 （单个故障 ID=0x18FECAF4 一个以上故障 ID：18ECFFF4,18EBFFF4）
3、连续 5 秒未接收到电池管理系统外发报文 （ID=0x0CFFEAF4） 
以上任意条件成立时，则动力电池故障指示灯点亮</t>
  </si>
  <si>
    <t>当BMS没有SOC低（521309/17，521309/18，521309/1）以外的其他故障存在时，动力电池故障指示灯不亮</t>
  </si>
  <si>
    <t>SOC过低报警指示</t>
  </si>
  <si>
    <t>收到SPN/FMI:521309/18，或521309/1时，SOC灯点亮</t>
  </si>
  <si>
    <t>动力电池过温指示</t>
  </si>
  <si>
    <t>收到SPN:521301 FMI:16或SPN:521301  FMI：0</t>
  </si>
  <si>
    <t>8.12.3REESS热事件报警</t>
  </si>
  <si>
    <t>ON档上电或充电枪插入</t>
  </si>
  <si>
    <t>收到电池系统发送“电池包火灾故障”故障码SPN:521335  FMI：3</t>
  </si>
  <si>
    <t>电机过温指示</t>
  </si>
  <si>
    <t>电机控制系统故障报文有效
电机绕组温度SPN=7F5E7 FMI=16 或 功率功率模块温度 SPN=7F5E8 FMI= 16
电机及控制器过热故障灯</t>
  </si>
  <si>
    <t>紧急切断</t>
  </si>
  <si>
    <t>紧急切断开关C14按下或收到安全信号无效状态的总线信号0CFFEAF4-&gt;byte1.bit5 = 0</t>
  </si>
  <si>
    <t>dcdc故障指示</t>
  </si>
  <si>
    <t>1、DCDC 系统红色报警灯亮报文有效 （单个故障 ID=0x18FECA1A 一个以上故障 ID：18ECFF1A,18EBFF1A）
2、DCDC 系统黄色报警灯亮报文有效 （单个故障 ID=0x18FECA1A 一个以上故障 ID：18ECFF1A,18EBFF1A）
以上任意条件成立时 DC-DC 故障指示灯点亮</t>
  </si>
  <si>
    <t>驱动功率限制指示</t>
  </si>
  <si>
    <t>收到整车控制器HUC外发报文（ID = 18FFF531 byte1.bit3-4 = 1）</t>
  </si>
  <si>
    <t>充电连接指示</t>
  </si>
  <si>
    <t>ON档上电/充电枪插入</t>
  </si>
  <si>
    <t>收到ID=0x0CFFEAF4 byte1 bit6~7 =2 点亮</t>
  </si>
  <si>
    <t>电机故障指示</t>
  </si>
  <si>
    <t>1、电机控制系统红色报警灯亮报文有效（单个故障ID=0x18FECAEF一个以上故障ID：18ECFFEF,18EBFFEF）        
2、电机控制系统黄色报警灯亮报文有效（单个故障ID=0x18FECAEF一个以上故障ID：18ECFFEF,18EBFFEF  ）       
3、连续5秒未接收到电机控制器外发报文（ID=0x0CFF11EF）
以上任意条件满足，电机故障指示灯点亮电机故障指示</t>
  </si>
  <si>
    <t>电源指示</t>
  </si>
  <si>
    <t>C13 接高电平点亮</t>
  </si>
  <si>
    <t>空压机故障</t>
  </si>
  <si>
    <t>1、空压机系统红色报警灯亮报文有效（单个故障ID=0x18FECA30一个以上故障ID：18ECFF30,18EBFF30）
2、空压机系统黄色报警灯亮报文有效（单个故障ID=0x18FECA30 一个以上故障ID：18ECFF30,18EBFF30）
以上任意条件成立时空压机故障指示灯点亮</t>
  </si>
  <si>
    <t>干燥器指示</t>
  </si>
  <si>
    <t>收到干燥器开关高电平信号</t>
  </si>
  <si>
    <t>Warning报警灯指示</t>
  </si>
  <si>
    <t>1、电池管理系统黄色报警灯亮报文有效    （单个故障ID=0x18FECAF4 一个以上故障ID：18ECFFF4,18EBFFF4）     
2、电机控制系统黄色报警灯亮报文有效(单个故障ID=0x18FECAEF一个以上故障ID：18ECFFEF,18EBFFEF）
3、空压机系统黄色报警灯亮报文有效（单个故障ID=0x18FECA30 一个以上故障ID：18ECFF30,18EBFF30）
4、DCDC系统黄色报警灯亮报文有效（单个故障ID=0x18FECA1A 一个以上故障ID：18ECFF1A,18EBFF1A）        
5、自动变速箱系统黄色报警灯亮报文有效（单个故障ID=0x18FECA03一个以上故障ID：18ECFF03,18EBFF03）
6、高压转向系统黄色报警灯亮报文有效（单个故障ID=0x18FECA2E一个以上故障ID：18ECFF2E,18EBFF2E）
7、高压配电盒黄色报警灯亮报文有效（单个故障ID=0x18FECA1E，一个以上故障ID：18ECFF1E,18EBFF1E）
8、低压系统黄色报警灯亮报文有效（单个故障ID=0x18FECA4D，一个以上故障ID：18ECFF4D,18EBFF4D）
以上任意条件成立时点亮</t>
  </si>
  <si>
    <t>取力指示</t>
  </si>
  <si>
    <t xml:space="preserve">仪表收到上装正极继电器吸合指示点亮总线信号 0x18F7021E-&gt;byte2.bit6 =1
仪表收到变速箱取力指示点亮总线信号 0CEF3103-&gt;byte6.bit7~8 =1
</t>
  </si>
  <si>
    <t>轴间差速锁指示</t>
  </si>
  <si>
    <t>收到轴间差速开关信号C11（低电平）</t>
  </si>
  <si>
    <t>轮间差速锁指示</t>
  </si>
  <si>
    <t>收到轮间差速开关信号C12（低电平）</t>
  </si>
  <si>
    <t>后视镜加热指示</t>
  </si>
  <si>
    <t>A25接高电平或仪表接收DCMD发的后视镜加热工作信号18FF28EC-&gt;byte2.bit1~2=1</t>
  </si>
  <si>
    <t>前回路气压指示</t>
  </si>
  <si>
    <t>青色/红色</t>
  </si>
  <si>
    <t>当气压低于 535kPa 时，气压条和符号变为红色，其余情况是青色</t>
  </si>
  <si>
    <t>后回路气压指示</t>
  </si>
  <si>
    <t>制动气压低报警指示</t>
  </si>
  <si>
    <t>前后回路的气压＞1200kPa，且持续 5s</t>
  </si>
  <si>
    <t>前后回路的气压＜535kPa，且持续 5s</t>
  </si>
  <si>
    <t>刹车蹄片报警指示</t>
  </si>
  <si>
    <t>收到任意制动蹄片磨损开关断开（悬空）</t>
  </si>
  <si>
    <t>ABS指示</t>
  </si>
  <si>
    <t>ABS 或 EBS 及厂家标定为ABS</t>
  </si>
  <si>
    <t>收到主车 ABS 指示灯点亮 CAN 总线信号 18F0010B-&gt;byte6.bit5~6 == 1</t>
  </si>
  <si>
    <t>ASR指示</t>
  </si>
  <si>
    <t>收到主车 ASR 指示点亮 CAN 总线信号
ID : 18F0010B
越野模式开启 byte3.bit34 == 0，且ASR工作（byte1.bit12=1或byte1.bit34=1），ASR指示闪烁（1Hz）；
越野模式关闭 byte3.bit34 == 1，ASR 灯常亮</t>
  </si>
  <si>
    <t>ESP指示</t>
  </si>
  <si>
    <t>ESC 及厂家标定 &gt; 0</t>
  </si>
  <si>
    <t>VDC_0x18FE4F0B 超时 ，常亮
VDC信号=1，VDC工作状态≠1，常亮 ((18FE4F0B-&gt;byte1.bit12 = 1)&amp;(18FE4F0B-&gt;byte1.bit34 != 1))
VDC信号=1，VDC工作状态=1，闪烁（1Hz）((18FE4F0B-&gt;byte1.bit12 = 1)&amp;(18FE4F0B-&gt;byte1.bit34 = 1))</t>
  </si>
  <si>
    <t>EBS指示</t>
  </si>
  <si>
    <t>ABS 或 EBS 及厂家标定为EBS</t>
  </si>
  <si>
    <t>收到EBC1中EBS指示灯点亮 CAN 总线信号 18F0010B-&gt;byte6.bit5~6 == 1</t>
  </si>
  <si>
    <t>EBS故障</t>
  </si>
  <si>
    <t>收到EBC1中EBC1失效信号 18F0010B-&gt;byte6.bit3~4 == 1</t>
  </si>
  <si>
    <t>空气悬架报警指示</t>
  </si>
  <si>
    <t>标定为机械式空气悬架</t>
  </si>
  <si>
    <t>A23 接高，仪表点亮空气悬架指示，信号消失后，报警持续 5min</t>
  </si>
  <si>
    <t>胎压异常指示</t>
  </si>
  <si>
    <t>收到总线信号 18FFE633-&gt;byte6.bit3-6 = 2 或 5 或 6
或18FFE633-&gt;byte7.bit1-2 = 1</t>
  </si>
  <si>
    <t>疲劳驾驶指示</t>
  </si>
  <si>
    <t>仪表BCAN收到报警信号（18FF14E7，Byte1，bit1-2为1），点亮疲劳驾驶警告灯。</t>
  </si>
  <si>
    <t>FCW 二级报警</t>
  </si>
  <si>
    <t>FCW一级报警（&amp;故障）</t>
  </si>
  <si>
    <t>LDW 右偏提醒（&amp;故障）</t>
  </si>
  <si>
    <t>LDW 左偏提醒</t>
  </si>
  <si>
    <t>前方碰撞预警关闭</t>
  </si>
  <si>
    <t>车道偏离报警关闭</t>
  </si>
  <si>
    <t>右盲区探测功能关闭</t>
  </si>
  <si>
    <t>右盲区障碍物提醒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</si>
</sst>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name val="微软雅黑"/>
      <charset val="134"/>
    </font>
    <font>
      <sz val="12"/>
      <color rgb="FF000000"/>
      <name val="微软雅黑"/>
      <charset val="134"/>
    </font>
    <font>
      <sz val="11"/>
      <color indexed="8"/>
      <name val="微软雅黑"/>
      <charset val="134"/>
    </font>
    <font>
      <sz val="12"/>
      <name val="微软雅黑"/>
      <charset val="134"/>
    </font>
    <font>
      <b/>
      <sz val="12"/>
      <color indexed="8"/>
      <name val="微软雅黑"/>
      <charset val="134"/>
    </font>
    <font>
      <sz val="12"/>
      <color indexed="8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sz val="10"/>
      <color indexed="8"/>
      <name val="Calibri"/>
      <charset val="134"/>
    </font>
    <font>
      <sz val="11"/>
      <color rgb="FF0061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0" fillId="0" borderId="0"/>
    <xf numFmtId="0" fontId="11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15" borderId="9" applyNumberFormat="0" applyAlignment="0" applyProtection="0">
      <alignment vertical="center"/>
    </xf>
    <xf numFmtId="0" fontId="21" fillId="15" borderId="5" applyNumberFormat="0" applyAlignment="0" applyProtection="0">
      <alignment vertical="center"/>
    </xf>
    <xf numFmtId="0" fontId="22" fillId="16" borderId="10" applyNumberFormat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/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9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0" fillId="0" borderId="0"/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8" fillId="0" borderId="0"/>
    <xf numFmtId="0" fontId="8" fillId="30" borderId="0" applyNumberFormat="0" applyBorder="0" applyAlignment="0" applyProtection="0">
      <alignment vertical="center"/>
    </xf>
    <xf numFmtId="0" fontId="0" fillId="0" borderId="0"/>
    <xf numFmtId="0" fontId="11" fillId="31" borderId="0" applyNumberFormat="0" applyBorder="0" applyAlignment="0" applyProtection="0">
      <alignment vertical="center"/>
    </xf>
    <xf numFmtId="0" fontId="0" fillId="0" borderId="0"/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0" fillId="0" borderId="0"/>
    <xf numFmtId="0" fontId="11" fillId="34" borderId="0" applyNumberFormat="0" applyBorder="0" applyAlignment="0" applyProtection="0">
      <alignment vertical="center"/>
    </xf>
    <xf numFmtId="0" fontId="30" fillId="0" borderId="0" applyNumberFormat="0" applyFill="0" applyBorder="0" applyProtection="0">
      <alignment horizontal="left" vertical="top"/>
    </xf>
    <xf numFmtId="0" fontId="8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0" fillId="0" borderId="0"/>
    <xf numFmtId="0" fontId="29" fillId="0" borderId="0">
      <alignment vertical="center"/>
    </xf>
    <xf numFmtId="0" fontId="0" fillId="0" borderId="0">
      <alignment vertical="center"/>
    </xf>
    <xf numFmtId="0" fontId="23" fillId="9" borderId="0" applyNumberFormat="0" applyBorder="0" applyAlignment="0" applyProtection="0"/>
    <xf numFmtId="0" fontId="28" fillId="0" borderId="0"/>
    <xf numFmtId="0" fontId="0" fillId="0" borderId="0"/>
    <xf numFmtId="0" fontId="0" fillId="0" borderId="0"/>
    <xf numFmtId="0" fontId="0" fillId="0" borderId="0"/>
    <xf numFmtId="0" fontId="31" fillId="19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3" fillId="0" borderId="0" xfId="0" applyFont="1"/>
    <xf numFmtId="0" fontId="1" fillId="6" borderId="1" xfId="0" applyFont="1" applyFill="1" applyBorder="1" applyAlignment="1">
      <alignment vertical="center" wrapText="1"/>
    </xf>
    <xf numFmtId="0" fontId="1" fillId="0" borderId="0" xfId="0" applyFont="1"/>
    <xf numFmtId="0" fontId="1" fillId="0" borderId="4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</cellXfs>
  <cellStyles count="68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常规 6" xfId="14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差_Sheet1" xfId="28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常规 2 2 2" xfId="37"/>
    <cellStyle name="20% - 强调文字颜色 1" xfId="38" builtinId="30"/>
    <cellStyle name="40% - 强调文字颜色 1" xfId="39" builtinId="31"/>
    <cellStyle name="Standard 2" xfId="40"/>
    <cellStyle name="20% - 强调文字颜色 2" xfId="41" builtinId="34"/>
    <cellStyle name="40% - 强调文字颜色 2" xfId="42" builtinId="35"/>
    <cellStyle name="强调文字颜色 3" xfId="43" builtinId="37"/>
    <cellStyle name="常规 3 2" xfId="44"/>
    <cellStyle name="强调文字颜色 4" xfId="45" builtinId="41"/>
    <cellStyle name="20% - 强调文字颜色 4" xfId="46" builtinId="42"/>
    <cellStyle name="Normal 2" xfId="47"/>
    <cellStyle name="40% - 强调文字颜色 4" xfId="48" builtinId="43"/>
    <cellStyle name="常规 3 3" xfId="49"/>
    <cellStyle name="强调文字颜色 5" xfId="50" builtinId="45"/>
    <cellStyle name="常规 2 2" xfId="51"/>
    <cellStyle name="40% - 强调文字颜色 5" xfId="52" builtinId="47"/>
    <cellStyle name="60% - 强调文字颜色 5" xfId="53" builtinId="48"/>
    <cellStyle name="常规 3 4" xfId="54"/>
    <cellStyle name="强调文字颜色 6" xfId="55" builtinId="49"/>
    <cellStyle name="常规 2 3" xfId="56"/>
    <cellStyle name="40% - 强调文字颜色 6" xfId="57" builtinId="51"/>
    <cellStyle name="60% - 强调文字颜色 6" xfId="58" builtinId="52"/>
    <cellStyle name="常规 2 4" xfId="59"/>
    <cellStyle name="Normal 5" xfId="60"/>
    <cellStyle name="常规 4" xfId="61"/>
    <cellStyle name="差 2" xfId="62"/>
    <cellStyle name="常规 2" xfId="63"/>
    <cellStyle name="常规 3" xfId="64"/>
    <cellStyle name="常规 5" xfId="65"/>
    <cellStyle name="常规 7" xfId="66"/>
    <cellStyle name="好_Sheet1" xfId="67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9" Type="http://schemas.openxmlformats.org/officeDocument/2006/relationships/image" Target="media/image49.png"/><Relationship Id="rId48" Type="http://schemas.openxmlformats.org/officeDocument/2006/relationships/image" Target="media/image48.png"/><Relationship Id="rId47" Type="http://schemas.openxmlformats.org/officeDocument/2006/relationships/image" Target="media/image47.png"/><Relationship Id="rId46" Type="http://schemas.openxmlformats.org/officeDocument/2006/relationships/image" Target="media/image46.png"/><Relationship Id="rId45" Type="http://schemas.openxmlformats.org/officeDocument/2006/relationships/image" Target="media/image45.png"/><Relationship Id="rId44" Type="http://schemas.openxmlformats.org/officeDocument/2006/relationships/image" Target="media/image44.png"/><Relationship Id="rId43" Type="http://schemas.openxmlformats.org/officeDocument/2006/relationships/image" Target="media/image43.png"/><Relationship Id="rId42" Type="http://schemas.openxmlformats.org/officeDocument/2006/relationships/image" Target="media/image42.jpeg"/><Relationship Id="rId41" Type="http://schemas.openxmlformats.org/officeDocument/2006/relationships/image" Target="media/image41.jpeg"/><Relationship Id="rId40" Type="http://schemas.openxmlformats.org/officeDocument/2006/relationships/image" Target="media/image40.png"/><Relationship Id="rId4" Type="http://schemas.openxmlformats.org/officeDocument/2006/relationships/image" Target="media/image4.png"/><Relationship Id="rId39" Type="http://schemas.openxmlformats.org/officeDocument/2006/relationships/image" Target="media/image39.png"/><Relationship Id="rId38" Type="http://schemas.openxmlformats.org/officeDocument/2006/relationships/image" Target="media/image38.png"/><Relationship Id="rId37" Type="http://schemas.openxmlformats.org/officeDocument/2006/relationships/image" Target="media/image37.png"/><Relationship Id="rId36" Type="http://schemas.openxmlformats.org/officeDocument/2006/relationships/image" Target="media/image36.png"/><Relationship Id="rId35" Type="http://schemas.openxmlformats.org/officeDocument/2006/relationships/image" Target="media/image35.png"/><Relationship Id="rId34" Type="http://schemas.openxmlformats.org/officeDocument/2006/relationships/image" Target="media/image34.pn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jpe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jpe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www.wps.cn/officeDocument/2020/cellImage" Target="cellimages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yh\&#26412;&#22320;&#30913;&#30424;%20(E)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bv1_2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OTO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OTO"/>
      <sheetName val="①評価項目_メーカー"/>
      <sheetName val="48810真"/>
      <sheetName val="SCH"/>
      <sheetName val="ﾊﾟｲﾌﾟ"/>
      <sheetName val="他材料費"/>
      <sheetName val="冷延鋼板"/>
      <sheetName val="熱延鋼板"/>
      <sheetName val="Labor"/>
      <sheetName val="Kalk_PKO"/>
      <sheetName val="#REF"/>
      <sheetName val="発注書"/>
      <sheetName val="res_mc"/>
      <sheetName val="품의서"/>
      <sheetName val="BOM TOP"/>
      <sheetName val="Glcost"/>
      <sheetName val="●현황"/>
      <sheetName val="●목차"/>
      <sheetName val="MM利益・原価企画方針書ｶｸ１"/>
      <sheetName val="WG_00"/>
      <sheetName val="2000_ALL"/>
      <sheetName val="SUS_00"/>
      <sheetName val="N719(NC)"/>
      <sheetName val="DECKBLATT"/>
      <sheetName val="Kalkulation"/>
      <sheetName val="Material Input Status"/>
      <sheetName val="full (2)"/>
      <sheetName val="HUNIT"/>
      <sheetName val="Header"/>
      <sheetName val="NPV1200"/>
      <sheetName val="input"/>
      <sheetName val="生涯利益計画ｼｰﾄ"/>
      <sheetName val="神奈川生産部"/>
      <sheetName val="添付１"/>
      <sheetName val="Vehicle Parts List"/>
      <sheetName val="RIEPILOGO"/>
      <sheetName val="RFQI"/>
      <sheetName val="Sheet2"/>
      <sheetName val="Sheet1"/>
      <sheetName val="99年度原単位"/>
      <sheetName val="Kapitaleinsatz &amp; Umsatz"/>
      <sheetName val="Herstellkosten (Referenz)"/>
      <sheetName val="Working Capital"/>
      <sheetName val="１１月"/>
      <sheetName val="Seatbelt Guides"/>
      <sheetName val="Stowage Tray"/>
      <sheetName val="Constant"/>
      <sheetName val="WACC"/>
      <sheetName val="NCAB"/>
      <sheetName val="094_APP別"/>
      <sheetName val="総合B"/>
      <sheetName val="K440 can wake-up logic"/>
      <sheetName val="３発デ－タ"/>
      <sheetName val="PRICE STRAT FOR 3F"/>
      <sheetName val="fkp"/>
      <sheetName val="材料使用量原紙"/>
      <sheetName val="Ideas Entered"/>
      <sheetName val="Table"/>
      <sheetName val="saxo"/>
      <sheetName val="MessageList"/>
      <sheetName val="Config"/>
      <sheetName val="DATA_HEAD"/>
      <sheetName val="DATA_LIST"/>
      <sheetName val="DATA_HISTORY"/>
      <sheetName val="J or E"/>
      <sheetName val="TCA"/>
      <sheetName val="Titel"/>
      <sheetName val="Hyp"/>
      <sheetName val="推移データ"/>
      <sheetName val="工数集計"/>
      <sheetName val="BOM_TOP"/>
      <sheetName val="Material_Input_Status"/>
      <sheetName val="Vehicle_Parts_List"/>
      <sheetName val="TKBN_TKBNA"/>
      <sheetName val="表紙Ｐ２"/>
      <sheetName val="SUM14ZC1"/>
      <sheetName val="JOB_FO"/>
      <sheetName val="00-1"/>
      <sheetName val="HYO"/>
      <sheetName val="MATRIZ POR AREA"/>
      <sheetName val="MPL 技連"/>
      <sheetName val="342E BLOCK"/>
      <sheetName val="ES4"/>
      <sheetName val="段ﾎﾞｰﾙ箱図番･荷姿ｺｰﾄﾞ"/>
      <sheetName val="89"/>
      <sheetName val="ALPL"/>
      <sheetName val="CASHFLOW"/>
      <sheetName val="Sales"/>
      <sheetName val="ETRS"/>
      <sheetName val="Build Sheets"/>
      <sheetName val="d&amp;F"/>
      <sheetName val="３月ＫＤ"/>
      <sheetName val="算出一覧ＣⅡ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チーム案2英語"/>
      <sheetName val="部品精度"/>
      <sheetName val="ｼｽﾃﾑ設定"/>
      <sheetName val="依頼書　Ｐ１"/>
      <sheetName val="Plan Sheet"/>
      <sheetName val="square1"/>
      <sheetName val="事務所引越見積書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Tables"/>
      <sheetName val="After Sales Supplier #'s"/>
      <sheetName val="FY99 Volume"/>
      <sheetName val="Tbom-tot"/>
      <sheetName val="生産計画"/>
      <sheetName val="Kapitaleinsatz_&amp;_Umsatz"/>
      <sheetName val="Herstellkosten_(Referenz)"/>
      <sheetName val="Working_Capital"/>
      <sheetName val="K440_can_wake-up_logic"/>
      <sheetName val="PRICE_STRAT_FOR_3F"/>
      <sheetName val="Seatbelt_Guides"/>
      <sheetName val="Stowage_Tray"/>
      <sheetName val="Ideas_Entered"/>
      <sheetName val="J_or_E"/>
      <sheetName val="Plan_Sheet"/>
      <sheetName val="原単位表"/>
      <sheetName val="tZR_39區分(案)0226"/>
      <sheetName val="Stamping Tool building Hrs"/>
      <sheetName val="Stamping Burden"/>
      <sheetName val="Parameters"/>
      <sheetName val="391.各"/>
      <sheetName val="E TOPICS"/>
      <sheetName val="挿入リスト"/>
      <sheetName val="集計結果"/>
      <sheetName val="基本（編集禁止）"/>
      <sheetName val="ｺﾝﾄ構想再審査"/>
      <sheetName val="Sep"/>
      <sheetName val="TT (13)"/>
      <sheetName val="AS-A"/>
      <sheetName val="T4-C_CAB"/>
      <sheetName val="cover_org"/>
      <sheetName val="Forecast"/>
      <sheetName val="原価表"/>
      <sheetName val="基礎ﾃﾞｰﾀ"/>
      <sheetName val="一般"/>
      <sheetName val="管理"/>
      <sheetName val="管理職"/>
      <sheetName val="New DYNA"/>
      <sheetName val="Table Master"/>
      <sheetName val="COST"/>
      <sheetName val="93"/>
      <sheetName val="Follow-up study2c"/>
      <sheetName val="#REF!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Apr"/>
      <sheetName val="Roll Out - Limit"/>
      <sheetName val="作業中"/>
      <sheetName val="MOTOc"/>
      <sheetName val="別紙3-1機能別ﾌﾞﾛｯｸ別原価目標"/>
      <sheetName val="別紙3-2Budget(機能、費目別)"/>
      <sheetName val="进口工装"/>
      <sheetName val="MOTOc"/>
      <sheetName val="MOTOc"/>
      <sheetName val="MOTOc"/>
      <sheetName val="MOTOc"/>
      <sheetName val="MOTOc"/>
      <sheetName val="MOTOc"/>
      <sheetName val="MOTOc"/>
      <sheetName val="415T原"/>
      <sheetName val="計算"/>
      <sheetName val="問題課題(pattern 3)"/>
      <sheetName val="ＴＡ２"/>
      <sheetName val="転造盤まとめ"/>
      <sheetName val="sheet17"/>
      <sheetName val="A33(引三引四)"/>
      <sheetName val="系統選單"/>
      <sheetName val="SU BOM 20071213"/>
      <sheetName val="PN LIST"/>
      <sheetName val="F7 Custom Service Center (CSC)"/>
      <sheetName val="F5 E1-TEI "/>
      <sheetName val="F5 Specific expenses Vol Drop"/>
      <sheetName val="F5 Specific expenses"/>
      <sheetName val="基準"/>
      <sheetName val="HPS Slit Coil (Centralia)"/>
      <sheetName val="ﾊﾞﾗﾝｽｼｰﾄ"/>
      <sheetName val="ｸﾗｾﾝｼｽﾃﾑFMEA"/>
      <sheetName val="ＣＡＭＹ　ＭⅢ"/>
      <sheetName val="SourceData"/>
      <sheetName val="Productivity"/>
      <sheetName val="MATRIZ_POR_AREA"/>
      <sheetName val="日程"/>
      <sheetName val="進め方"/>
      <sheetName val="年度予算申請"/>
      <sheetName val="車体構成"/>
      <sheetName val="月度報告書"/>
      <sheetName val="DV Release"/>
      <sheetName val="型上げ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tabSelected="1" topLeftCell="A16" workbookViewId="0">
      <selection activeCell="F40" sqref="F2:F40"/>
    </sheetView>
  </sheetViews>
  <sheetFormatPr defaultColWidth="9" defaultRowHeight="16.5"/>
  <cols>
    <col min="1" max="1" width="7" style="34" customWidth="1"/>
    <col min="2" max="2" width="31" style="35" customWidth="1"/>
    <col min="3" max="3" width="10.125" style="34" customWidth="1"/>
    <col min="4" max="6" width="11.25" style="34" customWidth="1"/>
    <col min="7" max="7" width="38.5" style="33" customWidth="1"/>
    <col min="8" max="8" width="41.375" style="33" customWidth="1"/>
    <col min="9" max="9" width="12.375" style="33" customWidth="1"/>
    <col min="10" max="16384" width="9.375" style="33"/>
  </cols>
  <sheetData>
    <row r="1" s="33" customFormat="1" ht="24" customHeight="1" spans="1:9">
      <c r="A1" s="4" t="s">
        <v>0</v>
      </c>
      <c r="B1" s="36" t="s">
        <v>1</v>
      </c>
      <c r="C1" s="4" t="s">
        <v>2</v>
      </c>
      <c r="D1" s="4" t="s">
        <v>3</v>
      </c>
      <c r="E1" s="4" t="s">
        <v>4</v>
      </c>
      <c r="F1" s="4" t="s">
        <v>4</v>
      </c>
      <c r="G1" s="4" t="s">
        <v>5</v>
      </c>
      <c r="H1" s="4" t="s">
        <v>6</v>
      </c>
      <c r="I1" s="41" t="s">
        <v>7</v>
      </c>
    </row>
    <row r="2" s="33" customFormat="1" ht="24" customHeight="1" spans="1:9">
      <c r="A2" s="37" t="s">
        <v>8</v>
      </c>
      <c r="B2" s="38" t="s">
        <v>9</v>
      </c>
      <c r="C2" s="37" t="s">
        <v>10</v>
      </c>
      <c r="D2" s="37">
        <v>4</v>
      </c>
      <c r="E2" s="37">
        <v>6</v>
      </c>
      <c r="F2" s="37" t="str">
        <f>DEC2HEX(E2)</f>
        <v>6</v>
      </c>
      <c r="G2" s="39"/>
      <c r="H2" s="39"/>
      <c r="I2" s="42"/>
    </row>
    <row r="3" s="33" customFormat="1" ht="24" customHeight="1" spans="1:9">
      <c r="A3" s="37" t="s">
        <v>11</v>
      </c>
      <c r="B3" s="38" t="s">
        <v>12</v>
      </c>
      <c r="C3" s="37" t="s">
        <v>13</v>
      </c>
      <c r="D3" s="37">
        <v>2</v>
      </c>
      <c r="E3" s="37">
        <v>1214</v>
      </c>
      <c r="F3" s="37" t="str">
        <f t="shared" ref="F3:F41" si="0">DEC2HEX(E3)</f>
        <v>4BE</v>
      </c>
      <c r="G3" s="39"/>
      <c r="H3" s="39"/>
      <c r="I3" s="42"/>
    </row>
    <row r="4" s="33" customFormat="1" ht="24" customHeight="1" spans="1:9">
      <c r="A4" s="37" t="s">
        <v>14</v>
      </c>
      <c r="B4" s="38" t="s">
        <v>15</v>
      </c>
      <c r="C4" s="37" t="s">
        <v>16</v>
      </c>
      <c r="D4" s="37">
        <v>1</v>
      </c>
      <c r="E4" s="37">
        <v>1</v>
      </c>
      <c r="F4" s="37" t="str">
        <f t="shared" si="0"/>
        <v>1</v>
      </c>
      <c r="G4" s="39"/>
      <c r="H4" s="39"/>
      <c r="I4" s="42"/>
    </row>
    <row r="5" s="33" customFormat="1" ht="24" customHeight="1" spans="1:9">
      <c r="A5" s="37" t="s">
        <v>17</v>
      </c>
      <c r="B5" s="38" t="s">
        <v>18</v>
      </c>
      <c r="C5" s="37" t="s">
        <v>19</v>
      </c>
      <c r="D5" s="37">
        <v>1</v>
      </c>
      <c r="E5" s="37">
        <v>1</v>
      </c>
      <c r="F5" s="37" t="str">
        <f t="shared" si="0"/>
        <v>1</v>
      </c>
      <c r="G5" s="39"/>
      <c r="H5" s="39"/>
      <c r="I5" s="42"/>
    </row>
    <row r="6" s="33" customFormat="1" ht="24" customHeight="1" spans="1:9">
      <c r="A6" s="37" t="s">
        <v>20</v>
      </c>
      <c r="B6" s="38" t="s">
        <v>21</v>
      </c>
      <c r="C6" s="37" t="s">
        <v>22</v>
      </c>
      <c r="D6" s="37">
        <v>1</v>
      </c>
      <c r="E6" s="37">
        <v>0</v>
      </c>
      <c r="F6" s="37" t="str">
        <f t="shared" si="0"/>
        <v>0</v>
      </c>
      <c r="G6" s="39"/>
      <c r="H6" s="39"/>
      <c r="I6" s="42"/>
    </row>
    <row r="7" s="33" customFormat="1" ht="24" customHeight="1" spans="1:9">
      <c r="A7" s="37" t="s">
        <v>23</v>
      </c>
      <c r="B7" s="38" t="s">
        <v>24</v>
      </c>
      <c r="C7" s="37" t="s">
        <v>25</v>
      </c>
      <c r="D7" s="37">
        <v>1</v>
      </c>
      <c r="E7" s="37">
        <v>19</v>
      </c>
      <c r="F7" s="37" t="str">
        <f t="shared" si="0"/>
        <v>13</v>
      </c>
      <c r="G7" s="39"/>
      <c r="H7" s="39"/>
      <c r="I7" s="42"/>
    </row>
    <row r="8" s="33" customFormat="1" ht="24" customHeight="1" spans="1:9">
      <c r="A8" s="37" t="s">
        <v>26</v>
      </c>
      <c r="B8" s="38" t="s">
        <v>27</v>
      </c>
      <c r="C8" s="37" t="s">
        <v>28</v>
      </c>
      <c r="D8" s="37">
        <v>1</v>
      </c>
      <c r="E8" s="37">
        <v>38</v>
      </c>
      <c r="F8" s="37" t="str">
        <f t="shared" si="0"/>
        <v>26</v>
      </c>
      <c r="G8" s="39"/>
      <c r="H8" s="39"/>
      <c r="I8" s="42"/>
    </row>
    <row r="9" s="33" customFormat="1" ht="24" customHeight="1" spans="1:9">
      <c r="A9" s="37" t="s">
        <v>29</v>
      </c>
      <c r="B9" s="38" t="s">
        <v>30</v>
      </c>
      <c r="C9" s="37" t="s">
        <v>31</v>
      </c>
      <c r="D9" s="37">
        <v>4</v>
      </c>
      <c r="E9" s="37">
        <v>0</v>
      </c>
      <c r="F9" s="37" t="str">
        <f t="shared" si="0"/>
        <v>0</v>
      </c>
      <c r="G9" s="39"/>
      <c r="H9" s="39"/>
      <c r="I9" s="42"/>
    </row>
    <row r="10" s="33" customFormat="1" ht="24" customHeight="1" spans="1:9">
      <c r="A10" s="37" t="s">
        <v>32</v>
      </c>
      <c r="B10" s="38" t="s">
        <v>33</v>
      </c>
      <c r="C10" s="37" t="s">
        <v>34</v>
      </c>
      <c r="D10" s="37">
        <v>2</v>
      </c>
      <c r="E10" s="37">
        <v>0</v>
      </c>
      <c r="F10" s="37" t="str">
        <f t="shared" si="0"/>
        <v>0</v>
      </c>
      <c r="G10" s="39"/>
      <c r="H10" s="39"/>
      <c r="I10" s="42"/>
    </row>
    <row r="11" s="33" customFormat="1" ht="24" customHeight="1" spans="1:9">
      <c r="A11" s="37" t="s">
        <v>35</v>
      </c>
      <c r="B11" s="38" t="s">
        <v>36</v>
      </c>
      <c r="C11" s="37" t="s">
        <v>37</v>
      </c>
      <c r="D11" s="37">
        <v>1</v>
      </c>
      <c r="E11" s="37">
        <v>34</v>
      </c>
      <c r="F11" s="37" t="str">
        <f t="shared" si="0"/>
        <v>22</v>
      </c>
      <c r="G11" s="39"/>
      <c r="H11" s="39"/>
      <c r="I11" s="42"/>
    </row>
    <row r="12" s="33" customFormat="1" ht="24" customHeight="1" spans="1:9">
      <c r="A12" s="37" t="s">
        <v>38</v>
      </c>
      <c r="B12" s="38" t="s">
        <v>39</v>
      </c>
      <c r="C12" s="37" t="s">
        <v>40</v>
      </c>
      <c r="D12" s="37">
        <v>1</v>
      </c>
      <c r="E12" s="37">
        <v>6</v>
      </c>
      <c r="F12" s="37" t="str">
        <f t="shared" si="0"/>
        <v>6</v>
      </c>
      <c r="G12" s="39"/>
      <c r="H12" s="39"/>
      <c r="I12" s="42"/>
    </row>
    <row r="13" s="33" customFormat="1" ht="24" customHeight="1" spans="1:9">
      <c r="A13" s="37" t="s">
        <v>41</v>
      </c>
      <c r="B13" s="38" t="s">
        <v>42</v>
      </c>
      <c r="C13" s="37" t="s">
        <v>43</v>
      </c>
      <c r="D13" s="37">
        <v>1</v>
      </c>
      <c r="E13" s="37">
        <v>1</v>
      </c>
      <c r="F13" s="37" t="str">
        <f t="shared" si="0"/>
        <v>1</v>
      </c>
      <c r="G13" s="39"/>
      <c r="H13" s="39"/>
      <c r="I13" s="42"/>
    </row>
    <row r="14" s="33" customFormat="1" ht="24" customHeight="1" spans="1:9">
      <c r="A14" s="37" t="s">
        <v>44</v>
      </c>
      <c r="B14" s="38" t="s">
        <v>45</v>
      </c>
      <c r="C14" s="37" t="s">
        <v>46</v>
      </c>
      <c r="D14" s="37">
        <v>1</v>
      </c>
      <c r="E14" s="37">
        <v>3</v>
      </c>
      <c r="F14" s="37" t="str">
        <f t="shared" si="0"/>
        <v>3</v>
      </c>
      <c r="G14" s="39"/>
      <c r="H14" s="39"/>
      <c r="I14" s="42"/>
    </row>
    <row r="15" s="33" customFormat="1" ht="24" customHeight="1" spans="1:9">
      <c r="A15" s="37" t="s">
        <v>47</v>
      </c>
      <c r="B15" s="38" t="s">
        <v>48</v>
      </c>
      <c r="C15" s="37" t="s">
        <v>49</v>
      </c>
      <c r="D15" s="37">
        <v>1</v>
      </c>
      <c r="E15" s="37">
        <v>2</v>
      </c>
      <c r="F15" s="37" t="str">
        <f t="shared" si="0"/>
        <v>2</v>
      </c>
      <c r="G15" s="39"/>
      <c r="H15" s="39"/>
      <c r="I15" s="42"/>
    </row>
    <row r="16" s="33" customFormat="1" ht="24" customHeight="1" spans="1:9">
      <c r="A16" s="37" t="s">
        <v>50</v>
      </c>
      <c r="B16" s="38" t="s">
        <v>51</v>
      </c>
      <c r="C16" s="37" t="s">
        <v>52</v>
      </c>
      <c r="D16" s="37">
        <v>1</v>
      </c>
      <c r="E16" s="37">
        <v>3</v>
      </c>
      <c r="F16" s="37" t="str">
        <f t="shared" si="0"/>
        <v>3</v>
      </c>
      <c r="G16" s="39"/>
      <c r="H16" s="39"/>
      <c r="I16" s="42"/>
    </row>
    <row r="17" s="33" customFormat="1" ht="24" customHeight="1" spans="1:9">
      <c r="A17" s="37" t="s">
        <v>53</v>
      </c>
      <c r="B17" s="38" t="s">
        <v>54</v>
      </c>
      <c r="C17" s="37" t="s">
        <v>55</v>
      </c>
      <c r="D17" s="37">
        <v>1</v>
      </c>
      <c r="E17" s="37">
        <v>2</v>
      </c>
      <c r="F17" s="37" t="str">
        <f t="shared" si="0"/>
        <v>2</v>
      </c>
      <c r="G17" s="39"/>
      <c r="H17" s="39"/>
      <c r="I17" s="42"/>
    </row>
    <row r="18" s="33" customFormat="1" ht="24" customHeight="1" spans="1:9">
      <c r="A18" s="37" t="s">
        <v>56</v>
      </c>
      <c r="B18" s="38" t="s">
        <v>57</v>
      </c>
      <c r="C18" s="37" t="s">
        <v>58</v>
      </c>
      <c r="D18" s="37">
        <v>1</v>
      </c>
      <c r="E18" s="37">
        <v>3</v>
      </c>
      <c r="F18" s="37" t="str">
        <f t="shared" si="0"/>
        <v>3</v>
      </c>
      <c r="G18" s="39"/>
      <c r="H18" s="39"/>
      <c r="I18" s="42"/>
    </row>
    <row r="19" s="33" customFormat="1" ht="24" customHeight="1" spans="1:9">
      <c r="A19" s="37" t="s">
        <v>59</v>
      </c>
      <c r="B19" s="38" t="s">
        <v>60</v>
      </c>
      <c r="C19" s="37" t="s">
        <v>61</v>
      </c>
      <c r="D19" s="37">
        <v>1</v>
      </c>
      <c r="E19" s="37">
        <v>0</v>
      </c>
      <c r="F19" s="37" t="str">
        <f t="shared" si="0"/>
        <v>0</v>
      </c>
      <c r="G19" s="39"/>
      <c r="H19" s="39"/>
      <c r="I19" s="42"/>
    </row>
    <row r="20" s="33" customFormat="1" ht="24" customHeight="1" spans="1:9">
      <c r="A20" s="37" t="s">
        <v>62</v>
      </c>
      <c r="B20" s="38" t="s">
        <v>63</v>
      </c>
      <c r="C20" s="37" t="s">
        <v>64</v>
      </c>
      <c r="D20" s="37">
        <v>1</v>
      </c>
      <c r="E20" s="37">
        <v>2</v>
      </c>
      <c r="F20" s="37" t="str">
        <f t="shared" si="0"/>
        <v>2</v>
      </c>
      <c r="G20" s="39"/>
      <c r="H20" s="39"/>
      <c r="I20" s="42"/>
    </row>
    <row r="21" s="33" customFormat="1" ht="24" customHeight="1" spans="1:9">
      <c r="A21" s="37" t="s">
        <v>65</v>
      </c>
      <c r="B21" s="38" t="s">
        <v>66</v>
      </c>
      <c r="C21" s="37" t="s">
        <v>67</v>
      </c>
      <c r="D21" s="37">
        <v>1</v>
      </c>
      <c r="E21" s="37">
        <v>2</v>
      </c>
      <c r="F21" s="37" t="str">
        <f t="shared" si="0"/>
        <v>2</v>
      </c>
      <c r="G21" s="39"/>
      <c r="H21" s="39"/>
      <c r="I21" s="42"/>
    </row>
    <row r="22" s="33" customFormat="1" ht="24" customHeight="1" spans="1:9">
      <c r="A22" s="37" t="s">
        <v>68</v>
      </c>
      <c r="B22" s="38" t="s">
        <v>69</v>
      </c>
      <c r="C22" s="37" t="s">
        <v>70</v>
      </c>
      <c r="D22" s="37">
        <v>1</v>
      </c>
      <c r="E22" s="37">
        <v>0</v>
      </c>
      <c r="F22" s="37" t="str">
        <f t="shared" si="0"/>
        <v>0</v>
      </c>
      <c r="G22" s="39"/>
      <c r="H22" s="39"/>
      <c r="I22" s="42"/>
    </row>
    <row r="23" s="33" customFormat="1" ht="24" customHeight="1" spans="1:9">
      <c r="A23" s="37" t="s">
        <v>71</v>
      </c>
      <c r="B23" s="38" t="s">
        <v>72</v>
      </c>
      <c r="C23" s="37" t="s">
        <v>73</v>
      </c>
      <c r="D23" s="37">
        <v>1</v>
      </c>
      <c r="E23" s="37">
        <v>9</v>
      </c>
      <c r="F23" s="37" t="str">
        <f t="shared" si="0"/>
        <v>9</v>
      </c>
      <c r="G23" s="39"/>
      <c r="H23" s="39"/>
      <c r="I23" s="42"/>
    </row>
    <row r="24" s="33" customFormat="1" ht="24" customHeight="1" spans="1:9">
      <c r="A24" s="37" t="s">
        <v>74</v>
      </c>
      <c r="B24" s="38" t="s">
        <v>75</v>
      </c>
      <c r="C24" s="37" t="s">
        <v>76</v>
      </c>
      <c r="D24" s="37">
        <v>1</v>
      </c>
      <c r="E24" s="37">
        <v>3</v>
      </c>
      <c r="F24" s="37" t="str">
        <f t="shared" si="0"/>
        <v>3</v>
      </c>
      <c r="G24" s="39"/>
      <c r="H24" s="39"/>
      <c r="I24" s="42"/>
    </row>
    <row r="25" s="33" customFormat="1" ht="24" customHeight="1" spans="1:9">
      <c r="A25" s="37" t="s">
        <v>77</v>
      </c>
      <c r="B25" s="38" t="s">
        <v>78</v>
      </c>
      <c r="C25" s="37" t="s">
        <v>79</v>
      </c>
      <c r="D25" s="37">
        <v>1</v>
      </c>
      <c r="E25" s="37">
        <v>4</v>
      </c>
      <c r="F25" s="37" t="str">
        <f t="shared" si="0"/>
        <v>4</v>
      </c>
      <c r="G25" s="39"/>
      <c r="H25" s="39"/>
      <c r="I25" s="42"/>
    </row>
    <row r="26" s="33" customFormat="1" ht="24" customHeight="1" spans="1:9">
      <c r="A26" s="37" t="s">
        <v>80</v>
      </c>
      <c r="B26" s="38" t="s">
        <v>81</v>
      </c>
      <c r="C26" s="37" t="s">
        <v>82</v>
      </c>
      <c r="D26" s="37">
        <v>2</v>
      </c>
      <c r="E26" s="37">
        <v>10000</v>
      </c>
      <c r="F26" s="37" t="str">
        <f t="shared" si="0"/>
        <v>2710</v>
      </c>
      <c r="G26" s="39"/>
      <c r="H26" s="39"/>
      <c r="I26" s="42"/>
    </row>
    <row r="27" s="33" customFormat="1" ht="24" customHeight="1" spans="1:9">
      <c r="A27" s="37" t="s">
        <v>83</v>
      </c>
      <c r="B27" s="38" t="s">
        <v>84</v>
      </c>
      <c r="C27" s="37" t="s">
        <v>85</v>
      </c>
      <c r="D27" s="37">
        <v>1</v>
      </c>
      <c r="E27" s="37">
        <v>12</v>
      </c>
      <c r="F27" s="37" t="str">
        <f t="shared" si="0"/>
        <v>C</v>
      </c>
      <c r="G27" s="39"/>
      <c r="H27" s="39"/>
      <c r="I27" s="42"/>
    </row>
    <row r="28" s="33" customFormat="1" ht="24" customHeight="1" spans="1:9">
      <c r="A28" s="37" t="s">
        <v>86</v>
      </c>
      <c r="B28" s="38" t="s">
        <v>87</v>
      </c>
      <c r="C28" s="37" t="s">
        <v>88</v>
      </c>
      <c r="D28" s="37">
        <v>2</v>
      </c>
      <c r="E28" s="37">
        <v>212</v>
      </c>
      <c r="F28" s="37" t="str">
        <f t="shared" si="0"/>
        <v>D4</v>
      </c>
      <c r="G28" s="39"/>
      <c r="H28" s="39"/>
      <c r="I28" s="42"/>
    </row>
    <row r="29" s="33" customFormat="1" ht="24" customHeight="1" spans="1:9">
      <c r="A29" s="37" t="s">
        <v>89</v>
      </c>
      <c r="B29" s="38" t="s">
        <v>90</v>
      </c>
      <c r="C29" s="37" t="s">
        <v>91</v>
      </c>
      <c r="D29" s="37">
        <v>1</v>
      </c>
      <c r="E29" s="37">
        <v>1</v>
      </c>
      <c r="F29" s="37" t="str">
        <f t="shared" si="0"/>
        <v>1</v>
      </c>
      <c r="G29" s="39"/>
      <c r="H29" s="39"/>
      <c r="I29" s="42"/>
    </row>
    <row r="30" s="33" customFormat="1" ht="24" customHeight="1" spans="1:9">
      <c r="A30" s="37" t="s">
        <v>92</v>
      </c>
      <c r="B30" s="38" t="s">
        <v>93</v>
      </c>
      <c r="C30" s="37" t="s">
        <v>94</v>
      </c>
      <c r="D30" s="37">
        <v>1</v>
      </c>
      <c r="E30" s="37">
        <v>60</v>
      </c>
      <c r="F30" s="37" t="str">
        <f t="shared" si="0"/>
        <v>3C</v>
      </c>
      <c r="G30" s="39"/>
      <c r="H30" s="39"/>
      <c r="I30" s="42"/>
    </row>
    <row r="31" s="33" customFormat="1" ht="24" customHeight="1" spans="1:9">
      <c r="A31" s="37" t="s">
        <v>95</v>
      </c>
      <c r="B31" s="38" t="s">
        <v>96</v>
      </c>
      <c r="C31" s="37" t="s">
        <v>97</v>
      </c>
      <c r="D31" s="37">
        <v>4</v>
      </c>
      <c r="E31" s="37">
        <v>0</v>
      </c>
      <c r="F31" s="37" t="str">
        <f t="shared" si="0"/>
        <v>0</v>
      </c>
      <c r="G31" s="39"/>
      <c r="H31" s="39"/>
      <c r="I31" s="42"/>
    </row>
    <row r="32" s="33" customFormat="1" ht="24" customHeight="1" spans="1:9">
      <c r="A32" s="37" t="s">
        <v>98</v>
      </c>
      <c r="B32" s="38" t="s">
        <v>99</v>
      </c>
      <c r="C32" s="37" t="s">
        <v>100</v>
      </c>
      <c r="D32" s="37">
        <v>1</v>
      </c>
      <c r="E32" s="37">
        <v>0</v>
      </c>
      <c r="F32" s="37" t="str">
        <f t="shared" si="0"/>
        <v>0</v>
      </c>
      <c r="G32" s="39"/>
      <c r="H32" s="39"/>
      <c r="I32" s="42"/>
    </row>
    <row r="33" s="33" customFormat="1" ht="24" customHeight="1" spans="1:9">
      <c r="A33" s="37" t="s">
        <v>101</v>
      </c>
      <c r="B33" s="38" t="s">
        <v>102</v>
      </c>
      <c r="C33" s="37" t="s">
        <v>103</v>
      </c>
      <c r="D33" s="37">
        <v>1</v>
      </c>
      <c r="E33" s="37">
        <v>0</v>
      </c>
      <c r="F33" s="37" t="str">
        <f t="shared" si="0"/>
        <v>0</v>
      </c>
      <c r="G33" s="39"/>
      <c r="H33" s="39"/>
      <c r="I33" s="42"/>
    </row>
    <row r="34" s="33" customFormat="1" ht="24" customHeight="1" spans="1:9">
      <c r="A34" s="37" t="s">
        <v>104</v>
      </c>
      <c r="B34" s="38" t="s">
        <v>105</v>
      </c>
      <c r="C34" s="37" t="s">
        <v>106</v>
      </c>
      <c r="D34" s="37">
        <v>1</v>
      </c>
      <c r="E34" s="37">
        <v>0</v>
      </c>
      <c r="F34" s="37" t="str">
        <f t="shared" si="0"/>
        <v>0</v>
      </c>
      <c r="G34" s="39"/>
      <c r="H34" s="39"/>
      <c r="I34" s="42"/>
    </row>
    <row r="35" s="33" customFormat="1" ht="24" customHeight="1" spans="1:9">
      <c r="A35" s="37" t="s">
        <v>107</v>
      </c>
      <c r="B35" s="38" t="s">
        <v>108</v>
      </c>
      <c r="C35" s="37" t="s">
        <v>109</v>
      </c>
      <c r="D35" s="37">
        <v>1</v>
      </c>
      <c r="E35" s="37">
        <v>1</v>
      </c>
      <c r="F35" s="37" t="str">
        <f t="shared" si="0"/>
        <v>1</v>
      </c>
      <c r="G35" s="39"/>
      <c r="H35" s="39"/>
      <c r="I35" s="42"/>
    </row>
    <row r="36" s="33" customFormat="1" ht="24" customHeight="1" spans="1:9">
      <c r="A36" s="37" t="s">
        <v>110</v>
      </c>
      <c r="B36" s="38" t="s">
        <v>111</v>
      </c>
      <c r="C36" s="37" t="s">
        <v>112</v>
      </c>
      <c r="D36" s="37">
        <v>1</v>
      </c>
      <c r="E36" s="37">
        <v>0</v>
      </c>
      <c r="F36" s="37" t="str">
        <f t="shared" si="0"/>
        <v>0</v>
      </c>
      <c r="G36" s="39"/>
      <c r="H36" s="39"/>
      <c r="I36" s="42"/>
    </row>
    <row r="37" s="33" customFormat="1" ht="24" customHeight="1" spans="1:9">
      <c r="A37" s="37" t="s">
        <v>113</v>
      </c>
      <c r="B37" s="38" t="s">
        <v>114</v>
      </c>
      <c r="C37" s="37" t="s">
        <v>115</v>
      </c>
      <c r="D37" s="37">
        <v>1</v>
      </c>
      <c r="E37" s="37">
        <v>255</v>
      </c>
      <c r="F37" s="37" t="str">
        <f t="shared" si="0"/>
        <v>FF</v>
      </c>
      <c r="G37" s="39"/>
      <c r="H37" s="39"/>
      <c r="I37" s="42"/>
    </row>
    <row r="38" s="33" customFormat="1" ht="24" customHeight="1" spans="1:9">
      <c r="A38" s="37" t="s">
        <v>116</v>
      </c>
      <c r="B38" s="38" t="s">
        <v>117</v>
      </c>
      <c r="C38" s="37" t="s">
        <v>118</v>
      </c>
      <c r="D38" s="37">
        <v>1</v>
      </c>
      <c r="E38" s="37">
        <v>50</v>
      </c>
      <c r="F38" s="37" t="str">
        <f t="shared" si="0"/>
        <v>32</v>
      </c>
      <c r="G38" s="39"/>
      <c r="H38" s="39"/>
      <c r="I38" s="42"/>
    </row>
    <row r="39" s="33" customFormat="1" ht="24" customHeight="1" spans="1:9">
      <c r="A39" s="37" t="s">
        <v>119</v>
      </c>
      <c r="B39" s="38" t="s">
        <v>120</v>
      </c>
      <c r="C39" s="37" t="s">
        <v>121</v>
      </c>
      <c r="D39" s="37">
        <v>1</v>
      </c>
      <c r="E39" s="37">
        <v>255</v>
      </c>
      <c r="F39" s="37" t="str">
        <f t="shared" si="0"/>
        <v>FF</v>
      </c>
      <c r="G39" s="39"/>
      <c r="H39" s="39"/>
      <c r="I39" s="42"/>
    </row>
    <row r="40" s="33" customFormat="1" ht="24" customHeight="1" spans="1:9">
      <c r="A40" s="37" t="s">
        <v>122</v>
      </c>
      <c r="B40" s="38" t="s">
        <v>123</v>
      </c>
      <c r="C40" s="37" t="s">
        <v>124</v>
      </c>
      <c r="D40" s="37">
        <v>1</v>
      </c>
      <c r="E40" s="37">
        <v>0</v>
      </c>
      <c r="F40" s="37" t="str">
        <f t="shared" si="0"/>
        <v>0</v>
      </c>
      <c r="G40" s="39"/>
      <c r="H40" s="39"/>
      <c r="I40" s="42"/>
    </row>
    <row r="41" s="33" customFormat="1" ht="24" customHeight="1" spans="1:9">
      <c r="A41" s="37">
        <v>39</v>
      </c>
      <c r="B41" s="40"/>
      <c r="C41" s="37"/>
      <c r="D41" s="37"/>
      <c r="E41" s="37"/>
      <c r="F41" s="37"/>
      <c r="G41" s="39"/>
      <c r="H41" s="39"/>
      <c r="I41" s="4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topLeftCell="C1" workbookViewId="0">
      <pane ySplit="1" topLeftCell="A2" activePane="bottomLeft" state="frozen"/>
      <selection/>
      <selection pane="bottomLeft" activeCell="G13" sqref="G13"/>
    </sheetView>
  </sheetViews>
  <sheetFormatPr defaultColWidth="8.875" defaultRowHeight="17.25"/>
  <cols>
    <col min="1" max="1" width="5.75" style="13" customWidth="1"/>
    <col min="2" max="2" width="14.5" style="13" customWidth="1"/>
    <col min="3" max="3" width="34" style="14" customWidth="1"/>
    <col min="4" max="4" width="64.5583333333333" style="14" customWidth="1"/>
    <col min="5" max="5" width="11" style="14" customWidth="1"/>
    <col min="6" max="6" width="11.85" style="14" customWidth="1"/>
    <col min="7" max="7" width="28.875" style="14" customWidth="1"/>
    <col min="8" max="8" width="66" style="14" customWidth="1"/>
    <col min="9" max="9" width="22.5" style="14" customWidth="1"/>
    <col min="10" max="11" width="8.875" style="14"/>
    <col min="12" max="12" width="57.625" style="14" customWidth="1"/>
    <col min="13" max="16384" width="8.875" style="14"/>
  </cols>
  <sheetData>
    <row r="1" ht="40" customHeight="1" spans="1:9">
      <c r="A1" s="4" t="s">
        <v>0</v>
      </c>
      <c r="B1" s="4" t="s">
        <v>125</v>
      </c>
      <c r="C1" s="5" t="s">
        <v>126</v>
      </c>
      <c r="D1" s="5" t="s">
        <v>127</v>
      </c>
      <c r="E1" s="5" t="s">
        <v>128</v>
      </c>
      <c r="F1" s="5" t="s">
        <v>129</v>
      </c>
      <c r="G1" s="5" t="s">
        <v>130</v>
      </c>
      <c r="H1" s="5" t="s">
        <v>131</v>
      </c>
      <c r="I1" s="5" t="s">
        <v>7</v>
      </c>
    </row>
    <row r="2" spans="1:9">
      <c r="A2" s="11">
        <v>1</v>
      </c>
      <c r="B2" s="15" t="s">
        <v>132</v>
      </c>
      <c r="C2" s="16" t="s">
        <v>133</v>
      </c>
      <c r="D2" s="17" t="s">
        <v>134</v>
      </c>
      <c r="E2" s="18" t="s">
        <v>135</v>
      </c>
      <c r="F2" s="16" t="s">
        <v>136</v>
      </c>
      <c r="G2" s="16"/>
      <c r="H2" s="16" t="s">
        <v>137</v>
      </c>
      <c r="I2" s="16"/>
    </row>
    <row r="3" spans="1:9">
      <c r="A3" s="11">
        <v>2</v>
      </c>
      <c r="B3" s="15"/>
      <c r="C3" s="16" t="s">
        <v>138</v>
      </c>
      <c r="D3" s="17" t="s">
        <v>139</v>
      </c>
      <c r="E3" s="18" t="s">
        <v>135</v>
      </c>
      <c r="F3" s="16" t="s">
        <v>136</v>
      </c>
      <c r="G3" s="16"/>
      <c r="H3" s="16" t="s">
        <v>140</v>
      </c>
      <c r="I3" s="16"/>
    </row>
    <row r="4" ht="34.5" spans="1:9">
      <c r="A4" s="11">
        <v>3</v>
      </c>
      <c r="B4" s="15"/>
      <c r="C4" s="16" t="s">
        <v>141</v>
      </c>
      <c r="D4" s="17" t="s">
        <v>142</v>
      </c>
      <c r="E4" s="18" t="s">
        <v>135</v>
      </c>
      <c r="F4" s="16" t="s">
        <v>136</v>
      </c>
      <c r="G4" s="19"/>
      <c r="H4" s="20" t="s">
        <v>143</v>
      </c>
      <c r="I4" s="16"/>
    </row>
    <row r="5" ht="34.5" spans="1:9">
      <c r="A5" s="11">
        <v>4</v>
      </c>
      <c r="B5" s="15"/>
      <c r="C5" s="16" t="s">
        <v>144</v>
      </c>
      <c r="D5" s="17" t="s">
        <v>145</v>
      </c>
      <c r="E5" s="18" t="s">
        <v>135</v>
      </c>
      <c r="F5" s="16" t="s">
        <v>136</v>
      </c>
      <c r="G5" s="16"/>
      <c r="H5" s="16" t="s">
        <v>146</v>
      </c>
      <c r="I5" s="16"/>
    </row>
    <row r="6" spans="1:9">
      <c r="A6" s="11">
        <v>5</v>
      </c>
      <c r="B6" s="15"/>
      <c r="C6" s="16" t="s">
        <v>147</v>
      </c>
      <c r="D6" s="16" t="s">
        <v>148</v>
      </c>
      <c r="E6" s="18" t="s">
        <v>135</v>
      </c>
      <c r="F6" s="16" t="s">
        <v>136</v>
      </c>
      <c r="G6" s="16"/>
      <c r="H6" s="16" t="s">
        <v>149</v>
      </c>
      <c r="I6" s="16"/>
    </row>
    <row r="7" spans="1:9">
      <c r="A7" s="11">
        <v>6</v>
      </c>
      <c r="B7" s="15"/>
      <c r="C7" s="16" t="s">
        <v>150</v>
      </c>
      <c r="D7" s="16" t="s">
        <v>151</v>
      </c>
      <c r="E7" s="18" t="s">
        <v>135</v>
      </c>
      <c r="F7" s="16" t="s">
        <v>136</v>
      </c>
      <c r="G7" s="16"/>
      <c r="H7" s="16" t="s">
        <v>152</v>
      </c>
      <c r="I7" s="16"/>
    </row>
    <row r="8" spans="1:9">
      <c r="A8" s="11">
        <v>7</v>
      </c>
      <c r="B8" s="15"/>
      <c r="C8" s="16" t="s">
        <v>153</v>
      </c>
      <c r="D8" s="16" t="s">
        <v>154</v>
      </c>
      <c r="E8" s="18" t="s">
        <v>135</v>
      </c>
      <c r="F8" s="16" t="s">
        <v>136</v>
      </c>
      <c r="G8" s="16" t="s">
        <v>155</v>
      </c>
      <c r="H8" s="16" t="s">
        <v>156</v>
      </c>
      <c r="I8" s="16"/>
    </row>
    <row r="9" ht="51.75" spans="1:9">
      <c r="A9" s="11">
        <v>8</v>
      </c>
      <c r="B9" s="15"/>
      <c r="C9" s="16" t="s">
        <v>157</v>
      </c>
      <c r="D9" s="17" t="s">
        <v>158</v>
      </c>
      <c r="E9" s="18" t="s">
        <v>135</v>
      </c>
      <c r="F9" s="16" t="s">
        <v>136</v>
      </c>
      <c r="G9" s="16" t="s">
        <v>159</v>
      </c>
      <c r="H9" s="16" t="s">
        <v>160</v>
      </c>
      <c r="I9" s="16"/>
    </row>
    <row r="10" ht="51.75" spans="1:9">
      <c r="A10" s="21">
        <v>9</v>
      </c>
      <c r="B10" s="15"/>
      <c r="C10" s="22" t="s">
        <v>161</v>
      </c>
      <c r="D10" s="23" t="s">
        <v>162</v>
      </c>
      <c r="E10" s="18" t="s">
        <v>135</v>
      </c>
      <c r="F10" s="22" t="s">
        <v>136</v>
      </c>
      <c r="G10" s="16" t="s">
        <v>163</v>
      </c>
      <c r="H10" s="16" t="s">
        <v>164</v>
      </c>
      <c r="I10" s="16"/>
    </row>
    <row r="11" ht="34.5" spans="1:9">
      <c r="A11" s="24"/>
      <c r="B11" s="15"/>
      <c r="C11" s="25"/>
      <c r="D11" s="26"/>
      <c r="E11" s="18" t="s">
        <v>135</v>
      </c>
      <c r="F11" s="25"/>
      <c r="G11" s="16" t="s">
        <v>165</v>
      </c>
      <c r="H11" s="16" t="s">
        <v>166</v>
      </c>
      <c r="I11" s="16"/>
    </row>
    <row r="12" spans="1:9">
      <c r="A12" s="11">
        <v>10</v>
      </c>
      <c r="B12" s="15"/>
      <c r="C12" s="16" t="s">
        <v>167</v>
      </c>
      <c r="D12" s="16" t="s">
        <v>168</v>
      </c>
      <c r="E12" s="18" t="s">
        <v>135</v>
      </c>
      <c r="F12" s="16" t="s">
        <v>136</v>
      </c>
      <c r="G12" s="16" t="s">
        <v>169</v>
      </c>
      <c r="H12" s="16" t="s">
        <v>170</v>
      </c>
      <c r="I12" s="16"/>
    </row>
    <row r="13" spans="1:9">
      <c r="A13" s="11">
        <v>11</v>
      </c>
      <c r="B13" s="15"/>
      <c r="C13" s="16" t="s">
        <v>171</v>
      </c>
      <c r="D13" s="16" t="s">
        <v>172</v>
      </c>
      <c r="E13" s="18" t="s">
        <v>135</v>
      </c>
      <c r="F13" s="16" t="s">
        <v>136</v>
      </c>
      <c r="G13" s="16" t="s">
        <v>169</v>
      </c>
      <c r="H13" s="16" t="s">
        <v>173</v>
      </c>
      <c r="I13" s="16"/>
    </row>
    <row r="14" spans="1:9">
      <c r="A14" s="11">
        <v>12</v>
      </c>
      <c r="B14" s="15"/>
      <c r="C14" s="16" t="s">
        <v>174</v>
      </c>
      <c r="D14" s="16" t="s">
        <v>175</v>
      </c>
      <c r="E14" s="18" t="s">
        <v>135</v>
      </c>
      <c r="F14" s="16" t="s">
        <v>136</v>
      </c>
      <c r="G14" s="16" t="s">
        <v>169</v>
      </c>
      <c r="H14" s="16" t="s">
        <v>176</v>
      </c>
      <c r="I14" s="16"/>
    </row>
    <row r="15" spans="1:9">
      <c r="A15" s="11">
        <v>13</v>
      </c>
      <c r="B15" s="15"/>
      <c r="C15" s="16" t="s">
        <v>177</v>
      </c>
      <c r="D15" s="16" t="s">
        <v>178</v>
      </c>
      <c r="E15" s="18" t="s">
        <v>135</v>
      </c>
      <c r="F15" s="16" t="s">
        <v>136</v>
      </c>
      <c r="G15" s="16" t="s">
        <v>169</v>
      </c>
      <c r="H15" s="16" t="s">
        <v>179</v>
      </c>
      <c r="I15" s="16"/>
    </row>
    <row r="16" spans="1:9">
      <c r="A16" s="11">
        <v>14</v>
      </c>
      <c r="B16" s="15"/>
      <c r="C16" s="16" t="s">
        <v>180</v>
      </c>
      <c r="D16" s="16" t="s">
        <v>181</v>
      </c>
      <c r="E16" s="18" t="s">
        <v>135</v>
      </c>
      <c r="F16" s="16" t="s">
        <v>136</v>
      </c>
      <c r="G16" s="16" t="s">
        <v>169</v>
      </c>
      <c r="H16" s="16" t="s">
        <v>182</v>
      </c>
      <c r="I16" s="16"/>
    </row>
    <row r="17" spans="1:9">
      <c r="A17" s="11">
        <v>15</v>
      </c>
      <c r="B17" s="15"/>
      <c r="C17" s="16" t="s">
        <v>183</v>
      </c>
      <c r="D17" s="16" t="s">
        <v>184</v>
      </c>
      <c r="E17" s="18" t="s">
        <v>135</v>
      </c>
      <c r="F17" s="16" t="s">
        <v>136</v>
      </c>
      <c r="G17" s="16"/>
      <c r="H17" s="16" t="s">
        <v>185</v>
      </c>
      <c r="I17" s="16"/>
    </row>
    <row r="18" spans="1:9">
      <c r="A18" s="11">
        <v>16</v>
      </c>
      <c r="B18" s="15"/>
      <c r="C18" s="16" t="s">
        <v>186</v>
      </c>
      <c r="D18" s="27" t="s">
        <v>187</v>
      </c>
      <c r="E18" s="28" t="s">
        <v>188</v>
      </c>
      <c r="F18" s="16" t="s">
        <v>136</v>
      </c>
      <c r="G18" s="16"/>
      <c r="H18" s="16" t="s">
        <v>189</v>
      </c>
      <c r="I18" s="16"/>
    </row>
    <row r="19" ht="34.5" spans="1:9">
      <c r="A19" s="11">
        <v>17</v>
      </c>
      <c r="B19" s="15"/>
      <c r="C19" s="16" t="s">
        <v>190</v>
      </c>
      <c r="D19" s="16" t="s">
        <v>191</v>
      </c>
      <c r="E19" s="28" t="s">
        <v>188</v>
      </c>
      <c r="F19" s="16" t="s">
        <v>136</v>
      </c>
      <c r="G19" s="16"/>
      <c r="H19" s="16" t="s">
        <v>192</v>
      </c>
      <c r="I19" s="16"/>
    </row>
    <row r="20" ht="69" spans="1:9">
      <c r="A20" s="11">
        <v>18</v>
      </c>
      <c r="B20" s="15"/>
      <c r="C20" s="16" t="s">
        <v>193</v>
      </c>
      <c r="D20" s="27" t="s">
        <v>194</v>
      </c>
      <c r="E20" s="18" t="s">
        <v>135</v>
      </c>
      <c r="F20" s="16" t="s">
        <v>136</v>
      </c>
      <c r="G20" s="16"/>
      <c r="H20" s="16" t="s">
        <v>195</v>
      </c>
      <c r="I20" s="16"/>
    </row>
    <row r="21" spans="1:9">
      <c r="A21" s="11">
        <v>19</v>
      </c>
      <c r="B21" s="15"/>
      <c r="C21" s="16" t="s">
        <v>196</v>
      </c>
      <c r="D21" s="16" t="s">
        <v>197</v>
      </c>
      <c r="E21" s="18" t="s">
        <v>135</v>
      </c>
      <c r="F21" s="16" t="s">
        <v>136</v>
      </c>
      <c r="G21" s="16"/>
      <c r="H21" s="16" t="s">
        <v>198</v>
      </c>
      <c r="I21" s="16"/>
    </row>
    <row r="22" spans="1:9">
      <c r="A22" s="11">
        <v>20</v>
      </c>
      <c r="B22" s="15"/>
      <c r="C22" s="16" t="s">
        <v>199</v>
      </c>
      <c r="D22" s="16" t="s">
        <v>200</v>
      </c>
      <c r="E22" s="18" t="s">
        <v>135</v>
      </c>
      <c r="F22" s="16" t="s">
        <v>136</v>
      </c>
      <c r="G22" s="16"/>
      <c r="H22" s="16" t="s">
        <v>201</v>
      </c>
      <c r="I22" s="16"/>
    </row>
    <row r="23" spans="1:9">
      <c r="A23" s="11">
        <v>21</v>
      </c>
      <c r="B23" s="15"/>
      <c r="C23" s="16" t="s">
        <v>202</v>
      </c>
      <c r="D23" s="16" t="s">
        <v>203</v>
      </c>
      <c r="E23" s="18" t="s">
        <v>135</v>
      </c>
      <c r="F23" s="16" t="s">
        <v>136</v>
      </c>
      <c r="G23" s="16"/>
      <c r="H23" s="16" t="s">
        <v>204</v>
      </c>
      <c r="I23" s="16"/>
    </row>
    <row r="24" spans="1:9">
      <c r="A24" s="11">
        <v>22</v>
      </c>
      <c r="B24" s="15"/>
      <c r="C24" s="16" t="s">
        <v>205</v>
      </c>
      <c r="D24" s="16" t="s">
        <v>206</v>
      </c>
      <c r="E24" s="18" t="s">
        <v>135</v>
      </c>
      <c r="F24" s="16" t="s">
        <v>136</v>
      </c>
      <c r="G24" s="16"/>
      <c r="H24" s="29" t="s">
        <v>207</v>
      </c>
      <c r="I24" s="16"/>
    </row>
    <row r="25" ht="34.5" spans="1:9">
      <c r="A25" s="11">
        <v>23</v>
      </c>
      <c r="B25" s="15"/>
      <c r="C25" s="16" t="s">
        <v>208</v>
      </c>
      <c r="D25" s="16" t="s">
        <v>209</v>
      </c>
      <c r="E25" s="30" t="s">
        <v>210</v>
      </c>
      <c r="F25" s="16" t="s">
        <v>136</v>
      </c>
      <c r="G25" s="16" t="s">
        <v>211</v>
      </c>
      <c r="H25" s="16" t="s">
        <v>212</v>
      </c>
      <c r="I25" s="16"/>
    </row>
    <row r="26" ht="34.5" spans="1:9">
      <c r="A26" s="11">
        <v>24</v>
      </c>
      <c r="B26" s="15"/>
      <c r="C26" s="16" t="s">
        <v>213</v>
      </c>
      <c r="D26" s="16" t="s">
        <v>214</v>
      </c>
      <c r="E26" s="30" t="s">
        <v>210</v>
      </c>
      <c r="F26" s="16" t="s">
        <v>136</v>
      </c>
      <c r="G26" s="16" t="s">
        <v>211</v>
      </c>
      <c r="H26" s="16" t="s">
        <v>215</v>
      </c>
      <c r="I26" s="16"/>
    </row>
    <row r="27" spans="1:9">
      <c r="A27" s="11">
        <v>25</v>
      </c>
      <c r="B27" s="15"/>
      <c r="C27" s="16" t="s">
        <v>216</v>
      </c>
      <c r="D27" s="16" t="s">
        <v>217</v>
      </c>
      <c r="E27" s="18" t="s">
        <v>135</v>
      </c>
      <c r="F27" s="16" t="s">
        <v>136</v>
      </c>
      <c r="G27" s="16"/>
      <c r="H27" s="31" t="s">
        <v>218</v>
      </c>
      <c r="I27" s="16"/>
    </row>
    <row r="28" spans="1:9">
      <c r="A28" s="11">
        <v>26</v>
      </c>
      <c r="B28" s="15"/>
      <c r="C28" s="16" t="s">
        <v>219</v>
      </c>
      <c r="D28" s="27" t="s">
        <v>220</v>
      </c>
      <c r="E28" s="18" t="s">
        <v>135</v>
      </c>
      <c r="F28" s="16" t="s">
        <v>136</v>
      </c>
      <c r="G28" s="16"/>
      <c r="H28" s="16" t="s">
        <v>221</v>
      </c>
      <c r="I28" s="16"/>
    </row>
    <row r="29" spans="1:9">
      <c r="A29" s="11">
        <v>27</v>
      </c>
      <c r="B29" s="15"/>
      <c r="C29" s="16" t="s">
        <v>222</v>
      </c>
      <c r="D29" s="16" t="s">
        <v>223</v>
      </c>
      <c r="E29" s="18" t="s">
        <v>135</v>
      </c>
      <c r="F29" s="16" t="s">
        <v>136</v>
      </c>
      <c r="G29" s="16"/>
      <c r="H29" s="16" t="s">
        <v>224</v>
      </c>
      <c r="I29" s="16"/>
    </row>
    <row r="30" spans="1:9">
      <c r="A30" s="11">
        <v>28</v>
      </c>
      <c r="B30" s="15"/>
      <c r="C30" s="16"/>
      <c r="D30" s="16"/>
      <c r="E30" s="16"/>
      <c r="F30" s="16"/>
      <c r="G30" s="16"/>
      <c r="H30" s="16"/>
      <c r="I30" s="16"/>
    </row>
    <row r="31" spans="1:9">
      <c r="A31" s="11">
        <v>29</v>
      </c>
      <c r="B31" s="15"/>
      <c r="C31" s="16"/>
      <c r="D31" s="16"/>
      <c r="E31" s="16"/>
      <c r="F31" s="16"/>
      <c r="G31" s="16"/>
      <c r="H31" s="16"/>
      <c r="I31" s="16"/>
    </row>
    <row r="32" spans="1:9">
      <c r="A32" s="11">
        <v>30</v>
      </c>
      <c r="B32" s="15"/>
      <c r="C32" s="16"/>
      <c r="D32" s="16"/>
      <c r="E32" s="16"/>
      <c r="F32" s="16"/>
      <c r="G32" s="16"/>
      <c r="H32" s="16"/>
      <c r="I32" s="16"/>
    </row>
    <row r="33" spans="1:9">
      <c r="A33" s="11">
        <v>31</v>
      </c>
      <c r="B33" s="32" t="s">
        <v>225</v>
      </c>
      <c r="C33" s="16" t="s">
        <v>226</v>
      </c>
      <c r="D33" s="27" t="s">
        <v>227</v>
      </c>
      <c r="E33" s="30" t="s">
        <v>210</v>
      </c>
      <c r="F33" s="16" t="s">
        <v>136</v>
      </c>
      <c r="G33" s="16"/>
      <c r="H33" s="16" t="s">
        <v>228</v>
      </c>
      <c r="I33" s="16"/>
    </row>
    <row r="34" spans="1:9">
      <c r="A34" s="11">
        <v>32</v>
      </c>
      <c r="B34" s="32"/>
      <c r="C34" s="16" t="s">
        <v>229</v>
      </c>
      <c r="D34" s="16" t="s">
        <v>230</v>
      </c>
      <c r="E34" s="30" t="s">
        <v>210</v>
      </c>
      <c r="F34" s="16" t="s">
        <v>136</v>
      </c>
      <c r="G34" s="16"/>
      <c r="H34" s="16" t="s">
        <v>231</v>
      </c>
      <c r="I34" s="16"/>
    </row>
    <row r="35" spans="1:9">
      <c r="A35" s="11">
        <v>33</v>
      </c>
      <c r="B35" s="32"/>
      <c r="C35" s="16" t="s">
        <v>232</v>
      </c>
      <c r="D35" s="16" t="s">
        <v>233</v>
      </c>
      <c r="E35" s="28" t="s">
        <v>188</v>
      </c>
      <c r="F35" s="16" t="s">
        <v>136</v>
      </c>
      <c r="G35" s="16"/>
      <c r="H35" s="16" t="s">
        <v>234</v>
      </c>
      <c r="I35" s="16"/>
    </row>
    <row r="36" spans="1:9">
      <c r="A36" s="11">
        <v>34</v>
      </c>
      <c r="B36" s="32"/>
      <c r="C36" s="16"/>
      <c r="D36" s="16"/>
      <c r="E36" s="16"/>
      <c r="F36" s="16"/>
      <c r="G36" s="16"/>
      <c r="H36" s="16"/>
      <c r="I36" s="16"/>
    </row>
    <row r="37" spans="1:9">
      <c r="A37" s="11">
        <v>35</v>
      </c>
      <c r="B37" s="32"/>
      <c r="C37" s="16"/>
      <c r="D37" s="16"/>
      <c r="E37" s="16"/>
      <c r="F37" s="16"/>
      <c r="G37" s="16"/>
      <c r="H37" s="16"/>
      <c r="I37" s="16"/>
    </row>
    <row r="38" spans="1:9">
      <c r="A38" s="11">
        <v>36</v>
      </c>
      <c r="B38" s="32"/>
      <c r="C38" s="16"/>
      <c r="D38" s="16"/>
      <c r="E38" s="16"/>
      <c r="F38" s="16"/>
      <c r="G38" s="16"/>
      <c r="H38" s="16"/>
      <c r="I38" s="16"/>
    </row>
    <row r="39" spans="1:9">
      <c r="A39" s="11">
        <v>37</v>
      </c>
      <c r="B39" s="32"/>
      <c r="C39" s="16"/>
      <c r="D39" s="16"/>
      <c r="E39" s="16"/>
      <c r="F39" s="16"/>
      <c r="G39" s="16"/>
      <c r="H39" s="16"/>
      <c r="I39" s="16"/>
    </row>
    <row r="40" spans="1:9">
      <c r="A40" s="11">
        <v>38</v>
      </c>
      <c r="B40" s="32"/>
      <c r="C40" s="16"/>
      <c r="D40" s="16"/>
      <c r="E40" s="16"/>
      <c r="F40" s="16"/>
      <c r="G40" s="16"/>
      <c r="H40" s="16"/>
      <c r="I40" s="16"/>
    </row>
    <row r="41" spans="1:9">
      <c r="A41" s="11">
        <v>39</v>
      </c>
      <c r="B41" s="32"/>
      <c r="C41" s="16"/>
      <c r="D41" s="16"/>
      <c r="E41" s="16"/>
      <c r="F41" s="16"/>
      <c r="G41" s="16"/>
      <c r="H41" s="16"/>
      <c r="I41" s="16"/>
    </row>
    <row r="42" spans="1:9">
      <c r="A42" s="11">
        <v>40</v>
      </c>
      <c r="B42" s="25"/>
      <c r="C42" s="16"/>
      <c r="D42" s="16"/>
      <c r="E42" s="16"/>
      <c r="F42" s="16"/>
      <c r="G42" s="16"/>
      <c r="H42" s="16"/>
      <c r="I42" s="16"/>
    </row>
  </sheetData>
  <mergeCells count="6">
    <mergeCell ref="A10:A11"/>
    <mergeCell ref="B2:B32"/>
    <mergeCell ref="B33:B42"/>
    <mergeCell ref="C10:C11"/>
    <mergeCell ref="D10:D11"/>
    <mergeCell ref="F10:F11"/>
  </mergeCells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81"/>
  <sheetViews>
    <sheetView workbookViewId="0">
      <pane ySplit="1" topLeftCell="A23" activePane="bottomLeft" state="frozen"/>
      <selection/>
      <selection pane="bottomLeft" activeCell="H57" sqref="H57"/>
    </sheetView>
  </sheetViews>
  <sheetFormatPr defaultColWidth="9" defaultRowHeight="17.25"/>
  <cols>
    <col min="1" max="1" width="5" style="1" customWidth="1"/>
    <col min="2" max="2" width="8" style="1" customWidth="1"/>
    <col min="3" max="3" width="8" style="2" customWidth="1"/>
    <col min="4" max="4" width="25.125" style="1" customWidth="1"/>
    <col min="5" max="5" width="10.75" style="2" customWidth="1"/>
    <col min="6" max="6" width="12.75" style="2" customWidth="1"/>
    <col min="7" max="7" width="19.875" style="3" customWidth="1"/>
    <col min="8" max="8" width="103.375" style="1" customWidth="1"/>
    <col min="9" max="9" width="38.5" style="1" customWidth="1"/>
    <col min="10" max="16384" width="9" style="1"/>
  </cols>
  <sheetData>
    <row r="1" ht="40" customHeight="1" spans="1:9">
      <c r="A1" s="4" t="s">
        <v>0</v>
      </c>
      <c r="B1" s="4" t="s">
        <v>235</v>
      </c>
      <c r="C1" s="4" t="s">
        <v>236</v>
      </c>
      <c r="D1" s="5" t="s">
        <v>126</v>
      </c>
      <c r="E1" s="4" t="s">
        <v>128</v>
      </c>
      <c r="F1" s="6" t="s">
        <v>129</v>
      </c>
      <c r="G1" s="4" t="s">
        <v>130</v>
      </c>
      <c r="H1" s="5" t="s">
        <v>131</v>
      </c>
      <c r="I1" s="7" t="s">
        <v>7</v>
      </c>
    </row>
    <row r="2" ht="36" hidden="1" customHeight="1" spans="1:9">
      <c r="A2" s="7">
        <v>1</v>
      </c>
      <c r="B2" s="8" t="str">
        <f>_xlfn.DISPIMG("ID_583FA33C5CC74AA896BFD00000F21A49",1)</f>
        <v>=DISPIMG("ID_583FA33C5CC74AA896BFD00000F21A49",1)</v>
      </c>
      <c r="C2" s="7" t="s">
        <v>237</v>
      </c>
      <c r="D2" s="8" t="s">
        <v>238</v>
      </c>
      <c r="E2" s="7" t="s">
        <v>188</v>
      </c>
      <c r="F2" s="7" t="s">
        <v>239</v>
      </c>
      <c r="G2" s="9"/>
      <c r="H2" s="8" t="s">
        <v>240</v>
      </c>
      <c r="I2" s="8"/>
    </row>
    <row r="3" ht="36" hidden="1" customHeight="1" spans="1:9">
      <c r="A3" s="7">
        <v>2</v>
      </c>
      <c r="B3" s="8" t="str">
        <f>_xlfn.DISPIMG("ID_545DED49D92D4E4CB1F6D417FD0055D7",1)</f>
        <v>=DISPIMG("ID_545DED49D92D4E4CB1F6D417FD0055D7",1)</v>
      </c>
      <c r="C3" s="7" t="s">
        <v>237</v>
      </c>
      <c r="D3" s="8" t="s">
        <v>241</v>
      </c>
      <c r="E3" s="7" t="s">
        <v>188</v>
      </c>
      <c r="F3" s="7" t="s">
        <v>239</v>
      </c>
      <c r="G3" s="9"/>
      <c r="H3" s="8" t="s">
        <v>242</v>
      </c>
      <c r="I3" s="8"/>
    </row>
    <row r="4" ht="36" hidden="1" customHeight="1" spans="1:9">
      <c r="A4" s="7">
        <v>3</v>
      </c>
      <c r="B4" s="8"/>
      <c r="C4" s="7" t="s">
        <v>237</v>
      </c>
      <c r="D4" s="8" t="s">
        <v>243</v>
      </c>
      <c r="E4" s="7" t="s">
        <v>188</v>
      </c>
      <c r="F4" s="7" t="s">
        <v>239</v>
      </c>
      <c r="G4" s="9"/>
      <c r="H4" s="8" t="s">
        <v>244</v>
      </c>
      <c r="I4" s="8"/>
    </row>
    <row r="5" ht="36" hidden="1" customHeight="1" spans="1:9">
      <c r="A5" s="7">
        <v>4</v>
      </c>
      <c r="B5" s="8"/>
      <c r="C5" s="7" t="s">
        <v>237</v>
      </c>
      <c r="D5" s="8" t="s">
        <v>245</v>
      </c>
      <c r="E5" s="7" t="s">
        <v>188</v>
      </c>
      <c r="F5" s="7" t="s">
        <v>239</v>
      </c>
      <c r="G5" s="9"/>
      <c r="H5" s="8" t="s">
        <v>246</v>
      </c>
      <c r="I5" s="8"/>
    </row>
    <row r="6" ht="36" hidden="1" customHeight="1" spans="1:9">
      <c r="A6" s="7">
        <v>5</v>
      </c>
      <c r="B6" s="8" t="str">
        <f>_xlfn.DISPIMG("ID_4E23E753E80D4718B260068FC1FBB2B3",1)</f>
        <v>=DISPIMG("ID_4E23E753E80D4718B260068FC1FBB2B3",1)</v>
      </c>
      <c r="C6" s="7" t="s">
        <v>237</v>
      </c>
      <c r="D6" s="8" t="s">
        <v>247</v>
      </c>
      <c r="E6" s="7" t="s">
        <v>188</v>
      </c>
      <c r="F6" s="7" t="s">
        <v>239</v>
      </c>
      <c r="G6" s="9"/>
      <c r="H6" s="8" t="s">
        <v>248</v>
      </c>
      <c r="I6" s="8"/>
    </row>
    <row r="7" ht="36" hidden="1" customHeight="1" spans="1:9">
      <c r="A7" s="7">
        <v>6</v>
      </c>
      <c r="B7" s="8" t="str">
        <f>_xlfn.DISPIMG("ID_72223D117037496C8CBD5FD5E457201D",1)</f>
        <v>=DISPIMG("ID_72223D117037496C8CBD5FD5E457201D",1)</v>
      </c>
      <c r="C7" s="7" t="s">
        <v>237</v>
      </c>
      <c r="D7" s="8" t="s">
        <v>249</v>
      </c>
      <c r="E7" s="7" t="s">
        <v>250</v>
      </c>
      <c r="F7" s="10" t="s">
        <v>136</v>
      </c>
      <c r="G7" s="9"/>
      <c r="H7" s="8" t="s">
        <v>251</v>
      </c>
      <c r="I7" s="8"/>
    </row>
    <row r="8" ht="36" hidden="1" customHeight="1" spans="1:9">
      <c r="A8" s="7">
        <v>7</v>
      </c>
      <c r="B8" s="8" t="str">
        <f>_xlfn.DISPIMG("ID_A4A7AD6983D64DADB17F6DFE849A1C80",1)</f>
        <v>=DISPIMG("ID_A4A7AD6983D64DADB17F6DFE849A1C80",1)</v>
      </c>
      <c r="C8" s="7" t="s">
        <v>237</v>
      </c>
      <c r="D8" s="8" t="s">
        <v>252</v>
      </c>
      <c r="E8" s="7" t="s">
        <v>188</v>
      </c>
      <c r="F8" s="10" t="s">
        <v>136</v>
      </c>
      <c r="G8" s="9"/>
      <c r="H8" s="8" t="s">
        <v>253</v>
      </c>
      <c r="I8" s="8"/>
    </row>
    <row r="9" ht="36" hidden="1" customHeight="1" spans="1:9">
      <c r="A9" s="7">
        <v>8</v>
      </c>
      <c r="B9" s="8" t="str">
        <f>_xlfn.DISPIMG("ID_FE932DD522034857B92BFAB625F133C0",1)</f>
        <v>=DISPIMG("ID_FE932DD522034857B92BFAB625F133C0",1)</v>
      </c>
      <c r="C9" s="7" t="s">
        <v>237</v>
      </c>
      <c r="D9" s="8" t="s">
        <v>254</v>
      </c>
      <c r="E9" s="7" t="s">
        <v>188</v>
      </c>
      <c r="F9" s="10" t="s">
        <v>136</v>
      </c>
      <c r="G9" s="9"/>
      <c r="H9" s="8" t="s">
        <v>255</v>
      </c>
      <c r="I9" s="8"/>
    </row>
    <row r="10" ht="36" hidden="1" customHeight="1" spans="1:9">
      <c r="A10" s="7">
        <v>9</v>
      </c>
      <c r="B10" s="8" t="str">
        <f>_xlfn.DISPIMG("ID_16F418BE7EAA4F06B037B4A6799455C4",1)</f>
        <v>=DISPIMG("ID_16F418BE7EAA4F06B037B4A6799455C4",1)</v>
      </c>
      <c r="C10" s="7" t="s">
        <v>237</v>
      </c>
      <c r="D10" s="8" t="s">
        <v>256</v>
      </c>
      <c r="E10" s="7" t="s">
        <v>135</v>
      </c>
      <c r="F10" s="10" t="s">
        <v>136</v>
      </c>
      <c r="G10" s="9"/>
      <c r="H10" s="8" t="s">
        <v>257</v>
      </c>
      <c r="I10" s="8"/>
    </row>
    <row r="11" ht="36" hidden="1" customHeight="1" spans="1:9">
      <c r="A11" s="7">
        <v>10</v>
      </c>
      <c r="B11" s="8" t="str">
        <f>_xlfn.DISPIMG("ID_D3F5C6C958C24FDCB9FF5BE95003E91E",1)</f>
        <v>=DISPIMG("ID_D3F5C6C958C24FDCB9FF5BE95003E91E",1)</v>
      </c>
      <c r="C11" s="7" t="s">
        <v>237</v>
      </c>
      <c r="D11" s="8" t="s">
        <v>258</v>
      </c>
      <c r="E11" s="7" t="s">
        <v>135</v>
      </c>
      <c r="F11" s="10" t="s">
        <v>136</v>
      </c>
      <c r="G11" s="9"/>
      <c r="H11" s="8" t="s">
        <v>259</v>
      </c>
      <c r="I11" s="8"/>
    </row>
    <row r="12" ht="36" hidden="1" customHeight="1" spans="1:9">
      <c r="A12" s="7">
        <v>11</v>
      </c>
      <c r="B12" s="8" t="str">
        <f>_xlfn.DISPIMG("ID_A1893C6BA5244C64967196C55BC7317B",1)</f>
        <v>=DISPIMG("ID_A1893C6BA5244C64967196C55BC7317B",1)</v>
      </c>
      <c r="C12" s="7" t="s">
        <v>237</v>
      </c>
      <c r="D12" s="8" t="s">
        <v>260</v>
      </c>
      <c r="E12" s="7" t="s">
        <v>210</v>
      </c>
      <c r="F12" s="7" t="s">
        <v>239</v>
      </c>
      <c r="G12" s="9"/>
      <c r="H12" s="8" t="s">
        <v>261</v>
      </c>
      <c r="I12" s="8"/>
    </row>
    <row r="13" ht="36" hidden="1" customHeight="1" spans="1:9">
      <c r="A13" s="7">
        <v>12</v>
      </c>
      <c r="B13" s="8" t="str">
        <f>_xlfn.DISPIMG("ID_1159B64BED2842C9982193643B6ACB92",1)</f>
        <v>=DISPIMG("ID_1159B64BED2842C9982193643B6ACB92",1)</v>
      </c>
      <c r="C13" s="7" t="s">
        <v>237</v>
      </c>
      <c r="D13" s="8" t="s">
        <v>262</v>
      </c>
      <c r="E13" s="7" t="s">
        <v>210</v>
      </c>
      <c r="F13" s="10" t="s">
        <v>136</v>
      </c>
      <c r="G13" s="9"/>
      <c r="H13" s="8" t="s">
        <v>263</v>
      </c>
      <c r="I13" s="8"/>
    </row>
    <row r="14" ht="36" hidden="1" customHeight="1" spans="1:9">
      <c r="A14" s="7">
        <v>13</v>
      </c>
      <c r="B14" s="8" t="str">
        <f>_xlfn.DISPIMG("ID_603E0F61549D4CB3A32D9A8BB13A9206",1)</f>
        <v>=DISPIMG("ID_603E0F61549D4CB3A32D9A8BB13A9206",1)</v>
      </c>
      <c r="C14" s="7" t="s">
        <v>237</v>
      </c>
      <c r="D14" s="8" t="s">
        <v>264</v>
      </c>
      <c r="E14" s="7" t="s">
        <v>210</v>
      </c>
      <c r="F14" s="10" t="s">
        <v>136</v>
      </c>
      <c r="G14" s="9"/>
      <c r="H14" s="8" t="s">
        <v>265</v>
      </c>
      <c r="I14" s="8"/>
    </row>
    <row r="15" ht="65" hidden="1" customHeight="1" spans="1:9">
      <c r="A15" s="7">
        <v>14</v>
      </c>
      <c r="B15" s="8" t="str">
        <f>_xlfn.DISPIMG("ID_7CA0C625BEE64F928B7859036D4A3857",1)</f>
        <v>=DISPIMG("ID_7CA0C625BEE64F928B7859036D4A3857",1)</v>
      </c>
      <c r="C15" s="7" t="s">
        <v>237</v>
      </c>
      <c r="D15" s="8" t="s">
        <v>266</v>
      </c>
      <c r="E15" s="7" t="s">
        <v>210</v>
      </c>
      <c r="F15" s="10" t="s">
        <v>136</v>
      </c>
      <c r="G15" s="9" t="s">
        <v>267</v>
      </c>
      <c r="H15" s="9" t="s">
        <v>268</v>
      </c>
      <c r="I15" s="8"/>
    </row>
    <row r="16" ht="36" hidden="1" customHeight="1" spans="1:9">
      <c r="A16" s="7">
        <v>15</v>
      </c>
      <c r="B16" s="8" t="str">
        <f>_xlfn.DISPIMG("ID_868D59E76FBD4AEAB624A9EBDEB727A1",1)</f>
        <v>=DISPIMG("ID_868D59E76FBD4AEAB624A9EBDEB727A1",1)</v>
      </c>
      <c r="C16" s="7" t="s">
        <v>237</v>
      </c>
      <c r="D16" s="8" t="s">
        <v>269</v>
      </c>
      <c r="E16" s="7" t="s">
        <v>210</v>
      </c>
      <c r="F16" s="10" t="s">
        <v>136</v>
      </c>
      <c r="G16" s="9"/>
      <c r="H16" s="9" t="s">
        <v>270</v>
      </c>
      <c r="I16" s="8"/>
    </row>
    <row r="17" ht="61" hidden="1" customHeight="1" spans="1:9">
      <c r="A17" s="7">
        <v>16</v>
      </c>
      <c r="B17" s="8" t="str">
        <f>_xlfn.DISPIMG("ID_287C460B1ADD43E99564C15B5256C195",1)</f>
        <v>=DISPIMG("ID_287C460B1ADD43E99564C15B5256C195",1)</v>
      </c>
      <c r="C17" s="7" t="s">
        <v>237</v>
      </c>
      <c r="D17" s="8" t="s">
        <v>271</v>
      </c>
      <c r="E17" s="7" t="s">
        <v>188</v>
      </c>
      <c r="F17" s="10" t="s">
        <v>136</v>
      </c>
      <c r="G17" s="9"/>
      <c r="H17" s="9" t="s">
        <v>272</v>
      </c>
      <c r="I17" s="8"/>
    </row>
    <row r="18" ht="36" hidden="1" customHeight="1" spans="1:9">
      <c r="A18" s="7">
        <v>17</v>
      </c>
      <c r="B18" s="8" t="str">
        <f>_xlfn.DISPIMG("ID_CF026060B0584117B3E5E5D0005C4D12",1)</f>
        <v>=DISPIMG("ID_CF026060B0584117B3E5E5D0005C4D12",1)</v>
      </c>
      <c r="C18" s="7" t="s">
        <v>237</v>
      </c>
      <c r="D18" s="8" t="s">
        <v>273</v>
      </c>
      <c r="E18" s="7" t="s">
        <v>210</v>
      </c>
      <c r="F18" s="10" t="s">
        <v>136</v>
      </c>
      <c r="G18" s="9"/>
      <c r="H18" s="9" t="s">
        <v>274</v>
      </c>
      <c r="I18" s="8"/>
    </row>
    <row r="19" ht="36" hidden="1" customHeight="1" spans="1:9">
      <c r="A19" s="7">
        <v>18</v>
      </c>
      <c r="B19" s="8" t="str">
        <f>_xlfn.DISPIMG("ID_9A587CD4E1D04B2F9940B7BBD523598C",1)</f>
        <v>=DISPIMG("ID_9A587CD4E1D04B2F9940B7BBD523598C",1)</v>
      </c>
      <c r="C19" s="7" t="s">
        <v>237</v>
      </c>
      <c r="D19" s="8" t="s">
        <v>275</v>
      </c>
      <c r="E19" s="7" t="s">
        <v>210</v>
      </c>
      <c r="F19" s="10" t="s">
        <v>136</v>
      </c>
      <c r="G19" s="9" t="s">
        <v>93</v>
      </c>
      <c r="H19" s="8" t="s">
        <v>276</v>
      </c>
      <c r="I19" s="8"/>
    </row>
    <row r="20" ht="36" customHeight="1" spans="1:9">
      <c r="A20" s="7">
        <v>19</v>
      </c>
      <c r="B20" s="8" t="str">
        <f>_xlfn.DISPIMG("ID_427979664EEF46E4942715BA3D88E003",1)</f>
        <v>=DISPIMG("ID_427979664EEF46E4942715BA3D88E003",1)</v>
      </c>
      <c r="C20" s="7" t="s">
        <v>277</v>
      </c>
      <c r="D20" s="8" t="s">
        <v>278</v>
      </c>
      <c r="E20" s="7" t="s">
        <v>188</v>
      </c>
      <c r="F20" s="10" t="s">
        <v>136</v>
      </c>
      <c r="G20" s="9"/>
      <c r="H20" s="8" t="s">
        <v>279</v>
      </c>
      <c r="I20" s="8"/>
    </row>
    <row r="21" ht="36" hidden="1" customHeight="1" spans="1:9">
      <c r="A21" s="7">
        <v>20</v>
      </c>
      <c r="B21" s="8" t="str">
        <f>_xlfn.DISPIMG("ID_7EEE4433003C4B8080ADDA5B84BEFB3D",1)</f>
        <v>=DISPIMG("ID_7EEE4433003C4B8080ADDA5B84BEFB3D",1)</v>
      </c>
      <c r="C21" s="7" t="s">
        <v>237</v>
      </c>
      <c r="D21" s="8" t="s">
        <v>280</v>
      </c>
      <c r="E21" s="7" t="s">
        <v>210</v>
      </c>
      <c r="F21" s="10" t="s">
        <v>136</v>
      </c>
      <c r="G21" s="9"/>
      <c r="H21" s="9" t="s">
        <v>281</v>
      </c>
      <c r="I21" s="8"/>
    </row>
    <row r="22" ht="112" hidden="1" customHeight="1" spans="1:9">
      <c r="A22" s="7">
        <v>21</v>
      </c>
      <c r="B22" s="8" t="str">
        <f>_xlfn.DISPIMG("ID_3F780180AB424542858E362978C420BA",1)</f>
        <v>=DISPIMG("ID_3F780180AB424542858E362978C420BA",1)</v>
      </c>
      <c r="C22" s="7" t="s">
        <v>237</v>
      </c>
      <c r="D22" s="8" t="s">
        <v>282</v>
      </c>
      <c r="E22" s="7" t="s">
        <v>210</v>
      </c>
      <c r="F22" s="10" t="s">
        <v>136</v>
      </c>
      <c r="G22" s="9"/>
      <c r="H22" s="9" t="s">
        <v>283</v>
      </c>
      <c r="I22" s="8"/>
    </row>
    <row r="23" ht="159" customHeight="1" spans="1:9">
      <c r="A23" s="7">
        <v>22</v>
      </c>
      <c r="B23" s="8" t="str">
        <f>_xlfn.DISPIMG("ID_1592923889EF469BB81F69E4D78F6FB6",1)</f>
        <v>=DISPIMG("ID_1592923889EF469BB81F69E4D78F6FB6",1)</v>
      </c>
      <c r="C23" s="7" t="s">
        <v>277</v>
      </c>
      <c r="D23" s="8" t="s">
        <v>284</v>
      </c>
      <c r="E23" s="7" t="s">
        <v>210</v>
      </c>
      <c r="F23" s="10" t="s">
        <v>136</v>
      </c>
      <c r="G23" s="9"/>
      <c r="H23" s="9" t="s">
        <v>285</v>
      </c>
      <c r="I23" s="8"/>
    </row>
    <row r="24" ht="36" hidden="1" customHeight="1" spans="1:9">
      <c r="A24" s="7">
        <v>23</v>
      </c>
      <c r="B24" s="8" t="str">
        <f>_xlfn.DISPIMG("ID_483AEFBA37DB4141913E0F5373ABF315",1)</f>
        <v>=DISPIMG("ID_483AEFBA37DB4141913E0F5373ABF315",1)</v>
      </c>
      <c r="C24" s="7" t="s">
        <v>237</v>
      </c>
      <c r="D24" s="8" t="s">
        <v>286</v>
      </c>
      <c r="E24" s="7" t="s">
        <v>135</v>
      </c>
      <c r="F24" s="10" t="s">
        <v>136</v>
      </c>
      <c r="G24" s="9"/>
      <c r="H24" s="8" t="s">
        <v>287</v>
      </c>
      <c r="I24" s="8"/>
    </row>
    <row r="25" ht="73" hidden="1" customHeight="1" spans="1:9">
      <c r="A25" s="7">
        <v>24</v>
      </c>
      <c r="B25" s="8" t="str">
        <f>_xlfn.DISPIMG("ID_7279540E395445FC9884E0997928CC99",1)</f>
        <v>=DISPIMG("ID_7279540E395445FC9884E0997928CC99",1)</v>
      </c>
      <c r="C25" s="7" t="s">
        <v>237</v>
      </c>
      <c r="D25" s="8" t="s">
        <v>288</v>
      </c>
      <c r="E25" s="7" t="s">
        <v>210</v>
      </c>
      <c r="F25" s="10" t="s">
        <v>136</v>
      </c>
      <c r="G25" s="9"/>
      <c r="H25" s="9" t="s">
        <v>289</v>
      </c>
      <c r="I25" s="9" t="s">
        <v>290</v>
      </c>
    </row>
    <row r="26" ht="36" hidden="1" customHeight="1" spans="1:9">
      <c r="A26" s="7">
        <v>25</v>
      </c>
      <c r="B26" s="8" t="str">
        <f>_xlfn.DISPIMG("ID_A873F764474942FBB30F143C41321E25",1)</f>
        <v>=DISPIMG("ID_A873F764474942FBB30F143C41321E25",1)</v>
      </c>
      <c r="C26" s="7" t="s">
        <v>237</v>
      </c>
      <c r="D26" s="8" t="s">
        <v>291</v>
      </c>
      <c r="E26" s="7" t="s">
        <v>210</v>
      </c>
      <c r="F26" s="10" t="s">
        <v>136</v>
      </c>
      <c r="G26" s="9"/>
      <c r="H26" s="8" t="s">
        <v>292</v>
      </c>
      <c r="I26" s="8"/>
    </row>
    <row r="27" ht="36" hidden="1" customHeight="1" spans="1:9">
      <c r="A27" s="7">
        <v>26</v>
      </c>
      <c r="B27" s="8" t="str">
        <f>_xlfn.DISPIMG("ID_4601BFE86BEB480E855F005F25F13FE8",1)</f>
        <v>=DISPIMG("ID_4601BFE86BEB480E855F005F25F13FE8",1)</v>
      </c>
      <c r="C27" s="7" t="s">
        <v>237</v>
      </c>
      <c r="D27" s="8" t="s">
        <v>293</v>
      </c>
      <c r="E27" s="7" t="s">
        <v>210</v>
      </c>
      <c r="F27" s="7" t="s">
        <v>136</v>
      </c>
      <c r="G27" s="9"/>
      <c r="H27" s="9" t="s">
        <v>294</v>
      </c>
      <c r="I27" s="8"/>
    </row>
    <row r="28" ht="42" hidden="1" customHeight="1" spans="1:9">
      <c r="A28" s="7">
        <v>27</v>
      </c>
      <c r="B28" s="8" t="str">
        <f>_xlfn.DISPIMG("ID_B12DD611D7E648E3BA285A2DA721A06C",1)</f>
        <v>=DISPIMG("ID_B12DD611D7E648E3BA285A2DA721A06C",1)</v>
      </c>
      <c r="C28" s="7" t="s">
        <v>237</v>
      </c>
      <c r="D28" s="8" t="s">
        <v>295</v>
      </c>
      <c r="E28" s="7" t="s">
        <v>210</v>
      </c>
      <c r="F28" s="11" t="s">
        <v>296</v>
      </c>
      <c r="G28" s="9"/>
      <c r="H28" s="9" t="s">
        <v>297</v>
      </c>
      <c r="I28" s="8"/>
    </row>
    <row r="29" ht="56" hidden="1" customHeight="1" spans="1:9">
      <c r="A29" s="7">
        <v>28</v>
      </c>
      <c r="B29" s="8" t="str">
        <f>_xlfn.DISPIMG("ID_F46E9E6370974C219D81501E45B6986A",1)</f>
        <v>=DISPIMG("ID_F46E9E6370974C219D81501E45B6986A",1)</v>
      </c>
      <c r="C29" s="7" t="s">
        <v>237</v>
      </c>
      <c r="D29" s="8" t="s">
        <v>298</v>
      </c>
      <c r="E29" s="7" t="s">
        <v>210</v>
      </c>
      <c r="F29" s="10" t="s">
        <v>136</v>
      </c>
      <c r="G29" s="9"/>
      <c r="H29" s="9" t="s">
        <v>299</v>
      </c>
      <c r="I29" s="8"/>
    </row>
    <row r="30" ht="36" customHeight="1" spans="1:9">
      <c r="A30" s="7">
        <v>29</v>
      </c>
      <c r="B30" s="8" t="str">
        <f>_xlfn.DISPIMG("ID_995B58942CC1474C8F6FB2895633A455",1)</f>
        <v>=DISPIMG("ID_995B58942CC1474C8F6FB2895633A455",1)</v>
      </c>
      <c r="C30" s="7" t="s">
        <v>277</v>
      </c>
      <c r="D30" s="8" t="s">
        <v>300</v>
      </c>
      <c r="E30" s="7" t="s">
        <v>135</v>
      </c>
      <c r="F30" s="10" t="s">
        <v>136</v>
      </c>
      <c r="G30" s="9"/>
      <c r="H30" s="8" t="s">
        <v>301</v>
      </c>
      <c r="I30" s="8"/>
    </row>
    <row r="31" ht="78" hidden="1" customHeight="1" spans="1:9">
      <c r="A31" s="7">
        <v>30</v>
      </c>
      <c r="B31" s="8" t="str">
        <f>_xlfn.DISPIMG("ID_8AEC5C1FA3A441FBAE9595A3D11D9C02",1)</f>
        <v>=DISPIMG("ID_8AEC5C1FA3A441FBAE9595A3D11D9C02",1)</v>
      </c>
      <c r="C31" s="7" t="s">
        <v>237</v>
      </c>
      <c r="D31" s="8" t="s">
        <v>302</v>
      </c>
      <c r="E31" s="7" t="s">
        <v>210</v>
      </c>
      <c r="F31" s="10" t="s">
        <v>136</v>
      </c>
      <c r="G31" s="9"/>
      <c r="H31" s="9" t="s">
        <v>303</v>
      </c>
      <c r="I31" s="8"/>
    </row>
    <row r="32" ht="36" hidden="1" customHeight="1" spans="1:9">
      <c r="A32" s="7">
        <v>31</v>
      </c>
      <c r="B32" s="8" t="str">
        <f>_xlfn.DISPIMG("ID_446916C4B80F432693A672ACE2440827",1)</f>
        <v>=DISPIMG("ID_446916C4B80F432693A672ACE2440827",1)</v>
      </c>
      <c r="C32" s="7" t="s">
        <v>237</v>
      </c>
      <c r="D32" s="8" t="s">
        <v>304</v>
      </c>
      <c r="E32" s="7" t="s">
        <v>135</v>
      </c>
      <c r="F32" s="10" t="s">
        <v>136</v>
      </c>
      <c r="G32" s="9"/>
      <c r="H32" s="8" t="s">
        <v>305</v>
      </c>
      <c r="I32" s="8"/>
    </row>
    <row r="33" ht="36" hidden="1" customHeight="1" spans="1:9">
      <c r="A33" s="7">
        <v>32</v>
      </c>
      <c r="B33" s="8" t="str">
        <f>_xlfn.DISPIMG("ID_C630F8B9ADF847EE8EE984C97F454B93",1)</f>
        <v>=DISPIMG("ID_C630F8B9ADF847EE8EE984C97F454B93",1)</v>
      </c>
      <c r="C33" s="7" t="s">
        <v>237</v>
      </c>
      <c r="D33" s="8" t="s">
        <v>306</v>
      </c>
      <c r="E33" s="7" t="s">
        <v>210</v>
      </c>
      <c r="F33" s="12" t="s">
        <v>307</v>
      </c>
      <c r="G33" s="9"/>
      <c r="H33" s="9" t="s">
        <v>308</v>
      </c>
      <c r="I33" s="8"/>
    </row>
    <row r="34" ht="75" hidden="1" customHeight="1" spans="1:9">
      <c r="A34" s="7">
        <v>33</v>
      </c>
      <c r="B34" s="8" t="str">
        <f>_xlfn.DISPIMG("ID_9A0375412B8347DDA37EE00DED916209",1)</f>
        <v>=DISPIMG("ID_9A0375412B8347DDA37EE00DED916209",1)</v>
      </c>
      <c r="C34" s="7" t="s">
        <v>237</v>
      </c>
      <c r="D34" s="8" t="s">
        <v>309</v>
      </c>
      <c r="E34" s="7" t="s">
        <v>210</v>
      </c>
      <c r="F34" s="10" t="s">
        <v>136</v>
      </c>
      <c r="G34" s="9"/>
      <c r="H34" s="9" t="s">
        <v>310</v>
      </c>
      <c r="I34" s="8"/>
    </row>
    <row r="35" ht="36" hidden="1" customHeight="1" spans="1:9">
      <c r="A35" s="7">
        <v>34</v>
      </c>
      <c r="B35" s="8" t="str">
        <f>_xlfn.DISPIMG("ID_208C124A842747FD9373365B63C379D7",1)</f>
        <v>=DISPIMG("ID_208C124A842747FD9373365B63C379D7",1)</v>
      </c>
      <c r="C35" s="7" t="s">
        <v>237</v>
      </c>
      <c r="D35" s="8" t="s">
        <v>311</v>
      </c>
      <c r="E35" s="7" t="s">
        <v>210</v>
      </c>
      <c r="F35" s="7" t="s">
        <v>239</v>
      </c>
      <c r="G35" s="9"/>
      <c r="H35" s="8" t="s">
        <v>312</v>
      </c>
      <c r="I35" s="8"/>
    </row>
    <row r="36" ht="56" customHeight="1" spans="1:9">
      <c r="A36" s="7">
        <v>35</v>
      </c>
      <c r="B36" s="8" t="str">
        <f>_xlfn.DISPIMG("ID_05367555C2AB487C9DE0D6BBD177AC76",1)</f>
        <v>=DISPIMG("ID_05367555C2AB487C9DE0D6BBD177AC76",1)</v>
      </c>
      <c r="C36" s="7" t="s">
        <v>277</v>
      </c>
      <c r="D36" s="8" t="s">
        <v>313</v>
      </c>
      <c r="E36" s="7" t="s">
        <v>210</v>
      </c>
      <c r="F36" s="10" t="s">
        <v>136</v>
      </c>
      <c r="G36" s="9"/>
      <c r="H36" s="9" t="s">
        <v>314</v>
      </c>
      <c r="I36" s="8"/>
    </row>
    <row r="37" ht="36" hidden="1" customHeight="1" spans="1:9">
      <c r="A37" s="7">
        <v>36</v>
      </c>
      <c r="B37" s="8" t="str">
        <f>_xlfn.DISPIMG("ID_03F474DCAFED4993AF9899D89F55CB8E",1)</f>
        <v>=DISPIMG("ID_03F474DCAFED4993AF9899D89F55CB8E",1)</v>
      </c>
      <c r="C37" s="7" t="s">
        <v>237</v>
      </c>
      <c r="D37" s="9" t="s">
        <v>315</v>
      </c>
      <c r="E37" s="7" t="s">
        <v>135</v>
      </c>
      <c r="F37" s="10" t="s">
        <v>136</v>
      </c>
      <c r="G37" s="9"/>
      <c r="H37" s="8" t="s">
        <v>316</v>
      </c>
      <c r="I37" s="8"/>
    </row>
    <row r="38" ht="159" hidden="1" customHeight="1" spans="1:9">
      <c r="A38" s="7">
        <v>37</v>
      </c>
      <c r="B38" s="8" t="str">
        <f>_xlfn.DISPIMG("ID_12D21C6F218343658DA7324E5A0F516D",1)</f>
        <v>=DISPIMG("ID_12D21C6F218343658DA7324E5A0F516D",1)</v>
      </c>
      <c r="C38" s="7" t="s">
        <v>237</v>
      </c>
      <c r="D38" s="8" t="s">
        <v>317</v>
      </c>
      <c r="E38" s="7" t="s">
        <v>135</v>
      </c>
      <c r="F38" s="10" t="s">
        <v>136</v>
      </c>
      <c r="G38" s="9"/>
      <c r="H38" s="9" t="s">
        <v>318</v>
      </c>
      <c r="I38" s="8"/>
    </row>
    <row r="39" ht="62" hidden="1" customHeight="1" spans="1:9">
      <c r="A39" s="7">
        <v>38</v>
      </c>
      <c r="B39" s="8" t="str">
        <f>_xlfn.DISPIMG("ID_7D4D8FEDD6A84621A23080FEC1105C39",1)</f>
        <v>=DISPIMG("ID_7D4D8FEDD6A84621A23080FEC1105C39",1)</v>
      </c>
      <c r="C39" s="7" t="s">
        <v>237</v>
      </c>
      <c r="D39" s="8" t="s">
        <v>319</v>
      </c>
      <c r="E39" s="7" t="s">
        <v>135</v>
      </c>
      <c r="F39" s="10" t="s">
        <v>136</v>
      </c>
      <c r="G39" s="9"/>
      <c r="H39" s="9" t="s">
        <v>320</v>
      </c>
      <c r="I39" s="8"/>
    </row>
    <row r="40" ht="36" hidden="1" customHeight="1" spans="1:9">
      <c r="A40" s="7">
        <v>39</v>
      </c>
      <c r="B40" s="8" t="str">
        <f>_xlfn.DISPIMG("ID_C2A5CE27313B47E09768905710483E70",1)</f>
        <v>=DISPIMG("ID_C2A5CE27313B47E09768905710483E70",1)</v>
      </c>
      <c r="C40" s="7" t="s">
        <v>237</v>
      </c>
      <c r="D40" s="8" t="s">
        <v>321</v>
      </c>
      <c r="E40" s="7" t="s">
        <v>135</v>
      </c>
      <c r="F40" s="10" t="s">
        <v>136</v>
      </c>
      <c r="G40" s="9"/>
      <c r="H40" s="8" t="s">
        <v>322</v>
      </c>
      <c r="I40" s="8"/>
    </row>
    <row r="41" ht="36" hidden="1" customHeight="1" spans="1:9">
      <c r="A41" s="7">
        <v>40</v>
      </c>
      <c r="B41" s="8" t="str">
        <f>_xlfn.DISPIMG("ID_EC9B9025F1204E63AF2F7F2B4087AFD3",1)</f>
        <v>=DISPIMG("ID_EC9B9025F1204E63AF2F7F2B4087AFD3",1)</v>
      </c>
      <c r="C41" s="7" t="s">
        <v>237</v>
      </c>
      <c r="D41" s="8" t="s">
        <v>323</v>
      </c>
      <c r="E41" s="7" t="s">
        <v>135</v>
      </c>
      <c r="F41" s="10" t="s">
        <v>136</v>
      </c>
      <c r="G41" s="9"/>
      <c r="H41" s="8" t="s">
        <v>324</v>
      </c>
      <c r="I41" s="8"/>
    </row>
    <row r="42" ht="36" hidden="1" customHeight="1" spans="1:9">
      <c r="A42" s="7">
        <v>41</v>
      </c>
      <c r="B42" s="8" t="str">
        <f>_xlfn.DISPIMG("ID_F2D52D48BBAD4F87ADA9207AAB0F3DB1",1)</f>
        <v>=DISPIMG("ID_F2D52D48BBAD4F87ADA9207AAB0F3DB1",1)</v>
      </c>
      <c r="C42" s="7" t="s">
        <v>237</v>
      </c>
      <c r="D42" s="8" t="s">
        <v>325</v>
      </c>
      <c r="E42" s="7"/>
      <c r="F42" s="10" t="s">
        <v>136</v>
      </c>
      <c r="G42" s="9"/>
      <c r="H42" s="8" t="s">
        <v>326</v>
      </c>
      <c r="I42" s="8"/>
    </row>
    <row r="43" ht="36" customHeight="1" spans="1:9">
      <c r="A43" s="7">
        <v>42</v>
      </c>
      <c r="B43" s="8" t="str">
        <f>_xlfn.DISPIMG("ID_E13420A19E9C4A57B8C03FAE35FB87EF",1)</f>
        <v>=DISPIMG("ID_E13420A19E9C4A57B8C03FAE35FB87EF",1)</v>
      </c>
      <c r="C43" s="7" t="s">
        <v>277</v>
      </c>
      <c r="D43" s="8" t="s">
        <v>327</v>
      </c>
      <c r="E43" s="7" t="s">
        <v>328</v>
      </c>
      <c r="F43" s="10" t="s">
        <v>136</v>
      </c>
      <c r="G43" s="9"/>
      <c r="H43" s="8" t="s">
        <v>329</v>
      </c>
      <c r="I43" s="8"/>
    </row>
    <row r="44" ht="36" customHeight="1" spans="1:9">
      <c r="A44" s="7">
        <v>43</v>
      </c>
      <c r="B44" s="8" t="str">
        <f>_xlfn.DISPIMG("ID_EF13172415484082B7B74573B1E94735",1)</f>
        <v>=DISPIMG("ID_EF13172415484082B7B74573B1E94735",1)</v>
      </c>
      <c r="C44" s="7" t="s">
        <v>277</v>
      </c>
      <c r="D44" s="8" t="s">
        <v>330</v>
      </c>
      <c r="E44" s="7" t="s">
        <v>328</v>
      </c>
      <c r="F44" s="10" t="s">
        <v>136</v>
      </c>
      <c r="G44" s="9"/>
      <c r="H44" s="8" t="s">
        <v>329</v>
      </c>
      <c r="I44" s="8"/>
    </row>
    <row r="45" ht="36" hidden="1" customHeight="1" spans="1:9">
      <c r="A45" s="7">
        <v>44</v>
      </c>
      <c r="B45" s="8" t="str">
        <f>_xlfn.DISPIMG("ID_367AA00AF0DB42EFB6B2133465E02A72",1)</f>
        <v>=DISPIMG("ID_367AA00AF0DB42EFB6B2133465E02A72",1)</v>
      </c>
      <c r="C45" s="7" t="s">
        <v>237</v>
      </c>
      <c r="D45" s="8" t="s">
        <v>331</v>
      </c>
      <c r="E45" s="7" t="s">
        <v>135</v>
      </c>
      <c r="F45" s="10" t="s">
        <v>136</v>
      </c>
      <c r="G45" s="9"/>
      <c r="H45" s="8" t="s">
        <v>332</v>
      </c>
      <c r="I45" s="8"/>
    </row>
    <row r="46" ht="36" hidden="1" customHeight="1" spans="1:9">
      <c r="A46" s="7">
        <v>45</v>
      </c>
      <c r="B46" s="8" t="str">
        <f>_xlfn.DISPIMG("ID_A657AD6841B74128B2FCAB38F749AB58",1)</f>
        <v>=DISPIMG("ID_A657AD6841B74128B2FCAB38F749AB58",1)</v>
      </c>
      <c r="C46" s="7" t="s">
        <v>237</v>
      </c>
      <c r="D46" s="8" t="s">
        <v>331</v>
      </c>
      <c r="E46" s="7" t="s">
        <v>210</v>
      </c>
      <c r="F46" s="10" t="s">
        <v>136</v>
      </c>
      <c r="G46" s="9"/>
      <c r="H46" s="8" t="s">
        <v>333</v>
      </c>
      <c r="I46" s="8"/>
    </row>
    <row r="47" ht="36" hidden="1" customHeight="1" spans="1:9">
      <c r="A47" s="7">
        <v>46</v>
      </c>
      <c r="B47" s="8" t="str">
        <f>_xlfn.DISPIMG("ID_B06C4049859940FEA0DEF5E33269C8E1",1)</f>
        <v>=DISPIMG("ID_B06C4049859940FEA0DEF5E33269C8E1",1)</v>
      </c>
      <c r="C47" s="7" t="s">
        <v>237</v>
      </c>
      <c r="D47" s="8" t="s">
        <v>334</v>
      </c>
      <c r="E47" s="7" t="s">
        <v>135</v>
      </c>
      <c r="F47" s="10" t="s">
        <v>136</v>
      </c>
      <c r="G47" s="9"/>
      <c r="H47" s="8" t="s">
        <v>335</v>
      </c>
      <c r="I47" s="8"/>
    </row>
    <row r="48" ht="36" hidden="1" customHeight="1" spans="1:9">
      <c r="A48" s="7">
        <v>47</v>
      </c>
      <c r="B48" s="8" t="str">
        <f>_xlfn.DISPIMG("ID_722D3B3450E342D1A268114814AAFF80",1)</f>
        <v>=DISPIMG("ID_722D3B3450E342D1A268114814AAFF80",1)</v>
      </c>
      <c r="C48" s="7" t="s">
        <v>237</v>
      </c>
      <c r="D48" s="8" t="s">
        <v>336</v>
      </c>
      <c r="E48" s="7" t="s">
        <v>135</v>
      </c>
      <c r="F48" s="10" t="s">
        <v>136</v>
      </c>
      <c r="G48" s="9" t="s">
        <v>337</v>
      </c>
      <c r="H48" s="8" t="s">
        <v>338</v>
      </c>
      <c r="I48" s="8"/>
    </row>
    <row r="49" ht="73" hidden="1" customHeight="1" spans="1:9">
      <c r="A49" s="7">
        <v>48</v>
      </c>
      <c r="B49" s="8" t="str">
        <f>_xlfn.DISPIMG("ID_DBB2F64D05184BC99147F6D1E10DA4B5",1)</f>
        <v>=DISPIMG("ID_DBB2F64D05184BC99147F6D1E10DA4B5",1)</v>
      </c>
      <c r="C49" s="7" t="s">
        <v>237</v>
      </c>
      <c r="D49" s="8" t="s">
        <v>339</v>
      </c>
      <c r="E49" s="7" t="s">
        <v>135</v>
      </c>
      <c r="F49" s="10" t="s">
        <v>136</v>
      </c>
      <c r="G49" s="9"/>
      <c r="H49" s="9" t="s">
        <v>340</v>
      </c>
      <c r="I49" s="8"/>
    </row>
    <row r="50" ht="69" hidden="1" customHeight="1" spans="1:9">
      <c r="A50" s="7">
        <v>49</v>
      </c>
      <c r="B50" s="8" t="str">
        <f>_xlfn.DISPIMG("ID_0CAA5ED595ED44B3A5731579DAB85033",1)</f>
        <v>=DISPIMG("ID_0CAA5ED595ED44B3A5731579DAB85033",1)</v>
      </c>
      <c r="C50" s="7" t="s">
        <v>237</v>
      </c>
      <c r="D50" s="8" t="s">
        <v>341</v>
      </c>
      <c r="E50" s="7" t="s">
        <v>135</v>
      </c>
      <c r="F50" s="10" t="s">
        <v>136</v>
      </c>
      <c r="G50" s="9" t="s">
        <v>342</v>
      </c>
      <c r="H50" s="9" t="s">
        <v>343</v>
      </c>
      <c r="I50" s="8"/>
    </row>
    <row r="51" ht="69" customHeight="1" spans="1:9">
      <c r="A51" s="7">
        <v>50</v>
      </c>
      <c r="B51" s="8" t="str">
        <f>_xlfn.DISPIMG("ID_8CC06D9C36B24C689A2C84DC1B3451DE",1)</f>
        <v>=DISPIMG("ID_8CC06D9C36B24C689A2C84DC1B3451DE",1)</v>
      </c>
      <c r="C51" s="7" t="s">
        <v>277</v>
      </c>
      <c r="D51" s="8" t="s">
        <v>344</v>
      </c>
      <c r="E51" s="7" t="s">
        <v>135</v>
      </c>
      <c r="F51" s="10" t="s">
        <v>136</v>
      </c>
      <c r="G51" s="9" t="s">
        <v>345</v>
      </c>
      <c r="H51" s="9" t="s">
        <v>346</v>
      </c>
      <c r="I51" s="8"/>
    </row>
    <row r="52" ht="69" customHeight="1" spans="1:9">
      <c r="A52" s="7">
        <v>51</v>
      </c>
      <c r="B52" s="8" t="str">
        <f>_xlfn.DISPIMG("ID_15DA59341D7C4360B473794038FC7189",1)</f>
        <v>=DISPIMG("ID_15DA59341D7C4360B473794038FC7189",1)</v>
      </c>
      <c r="C52" s="7" t="s">
        <v>277</v>
      </c>
      <c r="D52" s="8" t="s">
        <v>347</v>
      </c>
      <c r="E52" s="7" t="s">
        <v>210</v>
      </c>
      <c r="F52" s="10" t="s">
        <v>136</v>
      </c>
      <c r="G52" s="9" t="s">
        <v>345</v>
      </c>
      <c r="H52" s="9" t="s">
        <v>348</v>
      </c>
      <c r="I52" s="8"/>
    </row>
    <row r="53" ht="36" hidden="1" customHeight="1" spans="1:9">
      <c r="A53" s="7">
        <v>52</v>
      </c>
      <c r="B53" s="8" t="str">
        <f>_xlfn.DISPIMG("ID_193DF2097ED949329B1A90841BB428A3",1)</f>
        <v>=DISPIMG("ID_193DF2097ED949329B1A90841BB428A3",1)</v>
      </c>
      <c r="C53" s="7" t="s">
        <v>237</v>
      </c>
      <c r="D53" s="8" t="s">
        <v>349</v>
      </c>
      <c r="E53" s="7" t="s">
        <v>135</v>
      </c>
      <c r="F53" s="10" t="s">
        <v>136</v>
      </c>
      <c r="G53" s="9" t="s">
        <v>350</v>
      </c>
      <c r="H53" s="8" t="s">
        <v>351</v>
      </c>
      <c r="I53" s="8"/>
    </row>
    <row r="54" ht="36" hidden="1" customHeight="1" spans="1:9">
      <c r="A54" s="7">
        <v>53</v>
      </c>
      <c r="B54" s="8" t="str">
        <f>_xlfn.DISPIMG("ID_4E8D99BD5834484391DC98EC9718024E",1)</f>
        <v>=DISPIMG("ID_4E8D99BD5834484391DC98EC9718024E",1)</v>
      </c>
      <c r="C54" s="7" t="s">
        <v>237</v>
      </c>
      <c r="D54" s="8" t="s">
        <v>352</v>
      </c>
      <c r="E54" s="7" t="s">
        <v>135</v>
      </c>
      <c r="F54" s="10" t="s">
        <v>136</v>
      </c>
      <c r="G54" s="9"/>
      <c r="H54" s="9" t="s">
        <v>353</v>
      </c>
      <c r="I54" s="8"/>
    </row>
    <row r="55" ht="36" hidden="1" customHeight="1" spans="1:9">
      <c r="A55" s="7">
        <v>54</v>
      </c>
      <c r="B55" s="8" t="str">
        <f>_xlfn.DISPIMG("ID_931438589AEA4AB0B89EFC8D4A79C74A",1)</f>
        <v>=DISPIMG("ID_931438589AEA4AB0B89EFC8D4A79C74A",1)</v>
      </c>
      <c r="C55" s="7" t="s">
        <v>237</v>
      </c>
      <c r="D55" s="8" t="s">
        <v>354</v>
      </c>
      <c r="E55" s="7" t="s">
        <v>135</v>
      </c>
      <c r="F55" s="10" t="s">
        <v>136</v>
      </c>
      <c r="G55" s="9"/>
      <c r="H55" s="8" t="s">
        <v>355</v>
      </c>
      <c r="I55" s="8"/>
    </row>
    <row r="56" ht="36" customHeight="1" spans="1:9">
      <c r="A56" s="7">
        <v>55</v>
      </c>
      <c r="B56" s="8"/>
      <c r="C56" s="7" t="s">
        <v>277</v>
      </c>
      <c r="D56" s="8" t="s">
        <v>356</v>
      </c>
      <c r="E56" s="7" t="s">
        <v>210</v>
      </c>
      <c r="F56" s="10" t="s">
        <v>136</v>
      </c>
      <c r="G56" s="9"/>
      <c r="H56" s="8"/>
      <c r="I56" s="8"/>
    </row>
    <row r="57" ht="36" customHeight="1" spans="1:9">
      <c r="A57" s="7">
        <v>56</v>
      </c>
      <c r="B57" s="8"/>
      <c r="C57" s="7" t="s">
        <v>277</v>
      </c>
      <c r="D57" s="8" t="s">
        <v>357</v>
      </c>
      <c r="E57" s="7" t="s">
        <v>135</v>
      </c>
      <c r="F57" s="10" t="s">
        <v>136</v>
      </c>
      <c r="G57" s="9"/>
      <c r="H57" s="8"/>
      <c r="I57" s="8"/>
    </row>
    <row r="58" ht="36" customHeight="1" spans="1:9">
      <c r="A58" s="7">
        <v>57</v>
      </c>
      <c r="B58" s="8"/>
      <c r="C58" s="7" t="s">
        <v>277</v>
      </c>
      <c r="D58" s="8" t="s">
        <v>358</v>
      </c>
      <c r="E58" s="7" t="s">
        <v>135</v>
      </c>
      <c r="F58" s="10" t="s">
        <v>136</v>
      </c>
      <c r="G58" s="9"/>
      <c r="H58" s="8"/>
      <c r="I58" s="8"/>
    </row>
    <row r="59" ht="36" customHeight="1" spans="1:9">
      <c r="A59" s="7">
        <v>58</v>
      </c>
      <c r="B59" s="8"/>
      <c r="C59" s="7" t="s">
        <v>277</v>
      </c>
      <c r="D59" s="8" t="s">
        <v>359</v>
      </c>
      <c r="E59" s="7" t="s">
        <v>135</v>
      </c>
      <c r="F59" s="10" t="s">
        <v>136</v>
      </c>
      <c r="G59" s="9"/>
      <c r="H59" s="8"/>
      <c r="I59" s="8"/>
    </row>
    <row r="60" ht="36" customHeight="1" spans="1:9">
      <c r="A60" s="7">
        <v>59</v>
      </c>
      <c r="B60" s="8"/>
      <c r="C60" s="7" t="s">
        <v>277</v>
      </c>
      <c r="D60" s="8" t="s">
        <v>360</v>
      </c>
      <c r="E60" s="7" t="s">
        <v>135</v>
      </c>
      <c r="F60" s="10" t="s">
        <v>136</v>
      </c>
      <c r="G60" s="9"/>
      <c r="H60" s="8"/>
      <c r="I60" s="8"/>
    </row>
    <row r="61" ht="36" customHeight="1" spans="1:9">
      <c r="A61" s="7">
        <v>60</v>
      </c>
      <c r="B61" s="8"/>
      <c r="C61" s="7" t="s">
        <v>277</v>
      </c>
      <c r="D61" s="8" t="s">
        <v>361</v>
      </c>
      <c r="E61" s="7" t="s">
        <v>135</v>
      </c>
      <c r="F61" s="10" t="s">
        <v>136</v>
      </c>
      <c r="G61" s="9"/>
      <c r="H61" s="8"/>
      <c r="I61" s="8"/>
    </row>
    <row r="62" ht="36" customHeight="1" spans="1:9">
      <c r="A62" s="7">
        <v>61</v>
      </c>
      <c r="B62" s="8"/>
      <c r="C62" s="7" t="s">
        <v>277</v>
      </c>
      <c r="D62" s="8" t="s">
        <v>362</v>
      </c>
      <c r="E62" s="7" t="s">
        <v>135</v>
      </c>
      <c r="F62" s="10" t="s">
        <v>136</v>
      </c>
      <c r="G62" s="9"/>
      <c r="H62" s="8"/>
      <c r="I62" s="8"/>
    </row>
    <row r="63" ht="36" customHeight="1" spans="1:9">
      <c r="A63" s="7">
        <v>62</v>
      </c>
      <c r="B63" s="8"/>
      <c r="C63" s="7" t="s">
        <v>277</v>
      </c>
      <c r="D63" s="8" t="s">
        <v>363</v>
      </c>
      <c r="E63" s="7" t="s">
        <v>135</v>
      </c>
      <c r="F63" s="10" t="s">
        <v>136</v>
      </c>
      <c r="G63" s="9"/>
      <c r="H63" s="8"/>
      <c r="I63" s="8"/>
    </row>
    <row r="64" ht="36" hidden="1" customHeight="1" spans="1:9">
      <c r="A64" s="7">
        <v>63</v>
      </c>
      <c r="B64" s="8"/>
      <c r="C64" s="7"/>
      <c r="D64" s="8"/>
      <c r="E64" s="7"/>
      <c r="F64" s="7"/>
      <c r="G64" s="9"/>
      <c r="H64" s="8"/>
      <c r="I64" s="8"/>
    </row>
    <row r="65" ht="36" hidden="1" customHeight="1" spans="1:9">
      <c r="A65" s="7">
        <v>64</v>
      </c>
      <c r="B65" s="8"/>
      <c r="C65" s="7"/>
      <c r="D65" s="8"/>
      <c r="E65" s="7"/>
      <c r="F65" s="7"/>
      <c r="G65" s="9"/>
      <c r="H65" s="8"/>
      <c r="I65" s="8"/>
    </row>
    <row r="66" ht="36" hidden="1" customHeight="1" spans="1:9">
      <c r="A66" s="7">
        <v>65</v>
      </c>
      <c r="B66" s="8"/>
      <c r="C66" s="7"/>
      <c r="D66" s="8"/>
      <c r="E66" s="7"/>
      <c r="F66" s="7"/>
      <c r="G66" s="9"/>
      <c r="H66" s="8"/>
      <c r="I66" s="8"/>
    </row>
    <row r="67" ht="36" hidden="1" customHeight="1" spans="1:9">
      <c r="A67" s="7">
        <v>66</v>
      </c>
      <c r="B67" s="8"/>
      <c r="C67" s="7"/>
      <c r="D67" s="8"/>
      <c r="E67" s="7"/>
      <c r="F67" s="7"/>
      <c r="G67" s="9"/>
      <c r="H67" s="8"/>
      <c r="I67" s="8"/>
    </row>
    <row r="68" ht="36" hidden="1" customHeight="1" spans="1:9">
      <c r="A68" s="7">
        <v>67</v>
      </c>
      <c r="B68" s="8"/>
      <c r="C68" s="7"/>
      <c r="D68" s="8"/>
      <c r="E68" s="7"/>
      <c r="F68" s="7"/>
      <c r="G68" s="9"/>
      <c r="H68" s="8"/>
      <c r="I68" s="8"/>
    </row>
    <row r="69" ht="36" hidden="1" customHeight="1" spans="1:9">
      <c r="A69" s="7">
        <v>68</v>
      </c>
      <c r="B69" s="8"/>
      <c r="C69" s="7"/>
      <c r="D69" s="8"/>
      <c r="E69" s="7"/>
      <c r="F69" s="7"/>
      <c r="G69" s="9"/>
      <c r="H69" s="8"/>
      <c r="I69" s="8"/>
    </row>
    <row r="70" ht="36" hidden="1" customHeight="1" spans="1:9">
      <c r="A70" s="7">
        <v>69</v>
      </c>
      <c r="B70" s="8"/>
      <c r="C70" s="7"/>
      <c r="D70" s="8"/>
      <c r="E70" s="7"/>
      <c r="F70" s="7"/>
      <c r="G70" s="9"/>
      <c r="H70" s="8"/>
      <c r="I70" s="8"/>
    </row>
    <row r="71" ht="36" hidden="1" customHeight="1" spans="1:9">
      <c r="A71" s="7">
        <v>70</v>
      </c>
      <c r="B71" s="8"/>
      <c r="C71" s="7"/>
      <c r="D71" s="8"/>
      <c r="E71" s="7"/>
      <c r="F71" s="7"/>
      <c r="G71" s="9"/>
      <c r="H71" s="8"/>
      <c r="I71" s="8"/>
    </row>
    <row r="72" ht="36" hidden="1" customHeight="1" spans="1:9">
      <c r="A72" s="7">
        <v>71</v>
      </c>
      <c r="B72" s="8"/>
      <c r="C72" s="7"/>
      <c r="D72" s="8"/>
      <c r="E72" s="7"/>
      <c r="F72" s="7"/>
      <c r="G72" s="9"/>
      <c r="H72" s="8"/>
      <c r="I72" s="8"/>
    </row>
    <row r="73" ht="36" hidden="1" customHeight="1" spans="1:9">
      <c r="A73" s="7">
        <v>72</v>
      </c>
      <c r="B73" s="8"/>
      <c r="C73" s="7"/>
      <c r="D73" s="8"/>
      <c r="E73" s="7"/>
      <c r="F73" s="7"/>
      <c r="G73" s="9"/>
      <c r="H73" s="8"/>
      <c r="I73" s="8"/>
    </row>
    <row r="74" ht="36" hidden="1" customHeight="1" spans="1:9">
      <c r="A74" s="7">
        <v>73</v>
      </c>
      <c r="B74" s="8"/>
      <c r="C74" s="7"/>
      <c r="D74" s="8"/>
      <c r="E74" s="7"/>
      <c r="F74" s="7"/>
      <c r="G74" s="9"/>
      <c r="H74" s="8"/>
      <c r="I74" s="8"/>
    </row>
    <row r="75" ht="36" hidden="1" customHeight="1" spans="1:9">
      <c r="A75" s="7">
        <v>74</v>
      </c>
      <c r="B75" s="8"/>
      <c r="C75" s="7"/>
      <c r="D75" s="8"/>
      <c r="E75" s="7"/>
      <c r="F75" s="7"/>
      <c r="G75" s="9"/>
      <c r="H75" s="8"/>
      <c r="I75" s="8"/>
    </row>
    <row r="76" ht="36" hidden="1" customHeight="1" spans="1:9">
      <c r="A76" s="7">
        <v>75</v>
      </c>
      <c r="B76" s="8"/>
      <c r="C76" s="7"/>
      <c r="D76" s="8"/>
      <c r="E76" s="7"/>
      <c r="F76" s="7"/>
      <c r="G76" s="9"/>
      <c r="H76" s="8"/>
      <c r="I76" s="8"/>
    </row>
    <row r="77" ht="36" hidden="1" customHeight="1" spans="1:9">
      <c r="A77" s="7">
        <v>76</v>
      </c>
      <c r="B77" s="8"/>
      <c r="C77" s="7"/>
      <c r="D77" s="8"/>
      <c r="E77" s="7"/>
      <c r="F77" s="7"/>
      <c r="G77" s="9"/>
      <c r="H77" s="8"/>
      <c r="I77" s="8"/>
    </row>
    <row r="78" ht="36" hidden="1" customHeight="1" spans="1:9">
      <c r="A78" s="7">
        <v>77</v>
      </c>
      <c r="B78" s="8"/>
      <c r="C78" s="7"/>
      <c r="D78" s="8"/>
      <c r="E78" s="7"/>
      <c r="F78" s="7"/>
      <c r="G78" s="9"/>
      <c r="H78" s="8"/>
      <c r="I78" s="8"/>
    </row>
    <row r="79" ht="36" hidden="1" customHeight="1" spans="1:9">
      <c r="A79" s="7">
        <v>78</v>
      </c>
      <c r="B79" s="8"/>
      <c r="C79" s="7"/>
      <c r="D79" s="8"/>
      <c r="E79" s="7"/>
      <c r="F79" s="7"/>
      <c r="G79" s="9"/>
      <c r="H79" s="8"/>
      <c r="I79" s="8"/>
    </row>
    <row r="80" ht="36" hidden="1" customHeight="1" spans="1:9">
      <c r="A80" s="7">
        <v>79</v>
      </c>
      <c r="B80" s="8"/>
      <c r="C80" s="7"/>
      <c r="D80" s="8"/>
      <c r="E80" s="7"/>
      <c r="F80" s="7"/>
      <c r="G80" s="9"/>
      <c r="H80" s="8"/>
      <c r="I80" s="8"/>
    </row>
    <row r="81" ht="36" hidden="1" customHeight="1" spans="1:9">
      <c r="A81" s="7">
        <v>80</v>
      </c>
      <c r="B81" s="8"/>
      <c r="C81" s="7"/>
      <c r="D81" s="8"/>
      <c r="E81" s="7"/>
      <c r="F81" s="7"/>
      <c r="G81" s="9"/>
      <c r="H81" s="8"/>
      <c r="I81" s="8"/>
    </row>
  </sheetData>
  <autoFilter ref="A1:I81">
    <filterColumn colId="2">
      <customFilters>
        <customFilter operator="equal" val="LCD"/>
      </custom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39" sqref="I39"/>
    </sheetView>
  </sheetViews>
  <sheetFormatPr defaultColWidth="9" defaultRowHeight="13.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38" sqref="K38"/>
    </sheetView>
  </sheetViews>
  <sheetFormatPr defaultColWidth="9" defaultRowHeight="13.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34" sqref="J34"/>
    </sheetView>
  </sheetViews>
  <sheetFormatPr defaultColWidth="9" defaultRowHeight="13.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标定参数默认值</vt:lpstr>
      <vt:lpstr>文字提醒</vt:lpstr>
      <vt:lpstr>小图标符号片</vt:lpstr>
      <vt:lpstr>大图标</vt:lpstr>
      <vt:lpstr>蜂鸣器</vt:lpstr>
      <vt:lpstr>外发报文</vt:lpstr>
      <vt:lpstr>主界面</vt:lpstr>
      <vt:lpstr>子界面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Seaman</cp:lastModifiedBy>
  <dcterms:created xsi:type="dcterms:W3CDTF">2006-09-16T00:00:00Z</dcterms:created>
  <dcterms:modified xsi:type="dcterms:W3CDTF">2023-01-12T07:43:25Z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ABDB26159AFE4FB6BD49E4D1A2F3DCB1</vt:lpwstr>
  </property>
  <property fmtid="{D5CDD505-2E9C-101B-9397-08002B2CF9AE}" pid="3" name="KSOProductBuildVer">
    <vt:lpwstr>2052-11.1.0.12763</vt:lpwstr>
  </property>
  <property fmtid="{D5CDD505-2E9C-101B-9397-08002B2CF9AE}" pid="4" name="KSOReadingLayout">
    <vt:bool>true</vt:bool>
  </property>
</Properties>
</file>